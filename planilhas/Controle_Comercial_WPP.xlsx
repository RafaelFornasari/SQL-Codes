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o diário" sheetId="1" r:id="rId1"/>
    <sheet name="Consolidado semanal" sheetId="2" r:id="rId2"/>
    <sheet name="Consolidado mensal" sheetId="3" r:id="rId3"/>
  </sheets>
  <definedNames>
    <definedName name="_xlnm._FilterDatabase" localSheetId="2" hidden="1">'Consolidado mensal'!$A$11:$L$47</definedName>
    <definedName name="_xlnm._FilterDatabase" localSheetId="1" hidden="1">'Consolidado semanal'!$A$11:$L$168</definedName>
    <definedName name="_xlnm.Print_Area" localSheetId="2">'Consolidado mensal'!$A$1:$L$23</definedName>
    <definedName name="_xlnm.Print_Area" localSheetId="1">'Consolidado semanal'!$A$1:$L$23</definedName>
    <definedName name="_xlnm.Print_Area" localSheetId="0">'Registro diário'!$A$1:$O$31</definedName>
    <definedName name="_xlnm.Print_Titles" localSheetId="2">'Consolidado mensal'!$1:$11</definedName>
    <definedName name="_xlnm.Print_Titles" localSheetId="1">'Consolidado semanal'!$1:$11</definedName>
    <definedName name="_xlnm.Print_Titles" localSheetId="0">'Registro diário'!$1:$11</definedName>
  </definedNames>
  <calcPr calcId="124519" fullCalcOnLoad="1"/>
</workbook>
</file>

<file path=xl/sharedStrings.xml><?xml version="1.0" encoding="utf-8"?>
<sst xmlns="http://schemas.openxmlformats.org/spreadsheetml/2006/main" count="60" uniqueCount="43">
  <si>
    <t>Comercial &amp; Captação WPP | Registro diário</t>
  </si>
  <si>
    <t>Uma linha por CPF + data de entrada. Atualize a mesma linha com os eventos e flags. CPF é texto: preserve zeros à esquerda. Todos os eventos e fechamentos permanecem na safra de entrada.</t>
  </si>
  <si>
    <t>PREENCHIMENTO: azul = manual | verde claro = automático. Capacidade preparada: 5.000 registros.</t>
  </si>
  <si>
    <t>Tempo de resposta: manual, em minutos. Vazio = não medido; zero = resposta imediata. Semana: segunda a domingo.</t>
  </si>
  <si>
    <t>Paciente fechou: 1 = sim, 0 = não. Indicação interna: 1 = sim, 0 = não. Se indicação = 1, preencha Nome do indicante ao lado.</t>
  </si>
  <si>
    <t>Vazio nas flags = ainda não informado. Atualize o fechamento após a conversa, na linha original. CPF + dia duplicado gera alerta e conta duas vezes.</t>
  </si>
  <si>
    <t>Conferência sinaliza fechamento sem conversa, indicação sem nome, flags inválidas e datas inconsistentes. Resolva os alertas antes de analisar.</t>
  </si>
  <si>
    <t>CPF</t>
  </si>
  <si>
    <t>Data de entrada</t>
  </si>
  <si>
    <t>Nome do lead</t>
  </si>
  <si>
    <t>Origem / campanha</t>
  </si>
  <si>
    <t>Data do agendamento</t>
  </si>
  <si>
    <t>Data da conversa presencial executada</t>
  </si>
  <si>
    <t>Paciente fechou (0/1)</t>
  </si>
  <si>
    <t>Indicação interna (0/1)</t>
  </si>
  <si>
    <t>Nome do indicante</t>
  </si>
  <si>
    <t>Tempo de resposta (min)</t>
  </si>
  <si>
    <t>Observações</t>
  </si>
  <si>
    <t>Safra semanal (segunda)</t>
  </si>
  <si>
    <t>Fim da semana (domingo)</t>
  </si>
  <si>
    <t>Safra mensal</t>
  </si>
  <si>
    <t>Conferência</t>
  </si>
  <si>
    <t>Comercial &amp; Captação WPP | Semanal</t>
  </si>
  <si>
    <t>Contagem por safra de entrada: agendamentos, conversas e fechamentos posteriores atualizam o período original. Tempo médio = média dos tempos manuais preenchidos, com o mesmo peso por registro.</t>
  </si>
  <si>
    <t>Ano inicial:</t>
  </si>
  <si>
    <t>Edite o ano inicial para consultar outro período. Cobertura: três anos.</t>
  </si>
  <si>
    <t>Leads = registros CPF + dia completos. Cada registro conta no máximo um agendamento e uma conversa.</t>
  </si>
  <si>
    <t>Taxas: agendamentos ÷ leads, conversas ÷ agendamentos e conversas ÷ leads. Fechamento/conversa = fechamentos ÷ conversas. Vazio = sem base de cálculo.</t>
  </si>
  <si>
    <t>A cobertura do tempo mostra quantos registros têm medição. Revise os alertas na aba Registro diário.</t>
  </si>
  <si>
    <t>Início da semana</t>
  </si>
  <si>
    <t>Fim do período</t>
  </si>
  <si>
    <t>Leads (etapa 1)</t>
  </si>
  <si>
    <t>Agendamentos (etapa 2)</t>
  </si>
  <si>
    <t>Conversas presenciais (etapa 3)</t>
  </si>
  <si>
    <t>Tempo médio de resposta (min)</t>
  </si>
  <si>
    <t>Leads com tempo registrado</t>
  </si>
  <si>
    <t>Conversão E1 → E2</t>
  </si>
  <si>
    <t>Conversão E2 → E3</t>
  </si>
  <si>
    <t>Conversão E1 → E3</t>
  </si>
  <si>
    <t>Pacientes fechados</t>
  </si>
  <si>
    <t>Taxa fechamento / conversa</t>
  </si>
  <si>
    <t>Comercial &amp; Captação WPP | Mensal</t>
  </si>
  <si>
    <t>Mês da safra</t>
  </si>
</sst>
</file>

<file path=xl/styles.xml><?xml version="1.0" encoding="utf-8"?>
<styleSheet xmlns="http://schemas.openxmlformats.org/spreadsheetml/2006/main">
  <numFmts count="5">
    <numFmt numFmtId="164" formatCode="@"/>
    <numFmt numFmtId="165" formatCode="dd/mm/yyyy"/>
    <numFmt numFmtId="166" formatCode="0.0"/>
    <numFmt numFmtId="167" formatCode="mmm/yyyy"/>
    <numFmt numFmtId="168" formatCode="0.0%"/>
  </numFmts>
  <fonts count="7">
    <font>
      <sz val="11"/>
      <color theme="1"/>
      <name val="Calibri"/>
      <family val="2"/>
      <scheme val="minor"/>
    </font>
    <font>
      <sz val="11"/>
      <color rgb="FF1769AA"/>
      <name val="Calibri"/>
      <family val="2"/>
      <scheme val="minor"/>
    </font>
    <font>
      <sz val="11"/>
      <color rgb="FF17324D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17324D"/>
      <name val="Calibri"/>
      <family val="2"/>
      <scheme val="minor"/>
    </font>
    <font>
      <b/>
      <sz val="11"/>
      <color rgb="FF1769A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5F5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rgb="FF007F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6" fontId="1" fillId="0" borderId="0" xfId="0" applyNumberFormat="1" applyFont="1"/>
    <xf numFmtId="165" fontId="2" fillId="2" borderId="0" xfId="0" applyNumberFormat="1" applyFont="1" applyFill="1"/>
    <xf numFmtId="167" fontId="0" fillId="2" borderId="0" xfId="0" applyNumberFormat="1" applyFill="1"/>
    <xf numFmtId="0" fontId="2" fillId="2" borderId="0" xfId="0" applyFont="1" applyFill="1"/>
    <xf numFmtId="0" fontId="3" fillId="3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1" fontId="5" fillId="4" borderId="0" xfId="0" applyNumberFormat="1" applyFont="1" applyFill="1"/>
    <xf numFmtId="0" fontId="6" fillId="5" borderId="0" xfId="0" applyFont="1" applyFill="1" applyAlignment="1">
      <alignment vertical="center" wrapText="1"/>
    </xf>
    <xf numFmtId="1" fontId="0" fillId="2" borderId="0" xfId="0" applyNumberFormat="1" applyFill="1"/>
    <xf numFmtId="166" fontId="0" fillId="2" borderId="0" xfId="0" applyNumberFormat="1" applyFill="1"/>
    <xf numFmtId="168" fontId="0" fillId="2" borderId="0" xfId="0" applyNumberFormat="1" applyFill="1"/>
  </cellXfs>
  <cellStyles count="1">
    <cellStyle name="Normal" xfId="0" builtinId="0"/>
  </cellStyles>
  <dxfs count="8">
    <dxf>
      <font>
        <color rgb="FF1769AA"/>
      </font>
      <numFmt numFmtId="164" formatCode="@"/>
    </dxf>
    <dxf>
      <font>
        <color rgb="FF1769AA"/>
      </font>
      <numFmt numFmtId="165" formatCode="dd/mm/yyyy"/>
    </dxf>
    <dxf>
      <font>
        <color rgb="FF1769AA"/>
      </font>
    </dxf>
    <dxf>
      <font>
        <color rgb="FF1769AA"/>
      </font>
      <numFmt numFmtId="166" formatCode="0.0"/>
    </dxf>
    <dxf>
      <font>
        <color rgb="FF17324D"/>
      </font>
      <numFmt numFmtId="165" formatCode="dd/mm/yyyy"/>
      <fill>
        <patternFill>
          <bgColor rgb="FFEAF5F5"/>
        </patternFill>
      </fill>
    </dxf>
    <dxf>
      <numFmt numFmtId="167" formatCode="mmm/yyyy"/>
      <fill>
        <patternFill>
          <bgColor rgb="FFEAF5F5"/>
        </patternFill>
      </fill>
    </dxf>
    <dxf>
      <font>
        <color rgb="FF17324D"/>
      </font>
      <fill>
        <patternFill>
          <bgColor rgb="FFEAF5F5"/>
        </patternFill>
      </fill>
    </dxf>
    <dxf>
      <font>
        <color rgb="FF9C0006"/>
      </font>
      <fill>
        <patternFill>
          <bgColor rgb="FFFF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Funil por safra — primeiros 12 períodos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'Consolidado semanal'!$C$11</c:f>
              <c:strCache>
                <c:ptCount val="1"/>
                <c:pt idx="0">
                  <c:v>Leads (etapa 1)</c:v>
                </c:pt>
              </c:strCache>
            </c:strRef>
          </c:tx>
          <c:cat>
            <c:numRef>
              <c:f>'Consolidado semanal'!$A$12:$A$23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semanal'!$C$12:$C$23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'Consolidado semanal'!$D$11</c:f>
              <c:strCache>
                <c:ptCount val="1"/>
                <c:pt idx="0">
                  <c:v>Agendamentos (etapa 2)</c:v>
                </c:pt>
              </c:strCache>
            </c:strRef>
          </c:tx>
          <c:cat>
            <c:numRef>
              <c:f>'Consolidado semanal'!$A$12:$A$23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semanal'!$D$12:$D$23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'Consolidado semanal'!$E$11</c:f>
              <c:strCache>
                <c:ptCount val="1"/>
                <c:pt idx="0">
                  <c:v>Conversas presenciais (etapa 3)</c:v>
                </c:pt>
              </c:strCache>
            </c:strRef>
          </c:tx>
          <c:cat>
            <c:numRef>
              <c:f>'Consolidado semanal'!$A$12:$A$23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semanal'!$E$12:$E$23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'Consolidado semanal'!$K$11</c:f>
              <c:strCache>
                <c:ptCount val="1"/>
                <c:pt idx="0">
                  <c:v>Pacientes fechados</c:v>
                </c:pt>
              </c:strCache>
            </c:strRef>
          </c:tx>
          <c:cat>
            <c:numRef>
              <c:f>'Consolidado semanal'!$A$12:$A$23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semanal'!$K$12:$K$23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  <c:majorUnit val="1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Funil por safra — primeiros 12 períodos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'Consolidado mensal'!$C$11</c:f>
              <c:strCache>
                <c:ptCount val="1"/>
                <c:pt idx="0">
                  <c:v>Leads (etapa 1)</c:v>
                </c:pt>
              </c:strCache>
            </c:strRef>
          </c:tx>
          <c:cat>
            <c:numRef>
              <c:f>'Consolidado mensal'!$A$12:$A$23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mensal'!$C$12:$C$23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'Consolidado mensal'!$D$11</c:f>
              <c:strCache>
                <c:ptCount val="1"/>
                <c:pt idx="0">
                  <c:v>Agendamentos (etapa 2)</c:v>
                </c:pt>
              </c:strCache>
            </c:strRef>
          </c:tx>
          <c:cat>
            <c:numRef>
              <c:f>'Consolidado mensal'!$A$12:$A$23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mensal'!$D$12:$D$23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'Consolidado mensal'!$E$11</c:f>
              <c:strCache>
                <c:ptCount val="1"/>
                <c:pt idx="0">
                  <c:v>Conversas presenciais (etapa 3)</c:v>
                </c:pt>
              </c:strCache>
            </c:strRef>
          </c:tx>
          <c:cat>
            <c:numRef>
              <c:f>'Consolidado mensal'!$A$12:$A$23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mensal'!$E$12:$E$23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'Consolidado mensal'!$K$11</c:f>
              <c:strCache>
                <c:ptCount val="1"/>
                <c:pt idx="0">
                  <c:v>Pacientes fechados</c:v>
                </c:pt>
              </c:strCache>
            </c:strRef>
          </c:tx>
          <c:cat>
            <c:numRef>
              <c:f>'Consolidado mensal'!$A$12:$A$23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'Consolidado mensal'!$K$12:$K$23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  <c:majorUnit val="1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25</xdr:col>
      <xdr:colOff>495300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25</xdr:col>
      <xdr:colOff>495300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eads" displayName="Leads" ref="A11:O5011" totalsRowShown="0">
  <autoFilter ref="A11:O5011"/>
  <tableColumns count="15">
    <tableColumn id="1" name="CPF" dataDxfId="0"/>
    <tableColumn id="2" name="Data de entrada" dataDxfId="1"/>
    <tableColumn id="3" name="Nome do lead" dataDxfId="2"/>
    <tableColumn id="4" name="Origem / campanha" dataDxfId="2"/>
    <tableColumn id="5" name="Data do agendamento" dataDxfId="1"/>
    <tableColumn id="6" name="Data da conversa presencial executada" dataDxfId="1"/>
    <tableColumn id="7" name="Paciente fechou (0/1)" dataDxfId="2"/>
    <tableColumn id="8" name="Indicação interna (0/1)" dataDxfId="2"/>
    <tableColumn id="9" name="Nome do indicante" dataDxfId="2"/>
    <tableColumn id="10" name="Tempo de resposta (min)" dataDxfId="3"/>
    <tableColumn id="11" name="Observações" dataDxfId="2"/>
    <tableColumn id="12" name="Safra semanal (segunda)" dataDxfId="4"/>
    <tableColumn id="13" name="Fim da semana (domingo)" dataDxfId="4"/>
    <tableColumn id="14" name="Safra mensal" dataDxfId="5"/>
    <tableColumn id="15" name="Conferência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011"/>
  <sheetViews>
    <sheetView showGridLines="0" tabSelected="1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"/>
  <cols>
    <col min="1" max="1" width="18.7109375" style="1" customWidth="1"/>
    <col min="2" max="2" width="16.7109375" style="2" customWidth="1"/>
    <col min="3" max="4" width="24.7109375" style="3" customWidth="1"/>
    <col min="5" max="5" width="18.7109375" style="2" customWidth="1"/>
    <col min="6" max="6" width="23.7109375" style="2" customWidth="1"/>
    <col min="7" max="7" width="19.7109375" style="3" customWidth="1"/>
    <col min="8" max="8" width="20.7109375" style="3" customWidth="1"/>
    <col min="9" max="9" width="26.7109375" style="3" customWidth="1"/>
    <col min="10" max="10" width="20.7109375" style="4" customWidth="1"/>
    <col min="11" max="11" width="32.7109375" style="3" customWidth="1"/>
    <col min="12" max="13" width="20.7109375" style="5" customWidth="1"/>
    <col min="14" max="14" width="17.7109375" style="6" customWidth="1"/>
    <col min="15" max="15" width="37.7109375" style="7" customWidth="1"/>
  </cols>
  <sheetData>
    <row r="1" spans="1:15" ht="24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>
      <c r="A6" s="9" t="s">
        <v>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>
      <c r="A8" s="9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>
      <c r="A9" s="9" t="s">
        <v>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1" spans="1:15" ht="44" customHeight="1">
      <c r="A11" s="1" t="s">
        <v>7</v>
      </c>
      <c r="B11" s="2" t="s">
        <v>8</v>
      </c>
      <c r="C11" s="3" t="s">
        <v>9</v>
      </c>
      <c r="D11" s="3" t="s">
        <v>10</v>
      </c>
      <c r="E11" s="2" t="s">
        <v>11</v>
      </c>
      <c r="F11" s="2" t="s">
        <v>12</v>
      </c>
      <c r="G11" s="3" t="s">
        <v>13</v>
      </c>
      <c r="H11" s="3" t="s">
        <v>14</v>
      </c>
      <c r="I11" s="3" t="s">
        <v>15</v>
      </c>
      <c r="J11" s="4" t="s">
        <v>16</v>
      </c>
      <c r="K11" s="3" t="s">
        <v>17</v>
      </c>
      <c r="L11" s="5" t="s">
        <v>18</v>
      </c>
      <c r="M11" s="5" t="s">
        <v>19</v>
      </c>
      <c r="N11" s="6" t="s">
        <v>20</v>
      </c>
      <c r="O11" s="7" t="s">
        <v>21</v>
      </c>
    </row>
    <row r="12" spans="1:15">
      <c r="L12" s="5">
        <f>IF(OR(A12="",B12=""),"",B12-WEEKDAY(B12,2)+1)</f>
        <v/>
      </c>
      <c r="M12" s="5">
        <f>IF(L12="","",L12+6)</f>
        <v/>
      </c>
      <c r="N12" s="6">
        <f>IF(OR(A12="",B12=""),"",DATE(YEAR(B12),MONTH(B12),1))</f>
        <v/>
      </c>
      <c r="O12" s="7">
        <f>IF(COUNTA(A12:K12)=0,"",IF(OR(A12="",B12=""),"Preencher CPF e entrada",IF(COUNTIFS($A$12:$A$5011,A12,$B$12:$B$5011,B12)&gt;1,"CPF + dia duplicado",IF(OR(AND(G12&lt;&gt;"",G12&lt;&gt;0,G12&lt;&gt;1),AND(H12&lt;&gt;"",H12&lt;&gt;0,H12&lt;&gt;1)),"Flags devem ser 0 ou 1",IF(AND(H12=1,LEN(TRIM(I12))=0),"Preencher nome do indicante",IF(AND(H12&lt;&gt;1,I12&lt;&gt;""),"Nome sem indicação interna",IF(AND(G12=1,F12=""),"Fechamento sem conversa",IF(OR(AND(E12&lt;&gt;"",E12&lt;B12),AND(F12&lt;&gt;"",F12&lt;B12)),"Evento anterior à entrada",IF(AND(F12&lt;&gt;"",E12=""),"Conversa sem agendamento",IF(OR(E12&gt;TODAY(),F12&gt;TODAY()),"Verificar evento futuro","OK"))))))))))</f>
        <v/>
      </c>
    </row>
    <row r="13" spans="1:15">
      <c r="L13" s="5">
        <f>IF(OR(A13="",B13=""),"",B13-WEEKDAY(B13,2)+1)</f>
        <v/>
      </c>
      <c r="M13" s="5">
        <f>IF(L13="","",L13+6)</f>
        <v/>
      </c>
      <c r="N13" s="6">
        <f>IF(OR(A13="",B13=""),"",DATE(YEAR(B13),MONTH(B13),1))</f>
        <v/>
      </c>
      <c r="O13" s="7">
        <f>IF(COUNTA(A13:K13)=0,"",IF(OR(A13="",B13=""),"Preencher CPF e entrada",IF(COUNTIFS($A$12:$A$5011,A13,$B$12:$B$5011,B13)&gt;1,"CPF + dia duplicado",IF(OR(AND(G13&lt;&gt;"",G13&lt;&gt;0,G13&lt;&gt;1),AND(H13&lt;&gt;"",H13&lt;&gt;0,H13&lt;&gt;1)),"Flags devem ser 0 ou 1",IF(AND(H13=1,LEN(TRIM(I13))=0),"Preencher nome do indicante",IF(AND(H13&lt;&gt;1,I13&lt;&gt;""),"Nome sem indicação interna",IF(AND(G13=1,F13=""),"Fechamento sem conversa",IF(OR(AND(E13&lt;&gt;"",E13&lt;B13),AND(F13&lt;&gt;"",F13&lt;B13)),"Evento anterior à entrada",IF(AND(F13&lt;&gt;"",E13=""),"Conversa sem agendamento",IF(OR(E13&gt;TODAY(),F13&gt;TODAY()),"Verificar evento futuro","OK"))))))))))</f>
        <v/>
      </c>
    </row>
    <row r="14" spans="1:15">
      <c r="L14" s="5">
        <f>IF(OR(A14="",B14=""),"",B14-WEEKDAY(B14,2)+1)</f>
        <v/>
      </c>
      <c r="M14" s="5">
        <f>IF(L14="","",L14+6)</f>
        <v/>
      </c>
      <c r="N14" s="6">
        <f>IF(OR(A14="",B14=""),"",DATE(YEAR(B14),MONTH(B14),1))</f>
        <v/>
      </c>
      <c r="O14" s="7">
        <f>IF(COUNTA(A14:K14)=0,"",IF(OR(A14="",B14=""),"Preencher CPF e entrada",IF(COUNTIFS($A$12:$A$5011,A14,$B$12:$B$5011,B14)&gt;1,"CPF + dia duplicado",IF(OR(AND(G14&lt;&gt;"",G14&lt;&gt;0,G14&lt;&gt;1),AND(H14&lt;&gt;"",H14&lt;&gt;0,H14&lt;&gt;1)),"Flags devem ser 0 ou 1",IF(AND(H14=1,LEN(TRIM(I14))=0),"Preencher nome do indicante",IF(AND(H14&lt;&gt;1,I14&lt;&gt;""),"Nome sem indicação interna",IF(AND(G14=1,F14=""),"Fechamento sem conversa",IF(OR(AND(E14&lt;&gt;"",E14&lt;B14),AND(F14&lt;&gt;"",F14&lt;B14)),"Evento anterior à entrada",IF(AND(F14&lt;&gt;"",E14=""),"Conversa sem agendamento",IF(OR(E14&gt;TODAY(),F14&gt;TODAY()),"Verificar evento futuro","OK"))))))))))</f>
        <v/>
      </c>
    </row>
    <row r="15" spans="1:15">
      <c r="L15" s="5">
        <f>IF(OR(A15="",B15=""),"",B15-WEEKDAY(B15,2)+1)</f>
        <v/>
      </c>
      <c r="M15" s="5">
        <f>IF(L15="","",L15+6)</f>
        <v/>
      </c>
      <c r="N15" s="6">
        <f>IF(OR(A15="",B15=""),"",DATE(YEAR(B15),MONTH(B15),1))</f>
        <v/>
      </c>
      <c r="O15" s="7">
        <f>IF(COUNTA(A15:K15)=0,"",IF(OR(A15="",B15=""),"Preencher CPF e entrada",IF(COUNTIFS($A$12:$A$5011,A15,$B$12:$B$5011,B15)&gt;1,"CPF + dia duplicado",IF(OR(AND(G15&lt;&gt;"",G15&lt;&gt;0,G15&lt;&gt;1),AND(H15&lt;&gt;"",H15&lt;&gt;0,H15&lt;&gt;1)),"Flags devem ser 0 ou 1",IF(AND(H15=1,LEN(TRIM(I15))=0),"Preencher nome do indicante",IF(AND(H15&lt;&gt;1,I15&lt;&gt;""),"Nome sem indicação interna",IF(AND(G15=1,F15=""),"Fechamento sem conversa",IF(OR(AND(E15&lt;&gt;"",E15&lt;B15),AND(F15&lt;&gt;"",F15&lt;B15)),"Evento anterior à entrada",IF(AND(F15&lt;&gt;"",E15=""),"Conversa sem agendamento",IF(OR(E15&gt;TODAY(),F15&gt;TODAY()),"Verificar evento futuro","OK"))))))))))</f>
        <v/>
      </c>
    </row>
    <row r="16" spans="1:15">
      <c r="L16" s="5">
        <f>IF(OR(A16="",B16=""),"",B16-WEEKDAY(B16,2)+1)</f>
        <v/>
      </c>
      <c r="M16" s="5">
        <f>IF(L16="","",L16+6)</f>
        <v/>
      </c>
      <c r="N16" s="6">
        <f>IF(OR(A16="",B16=""),"",DATE(YEAR(B16),MONTH(B16),1))</f>
        <v/>
      </c>
      <c r="O16" s="7">
        <f>IF(COUNTA(A16:K16)=0,"",IF(OR(A16="",B16=""),"Preencher CPF e entrada",IF(COUNTIFS($A$12:$A$5011,A16,$B$12:$B$5011,B16)&gt;1,"CPF + dia duplicado",IF(OR(AND(G16&lt;&gt;"",G16&lt;&gt;0,G16&lt;&gt;1),AND(H16&lt;&gt;"",H16&lt;&gt;0,H16&lt;&gt;1)),"Flags devem ser 0 ou 1",IF(AND(H16=1,LEN(TRIM(I16))=0),"Preencher nome do indicante",IF(AND(H16&lt;&gt;1,I16&lt;&gt;""),"Nome sem indicação interna",IF(AND(G16=1,F16=""),"Fechamento sem conversa",IF(OR(AND(E16&lt;&gt;"",E16&lt;B16),AND(F16&lt;&gt;"",F16&lt;B16)),"Evento anterior à entrada",IF(AND(F16&lt;&gt;"",E16=""),"Conversa sem agendamento",IF(OR(E16&gt;TODAY(),F16&gt;TODAY()),"Verificar evento futuro","OK"))))))))))</f>
        <v/>
      </c>
    </row>
    <row r="17" spans="12:15">
      <c r="L17" s="5">
        <f>IF(OR(A17="",B17=""),"",B17-WEEKDAY(B17,2)+1)</f>
        <v/>
      </c>
      <c r="M17" s="5">
        <f>IF(L17="","",L17+6)</f>
        <v/>
      </c>
      <c r="N17" s="6">
        <f>IF(OR(A17="",B17=""),"",DATE(YEAR(B17),MONTH(B17),1))</f>
        <v/>
      </c>
      <c r="O17" s="7">
        <f>IF(COUNTA(A17:K17)=0,"",IF(OR(A17="",B17=""),"Preencher CPF e entrada",IF(COUNTIFS($A$12:$A$5011,A17,$B$12:$B$5011,B17)&gt;1,"CPF + dia duplicado",IF(OR(AND(G17&lt;&gt;"",G17&lt;&gt;0,G17&lt;&gt;1),AND(H17&lt;&gt;"",H17&lt;&gt;0,H17&lt;&gt;1)),"Flags devem ser 0 ou 1",IF(AND(H17=1,LEN(TRIM(I17))=0),"Preencher nome do indicante",IF(AND(H17&lt;&gt;1,I17&lt;&gt;""),"Nome sem indicação interna",IF(AND(G17=1,F17=""),"Fechamento sem conversa",IF(OR(AND(E17&lt;&gt;"",E17&lt;B17),AND(F17&lt;&gt;"",F17&lt;B17)),"Evento anterior à entrada",IF(AND(F17&lt;&gt;"",E17=""),"Conversa sem agendamento",IF(OR(E17&gt;TODAY(),F17&gt;TODAY()),"Verificar evento futuro","OK"))))))))))</f>
        <v/>
      </c>
    </row>
    <row r="18" spans="12:15">
      <c r="L18" s="5">
        <f>IF(OR(A18="",B18=""),"",B18-WEEKDAY(B18,2)+1)</f>
        <v/>
      </c>
      <c r="M18" s="5">
        <f>IF(L18="","",L18+6)</f>
        <v/>
      </c>
      <c r="N18" s="6">
        <f>IF(OR(A18="",B18=""),"",DATE(YEAR(B18),MONTH(B18),1))</f>
        <v/>
      </c>
      <c r="O18" s="7">
        <f>IF(COUNTA(A18:K18)=0,"",IF(OR(A18="",B18=""),"Preencher CPF e entrada",IF(COUNTIFS($A$12:$A$5011,A18,$B$12:$B$5011,B18)&gt;1,"CPF + dia duplicado",IF(OR(AND(G18&lt;&gt;"",G18&lt;&gt;0,G18&lt;&gt;1),AND(H18&lt;&gt;"",H18&lt;&gt;0,H18&lt;&gt;1)),"Flags devem ser 0 ou 1",IF(AND(H18=1,LEN(TRIM(I18))=0),"Preencher nome do indicante",IF(AND(H18&lt;&gt;1,I18&lt;&gt;""),"Nome sem indicação interna",IF(AND(G18=1,F18=""),"Fechamento sem conversa",IF(OR(AND(E18&lt;&gt;"",E18&lt;B18),AND(F18&lt;&gt;"",F18&lt;B18)),"Evento anterior à entrada",IF(AND(F18&lt;&gt;"",E18=""),"Conversa sem agendamento",IF(OR(E18&gt;TODAY(),F18&gt;TODAY()),"Verificar evento futuro","OK"))))))))))</f>
        <v/>
      </c>
    </row>
    <row r="19" spans="12:15">
      <c r="L19" s="5">
        <f>IF(OR(A19="",B19=""),"",B19-WEEKDAY(B19,2)+1)</f>
        <v/>
      </c>
      <c r="M19" s="5">
        <f>IF(L19="","",L19+6)</f>
        <v/>
      </c>
      <c r="N19" s="6">
        <f>IF(OR(A19="",B19=""),"",DATE(YEAR(B19),MONTH(B19),1))</f>
        <v/>
      </c>
      <c r="O19" s="7">
        <f>IF(COUNTA(A19:K19)=0,"",IF(OR(A19="",B19=""),"Preencher CPF e entrada",IF(COUNTIFS($A$12:$A$5011,A19,$B$12:$B$5011,B19)&gt;1,"CPF + dia duplicado",IF(OR(AND(G19&lt;&gt;"",G19&lt;&gt;0,G19&lt;&gt;1),AND(H19&lt;&gt;"",H19&lt;&gt;0,H19&lt;&gt;1)),"Flags devem ser 0 ou 1",IF(AND(H19=1,LEN(TRIM(I19))=0),"Preencher nome do indicante",IF(AND(H19&lt;&gt;1,I19&lt;&gt;""),"Nome sem indicação interna",IF(AND(G19=1,F19=""),"Fechamento sem conversa",IF(OR(AND(E19&lt;&gt;"",E19&lt;B19),AND(F19&lt;&gt;"",F19&lt;B19)),"Evento anterior à entrada",IF(AND(F19&lt;&gt;"",E19=""),"Conversa sem agendamento",IF(OR(E19&gt;TODAY(),F19&gt;TODAY()),"Verificar evento futuro","OK"))))))))))</f>
        <v/>
      </c>
    </row>
    <row r="20" spans="12:15">
      <c r="L20" s="5">
        <f>IF(OR(A20="",B20=""),"",B20-WEEKDAY(B20,2)+1)</f>
        <v/>
      </c>
      <c r="M20" s="5">
        <f>IF(L20="","",L20+6)</f>
        <v/>
      </c>
      <c r="N20" s="6">
        <f>IF(OR(A20="",B20=""),"",DATE(YEAR(B20),MONTH(B20),1))</f>
        <v/>
      </c>
      <c r="O20" s="7">
        <f>IF(COUNTA(A20:K20)=0,"",IF(OR(A20="",B20=""),"Preencher CPF e entrada",IF(COUNTIFS($A$12:$A$5011,A20,$B$12:$B$5011,B20)&gt;1,"CPF + dia duplicado",IF(OR(AND(G20&lt;&gt;"",G20&lt;&gt;0,G20&lt;&gt;1),AND(H20&lt;&gt;"",H20&lt;&gt;0,H20&lt;&gt;1)),"Flags devem ser 0 ou 1",IF(AND(H20=1,LEN(TRIM(I20))=0),"Preencher nome do indicante",IF(AND(H20&lt;&gt;1,I20&lt;&gt;""),"Nome sem indicação interna",IF(AND(G20=1,F20=""),"Fechamento sem conversa",IF(OR(AND(E20&lt;&gt;"",E20&lt;B20),AND(F20&lt;&gt;"",F20&lt;B20)),"Evento anterior à entrada",IF(AND(F20&lt;&gt;"",E20=""),"Conversa sem agendamento",IF(OR(E20&gt;TODAY(),F20&gt;TODAY()),"Verificar evento futuro","OK"))))))))))</f>
        <v/>
      </c>
    </row>
    <row r="21" spans="12:15">
      <c r="L21" s="5">
        <f>IF(OR(A21="",B21=""),"",B21-WEEKDAY(B21,2)+1)</f>
        <v/>
      </c>
      <c r="M21" s="5">
        <f>IF(L21="","",L21+6)</f>
        <v/>
      </c>
      <c r="N21" s="6">
        <f>IF(OR(A21="",B21=""),"",DATE(YEAR(B21),MONTH(B21),1))</f>
        <v/>
      </c>
      <c r="O21" s="7">
        <f>IF(COUNTA(A21:K21)=0,"",IF(OR(A21="",B21=""),"Preencher CPF e entrada",IF(COUNTIFS($A$12:$A$5011,A21,$B$12:$B$5011,B21)&gt;1,"CPF + dia duplicado",IF(OR(AND(G21&lt;&gt;"",G21&lt;&gt;0,G21&lt;&gt;1),AND(H21&lt;&gt;"",H21&lt;&gt;0,H21&lt;&gt;1)),"Flags devem ser 0 ou 1",IF(AND(H21=1,LEN(TRIM(I21))=0),"Preencher nome do indicante",IF(AND(H21&lt;&gt;1,I21&lt;&gt;""),"Nome sem indicação interna",IF(AND(G21=1,F21=""),"Fechamento sem conversa",IF(OR(AND(E21&lt;&gt;"",E21&lt;B21),AND(F21&lt;&gt;"",F21&lt;B21)),"Evento anterior à entrada",IF(AND(F21&lt;&gt;"",E21=""),"Conversa sem agendamento",IF(OR(E21&gt;TODAY(),F21&gt;TODAY()),"Verificar evento futuro","OK"))))))))))</f>
        <v/>
      </c>
    </row>
    <row r="22" spans="12:15">
      <c r="L22" s="5">
        <f>IF(OR(A22="",B22=""),"",B22-WEEKDAY(B22,2)+1)</f>
        <v/>
      </c>
      <c r="M22" s="5">
        <f>IF(L22="","",L22+6)</f>
        <v/>
      </c>
      <c r="N22" s="6">
        <f>IF(OR(A22="",B22=""),"",DATE(YEAR(B22),MONTH(B22),1))</f>
        <v/>
      </c>
      <c r="O22" s="7">
        <f>IF(COUNTA(A22:K22)=0,"",IF(OR(A22="",B22=""),"Preencher CPF e entrada",IF(COUNTIFS($A$12:$A$5011,A22,$B$12:$B$5011,B22)&gt;1,"CPF + dia duplicado",IF(OR(AND(G22&lt;&gt;"",G22&lt;&gt;0,G22&lt;&gt;1),AND(H22&lt;&gt;"",H22&lt;&gt;0,H22&lt;&gt;1)),"Flags devem ser 0 ou 1",IF(AND(H22=1,LEN(TRIM(I22))=0),"Preencher nome do indicante",IF(AND(H22&lt;&gt;1,I22&lt;&gt;""),"Nome sem indicação interna",IF(AND(G22=1,F22=""),"Fechamento sem conversa",IF(OR(AND(E22&lt;&gt;"",E22&lt;B22),AND(F22&lt;&gt;"",F22&lt;B22)),"Evento anterior à entrada",IF(AND(F22&lt;&gt;"",E22=""),"Conversa sem agendamento",IF(OR(E22&gt;TODAY(),F22&gt;TODAY()),"Verificar evento futuro","OK"))))))))))</f>
        <v/>
      </c>
    </row>
    <row r="23" spans="12:15">
      <c r="L23" s="5">
        <f>IF(OR(A23="",B23=""),"",B23-WEEKDAY(B23,2)+1)</f>
        <v/>
      </c>
      <c r="M23" s="5">
        <f>IF(L23="","",L23+6)</f>
        <v/>
      </c>
      <c r="N23" s="6">
        <f>IF(OR(A23="",B23=""),"",DATE(YEAR(B23),MONTH(B23),1))</f>
        <v/>
      </c>
      <c r="O23" s="7">
        <f>IF(COUNTA(A23:K23)=0,"",IF(OR(A23="",B23=""),"Preencher CPF e entrada",IF(COUNTIFS($A$12:$A$5011,A23,$B$12:$B$5011,B23)&gt;1,"CPF + dia duplicado",IF(OR(AND(G23&lt;&gt;"",G23&lt;&gt;0,G23&lt;&gt;1),AND(H23&lt;&gt;"",H23&lt;&gt;0,H23&lt;&gt;1)),"Flags devem ser 0 ou 1",IF(AND(H23=1,LEN(TRIM(I23))=0),"Preencher nome do indicante",IF(AND(H23&lt;&gt;1,I23&lt;&gt;""),"Nome sem indicação interna",IF(AND(G23=1,F23=""),"Fechamento sem conversa",IF(OR(AND(E23&lt;&gt;"",E23&lt;B23),AND(F23&lt;&gt;"",F23&lt;B23)),"Evento anterior à entrada",IF(AND(F23&lt;&gt;"",E23=""),"Conversa sem agendamento",IF(OR(E23&gt;TODAY(),F23&gt;TODAY()),"Verificar evento futuro","OK"))))))))))</f>
        <v/>
      </c>
    </row>
    <row r="24" spans="12:15">
      <c r="L24" s="5">
        <f>IF(OR(A24="",B24=""),"",B24-WEEKDAY(B24,2)+1)</f>
        <v/>
      </c>
      <c r="M24" s="5">
        <f>IF(L24="","",L24+6)</f>
        <v/>
      </c>
      <c r="N24" s="6">
        <f>IF(OR(A24="",B24=""),"",DATE(YEAR(B24),MONTH(B24),1))</f>
        <v/>
      </c>
      <c r="O24" s="7">
        <f>IF(COUNTA(A24:K24)=0,"",IF(OR(A24="",B24=""),"Preencher CPF e entrada",IF(COUNTIFS($A$12:$A$5011,A24,$B$12:$B$5011,B24)&gt;1,"CPF + dia duplicado",IF(OR(AND(G24&lt;&gt;"",G24&lt;&gt;0,G24&lt;&gt;1),AND(H24&lt;&gt;"",H24&lt;&gt;0,H24&lt;&gt;1)),"Flags devem ser 0 ou 1",IF(AND(H24=1,LEN(TRIM(I24))=0),"Preencher nome do indicante",IF(AND(H24&lt;&gt;1,I24&lt;&gt;""),"Nome sem indicação interna",IF(AND(G24=1,F24=""),"Fechamento sem conversa",IF(OR(AND(E24&lt;&gt;"",E24&lt;B24),AND(F24&lt;&gt;"",F24&lt;B24)),"Evento anterior à entrada",IF(AND(F24&lt;&gt;"",E24=""),"Conversa sem agendamento",IF(OR(E24&gt;TODAY(),F24&gt;TODAY()),"Verificar evento futuro","OK"))))))))))</f>
        <v/>
      </c>
    </row>
    <row r="25" spans="12:15">
      <c r="L25" s="5">
        <f>IF(OR(A25="",B25=""),"",B25-WEEKDAY(B25,2)+1)</f>
        <v/>
      </c>
      <c r="M25" s="5">
        <f>IF(L25="","",L25+6)</f>
        <v/>
      </c>
      <c r="N25" s="6">
        <f>IF(OR(A25="",B25=""),"",DATE(YEAR(B25),MONTH(B25),1))</f>
        <v/>
      </c>
      <c r="O25" s="7">
        <f>IF(COUNTA(A25:K25)=0,"",IF(OR(A25="",B25=""),"Preencher CPF e entrada",IF(COUNTIFS($A$12:$A$5011,A25,$B$12:$B$5011,B25)&gt;1,"CPF + dia duplicado",IF(OR(AND(G25&lt;&gt;"",G25&lt;&gt;0,G25&lt;&gt;1),AND(H25&lt;&gt;"",H25&lt;&gt;0,H25&lt;&gt;1)),"Flags devem ser 0 ou 1",IF(AND(H25=1,LEN(TRIM(I25))=0),"Preencher nome do indicante",IF(AND(H25&lt;&gt;1,I25&lt;&gt;""),"Nome sem indicação interna",IF(AND(G25=1,F25=""),"Fechamento sem conversa",IF(OR(AND(E25&lt;&gt;"",E25&lt;B25),AND(F25&lt;&gt;"",F25&lt;B25)),"Evento anterior à entrada",IF(AND(F25&lt;&gt;"",E25=""),"Conversa sem agendamento",IF(OR(E25&gt;TODAY(),F25&gt;TODAY()),"Verificar evento futuro","OK"))))))))))</f>
        <v/>
      </c>
    </row>
    <row r="26" spans="12:15">
      <c r="L26" s="5">
        <f>IF(OR(A26="",B26=""),"",B26-WEEKDAY(B26,2)+1)</f>
        <v/>
      </c>
      <c r="M26" s="5">
        <f>IF(L26="","",L26+6)</f>
        <v/>
      </c>
      <c r="N26" s="6">
        <f>IF(OR(A26="",B26=""),"",DATE(YEAR(B26),MONTH(B26),1))</f>
        <v/>
      </c>
      <c r="O26" s="7">
        <f>IF(COUNTA(A26:K26)=0,"",IF(OR(A26="",B26=""),"Preencher CPF e entrada",IF(COUNTIFS($A$12:$A$5011,A26,$B$12:$B$5011,B26)&gt;1,"CPF + dia duplicado",IF(OR(AND(G26&lt;&gt;"",G26&lt;&gt;0,G26&lt;&gt;1),AND(H26&lt;&gt;"",H26&lt;&gt;0,H26&lt;&gt;1)),"Flags devem ser 0 ou 1",IF(AND(H26=1,LEN(TRIM(I26))=0),"Preencher nome do indicante",IF(AND(H26&lt;&gt;1,I26&lt;&gt;""),"Nome sem indicação interna",IF(AND(G26=1,F26=""),"Fechamento sem conversa",IF(OR(AND(E26&lt;&gt;"",E26&lt;B26),AND(F26&lt;&gt;"",F26&lt;B26)),"Evento anterior à entrada",IF(AND(F26&lt;&gt;"",E26=""),"Conversa sem agendamento",IF(OR(E26&gt;TODAY(),F26&gt;TODAY()),"Verificar evento futuro","OK"))))))))))</f>
        <v/>
      </c>
    </row>
    <row r="27" spans="12:15">
      <c r="L27" s="5">
        <f>IF(OR(A27="",B27=""),"",B27-WEEKDAY(B27,2)+1)</f>
        <v/>
      </c>
      <c r="M27" s="5">
        <f>IF(L27="","",L27+6)</f>
        <v/>
      </c>
      <c r="N27" s="6">
        <f>IF(OR(A27="",B27=""),"",DATE(YEAR(B27),MONTH(B27),1))</f>
        <v/>
      </c>
      <c r="O27" s="7">
        <f>IF(COUNTA(A27:K27)=0,"",IF(OR(A27="",B27=""),"Preencher CPF e entrada",IF(COUNTIFS($A$12:$A$5011,A27,$B$12:$B$5011,B27)&gt;1,"CPF + dia duplicado",IF(OR(AND(G27&lt;&gt;"",G27&lt;&gt;0,G27&lt;&gt;1),AND(H27&lt;&gt;"",H27&lt;&gt;0,H27&lt;&gt;1)),"Flags devem ser 0 ou 1",IF(AND(H27=1,LEN(TRIM(I27))=0),"Preencher nome do indicante",IF(AND(H27&lt;&gt;1,I27&lt;&gt;""),"Nome sem indicação interna",IF(AND(G27=1,F27=""),"Fechamento sem conversa",IF(OR(AND(E27&lt;&gt;"",E27&lt;B27),AND(F27&lt;&gt;"",F27&lt;B27)),"Evento anterior à entrada",IF(AND(F27&lt;&gt;"",E27=""),"Conversa sem agendamento",IF(OR(E27&gt;TODAY(),F27&gt;TODAY()),"Verificar evento futuro","OK"))))))))))</f>
        <v/>
      </c>
    </row>
    <row r="28" spans="12:15">
      <c r="L28" s="5">
        <f>IF(OR(A28="",B28=""),"",B28-WEEKDAY(B28,2)+1)</f>
        <v/>
      </c>
      <c r="M28" s="5">
        <f>IF(L28="","",L28+6)</f>
        <v/>
      </c>
      <c r="N28" s="6">
        <f>IF(OR(A28="",B28=""),"",DATE(YEAR(B28),MONTH(B28),1))</f>
        <v/>
      </c>
      <c r="O28" s="7">
        <f>IF(COUNTA(A28:K28)=0,"",IF(OR(A28="",B28=""),"Preencher CPF e entrada",IF(COUNTIFS($A$12:$A$5011,A28,$B$12:$B$5011,B28)&gt;1,"CPF + dia duplicado",IF(OR(AND(G28&lt;&gt;"",G28&lt;&gt;0,G28&lt;&gt;1),AND(H28&lt;&gt;"",H28&lt;&gt;0,H28&lt;&gt;1)),"Flags devem ser 0 ou 1",IF(AND(H28=1,LEN(TRIM(I28))=0),"Preencher nome do indicante",IF(AND(H28&lt;&gt;1,I28&lt;&gt;""),"Nome sem indicação interna",IF(AND(G28=1,F28=""),"Fechamento sem conversa",IF(OR(AND(E28&lt;&gt;"",E28&lt;B28),AND(F28&lt;&gt;"",F28&lt;B28)),"Evento anterior à entrada",IF(AND(F28&lt;&gt;"",E28=""),"Conversa sem agendamento",IF(OR(E28&gt;TODAY(),F28&gt;TODAY()),"Verificar evento futuro","OK"))))))))))</f>
        <v/>
      </c>
    </row>
    <row r="29" spans="12:15">
      <c r="L29" s="5">
        <f>IF(OR(A29="",B29=""),"",B29-WEEKDAY(B29,2)+1)</f>
        <v/>
      </c>
      <c r="M29" s="5">
        <f>IF(L29="","",L29+6)</f>
        <v/>
      </c>
      <c r="N29" s="6">
        <f>IF(OR(A29="",B29=""),"",DATE(YEAR(B29),MONTH(B29),1))</f>
        <v/>
      </c>
      <c r="O29" s="7">
        <f>IF(COUNTA(A29:K29)=0,"",IF(OR(A29="",B29=""),"Preencher CPF e entrada",IF(COUNTIFS($A$12:$A$5011,A29,$B$12:$B$5011,B29)&gt;1,"CPF + dia duplicado",IF(OR(AND(G29&lt;&gt;"",G29&lt;&gt;0,G29&lt;&gt;1),AND(H29&lt;&gt;"",H29&lt;&gt;0,H29&lt;&gt;1)),"Flags devem ser 0 ou 1",IF(AND(H29=1,LEN(TRIM(I29))=0),"Preencher nome do indicante",IF(AND(H29&lt;&gt;1,I29&lt;&gt;""),"Nome sem indicação interna",IF(AND(G29=1,F29=""),"Fechamento sem conversa",IF(OR(AND(E29&lt;&gt;"",E29&lt;B29),AND(F29&lt;&gt;"",F29&lt;B29)),"Evento anterior à entrada",IF(AND(F29&lt;&gt;"",E29=""),"Conversa sem agendamento",IF(OR(E29&gt;TODAY(),F29&gt;TODAY()),"Verificar evento futuro","OK"))))))))))</f>
        <v/>
      </c>
    </row>
    <row r="30" spans="12:15">
      <c r="L30" s="5">
        <f>IF(OR(A30="",B30=""),"",B30-WEEKDAY(B30,2)+1)</f>
        <v/>
      </c>
      <c r="M30" s="5">
        <f>IF(L30="","",L30+6)</f>
        <v/>
      </c>
      <c r="N30" s="6">
        <f>IF(OR(A30="",B30=""),"",DATE(YEAR(B30),MONTH(B30),1))</f>
        <v/>
      </c>
      <c r="O30" s="7">
        <f>IF(COUNTA(A30:K30)=0,"",IF(OR(A30="",B30=""),"Preencher CPF e entrada",IF(COUNTIFS($A$12:$A$5011,A30,$B$12:$B$5011,B30)&gt;1,"CPF + dia duplicado",IF(OR(AND(G30&lt;&gt;"",G30&lt;&gt;0,G30&lt;&gt;1),AND(H30&lt;&gt;"",H30&lt;&gt;0,H30&lt;&gt;1)),"Flags devem ser 0 ou 1",IF(AND(H30=1,LEN(TRIM(I30))=0),"Preencher nome do indicante",IF(AND(H30&lt;&gt;1,I30&lt;&gt;""),"Nome sem indicação interna",IF(AND(G30=1,F30=""),"Fechamento sem conversa",IF(OR(AND(E30&lt;&gt;"",E30&lt;B30),AND(F30&lt;&gt;"",F30&lt;B30)),"Evento anterior à entrada",IF(AND(F30&lt;&gt;"",E30=""),"Conversa sem agendamento",IF(OR(E30&gt;TODAY(),F30&gt;TODAY()),"Verificar evento futuro","OK"))))))))))</f>
        <v/>
      </c>
    </row>
    <row r="31" spans="12:15">
      <c r="L31" s="5">
        <f>IF(OR(A31="",B31=""),"",B31-WEEKDAY(B31,2)+1)</f>
        <v/>
      </c>
      <c r="M31" s="5">
        <f>IF(L31="","",L31+6)</f>
        <v/>
      </c>
      <c r="N31" s="6">
        <f>IF(OR(A31="",B31=""),"",DATE(YEAR(B31),MONTH(B31),1))</f>
        <v/>
      </c>
      <c r="O31" s="7">
        <f>IF(COUNTA(A31:K31)=0,"",IF(OR(A31="",B31=""),"Preencher CPF e entrada",IF(COUNTIFS($A$12:$A$5011,A31,$B$12:$B$5011,B31)&gt;1,"CPF + dia duplicado",IF(OR(AND(G31&lt;&gt;"",G31&lt;&gt;0,G31&lt;&gt;1),AND(H31&lt;&gt;"",H31&lt;&gt;0,H31&lt;&gt;1)),"Flags devem ser 0 ou 1",IF(AND(H31=1,LEN(TRIM(I31))=0),"Preencher nome do indicante",IF(AND(H31&lt;&gt;1,I31&lt;&gt;""),"Nome sem indicação interna",IF(AND(G31=1,F31=""),"Fechamento sem conversa",IF(OR(AND(E31&lt;&gt;"",E31&lt;B31),AND(F31&lt;&gt;"",F31&lt;B31)),"Evento anterior à entrada",IF(AND(F31&lt;&gt;"",E31=""),"Conversa sem agendamento",IF(OR(E31&gt;TODAY(),F31&gt;TODAY()),"Verificar evento futuro","OK"))))))))))</f>
        <v/>
      </c>
    </row>
    <row r="32" spans="12:15">
      <c r="L32" s="5">
        <f>IF(OR(A32="",B32=""),"",B32-WEEKDAY(B32,2)+1)</f>
        <v/>
      </c>
      <c r="M32" s="5">
        <f>IF(L32="","",L32+6)</f>
        <v/>
      </c>
      <c r="N32" s="6">
        <f>IF(OR(A32="",B32=""),"",DATE(YEAR(B32),MONTH(B32),1))</f>
        <v/>
      </c>
      <c r="O32" s="7">
        <f>IF(COUNTA(A32:K32)=0,"",IF(OR(A32="",B32=""),"Preencher CPF e entrada",IF(COUNTIFS($A$12:$A$5011,A32,$B$12:$B$5011,B32)&gt;1,"CPF + dia duplicado",IF(OR(AND(G32&lt;&gt;"",G32&lt;&gt;0,G32&lt;&gt;1),AND(H32&lt;&gt;"",H32&lt;&gt;0,H32&lt;&gt;1)),"Flags devem ser 0 ou 1",IF(AND(H32=1,LEN(TRIM(I32))=0),"Preencher nome do indicante",IF(AND(H32&lt;&gt;1,I32&lt;&gt;""),"Nome sem indicação interna",IF(AND(G32=1,F32=""),"Fechamento sem conversa",IF(OR(AND(E32&lt;&gt;"",E32&lt;B32),AND(F32&lt;&gt;"",F32&lt;B32)),"Evento anterior à entrada",IF(AND(F32&lt;&gt;"",E32=""),"Conversa sem agendamento",IF(OR(E32&gt;TODAY(),F32&gt;TODAY()),"Verificar evento futuro","OK"))))))))))</f>
        <v/>
      </c>
    </row>
    <row r="33" spans="12:15">
      <c r="L33" s="5">
        <f>IF(OR(A33="",B33=""),"",B33-WEEKDAY(B33,2)+1)</f>
        <v/>
      </c>
      <c r="M33" s="5">
        <f>IF(L33="","",L33+6)</f>
        <v/>
      </c>
      <c r="N33" s="6">
        <f>IF(OR(A33="",B33=""),"",DATE(YEAR(B33),MONTH(B33),1))</f>
        <v/>
      </c>
      <c r="O33" s="7">
        <f>IF(COUNTA(A33:K33)=0,"",IF(OR(A33="",B33=""),"Preencher CPF e entrada",IF(COUNTIFS($A$12:$A$5011,A33,$B$12:$B$5011,B33)&gt;1,"CPF + dia duplicado",IF(OR(AND(G33&lt;&gt;"",G33&lt;&gt;0,G33&lt;&gt;1),AND(H33&lt;&gt;"",H33&lt;&gt;0,H33&lt;&gt;1)),"Flags devem ser 0 ou 1",IF(AND(H33=1,LEN(TRIM(I33))=0),"Preencher nome do indicante",IF(AND(H33&lt;&gt;1,I33&lt;&gt;""),"Nome sem indicação interna",IF(AND(G33=1,F33=""),"Fechamento sem conversa",IF(OR(AND(E33&lt;&gt;"",E33&lt;B33),AND(F33&lt;&gt;"",F33&lt;B33)),"Evento anterior à entrada",IF(AND(F33&lt;&gt;"",E33=""),"Conversa sem agendamento",IF(OR(E33&gt;TODAY(),F33&gt;TODAY()),"Verificar evento futuro","OK"))))))))))</f>
        <v/>
      </c>
    </row>
    <row r="34" spans="12:15">
      <c r="L34" s="5">
        <f>IF(OR(A34="",B34=""),"",B34-WEEKDAY(B34,2)+1)</f>
        <v/>
      </c>
      <c r="M34" s="5">
        <f>IF(L34="","",L34+6)</f>
        <v/>
      </c>
      <c r="N34" s="6">
        <f>IF(OR(A34="",B34=""),"",DATE(YEAR(B34),MONTH(B34),1))</f>
        <v/>
      </c>
      <c r="O34" s="7">
        <f>IF(COUNTA(A34:K34)=0,"",IF(OR(A34="",B34=""),"Preencher CPF e entrada",IF(COUNTIFS($A$12:$A$5011,A34,$B$12:$B$5011,B34)&gt;1,"CPF + dia duplicado",IF(OR(AND(G34&lt;&gt;"",G34&lt;&gt;0,G34&lt;&gt;1),AND(H34&lt;&gt;"",H34&lt;&gt;0,H34&lt;&gt;1)),"Flags devem ser 0 ou 1",IF(AND(H34=1,LEN(TRIM(I34))=0),"Preencher nome do indicante",IF(AND(H34&lt;&gt;1,I34&lt;&gt;""),"Nome sem indicação interna",IF(AND(G34=1,F34=""),"Fechamento sem conversa",IF(OR(AND(E34&lt;&gt;"",E34&lt;B34),AND(F34&lt;&gt;"",F34&lt;B34)),"Evento anterior à entrada",IF(AND(F34&lt;&gt;"",E34=""),"Conversa sem agendamento",IF(OR(E34&gt;TODAY(),F34&gt;TODAY()),"Verificar evento futuro","OK"))))))))))</f>
        <v/>
      </c>
    </row>
    <row r="35" spans="12:15">
      <c r="L35" s="5">
        <f>IF(OR(A35="",B35=""),"",B35-WEEKDAY(B35,2)+1)</f>
        <v/>
      </c>
      <c r="M35" s="5">
        <f>IF(L35="","",L35+6)</f>
        <v/>
      </c>
      <c r="N35" s="6">
        <f>IF(OR(A35="",B35=""),"",DATE(YEAR(B35),MONTH(B35),1))</f>
        <v/>
      </c>
      <c r="O35" s="7">
        <f>IF(COUNTA(A35:K35)=0,"",IF(OR(A35="",B35=""),"Preencher CPF e entrada",IF(COUNTIFS($A$12:$A$5011,A35,$B$12:$B$5011,B35)&gt;1,"CPF + dia duplicado",IF(OR(AND(G35&lt;&gt;"",G35&lt;&gt;0,G35&lt;&gt;1),AND(H35&lt;&gt;"",H35&lt;&gt;0,H35&lt;&gt;1)),"Flags devem ser 0 ou 1",IF(AND(H35=1,LEN(TRIM(I35))=0),"Preencher nome do indicante",IF(AND(H35&lt;&gt;1,I35&lt;&gt;""),"Nome sem indicação interna",IF(AND(G35=1,F35=""),"Fechamento sem conversa",IF(OR(AND(E35&lt;&gt;"",E35&lt;B35),AND(F35&lt;&gt;"",F35&lt;B35)),"Evento anterior à entrada",IF(AND(F35&lt;&gt;"",E35=""),"Conversa sem agendamento",IF(OR(E35&gt;TODAY(),F35&gt;TODAY()),"Verificar evento futuro","OK"))))))))))</f>
        <v/>
      </c>
    </row>
    <row r="36" spans="12:15">
      <c r="L36" s="5">
        <f>IF(OR(A36="",B36=""),"",B36-WEEKDAY(B36,2)+1)</f>
        <v/>
      </c>
      <c r="M36" s="5">
        <f>IF(L36="","",L36+6)</f>
        <v/>
      </c>
      <c r="N36" s="6">
        <f>IF(OR(A36="",B36=""),"",DATE(YEAR(B36),MONTH(B36),1))</f>
        <v/>
      </c>
      <c r="O36" s="7">
        <f>IF(COUNTA(A36:K36)=0,"",IF(OR(A36="",B36=""),"Preencher CPF e entrada",IF(COUNTIFS($A$12:$A$5011,A36,$B$12:$B$5011,B36)&gt;1,"CPF + dia duplicado",IF(OR(AND(G36&lt;&gt;"",G36&lt;&gt;0,G36&lt;&gt;1),AND(H36&lt;&gt;"",H36&lt;&gt;0,H36&lt;&gt;1)),"Flags devem ser 0 ou 1",IF(AND(H36=1,LEN(TRIM(I36))=0),"Preencher nome do indicante",IF(AND(H36&lt;&gt;1,I36&lt;&gt;""),"Nome sem indicação interna",IF(AND(G36=1,F36=""),"Fechamento sem conversa",IF(OR(AND(E36&lt;&gt;"",E36&lt;B36),AND(F36&lt;&gt;"",F36&lt;B36)),"Evento anterior à entrada",IF(AND(F36&lt;&gt;"",E36=""),"Conversa sem agendamento",IF(OR(E36&gt;TODAY(),F36&gt;TODAY()),"Verificar evento futuro","OK"))))))))))</f>
        <v/>
      </c>
    </row>
    <row r="37" spans="12:15">
      <c r="L37" s="5">
        <f>IF(OR(A37="",B37=""),"",B37-WEEKDAY(B37,2)+1)</f>
        <v/>
      </c>
      <c r="M37" s="5">
        <f>IF(L37="","",L37+6)</f>
        <v/>
      </c>
      <c r="N37" s="6">
        <f>IF(OR(A37="",B37=""),"",DATE(YEAR(B37),MONTH(B37),1))</f>
        <v/>
      </c>
      <c r="O37" s="7">
        <f>IF(COUNTA(A37:K37)=0,"",IF(OR(A37="",B37=""),"Preencher CPF e entrada",IF(COUNTIFS($A$12:$A$5011,A37,$B$12:$B$5011,B37)&gt;1,"CPF + dia duplicado",IF(OR(AND(G37&lt;&gt;"",G37&lt;&gt;0,G37&lt;&gt;1),AND(H37&lt;&gt;"",H37&lt;&gt;0,H37&lt;&gt;1)),"Flags devem ser 0 ou 1",IF(AND(H37=1,LEN(TRIM(I37))=0),"Preencher nome do indicante",IF(AND(H37&lt;&gt;1,I37&lt;&gt;""),"Nome sem indicação interna",IF(AND(G37=1,F37=""),"Fechamento sem conversa",IF(OR(AND(E37&lt;&gt;"",E37&lt;B37),AND(F37&lt;&gt;"",F37&lt;B37)),"Evento anterior à entrada",IF(AND(F37&lt;&gt;"",E37=""),"Conversa sem agendamento",IF(OR(E37&gt;TODAY(),F37&gt;TODAY()),"Verificar evento futuro","OK"))))))))))</f>
        <v/>
      </c>
    </row>
    <row r="38" spans="12:15">
      <c r="L38" s="5">
        <f>IF(OR(A38="",B38=""),"",B38-WEEKDAY(B38,2)+1)</f>
        <v/>
      </c>
      <c r="M38" s="5">
        <f>IF(L38="","",L38+6)</f>
        <v/>
      </c>
      <c r="N38" s="6">
        <f>IF(OR(A38="",B38=""),"",DATE(YEAR(B38),MONTH(B38),1))</f>
        <v/>
      </c>
      <c r="O38" s="7">
        <f>IF(COUNTA(A38:K38)=0,"",IF(OR(A38="",B38=""),"Preencher CPF e entrada",IF(COUNTIFS($A$12:$A$5011,A38,$B$12:$B$5011,B38)&gt;1,"CPF + dia duplicado",IF(OR(AND(G38&lt;&gt;"",G38&lt;&gt;0,G38&lt;&gt;1),AND(H38&lt;&gt;"",H38&lt;&gt;0,H38&lt;&gt;1)),"Flags devem ser 0 ou 1",IF(AND(H38=1,LEN(TRIM(I38))=0),"Preencher nome do indicante",IF(AND(H38&lt;&gt;1,I38&lt;&gt;""),"Nome sem indicação interna",IF(AND(G38=1,F38=""),"Fechamento sem conversa",IF(OR(AND(E38&lt;&gt;"",E38&lt;B38),AND(F38&lt;&gt;"",F38&lt;B38)),"Evento anterior à entrada",IF(AND(F38&lt;&gt;"",E38=""),"Conversa sem agendamento",IF(OR(E38&gt;TODAY(),F38&gt;TODAY()),"Verificar evento futuro","OK"))))))))))</f>
        <v/>
      </c>
    </row>
    <row r="39" spans="12:15">
      <c r="L39" s="5">
        <f>IF(OR(A39="",B39=""),"",B39-WEEKDAY(B39,2)+1)</f>
        <v/>
      </c>
      <c r="M39" s="5">
        <f>IF(L39="","",L39+6)</f>
        <v/>
      </c>
      <c r="N39" s="6">
        <f>IF(OR(A39="",B39=""),"",DATE(YEAR(B39),MONTH(B39),1))</f>
        <v/>
      </c>
      <c r="O39" s="7">
        <f>IF(COUNTA(A39:K39)=0,"",IF(OR(A39="",B39=""),"Preencher CPF e entrada",IF(COUNTIFS($A$12:$A$5011,A39,$B$12:$B$5011,B39)&gt;1,"CPF + dia duplicado",IF(OR(AND(G39&lt;&gt;"",G39&lt;&gt;0,G39&lt;&gt;1),AND(H39&lt;&gt;"",H39&lt;&gt;0,H39&lt;&gt;1)),"Flags devem ser 0 ou 1",IF(AND(H39=1,LEN(TRIM(I39))=0),"Preencher nome do indicante",IF(AND(H39&lt;&gt;1,I39&lt;&gt;""),"Nome sem indicação interna",IF(AND(G39=1,F39=""),"Fechamento sem conversa",IF(OR(AND(E39&lt;&gt;"",E39&lt;B39),AND(F39&lt;&gt;"",F39&lt;B39)),"Evento anterior à entrada",IF(AND(F39&lt;&gt;"",E39=""),"Conversa sem agendamento",IF(OR(E39&gt;TODAY(),F39&gt;TODAY()),"Verificar evento futuro","OK"))))))))))</f>
        <v/>
      </c>
    </row>
    <row r="40" spans="12:15">
      <c r="L40" s="5">
        <f>IF(OR(A40="",B40=""),"",B40-WEEKDAY(B40,2)+1)</f>
        <v/>
      </c>
      <c r="M40" s="5">
        <f>IF(L40="","",L40+6)</f>
        <v/>
      </c>
      <c r="N40" s="6">
        <f>IF(OR(A40="",B40=""),"",DATE(YEAR(B40),MONTH(B40),1))</f>
        <v/>
      </c>
      <c r="O40" s="7">
        <f>IF(COUNTA(A40:K40)=0,"",IF(OR(A40="",B40=""),"Preencher CPF e entrada",IF(COUNTIFS($A$12:$A$5011,A40,$B$12:$B$5011,B40)&gt;1,"CPF + dia duplicado",IF(OR(AND(G40&lt;&gt;"",G40&lt;&gt;0,G40&lt;&gt;1),AND(H40&lt;&gt;"",H40&lt;&gt;0,H40&lt;&gt;1)),"Flags devem ser 0 ou 1",IF(AND(H40=1,LEN(TRIM(I40))=0),"Preencher nome do indicante",IF(AND(H40&lt;&gt;1,I40&lt;&gt;""),"Nome sem indicação interna",IF(AND(G40=1,F40=""),"Fechamento sem conversa",IF(OR(AND(E40&lt;&gt;"",E40&lt;B40),AND(F40&lt;&gt;"",F40&lt;B40)),"Evento anterior à entrada",IF(AND(F40&lt;&gt;"",E40=""),"Conversa sem agendamento",IF(OR(E40&gt;TODAY(),F40&gt;TODAY()),"Verificar evento futuro","OK"))))))))))</f>
        <v/>
      </c>
    </row>
    <row r="41" spans="12:15">
      <c r="L41" s="5">
        <f>IF(OR(A41="",B41=""),"",B41-WEEKDAY(B41,2)+1)</f>
        <v/>
      </c>
      <c r="M41" s="5">
        <f>IF(L41="","",L41+6)</f>
        <v/>
      </c>
      <c r="N41" s="6">
        <f>IF(OR(A41="",B41=""),"",DATE(YEAR(B41),MONTH(B41),1))</f>
        <v/>
      </c>
      <c r="O41" s="7">
        <f>IF(COUNTA(A41:K41)=0,"",IF(OR(A41="",B41=""),"Preencher CPF e entrada",IF(COUNTIFS($A$12:$A$5011,A41,$B$12:$B$5011,B41)&gt;1,"CPF + dia duplicado",IF(OR(AND(G41&lt;&gt;"",G41&lt;&gt;0,G41&lt;&gt;1),AND(H41&lt;&gt;"",H41&lt;&gt;0,H41&lt;&gt;1)),"Flags devem ser 0 ou 1",IF(AND(H41=1,LEN(TRIM(I41))=0),"Preencher nome do indicante",IF(AND(H41&lt;&gt;1,I41&lt;&gt;""),"Nome sem indicação interna",IF(AND(G41=1,F41=""),"Fechamento sem conversa",IF(OR(AND(E41&lt;&gt;"",E41&lt;B41),AND(F41&lt;&gt;"",F41&lt;B41)),"Evento anterior à entrada",IF(AND(F41&lt;&gt;"",E41=""),"Conversa sem agendamento",IF(OR(E41&gt;TODAY(),F41&gt;TODAY()),"Verificar evento futuro","OK"))))))))))</f>
        <v/>
      </c>
    </row>
    <row r="42" spans="12:15">
      <c r="L42" s="5">
        <f>IF(OR(A42="",B42=""),"",B42-WEEKDAY(B42,2)+1)</f>
        <v/>
      </c>
      <c r="M42" s="5">
        <f>IF(L42="","",L42+6)</f>
        <v/>
      </c>
      <c r="N42" s="6">
        <f>IF(OR(A42="",B42=""),"",DATE(YEAR(B42),MONTH(B42),1))</f>
        <v/>
      </c>
      <c r="O42" s="7">
        <f>IF(COUNTA(A42:K42)=0,"",IF(OR(A42="",B42=""),"Preencher CPF e entrada",IF(COUNTIFS($A$12:$A$5011,A42,$B$12:$B$5011,B42)&gt;1,"CPF + dia duplicado",IF(OR(AND(G42&lt;&gt;"",G42&lt;&gt;0,G42&lt;&gt;1),AND(H42&lt;&gt;"",H42&lt;&gt;0,H42&lt;&gt;1)),"Flags devem ser 0 ou 1",IF(AND(H42=1,LEN(TRIM(I42))=0),"Preencher nome do indicante",IF(AND(H42&lt;&gt;1,I42&lt;&gt;""),"Nome sem indicação interna",IF(AND(G42=1,F42=""),"Fechamento sem conversa",IF(OR(AND(E42&lt;&gt;"",E42&lt;B42),AND(F42&lt;&gt;"",F42&lt;B42)),"Evento anterior à entrada",IF(AND(F42&lt;&gt;"",E42=""),"Conversa sem agendamento",IF(OR(E42&gt;TODAY(),F42&gt;TODAY()),"Verificar evento futuro","OK"))))))))))</f>
        <v/>
      </c>
    </row>
    <row r="43" spans="12:15">
      <c r="L43" s="5">
        <f>IF(OR(A43="",B43=""),"",B43-WEEKDAY(B43,2)+1)</f>
        <v/>
      </c>
      <c r="M43" s="5">
        <f>IF(L43="","",L43+6)</f>
        <v/>
      </c>
      <c r="N43" s="6">
        <f>IF(OR(A43="",B43=""),"",DATE(YEAR(B43),MONTH(B43),1))</f>
        <v/>
      </c>
      <c r="O43" s="7">
        <f>IF(COUNTA(A43:K43)=0,"",IF(OR(A43="",B43=""),"Preencher CPF e entrada",IF(COUNTIFS($A$12:$A$5011,A43,$B$12:$B$5011,B43)&gt;1,"CPF + dia duplicado",IF(OR(AND(G43&lt;&gt;"",G43&lt;&gt;0,G43&lt;&gt;1),AND(H43&lt;&gt;"",H43&lt;&gt;0,H43&lt;&gt;1)),"Flags devem ser 0 ou 1",IF(AND(H43=1,LEN(TRIM(I43))=0),"Preencher nome do indicante",IF(AND(H43&lt;&gt;1,I43&lt;&gt;""),"Nome sem indicação interna",IF(AND(G43=1,F43=""),"Fechamento sem conversa",IF(OR(AND(E43&lt;&gt;"",E43&lt;B43),AND(F43&lt;&gt;"",F43&lt;B43)),"Evento anterior à entrada",IF(AND(F43&lt;&gt;"",E43=""),"Conversa sem agendamento",IF(OR(E43&gt;TODAY(),F43&gt;TODAY()),"Verificar evento futuro","OK"))))))))))</f>
        <v/>
      </c>
    </row>
    <row r="44" spans="12:15">
      <c r="L44" s="5">
        <f>IF(OR(A44="",B44=""),"",B44-WEEKDAY(B44,2)+1)</f>
        <v/>
      </c>
      <c r="M44" s="5">
        <f>IF(L44="","",L44+6)</f>
        <v/>
      </c>
      <c r="N44" s="6">
        <f>IF(OR(A44="",B44=""),"",DATE(YEAR(B44),MONTH(B44),1))</f>
        <v/>
      </c>
      <c r="O44" s="7">
        <f>IF(COUNTA(A44:K44)=0,"",IF(OR(A44="",B44=""),"Preencher CPF e entrada",IF(COUNTIFS($A$12:$A$5011,A44,$B$12:$B$5011,B44)&gt;1,"CPF + dia duplicado",IF(OR(AND(G44&lt;&gt;"",G44&lt;&gt;0,G44&lt;&gt;1),AND(H44&lt;&gt;"",H44&lt;&gt;0,H44&lt;&gt;1)),"Flags devem ser 0 ou 1",IF(AND(H44=1,LEN(TRIM(I44))=0),"Preencher nome do indicante",IF(AND(H44&lt;&gt;1,I44&lt;&gt;""),"Nome sem indicação interna",IF(AND(G44=1,F44=""),"Fechamento sem conversa",IF(OR(AND(E44&lt;&gt;"",E44&lt;B44),AND(F44&lt;&gt;"",F44&lt;B44)),"Evento anterior à entrada",IF(AND(F44&lt;&gt;"",E44=""),"Conversa sem agendamento",IF(OR(E44&gt;TODAY(),F44&gt;TODAY()),"Verificar evento futuro","OK"))))))))))</f>
        <v/>
      </c>
    </row>
    <row r="45" spans="12:15">
      <c r="L45" s="5">
        <f>IF(OR(A45="",B45=""),"",B45-WEEKDAY(B45,2)+1)</f>
        <v/>
      </c>
      <c r="M45" s="5">
        <f>IF(L45="","",L45+6)</f>
        <v/>
      </c>
      <c r="N45" s="6">
        <f>IF(OR(A45="",B45=""),"",DATE(YEAR(B45),MONTH(B45),1))</f>
        <v/>
      </c>
      <c r="O45" s="7">
        <f>IF(COUNTA(A45:K45)=0,"",IF(OR(A45="",B45=""),"Preencher CPF e entrada",IF(COUNTIFS($A$12:$A$5011,A45,$B$12:$B$5011,B45)&gt;1,"CPF + dia duplicado",IF(OR(AND(G45&lt;&gt;"",G45&lt;&gt;0,G45&lt;&gt;1),AND(H45&lt;&gt;"",H45&lt;&gt;0,H45&lt;&gt;1)),"Flags devem ser 0 ou 1",IF(AND(H45=1,LEN(TRIM(I45))=0),"Preencher nome do indicante",IF(AND(H45&lt;&gt;1,I45&lt;&gt;""),"Nome sem indicação interna",IF(AND(G45=1,F45=""),"Fechamento sem conversa",IF(OR(AND(E45&lt;&gt;"",E45&lt;B45),AND(F45&lt;&gt;"",F45&lt;B45)),"Evento anterior à entrada",IF(AND(F45&lt;&gt;"",E45=""),"Conversa sem agendamento",IF(OR(E45&gt;TODAY(),F45&gt;TODAY()),"Verificar evento futuro","OK"))))))))))</f>
        <v/>
      </c>
    </row>
    <row r="46" spans="12:15">
      <c r="L46" s="5">
        <f>IF(OR(A46="",B46=""),"",B46-WEEKDAY(B46,2)+1)</f>
        <v/>
      </c>
      <c r="M46" s="5">
        <f>IF(L46="","",L46+6)</f>
        <v/>
      </c>
      <c r="N46" s="6">
        <f>IF(OR(A46="",B46=""),"",DATE(YEAR(B46),MONTH(B46),1))</f>
        <v/>
      </c>
      <c r="O46" s="7">
        <f>IF(COUNTA(A46:K46)=0,"",IF(OR(A46="",B46=""),"Preencher CPF e entrada",IF(COUNTIFS($A$12:$A$5011,A46,$B$12:$B$5011,B46)&gt;1,"CPF + dia duplicado",IF(OR(AND(G46&lt;&gt;"",G46&lt;&gt;0,G46&lt;&gt;1),AND(H46&lt;&gt;"",H46&lt;&gt;0,H46&lt;&gt;1)),"Flags devem ser 0 ou 1",IF(AND(H46=1,LEN(TRIM(I46))=0),"Preencher nome do indicante",IF(AND(H46&lt;&gt;1,I46&lt;&gt;""),"Nome sem indicação interna",IF(AND(G46=1,F46=""),"Fechamento sem conversa",IF(OR(AND(E46&lt;&gt;"",E46&lt;B46),AND(F46&lt;&gt;"",F46&lt;B46)),"Evento anterior à entrada",IF(AND(F46&lt;&gt;"",E46=""),"Conversa sem agendamento",IF(OR(E46&gt;TODAY(),F46&gt;TODAY()),"Verificar evento futuro","OK"))))))))))</f>
        <v/>
      </c>
    </row>
    <row r="47" spans="12:15">
      <c r="L47" s="5">
        <f>IF(OR(A47="",B47=""),"",B47-WEEKDAY(B47,2)+1)</f>
        <v/>
      </c>
      <c r="M47" s="5">
        <f>IF(L47="","",L47+6)</f>
        <v/>
      </c>
      <c r="N47" s="6">
        <f>IF(OR(A47="",B47=""),"",DATE(YEAR(B47),MONTH(B47),1))</f>
        <v/>
      </c>
      <c r="O47" s="7">
        <f>IF(COUNTA(A47:K47)=0,"",IF(OR(A47="",B47=""),"Preencher CPF e entrada",IF(COUNTIFS($A$12:$A$5011,A47,$B$12:$B$5011,B47)&gt;1,"CPF + dia duplicado",IF(OR(AND(G47&lt;&gt;"",G47&lt;&gt;0,G47&lt;&gt;1),AND(H47&lt;&gt;"",H47&lt;&gt;0,H47&lt;&gt;1)),"Flags devem ser 0 ou 1",IF(AND(H47=1,LEN(TRIM(I47))=0),"Preencher nome do indicante",IF(AND(H47&lt;&gt;1,I47&lt;&gt;""),"Nome sem indicação interna",IF(AND(G47=1,F47=""),"Fechamento sem conversa",IF(OR(AND(E47&lt;&gt;"",E47&lt;B47),AND(F47&lt;&gt;"",F47&lt;B47)),"Evento anterior à entrada",IF(AND(F47&lt;&gt;"",E47=""),"Conversa sem agendamento",IF(OR(E47&gt;TODAY(),F47&gt;TODAY()),"Verificar evento futuro","OK"))))))))))</f>
        <v/>
      </c>
    </row>
    <row r="48" spans="12:15">
      <c r="L48" s="5">
        <f>IF(OR(A48="",B48=""),"",B48-WEEKDAY(B48,2)+1)</f>
        <v/>
      </c>
      <c r="M48" s="5">
        <f>IF(L48="","",L48+6)</f>
        <v/>
      </c>
      <c r="N48" s="6">
        <f>IF(OR(A48="",B48=""),"",DATE(YEAR(B48),MONTH(B48),1))</f>
        <v/>
      </c>
      <c r="O48" s="7">
        <f>IF(COUNTA(A48:K48)=0,"",IF(OR(A48="",B48=""),"Preencher CPF e entrada",IF(COUNTIFS($A$12:$A$5011,A48,$B$12:$B$5011,B48)&gt;1,"CPF + dia duplicado",IF(OR(AND(G48&lt;&gt;"",G48&lt;&gt;0,G48&lt;&gt;1),AND(H48&lt;&gt;"",H48&lt;&gt;0,H48&lt;&gt;1)),"Flags devem ser 0 ou 1",IF(AND(H48=1,LEN(TRIM(I48))=0),"Preencher nome do indicante",IF(AND(H48&lt;&gt;1,I48&lt;&gt;""),"Nome sem indicação interna",IF(AND(G48=1,F48=""),"Fechamento sem conversa",IF(OR(AND(E48&lt;&gt;"",E48&lt;B48),AND(F48&lt;&gt;"",F48&lt;B48)),"Evento anterior à entrada",IF(AND(F48&lt;&gt;"",E48=""),"Conversa sem agendamento",IF(OR(E48&gt;TODAY(),F48&gt;TODAY()),"Verificar evento futuro","OK"))))))))))</f>
        <v/>
      </c>
    </row>
    <row r="49" spans="12:15">
      <c r="L49" s="5">
        <f>IF(OR(A49="",B49=""),"",B49-WEEKDAY(B49,2)+1)</f>
        <v/>
      </c>
      <c r="M49" s="5">
        <f>IF(L49="","",L49+6)</f>
        <v/>
      </c>
      <c r="N49" s="6">
        <f>IF(OR(A49="",B49=""),"",DATE(YEAR(B49),MONTH(B49),1))</f>
        <v/>
      </c>
      <c r="O49" s="7">
        <f>IF(COUNTA(A49:K49)=0,"",IF(OR(A49="",B49=""),"Preencher CPF e entrada",IF(COUNTIFS($A$12:$A$5011,A49,$B$12:$B$5011,B49)&gt;1,"CPF + dia duplicado",IF(OR(AND(G49&lt;&gt;"",G49&lt;&gt;0,G49&lt;&gt;1),AND(H49&lt;&gt;"",H49&lt;&gt;0,H49&lt;&gt;1)),"Flags devem ser 0 ou 1",IF(AND(H49=1,LEN(TRIM(I49))=0),"Preencher nome do indicante",IF(AND(H49&lt;&gt;1,I49&lt;&gt;""),"Nome sem indicação interna",IF(AND(G49=1,F49=""),"Fechamento sem conversa",IF(OR(AND(E49&lt;&gt;"",E49&lt;B49),AND(F49&lt;&gt;"",F49&lt;B49)),"Evento anterior à entrada",IF(AND(F49&lt;&gt;"",E49=""),"Conversa sem agendamento",IF(OR(E49&gt;TODAY(),F49&gt;TODAY()),"Verificar evento futuro","OK"))))))))))</f>
        <v/>
      </c>
    </row>
    <row r="50" spans="12:15">
      <c r="L50" s="5">
        <f>IF(OR(A50="",B50=""),"",B50-WEEKDAY(B50,2)+1)</f>
        <v/>
      </c>
      <c r="M50" s="5">
        <f>IF(L50="","",L50+6)</f>
        <v/>
      </c>
      <c r="N50" s="6">
        <f>IF(OR(A50="",B50=""),"",DATE(YEAR(B50),MONTH(B50),1))</f>
        <v/>
      </c>
      <c r="O50" s="7">
        <f>IF(COUNTA(A50:K50)=0,"",IF(OR(A50="",B50=""),"Preencher CPF e entrada",IF(COUNTIFS($A$12:$A$5011,A50,$B$12:$B$5011,B50)&gt;1,"CPF + dia duplicado",IF(OR(AND(G50&lt;&gt;"",G50&lt;&gt;0,G50&lt;&gt;1),AND(H50&lt;&gt;"",H50&lt;&gt;0,H50&lt;&gt;1)),"Flags devem ser 0 ou 1",IF(AND(H50=1,LEN(TRIM(I50))=0),"Preencher nome do indicante",IF(AND(H50&lt;&gt;1,I50&lt;&gt;""),"Nome sem indicação interna",IF(AND(G50=1,F50=""),"Fechamento sem conversa",IF(OR(AND(E50&lt;&gt;"",E50&lt;B50),AND(F50&lt;&gt;"",F50&lt;B50)),"Evento anterior à entrada",IF(AND(F50&lt;&gt;"",E50=""),"Conversa sem agendamento",IF(OR(E50&gt;TODAY(),F50&gt;TODAY()),"Verificar evento futuro","OK"))))))))))</f>
        <v/>
      </c>
    </row>
    <row r="51" spans="12:15">
      <c r="L51" s="5">
        <f>IF(OR(A51="",B51=""),"",B51-WEEKDAY(B51,2)+1)</f>
        <v/>
      </c>
      <c r="M51" s="5">
        <f>IF(L51="","",L51+6)</f>
        <v/>
      </c>
      <c r="N51" s="6">
        <f>IF(OR(A51="",B51=""),"",DATE(YEAR(B51),MONTH(B51),1))</f>
        <v/>
      </c>
      <c r="O51" s="7">
        <f>IF(COUNTA(A51:K51)=0,"",IF(OR(A51="",B51=""),"Preencher CPF e entrada",IF(COUNTIFS($A$12:$A$5011,A51,$B$12:$B$5011,B51)&gt;1,"CPF + dia duplicado",IF(OR(AND(G51&lt;&gt;"",G51&lt;&gt;0,G51&lt;&gt;1),AND(H51&lt;&gt;"",H51&lt;&gt;0,H51&lt;&gt;1)),"Flags devem ser 0 ou 1",IF(AND(H51=1,LEN(TRIM(I51))=0),"Preencher nome do indicante",IF(AND(H51&lt;&gt;1,I51&lt;&gt;""),"Nome sem indicação interna",IF(AND(G51=1,F51=""),"Fechamento sem conversa",IF(OR(AND(E51&lt;&gt;"",E51&lt;B51),AND(F51&lt;&gt;"",F51&lt;B51)),"Evento anterior à entrada",IF(AND(F51&lt;&gt;"",E51=""),"Conversa sem agendamento",IF(OR(E51&gt;TODAY(),F51&gt;TODAY()),"Verificar evento futuro","OK"))))))))))</f>
        <v/>
      </c>
    </row>
    <row r="52" spans="12:15">
      <c r="L52" s="5">
        <f>IF(OR(A52="",B52=""),"",B52-WEEKDAY(B52,2)+1)</f>
        <v/>
      </c>
      <c r="M52" s="5">
        <f>IF(L52="","",L52+6)</f>
        <v/>
      </c>
      <c r="N52" s="6">
        <f>IF(OR(A52="",B52=""),"",DATE(YEAR(B52),MONTH(B52),1))</f>
        <v/>
      </c>
      <c r="O52" s="7">
        <f>IF(COUNTA(A52:K52)=0,"",IF(OR(A52="",B52=""),"Preencher CPF e entrada",IF(COUNTIFS($A$12:$A$5011,A52,$B$12:$B$5011,B52)&gt;1,"CPF + dia duplicado",IF(OR(AND(G52&lt;&gt;"",G52&lt;&gt;0,G52&lt;&gt;1),AND(H52&lt;&gt;"",H52&lt;&gt;0,H52&lt;&gt;1)),"Flags devem ser 0 ou 1",IF(AND(H52=1,LEN(TRIM(I52))=0),"Preencher nome do indicante",IF(AND(H52&lt;&gt;1,I52&lt;&gt;""),"Nome sem indicação interna",IF(AND(G52=1,F52=""),"Fechamento sem conversa",IF(OR(AND(E52&lt;&gt;"",E52&lt;B52),AND(F52&lt;&gt;"",F52&lt;B52)),"Evento anterior à entrada",IF(AND(F52&lt;&gt;"",E52=""),"Conversa sem agendamento",IF(OR(E52&gt;TODAY(),F52&gt;TODAY()),"Verificar evento futuro","OK"))))))))))</f>
        <v/>
      </c>
    </row>
    <row r="53" spans="12:15">
      <c r="L53" s="5">
        <f>IF(OR(A53="",B53=""),"",B53-WEEKDAY(B53,2)+1)</f>
        <v/>
      </c>
      <c r="M53" s="5">
        <f>IF(L53="","",L53+6)</f>
        <v/>
      </c>
      <c r="N53" s="6">
        <f>IF(OR(A53="",B53=""),"",DATE(YEAR(B53),MONTH(B53),1))</f>
        <v/>
      </c>
      <c r="O53" s="7">
        <f>IF(COUNTA(A53:K53)=0,"",IF(OR(A53="",B53=""),"Preencher CPF e entrada",IF(COUNTIFS($A$12:$A$5011,A53,$B$12:$B$5011,B53)&gt;1,"CPF + dia duplicado",IF(OR(AND(G53&lt;&gt;"",G53&lt;&gt;0,G53&lt;&gt;1),AND(H53&lt;&gt;"",H53&lt;&gt;0,H53&lt;&gt;1)),"Flags devem ser 0 ou 1",IF(AND(H53=1,LEN(TRIM(I53))=0),"Preencher nome do indicante",IF(AND(H53&lt;&gt;1,I53&lt;&gt;""),"Nome sem indicação interna",IF(AND(G53=1,F53=""),"Fechamento sem conversa",IF(OR(AND(E53&lt;&gt;"",E53&lt;B53),AND(F53&lt;&gt;"",F53&lt;B53)),"Evento anterior à entrada",IF(AND(F53&lt;&gt;"",E53=""),"Conversa sem agendamento",IF(OR(E53&gt;TODAY(),F53&gt;TODAY()),"Verificar evento futuro","OK"))))))))))</f>
        <v/>
      </c>
    </row>
    <row r="54" spans="12:15">
      <c r="L54" s="5">
        <f>IF(OR(A54="",B54=""),"",B54-WEEKDAY(B54,2)+1)</f>
        <v/>
      </c>
      <c r="M54" s="5">
        <f>IF(L54="","",L54+6)</f>
        <v/>
      </c>
      <c r="N54" s="6">
        <f>IF(OR(A54="",B54=""),"",DATE(YEAR(B54),MONTH(B54),1))</f>
        <v/>
      </c>
      <c r="O54" s="7">
        <f>IF(COUNTA(A54:K54)=0,"",IF(OR(A54="",B54=""),"Preencher CPF e entrada",IF(COUNTIFS($A$12:$A$5011,A54,$B$12:$B$5011,B54)&gt;1,"CPF + dia duplicado",IF(OR(AND(G54&lt;&gt;"",G54&lt;&gt;0,G54&lt;&gt;1),AND(H54&lt;&gt;"",H54&lt;&gt;0,H54&lt;&gt;1)),"Flags devem ser 0 ou 1",IF(AND(H54=1,LEN(TRIM(I54))=0),"Preencher nome do indicante",IF(AND(H54&lt;&gt;1,I54&lt;&gt;""),"Nome sem indicação interna",IF(AND(G54=1,F54=""),"Fechamento sem conversa",IF(OR(AND(E54&lt;&gt;"",E54&lt;B54),AND(F54&lt;&gt;"",F54&lt;B54)),"Evento anterior à entrada",IF(AND(F54&lt;&gt;"",E54=""),"Conversa sem agendamento",IF(OR(E54&gt;TODAY(),F54&gt;TODAY()),"Verificar evento futuro","OK"))))))))))</f>
        <v/>
      </c>
    </row>
    <row r="55" spans="12:15">
      <c r="L55" s="5">
        <f>IF(OR(A55="",B55=""),"",B55-WEEKDAY(B55,2)+1)</f>
        <v/>
      </c>
      <c r="M55" s="5">
        <f>IF(L55="","",L55+6)</f>
        <v/>
      </c>
      <c r="N55" s="6">
        <f>IF(OR(A55="",B55=""),"",DATE(YEAR(B55),MONTH(B55),1))</f>
        <v/>
      </c>
      <c r="O55" s="7">
        <f>IF(COUNTA(A55:K55)=0,"",IF(OR(A55="",B55=""),"Preencher CPF e entrada",IF(COUNTIFS($A$12:$A$5011,A55,$B$12:$B$5011,B55)&gt;1,"CPF + dia duplicado",IF(OR(AND(G55&lt;&gt;"",G55&lt;&gt;0,G55&lt;&gt;1),AND(H55&lt;&gt;"",H55&lt;&gt;0,H55&lt;&gt;1)),"Flags devem ser 0 ou 1",IF(AND(H55=1,LEN(TRIM(I55))=0),"Preencher nome do indicante",IF(AND(H55&lt;&gt;1,I55&lt;&gt;""),"Nome sem indicação interna",IF(AND(G55=1,F55=""),"Fechamento sem conversa",IF(OR(AND(E55&lt;&gt;"",E55&lt;B55),AND(F55&lt;&gt;"",F55&lt;B55)),"Evento anterior à entrada",IF(AND(F55&lt;&gt;"",E55=""),"Conversa sem agendamento",IF(OR(E55&gt;TODAY(),F55&gt;TODAY()),"Verificar evento futuro","OK"))))))))))</f>
        <v/>
      </c>
    </row>
    <row r="56" spans="12:15">
      <c r="L56" s="5">
        <f>IF(OR(A56="",B56=""),"",B56-WEEKDAY(B56,2)+1)</f>
        <v/>
      </c>
      <c r="M56" s="5">
        <f>IF(L56="","",L56+6)</f>
        <v/>
      </c>
      <c r="N56" s="6">
        <f>IF(OR(A56="",B56=""),"",DATE(YEAR(B56),MONTH(B56),1))</f>
        <v/>
      </c>
      <c r="O56" s="7">
        <f>IF(COUNTA(A56:K56)=0,"",IF(OR(A56="",B56=""),"Preencher CPF e entrada",IF(COUNTIFS($A$12:$A$5011,A56,$B$12:$B$5011,B56)&gt;1,"CPF + dia duplicado",IF(OR(AND(G56&lt;&gt;"",G56&lt;&gt;0,G56&lt;&gt;1),AND(H56&lt;&gt;"",H56&lt;&gt;0,H56&lt;&gt;1)),"Flags devem ser 0 ou 1",IF(AND(H56=1,LEN(TRIM(I56))=0),"Preencher nome do indicante",IF(AND(H56&lt;&gt;1,I56&lt;&gt;""),"Nome sem indicação interna",IF(AND(G56=1,F56=""),"Fechamento sem conversa",IF(OR(AND(E56&lt;&gt;"",E56&lt;B56),AND(F56&lt;&gt;"",F56&lt;B56)),"Evento anterior à entrada",IF(AND(F56&lt;&gt;"",E56=""),"Conversa sem agendamento",IF(OR(E56&gt;TODAY(),F56&gt;TODAY()),"Verificar evento futuro","OK"))))))))))</f>
        <v/>
      </c>
    </row>
    <row r="57" spans="12:15">
      <c r="L57" s="5">
        <f>IF(OR(A57="",B57=""),"",B57-WEEKDAY(B57,2)+1)</f>
        <v/>
      </c>
      <c r="M57" s="5">
        <f>IF(L57="","",L57+6)</f>
        <v/>
      </c>
      <c r="N57" s="6">
        <f>IF(OR(A57="",B57=""),"",DATE(YEAR(B57),MONTH(B57),1))</f>
        <v/>
      </c>
      <c r="O57" s="7">
        <f>IF(COUNTA(A57:K57)=0,"",IF(OR(A57="",B57=""),"Preencher CPF e entrada",IF(COUNTIFS($A$12:$A$5011,A57,$B$12:$B$5011,B57)&gt;1,"CPF + dia duplicado",IF(OR(AND(G57&lt;&gt;"",G57&lt;&gt;0,G57&lt;&gt;1),AND(H57&lt;&gt;"",H57&lt;&gt;0,H57&lt;&gt;1)),"Flags devem ser 0 ou 1",IF(AND(H57=1,LEN(TRIM(I57))=0),"Preencher nome do indicante",IF(AND(H57&lt;&gt;1,I57&lt;&gt;""),"Nome sem indicação interna",IF(AND(G57=1,F57=""),"Fechamento sem conversa",IF(OR(AND(E57&lt;&gt;"",E57&lt;B57),AND(F57&lt;&gt;"",F57&lt;B57)),"Evento anterior à entrada",IF(AND(F57&lt;&gt;"",E57=""),"Conversa sem agendamento",IF(OR(E57&gt;TODAY(),F57&gt;TODAY()),"Verificar evento futuro","OK"))))))))))</f>
        <v/>
      </c>
    </row>
    <row r="58" spans="12:15">
      <c r="L58" s="5">
        <f>IF(OR(A58="",B58=""),"",B58-WEEKDAY(B58,2)+1)</f>
        <v/>
      </c>
      <c r="M58" s="5">
        <f>IF(L58="","",L58+6)</f>
        <v/>
      </c>
      <c r="N58" s="6">
        <f>IF(OR(A58="",B58=""),"",DATE(YEAR(B58),MONTH(B58),1))</f>
        <v/>
      </c>
      <c r="O58" s="7">
        <f>IF(COUNTA(A58:K58)=0,"",IF(OR(A58="",B58=""),"Preencher CPF e entrada",IF(COUNTIFS($A$12:$A$5011,A58,$B$12:$B$5011,B58)&gt;1,"CPF + dia duplicado",IF(OR(AND(G58&lt;&gt;"",G58&lt;&gt;0,G58&lt;&gt;1),AND(H58&lt;&gt;"",H58&lt;&gt;0,H58&lt;&gt;1)),"Flags devem ser 0 ou 1",IF(AND(H58=1,LEN(TRIM(I58))=0),"Preencher nome do indicante",IF(AND(H58&lt;&gt;1,I58&lt;&gt;""),"Nome sem indicação interna",IF(AND(G58=1,F58=""),"Fechamento sem conversa",IF(OR(AND(E58&lt;&gt;"",E58&lt;B58),AND(F58&lt;&gt;"",F58&lt;B58)),"Evento anterior à entrada",IF(AND(F58&lt;&gt;"",E58=""),"Conversa sem agendamento",IF(OR(E58&gt;TODAY(),F58&gt;TODAY()),"Verificar evento futuro","OK"))))))))))</f>
        <v/>
      </c>
    </row>
    <row r="59" spans="12:15">
      <c r="L59" s="5">
        <f>IF(OR(A59="",B59=""),"",B59-WEEKDAY(B59,2)+1)</f>
        <v/>
      </c>
      <c r="M59" s="5">
        <f>IF(L59="","",L59+6)</f>
        <v/>
      </c>
      <c r="N59" s="6">
        <f>IF(OR(A59="",B59=""),"",DATE(YEAR(B59),MONTH(B59),1))</f>
        <v/>
      </c>
      <c r="O59" s="7">
        <f>IF(COUNTA(A59:K59)=0,"",IF(OR(A59="",B59=""),"Preencher CPF e entrada",IF(COUNTIFS($A$12:$A$5011,A59,$B$12:$B$5011,B59)&gt;1,"CPF + dia duplicado",IF(OR(AND(G59&lt;&gt;"",G59&lt;&gt;0,G59&lt;&gt;1),AND(H59&lt;&gt;"",H59&lt;&gt;0,H59&lt;&gt;1)),"Flags devem ser 0 ou 1",IF(AND(H59=1,LEN(TRIM(I59))=0),"Preencher nome do indicante",IF(AND(H59&lt;&gt;1,I59&lt;&gt;""),"Nome sem indicação interna",IF(AND(G59=1,F59=""),"Fechamento sem conversa",IF(OR(AND(E59&lt;&gt;"",E59&lt;B59),AND(F59&lt;&gt;"",F59&lt;B59)),"Evento anterior à entrada",IF(AND(F59&lt;&gt;"",E59=""),"Conversa sem agendamento",IF(OR(E59&gt;TODAY(),F59&gt;TODAY()),"Verificar evento futuro","OK"))))))))))</f>
        <v/>
      </c>
    </row>
    <row r="60" spans="12:15">
      <c r="L60" s="5">
        <f>IF(OR(A60="",B60=""),"",B60-WEEKDAY(B60,2)+1)</f>
        <v/>
      </c>
      <c r="M60" s="5">
        <f>IF(L60="","",L60+6)</f>
        <v/>
      </c>
      <c r="N60" s="6">
        <f>IF(OR(A60="",B60=""),"",DATE(YEAR(B60),MONTH(B60),1))</f>
        <v/>
      </c>
      <c r="O60" s="7">
        <f>IF(COUNTA(A60:K60)=0,"",IF(OR(A60="",B60=""),"Preencher CPF e entrada",IF(COUNTIFS($A$12:$A$5011,A60,$B$12:$B$5011,B60)&gt;1,"CPF + dia duplicado",IF(OR(AND(G60&lt;&gt;"",G60&lt;&gt;0,G60&lt;&gt;1),AND(H60&lt;&gt;"",H60&lt;&gt;0,H60&lt;&gt;1)),"Flags devem ser 0 ou 1",IF(AND(H60=1,LEN(TRIM(I60))=0),"Preencher nome do indicante",IF(AND(H60&lt;&gt;1,I60&lt;&gt;""),"Nome sem indicação interna",IF(AND(G60=1,F60=""),"Fechamento sem conversa",IF(OR(AND(E60&lt;&gt;"",E60&lt;B60),AND(F60&lt;&gt;"",F60&lt;B60)),"Evento anterior à entrada",IF(AND(F60&lt;&gt;"",E60=""),"Conversa sem agendamento",IF(OR(E60&gt;TODAY(),F60&gt;TODAY()),"Verificar evento futuro","OK"))))))))))</f>
        <v/>
      </c>
    </row>
    <row r="61" spans="12:15">
      <c r="L61" s="5">
        <f>IF(OR(A61="",B61=""),"",B61-WEEKDAY(B61,2)+1)</f>
        <v/>
      </c>
      <c r="M61" s="5">
        <f>IF(L61="","",L61+6)</f>
        <v/>
      </c>
      <c r="N61" s="6">
        <f>IF(OR(A61="",B61=""),"",DATE(YEAR(B61),MONTH(B61),1))</f>
        <v/>
      </c>
      <c r="O61" s="7">
        <f>IF(COUNTA(A61:K61)=0,"",IF(OR(A61="",B61=""),"Preencher CPF e entrada",IF(COUNTIFS($A$12:$A$5011,A61,$B$12:$B$5011,B61)&gt;1,"CPF + dia duplicado",IF(OR(AND(G61&lt;&gt;"",G61&lt;&gt;0,G61&lt;&gt;1),AND(H61&lt;&gt;"",H61&lt;&gt;0,H61&lt;&gt;1)),"Flags devem ser 0 ou 1",IF(AND(H61=1,LEN(TRIM(I61))=0),"Preencher nome do indicante",IF(AND(H61&lt;&gt;1,I61&lt;&gt;""),"Nome sem indicação interna",IF(AND(G61=1,F61=""),"Fechamento sem conversa",IF(OR(AND(E61&lt;&gt;"",E61&lt;B61),AND(F61&lt;&gt;"",F61&lt;B61)),"Evento anterior à entrada",IF(AND(F61&lt;&gt;"",E61=""),"Conversa sem agendamento",IF(OR(E61&gt;TODAY(),F61&gt;TODAY()),"Verificar evento futuro","OK"))))))))))</f>
        <v/>
      </c>
    </row>
    <row r="62" spans="12:15">
      <c r="L62" s="5">
        <f>IF(OR(A62="",B62=""),"",B62-WEEKDAY(B62,2)+1)</f>
        <v/>
      </c>
      <c r="M62" s="5">
        <f>IF(L62="","",L62+6)</f>
        <v/>
      </c>
      <c r="N62" s="6">
        <f>IF(OR(A62="",B62=""),"",DATE(YEAR(B62),MONTH(B62),1))</f>
        <v/>
      </c>
      <c r="O62" s="7">
        <f>IF(COUNTA(A62:K62)=0,"",IF(OR(A62="",B62=""),"Preencher CPF e entrada",IF(COUNTIFS($A$12:$A$5011,A62,$B$12:$B$5011,B62)&gt;1,"CPF + dia duplicado",IF(OR(AND(G62&lt;&gt;"",G62&lt;&gt;0,G62&lt;&gt;1),AND(H62&lt;&gt;"",H62&lt;&gt;0,H62&lt;&gt;1)),"Flags devem ser 0 ou 1",IF(AND(H62=1,LEN(TRIM(I62))=0),"Preencher nome do indicante",IF(AND(H62&lt;&gt;1,I62&lt;&gt;""),"Nome sem indicação interna",IF(AND(G62=1,F62=""),"Fechamento sem conversa",IF(OR(AND(E62&lt;&gt;"",E62&lt;B62),AND(F62&lt;&gt;"",F62&lt;B62)),"Evento anterior à entrada",IF(AND(F62&lt;&gt;"",E62=""),"Conversa sem agendamento",IF(OR(E62&gt;TODAY(),F62&gt;TODAY()),"Verificar evento futuro","OK"))))))))))</f>
        <v/>
      </c>
    </row>
    <row r="63" spans="12:15">
      <c r="L63" s="5">
        <f>IF(OR(A63="",B63=""),"",B63-WEEKDAY(B63,2)+1)</f>
        <v/>
      </c>
      <c r="M63" s="5">
        <f>IF(L63="","",L63+6)</f>
        <v/>
      </c>
      <c r="N63" s="6">
        <f>IF(OR(A63="",B63=""),"",DATE(YEAR(B63),MONTH(B63),1))</f>
        <v/>
      </c>
      <c r="O63" s="7">
        <f>IF(COUNTA(A63:K63)=0,"",IF(OR(A63="",B63=""),"Preencher CPF e entrada",IF(COUNTIFS($A$12:$A$5011,A63,$B$12:$B$5011,B63)&gt;1,"CPF + dia duplicado",IF(OR(AND(G63&lt;&gt;"",G63&lt;&gt;0,G63&lt;&gt;1),AND(H63&lt;&gt;"",H63&lt;&gt;0,H63&lt;&gt;1)),"Flags devem ser 0 ou 1",IF(AND(H63=1,LEN(TRIM(I63))=0),"Preencher nome do indicante",IF(AND(H63&lt;&gt;1,I63&lt;&gt;""),"Nome sem indicação interna",IF(AND(G63=1,F63=""),"Fechamento sem conversa",IF(OR(AND(E63&lt;&gt;"",E63&lt;B63),AND(F63&lt;&gt;"",F63&lt;B63)),"Evento anterior à entrada",IF(AND(F63&lt;&gt;"",E63=""),"Conversa sem agendamento",IF(OR(E63&gt;TODAY(),F63&gt;TODAY()),"Verificar evento futuro","OK"))))))))))</f>
        <v/>
      </c>
    </row>
    <row r="64" spans="12:15">
      <c r="L64" s="5">
        <f>IF(OR(A64="",B64=""),"",B64-WEEKDAY(B64,2)+1)</f>
        <v/>
      </c>
      <c r="M64" s="5">
        <f>IF(L64="","",L64+6)</f>
        <v/>
      </c>
      <c r="N64" s="6">
        <f>IF(OR(A64="",B64=""),"",DATE(YEAR(B64),MONTH(B64),1))</f>
        <v/>
      </c>
      <c r="O64" s="7">
        <f>IF(COUNTA(A64:K64)=0,"",IF(OR(A64="",B64=""),"Preencher CPF e entrada",IF(COUNTIFS($A$12:$A$5011,A64,$B$12:$B$5011,B64)&gt;1,"CPF + dia duplicado",IF(OR(AND(G64&lt;&gt;"",G64&lt;&gt;0,G64&lt;&gt;1),AND(H64&lt;&gt;"",H64&lt;&gt;0,H64&lt;&gt;1)),"Flags devem ser 0 ou 1",IF(AND(H64=1,LEN(TRIM(I64))=0),"Preencher nome do indicante",IF(AND(H64&lt;&gt;1,I64&lt;&gt;""),"Nome sem indicação interna",IF(AND(G64=1,F64=""),"Fechamento sem conversa",IF(OR(AND(E64&lt;&gt;"",E64&lt;B64),AND(F64&lt;&gt;"",F64&lt;B64)),"Evento anterior à entrada",IF(AND(F64&lt;&gt;"",E64=""),"Conversa sem agendamento",IF(OR(E64&gt;TODAY(),F64&gt;TODAY()),"Verificar evento futuro","OK"))))))))))</f>
        <v/>
      </c>
    </row>
    <row r="65" spans="12:15">
      <c r="L65" s="5">
        <f>IF(OR(A65="",B65=""),"",B65-WEEKDAY(B65,2)+1)</f>
        <v/>
      </c>
      <c r="M65" s="5">
        <f>IF(L65="","",L65+6)</f>
        <v/>
      </c>
      <c r="N65" s="6">
        <f>IF(OR(A65="",B65=""),"",DATE(YEAR(B65),MONTH(B65),1))</f>
        <v/>
      </c>
      <c r="O65" s="7">
        <f>IF(COUNTA(A65:K65)=0,"",IF(OR(A65="",B65=""),"Preencher CPF e entrada",IF(COUNTIFS($A$12:$A$5011,A65,$B$12:$B$5011,B65)&gt;1,"CPF + dia duplicado",IF(OR(AND(G65&lt;&gt;"",G65&lt;&gt;0,G65&lt;&gt;1),AND(H65&lt;&gt;"",H65&lt;&gt;0,H65&lt;&gt;1)),"Flags devem ser 0 ou 1",IF(AND(H65=1,LEN(TRIM(I65))=0),"Preencher nome do indicante",IF(AND(H65&lt;&gt;1,I65&lt;&gt;""),"Nome sem indicação interna",IF(AND(G65=1,F65=""),"Fechamento sem conversa",IF(OR(AND(E65&lt;&gt;"",E65&lt;B65),AND(F65&lt;&gt;"",F65&lt;B65)),"Evento anterior à entrada",IF(AND(F65&lt;&gt;"",E65=""),"Conversa sem agendamento",IF(OR(E65&gt;TODAY(),F65&gt;TODAY()),"Verificar evento futuro","OK"))))))))))</f>
        <v/>
      </c>
    </row>
    <row r="66" spans="12:15">
      <c r="L66" s="5">
        <f>IF(OR(A66="",B66=""),"",B66-WEEKDAY(B66,2)+1)</f>
        <v/>
      </c>
      <c r="M66" s="5">
        <f>IF(L66="","",L66+6)</f>
        <v/>
      </c>
      <c r="N66" s="6">
        <f>IF(OR(A66="",B66=""),"",DATE(YEAR(B66),MONTH(B66),1))</f>
        <v/>
      </c>
      <c r="O66" s="7">
        <f>IF(COUNTA(A66:K66)=0,"",IF(OR(A66="",B66=""),"Preencher CPF e entrada",IF(COUNTIFS($A$12:$A$5011,A66,$B$12:$B$5011,B66)&gt;1,"CPF + dia duplicado",IF(OR(AND(G66&lt;&gt;"",G66&lt;&gt;0,G66&lt;&gt;1),AND(H66&lt;&gt;"",H66&lt;&gt;0,H66&lt;&gt;1)),"Flags devem ser 0 ou 1",IF(AND(H66=1,LEN(TRIM(I66))=0),"Preencher nome do indicante",IF(AND(H66&lt;&gt;1,I66&lt;&gt;""),"Nome sem indicação interna",IF(AND(G66=1,F66=""),"Fechamento sem conversa",IF(OR(AND(E66&lt;&gt;"",E66&lt;B66),AND(F66&lt;&gt;"",F66&lt;B66)),"Evento anterior à entrada",IF(AND(F66&lt;&gt;"",E66=""),"Conversa sem agendamento",IF(OR(E66&gt;TODAY(),F66&gt;TODAY()),"Verificar evento futuro","OK"))))))))))</f>
        <v/>
      </c>
    </row>
    <row r="67" spans="12:15">
      <c r="L67" s="5">
        <f>IF(OR(A67="",B67=""),"",B67-WEEKDAY(B67,2)+1)</f>
        <v/>
      </c>
      <c r="M67" s="5">
        <f>IF(L67="","",L67+6)</f>
        <v/>
      </c>
      <c r="N67" s="6">
        <f>IF(OR(A67="",B67=""),"",DATE(YEAR(B67),MONTH(B67),1))</f>
        <v/>
      </c>
      <c r="O67" s="7">
        <f>IF(COUNTA(A67:K67)=0,"",IF(OR(A67="",B67=""),"Preencher CPF e entrada",IF(COUNTIFS($A$12:$A$5011,A67,$B$12:$B$5011,B67)&gt;1,"CPF + dia duplicado",IF(OR(AND(G67&lt;&gt;"",G67&lt;&gt;0,G67&lt;&gt;1),AND(H67&lt;&gt;"",H67&lt;&gt;0,H67&lt;&gt;1)),"Flags devem ser 0 ou 1",IF(AND(H67=1,LEN(TRIM(I67))=0),"Preencher nome do indicante",IF(AND(H67&lt;&gt;1,I67&lt;&gt;""),"Nome sem indicação interna",IF(AND(G67=1,F67=""),"Fechamento sem conversa",IF(OR(AND(E67&lt;&gt;"",E67&lt;B67),AND(F67&lt;&gt;"",F67&lt;B67)),"Evento anterior à entrada",IF(AND(F67&lt;&gt;"",E67=""),"Conversa sem agendamento",IF(OR(E67&gt;TODAY(),F67&gt;TODAY()),"Verificar evento futuro","OK"))))))))))</f>
        <v/>
      </c>
    </row>
    <row r="68" spans="12:15">
      <c r="L68" s="5">
        <f>IF(OR(A68="",B68=""),"",B68-WEEKDAY(B68,2)+1)</f>
        <v/>
      </c>
      <c r="M68" s="5">
        <f>IF(L68="","",L68+6)</f>
        <v/>
      </c>
      <c r="N68" s="6">
        <f>IF(OR(A68="",B68=""),"",DATE(YEAR(B68),MONTH(B68),1))</f>
        <v/>
      </c>
      <c r="O68" s="7">
        <f>IF(COUNTA(A68:K68)=0,"",IF(OR(A68="",B68=""),"Preencher CPF e entrada",IF(COUNTIFS($A$12:$A$5011,A68,$B$12:$B$5011,B68)&gt;1,"CPF + dia duplicado",IF(OR(AND(G68&lt;&gt;"",G68&lt;&gt;0,G68&lt;&gt;1),AND(H68&lt;&gt;"",H68&lt;&gt;0,H68&lt;&gt;1)),"Flags devem ser 0 ou 1",IF(AND(H68=1,LEN(TRIM(I68))=0),"Preencher nome do indicante",IF(AND(H68&lt;&gt;1,I68&lt;&gt;""),"Nome sem indicação interna",IF(AND(G68=1,F68=""),"Fechamento sem conversa",IF(OR(AND(E68&lt;&gt;"",E68&lt;B68),AND(F68&lt;&gt;"",F68&lt;B68)),"Evento anterior à entrada",IF(AND(F68&lt;&gt;"",E68=""),"Conversa sem agendamento",IF(OR(E68&gt;TODAY(),F68&gt;TODAY()),"Verificar evento futuro","OK"))))))))))</f>
        <v/>
      </c>
    </row>
    <row r="69" spans="12:15">
      <c r="L69" s="5">
        <f>IF(OR(A69="",B69=""),"",B69-WEEKDAY(B69,2)+1)</f>
        <v/>
      </c>
      <c r="M69" s="5">
        <f>IF(L69="","",L69+6)</f>
        <v/>
      </c>
      <c r="N69" s="6">
        <f>IF(OR(A69="",B69=""),"",DATE(YEAR(B69),MONTH(B69),1))</f>
        <v/>
      </c>
      <c r="O69" s="7">
        <f>IF(COUNTA(A69:K69)=0,"",IF(OR(A69="",B69=""),"Preencher CPF e entrada",IF(COUNTIFS($A$12:$A$5011,A69,$B$12:$B$5011,B69)&gt;1,"CPF + dia duplicado",IF(OR(AND(G69&lt;&gt;"",G69&lt;&gt;0,G69&lt;&gt;1),AND(H69&lt;&gt;"",H69&lt;&gt;0,H69&lt;&gt;1)),"Flags devem ser 0 ou 1",IF(AND(H69=1,LEN(TRIM(I69))=0),"Preencher nome do indicante",IF(AND(H69&lt;&gt;1,I69&lt;&gt;""),"Nome sem indicação interna",IF(AND(G69=1,F69=""),"Fechamento sem conversa",IF(OR(AND(E69&lt;&gt;"",E69&lt;B69),AND(F69&lt;&gt;"",F69&lt;B69)),"Evento anterior à entrada",IF(AND(F69&lt;&gt;"",E69=""),"Conversa sem agendamento",IF(OR(E69&gt;TODAY(),F69&gt;TODAY()),"Verificar evento futuro","OK"))))))))))</f>
        <v/>
      </c>
    </row>
    <row r="70" spans="12:15">
      <c r="L70" s="5">
        <f>IF(OR(A70="",B70=""),"",B70-WEEKDAY(B70,2)+1)</f>
        <v/>
      </c>
      <c r="M70" s="5">
        <f>IF(L70="","",L70+6)</f>
        <v/>
      </c>
      <c r="N70" s="6">
        <f>IF(OR(A70="",B70=""),"",DATE(YEAR(B70),MONTH(B70),1))</f>
        <v/>
      </c>
      <c r="O70" s="7">
        <f>IF(COUNTA(A70:K70)=0,"",IF(OR(A70="",B70=""),"Preencher CPF e entrada",IF(COUNTIFS($A$12:$A$5011,A70,$B$12:$B$5011,B70)&gt;1,"CPF + dia duplicado",IF(OR(AND(G70&lt;&gt;"",G70&lt;&gt;0,G70&lt;&gt;1),AND(H70&lt;&gt;"",H70&lt;&gt;0,H70&lt;&gt;1)),"Flags devem ser 0 ou 1",IF(AND(H70=1,LEN(TRIM(I70))=0),"Preencher nome do indicante",IF(AND(H70&lt;&gt;1,I70&lt;&gt;""),"Nome sem indicação interna",IF(AND(G70=1,F70=""),"Fechamento sem conversa",IF(OR(AND(E70&lt;&gt;"",E70&lt;B70),AND(F70&lt;&gt;"",F70&lt;B70)),"Evento anterior à entrada",IF(AND(F70&lt;&gt;"",E70=""),"Conversa sem agendamento",IF(OR(E70&gt;TODAY(),F70&gt;TODAY()),"Verificar evento futuro","OK"))))))))))</f>
        <v/>
      </c>
    </row>
    <row r="71" spans="12:15">
      <c r="L71" s="5">
        <f>IF(OR(A71="",B71=""),"",B71-WEEKDAY(B71,2)+1)</f>
        <v/>
      </c>
      <c r="M71" s="5">
        <f>IF(L71="","",L71+6)</f>
        <v/>
      </c>
      <c r="N71" s="6">
        <f>IF(OR(A71="",B71=""),"",DATE(YEAR(B71),MONTH(B71),1))</f>
        <v/>
      </c>
      <c r="O71" s="7">
        <f>IF(COUNTA(A71:K71)=0,"",IF(OR(A71="",B71=""),"Preencher CPF e entrada",IF(COUNTIFS($A$12:$A$5011,A71,$B$12:$B$5011,B71)&gt;1,"CPF + dia duplicado",IF(OR(AND(G71&lt;&gt;"",G71&lt;&gt;0,G71&lt;&gt;1),AND(H71&lt;&gt;"",H71&lt;&gt;0,H71&lt;&gt;1)),"Flags devem ser 0 ou 1",IF(AND(H71=1,LEN(TRIM(I71))=0),"Preencher nome do indicante",IF(AND(H71&lt;&gt;1,I71&lt;&gt;""),"Nome sem indicação interna",IF(AND(G71=1,F71=""),"Fechamento sem conversa",IF(OR(AND(E71&lt;&gt;"",E71&lt;B71),AND(F71&lt;&gt;"",F71&lt;B71)),"Evento anterior à entrada",IF(AND(F71&lt;&gt;"",E71=""),"Conversa sem agendamento",IF(OR(E71&gt;TODAY(),F71&gt;TODAY()),"Verificar evento futuro","OK"))))))))))</f>
        <v/>
      </c>
    </row>
    <row r="72" spans="12:15">
      <c r="L72" s="5">
        <f>IF(OR(A72="",B72=""),"",B72-WEEKDAY(B72,2)+1)</f>
        <v/>
      </c>
      <c r="M72" s="5">
        <f>IF(L72="","",L72+6)</f>
        <v/>
      </c>
      <c r="N72" s="6">
        <f>IF(OR(A72="",B72=""),"",DATE(YEAR(B72),MONTH(B72),1))</f>
        <v/>
      </c>
      <c r="O72" s="7">
        <f>IF(COUNTA(A72:K72)=0,"",IF(OR(A72="",B72=""),"Preencher CPF e entrada",IF(COUNTIFS($A$12:$A$5011,A72,$B$12:$B$5011,B72)&gt;1,"CPF + dia duplicado",IF(OR(AND(G72&lt;&gt;"",G72&lt;&gt;0,G72&lt;&gt;1),AND(H72&lt;&gt;"",H72&lt;&gt;0,H72&lt;&gt;1)),"Flags devem ser 0 ou 1",IF(AND(H72=1,LEN(TRIM(I72))=0),"Preencher nome do indicante",IF(AND(H72&lt;&gt;1,I72&lt;&gt;""),"Nome sem indicação interna",IF(AND(G72=1,F72=""),"Fechamento sem conversa",IF(OR(AND(E72&lt;&gt;"",E72&lt;B72),AND(F72&lt;&gt;"",F72&lt;B72)),"Evento anterior à entrada",IF(AND(F72&lt;&gt;"",E72=""),"Conversa sem agendamento",IF(OR(E72&gt;TODAY(),F72&gt;TODAY()),"Verificar evento futuro","OK"))))))))))</f>
        <v/>
      </c>
    </row>
    <row r="73" spans="12:15">
      <c r="L73" s="5">
        <f>IF(OR(A73="",B73=""),"",B73-WEEKDAY(B73,2)+1)</f>
        <v/>
      </c>
      <c r="M73" s="5">
        <f>IF(L73="","",L73+6)</f>
        <v/>
      </c>
      <c r="N73" s="6">
        <f>IF(OR(A73="",B73=""),"",DATE(YEAR(B73),MONTH(B73),1))</f>
        <v/>
      </c>
      <c r="O73" s="7">
        <f>IF(COUNTA(A73:K73)=0,"",IF(OR(A73="",B73=""),"Preencher CPF e entrada",IF(COUNTIFS($A$12:$A$5011,A73,$B$12:$B$5011,B73)&gt;1,"CPF + dia duplicado",IF(OR(AND(G73&lt;&gt;"",G73&lt;&gt;0,G73&lt;&gt;1),AND(H73&lt;&gt;"",H73&lt;&gt;0,H73&lt;&gt;1)),"Flags devem ser 0 ou 1",IF(AND(H73=1,LEN(TRIM(I73))=0),"Preencher nome do indicante",IF(AND(H73&lt;&gt;1,I73&lt;&gt;""),"Nome sem indicação interna",IF(AND(G73=1,F73=""),"Fechamento sem conversa",IF(OR(AND(E73&lt;&gt;"",E73&lt;B73),AND(F73&lt;&gt;"",F73&lt;B73)),"Evento anterior à entrada",IF(AND(F73&lt;&gt;"",E73=""),"Conversa sem agendamento",IF(OR(E73&gt;TODAY(),F73&gt;TODAY()),"Verificar evento futuro","OK"))))))))))</f>
        <v/>
      </c>
    </row>
    <row r="74" spans="12:15">
      <c r="L74" s="5">
        <f>IF(OR(A74="",B74=""),"",B74-WEEKDAY(B74,2)+1)</f>
        <v/>
      </c>
      <c r="M74" s="5">
        <f>IF(L74="","",L74+6)</f>
        <v/>
      </c>
      <c r="N74" s="6">
        <f>IF(OR(A74="",B74=""),"",DATE(YEAR(B74),MONTH(B74),1))</f>
        <v/>
      </c>
      <c r="O74" s="7">
        <f>IF(COUNTA(A74:K74)=0,"",IF(OR(A74="",B74=""),"Preencher CPF e entrada",IF(COUNTIFS($A$12:$A$5011,A74,$B$12:$B$5011,B74)&gt;1,"CPF + dia duplicado",IF(OR(AND(G74&lt;&gt;"",G74&lt;&gt;0,G74&lt;&gt;1),AND(H74&lt;&gt;"",H74&lt;&gt;0,H74&lt;&gt;1)),"Flags devem ser 0 ou 1",IF(AND(H74=1,LEN(TRIM(I74))=0),"Preencher nome do indicante",IF(AND(H74&lt;&gt;1,I74&lt;&gt;""),"Nome sem indicação interna",IF(AND(G74=1,F74=""),"Fechamento sem conversa",IF(OR(AND(E74&lt;&gt;"",E74&lt;B74),AND(F74&lt;&gt;"",F74&lt;B74)),"Evento anterior à entrada",IF(AND(F74&lt;&gt;"",E74=""),"Conversa sem agendamento",IF(OR(E74&gt;TODAY(),F74&gt;TODAY()),"Verificar evento futuro","OK"))))))))))</f>
        <v/>
      </c>
    </row>
    <row r="75" spans="12:15">
      <c r="L75" s="5">
        <f>IF(OR(A75="",B75=""),"",B75-WEEKDAY(B75,2)+1)</f>
        <v/>
      </c>
      <c r="M75" s="5">
        <f>IF(L75="","",L75+6)</f>
        <v/>
      </c>
      <c r="N75" s="6">
        <f>IF(OR(A75="",B75=""),"",DATE(YEAR(B75),MONTH(B75),1))</f>
        <v/>
      </c>
      <c r="O75" s="7">
        <f>IF(COUNTA(A75:K75)=0,"",IF(OR(A75="",B75=""),"Preencher CPF e entrada",IF(COUNTIFS($A$12:$A$5011,A75,$B$12:$B$5011,B75)&gt;1,"CPF + dia duplicado",IF(OR(AND(G75&lt;&gt;"",G75&lt;&gt;0,G75&lt;&gt;1),AND(H75&lt;&gt;"",H75&lt;&gt;0,H75&lt;&gt;1)),"Flags devem ser 0 ou 1",IF(AND(H75=1,LEN(TRIM(I75))=0),"Preencher nome do indicante",IF(AND(H75&lt;&gt;1,I75&lt;&gt;""),"Nome sem indicação interna",IF(AND(G75=1,F75=""),"Fechamento sem conversa",IF(OR(AND(E75&lt;&gt;"",E75&lt;B75),AND(F75&lt;&gt;"",F75&lt;B75)),"Evento anterior à entrada",IF(AND(F75&lt;&gt;"",E75=""),"Conversa sem agendamento",IF(OR(E75&gt;TODAY(),F75&gt;TODAY()),"Verificar evento futuro","OK"))))))))))</f>
        <v/>
      </c>
    </row>
    <row r="76" spans="12:15">
      <c r="L76" s="5">
        <f>IF(OR(A76="",B76=""),"",B76-WEEKDAY(B76,2)+1)</f>
        <v/>
      </c>
      <c r="M76" s="5">
        <f>IF(L76="","",L76+6)</f>
        <v/>
      </c>
      <c r="N76" s="6">
        <f>IF(OR(A76="",B76=""),"",DATE(YEAR(B76),MONTH(B76),1))</f>
        <v/>
      </c>
      <c r="O76" s="7">
        <f>IF(COUNTA(A76:K76)=0,"",IF(OR(A76="",B76=""),"Preencher CPF e entrada",IF(COUNTIFS($A$12:$A$5011,A76,$B$12:$B$5011,B76)&gt;1,"CPF + dia duplicado",IF(OR(AND(G76&lt;&gt;"",G76&lt;&gt;0,G76&lt;&gt;1),AND(H76&lt;&gt;"",H76&lt;&gt;0,H76&lt;&gt;1)),"Flags devem ser 0 ou 1",IF(AND(H76=1,LEN(TRIM(I76))=0),"Preencher nome do indicante",IF(AND(H76&lt;&gt;1,I76&lt;&gt;""),"Nome sem indicação interna",IF(AND(G76=1,F76=""),"Fechamento sem conversa",IF(OR(AND(E76&lt;&gt;"",E76&lt;B76),AND(F76&lt;&gt;"",F76&lt;B76)),"Evento anterior à entrada",IF(AND(F76&lt;&gt;"",E76=""),"Conversa sem agendamento",IF(OR(E76&gt;TODAY(),F76&gt;TODAY()),"Verificar evento futuro","OK"))))))))))</f>
        <v/>
      </c>
    </row>
    <row r="77" spans="12:15">
      <c r="L77" s="5">
        <f>IF(OR(A77="",B77=""),"",B77-WEEKDAY(B77,2)+1)</f>
        <v/>
      </c>
      <c r="M77" s="5">
        <f>IF(L77="","",L77+6)</f>
        <v/>
      </c>
      <c r="N77" s="6">
        <f>IF(OR(A77="",B77=""),"",DATE(YEAR(B77),MONTH(B77),1))</f>
        <v/>
      </c>
      <c r="O77" s="7">
        <f>IF(COUNTA(A77:K77)=0,"",IF(OR(A77="",B77=""),"Preencher CPF e entrada",IF(COUNTIFS($A$12:$A$5011,A77,$B$12:$B$5011,B77)&gt;1,"CPF + dia duplicado",IF(OR(AND(G77&lt;&gt;"",G77&lt;&gt;0,G77&lt;&gt;1),AND(H77&lt;&gt;"",H77&lt;&gt;0,H77&lt;&gt;1)),"Flags devem ser 0 ou 1",IF(AND(H77=1,LEN(TRIM(I77))=0),"Preencher nome do indicante",IF(AND(H77&lt;&gt;1,I77&lt;&gt;""),"Nome sem indicação interna",IF(AND(G77=1,F77=""),"Fechamento sem conversa",IF(OR(AND(E77&lt;&gt;"",E77&lt;B77),AND(F77&lt;&gt;"",F77&lt;B77)),"Evento anterior à entrada",IF(AND(F77&lt;&gt;"",E77=""),"Conversa sem agendamento",IF(OR(E77&gt;TODAY(),F77&gt;TODAY()),"Verificar evento futuro","OK"))))))))))</f>
        <v/>
      </c>
    </row>
    <row r="78" spans="12:15">
      <c r="L78" s="5">
        <f>IF(OR(A78="",B78=""),"",B78-WEEKDAY(B78,2)+1)</f>
        <v/>
      </c>
      <c r="M78" s="5">
        <f>IF(L78="","",L78+6)</f>
        <v/>
      </c>
      <c r="N78" s="6">
        <f>IF(OR(A78="",B78=""),"",DATE(YEAR(B78),MONTH(B78),1))</f>
        <v/>
      </c>
      <c r="O78" s="7">
        <f>IF(COUNTA(A78:K78)=0,"",IF(OR(A78="",B78=""),"Preencher CPF e entrada",IF(COUNTIFS($A$12:$A$5011,A78,$B$12:$B$5011,B78)&gt;1,"CPF + dia duplicado",IF(OR(AND(G78&lt;&gt;"",G78&lt;&gt;0,G78&lt;&gt;1),AND(H78&lt;&gt;"",H78&lt;&gt;0,H78&lt;&gt;1)),"Flags devem ser 0 ou 1",IF(AND(H78=1,LEN(TRIM(I78))=0),"Preencher nome do indicante",IF(AND(H78&lt;&gt;1,I78&lt;&gt;""),"Nome sem indicação interna",IF(AND(G78=1,F78=""),"Fechamento sem conversa",IF(OR(AND(E78&lt;&gt;"",E78&lt;B78),AND(F78&lt;&gt;"",F78&lt;B78)),"Evento anterior à entrada",IF(AND(F78&lt;&gt;"",E78=""),"Conversa sem agendamento",IF(OR(E78&gt;TODAY(),F78&gt;TODAY()),"Verificar evento futuro","OK"))))))))))</f>
        <v/>
      </c>
    </row>
    <row r="79" spans="12:15">
      <c r="L79" s="5">
        <f>IF(OR(A79="",B79=""),"",B79-WEEKDAY(B79,2)+1)</f>
        <v/>
      </c>
      <c r="M79" s="5">
        <f>IF(L79="","",L79+6)</f>
        <v/>
      </c>
      <c r="N79" s="6">
        <f>IF(OR(A79="",B79=""),"",DATE(YEAR(B79),MONTH(B79),1))</f>
        <v/>
      </c>
      <c r="O79" s="7">
        <f>IF(COUNTA(A79:K79)=0,"",IF(OR(A79="",B79=""),"Preencher CPF e entrada",IF(COUNTIFS($A$12:$A$5011,A79,$B$12:$B$5011,B79)&gt;1,"CPF + dia duplicado",IF(OR(AND(G79&lt;&gt;"",G79&lt;&gt;0,G79&lt;&gt;1),AND(H79&lt;&gt;"",H79&lt;&gt;0,H79&lt;&gt;1)),"Flags devem ser 0 ou 1",IF(AND(H79=1,LEN(TRIM(I79))=0),"Preencher nome do indicante",IF(AND(H79&lt;&gt;1,I79&lt;&gt;""),"Nome sem indicação interna",IF(AND(G79=1,F79=""),"Fechamento sem conversa",IF(OR(AND(E79&lt;&gt;"",E79&lt;B79),AND(F79&lt;&gt;"",F79&lt;B79)),"Evento anterior à entrada",IF(AND(F79&lt;&gt;"",E79=""),"Conversa sem agendamento",IF(OR(E79&gt;TODAY(),F79&gt;TODAY()),"Verificar evento futuro","OK"))))))))))</f>
        <v/>
      </c>
    </row>
    <row r="80" spans="12:15">
      <c r="L80" s="5">
        <f>IF(OR(A80="",B80=""),"",B80-WEEKDAY(B80,2)+1)</f>
        <v/>
      </c>
      <c r="M80" s="5">
        <f>IF(L80="","",L80+6)</f>
        <v/>
      </c>
      <c r="N80" s="6">
        <f>IF(OR(A80="",B80=""),"",DATE(YEAR(B80),MONTH(B80),1))</f>
        <v/>
      </c>
      <c r="O80" s="7">
        <f>IF(COUNTA(A80:K80)=0,"",IF(OR(A80="",B80=""),"Preencher CPF e entrada",IF(COUNTIFS($A$12:$A$5011,A80,$B$12:$B$5011,B80)&gt;1,"CPF + dia duplicado",IF(OR(AND(G80&lt;&gt;"",G80&lt;&gt;0,G80&lt;&gt;1),AND(H80&lt;&gt;"",H80&lt;&gt;0,H80&lt;&gt;1)),"Flags devem ser 0 ou 1",IF(AND(H80=1,LEN(TRIM(I80))=0),"Preencher nome do indicante",IF(AND(H80&lt;&gt;1,I80&lt;&gt;""),"Nome sem indicação interna",IF(AND(G80=1,F80=""),"Fechamento sem conversa",IF(OR(AND(E80&lt;&gt;"",E80&lt;B80),AND(F80&lt;&gt;"",F80&lt;B80)),"Evento anterior à entrada",IF(AND(F80&lt;&gt;"",E80=""),"Conversa sem agendamento",IF(OR(E80&gt;TODAY(),F80&gt;TODAY()),"Verificar evento futuro","OK"))))))))))</f>
        <v/>
      </c>
    </row>
    <row r="81" spans="12:15">
      <c r="L81" s="5">
        <f>IF(OR(A81="",B81=""),"",B81-WEEKDAY(B81,2)+1)</f>
        <v/>
      </c>
      <c r="M81" s="5">
        <f>IF(L81="","",L81+6)</f>
        <v/>
      </c>
      <c r="N81" s="6">
        <f>IF(OR(A81="",B81=""),"",DATE(YEAR(B81),MONTH(B81),1))</f>
        <v/>
      </c>
      <c r="O81" s="7">
        <f>IF(COUNTA(A81:K81)=0,"",IF(OR(A81="",B81=""),"Preencher CPF e entrada",IF(COUNTIFS($A$12:$A$5011,A81,$B$12:$B$5011,B81)&gt;1,"CPF + dia duplicado",IF(OR(AND(G81&lt;&gt;"",G81&lt;&gt;0,G81&lt;&gt;1),AND(H81&lt;&gt;"",H81&lt;&gt;0,H81&lt;&gt;1)),"Flags devem ser 0 ou 1",IF(AND(H81=1,LEN(TRIM(I81))=0),"Preencher nome do indicante",IF(AND(H81&lt;&gt;1,I81&lt;&gt;""),"Nome sem indicação interna",IF(AND(G81=1,F81=""),"Fechamento sem conversa",IF(OR(AND(E81&lt;&gt;"",E81&lt;B81),AND(F81&lt;&gt;"",F81&lt;B81)),"Evento anterior à entrada",IF(AND(F81&lt;&gt;"",E81=""),"Conversa sem agendamento",IF(OR(E81&gt;TODAY(),F81&gt;TODAY()),"Verificar evento futuro","OK"))))))))))</f>
        <v/>
      </c>
    </row>
    <row r="82" spans="12:15">
      <c r="L82" s="5">
        <f>IF(OR(A82="",B82=""),"",B82-WEEKDAY(B82,2)+1)</f>
        <v/>
      </c>
      <c r="M82" s="5">
        <f>IF(L82="","",L82+6)</f>
        <v/>
      </c>
      <c r="N82" s="6">
        <f>IF(OR(A82="",B82=""),"",DATE(YEAR(B82),MONTH(B82),1))</f>
        <v/>
      </c>
      <c r="O82" s="7">
        <f>IF(COUNTA(A82:K82)=0,"",IF(OR(A82="",B82=""),"Preencher CPF e entrada",IF(COUNTIFS($A$12:$A$5011,A82,$B$12:$B$5011,B82)&gt;1,"CPF + dia duplicado",IF(OR(AND(G82&lt;&gt;"",G82&lt;&gt;0,G82&lt;&gt;1),AND(H82&lt;&gt;"",H82&lt;&gt;0,H82&lt;&gt;1)),"Flags devem ser 0 ou 1",IF(AND(H82=1,LEN(TRIM(I82))=0),"Preencher nome do indicante",IF(AND(H82&lt;&gt;1,I82&lt;&gt;""),"Nome sem indicação interna",IF(AND(G82=1,F82=""),"Fechamento sem conversa",IF(OR(AND(E82&lt;&gt;"",E82&lt;B82),AND(F82&lt;&gt;"",F82&lt;B82)),"Evento anterior à entrada",IF(AND(F82&lt;&gt;"",E82=""),"Conversa sem agendamento",IF(OR(E82&gt;TODAY(),F82&gt;TODAY()),"Verificar evento futuro","OK"))))))))))</f>
        <v/>
      </c>
    </row>
    <row r="83" spans="12:15">
      <c r="L83" s="5">
        <f>IF(OR(A83="",B83=""),"",B83-WEEKDAY(B83,2)+1)</f>
        <v/>
      </c>
      <c r="M83" s="5">
        <f>IF(L83="","",L83+6)</f>
        <v/>
      </c>
      <c r="N83" s="6">
        <f>IF(OR(A83="",B83=""),"",DATE(YEAR(B83),MONTH(B83),1))</f>
        <v/>
      </c>
      <c r="O83" s="7">
        <f>IF(COUNTA(A83:K83)=0,"",IF(OR(A83="",B83=""),"Preencher CPF e entrada",IF(COUNTIFS($A$12:$A$5011,A83,$B$12:$B$5011,B83)&gt;1,"CPF + dia duplicado",IF(OR(AND(G83&lt;&gt;"",G83&lt;&gt;0,G83&lt;&gt;1),AND(H83&lt;&gt;"",H83&lt;&gt;0,H83&lt;&gt;1)),"Flags devem ser 0 ou 1",IF(AND(H83=1,LEN(TRIM(I83))=0),"Preencher nome do indicante",IF(AND(H83&lt;&gt;1,I83&lt;&gt;""),"Nome sem indicação interna",IF(AND(G83=1,F83=""),"Fechamento sem conversa",IF(OR(AND(E83&lt;&gt;"",E83&lt;B83),AND(F83&lt;&gt;"",F83&lt;B83)),"Evento anterior à entrada",IF(AND(F83&lt;&gt;"",E83=""),"Conversa sem agendamento",IF(OR(E83&gt;TODAY(),F83&gt;TODAY()),"Verificar evento futuro","OK"))))))))))</f>
        <v/>
      </c>
    </row>
    <row r="84" spans="12:15">
      <c r="L84" s="5">
        <f>IF(OR(A84="",B84=""),"",B84-WEEKDAY(B84,2)+1)</f>
        <v/>
      </c>
      <c r="M84" s="5">
        <f>IF(L84="","",L84+6)</f>
        <v/>
      </c>
      <c r="N84" s="6">
        <f>IF(OR(A84="",B84=""),"",DATE(YEAR(B84),MONTH(B84),1))</f>
        <v/>
      </c>
      <c r="O84" s="7">
        <f>IF(COUNTA(A84:K84)=0,"",IF(OR(A84="",B84=""),"Preencher CPF e entrada",IF(COUNTIFS($A$12:$A$5011,A84,$B$12:$B$5011,B84)&gt;1,"CPF + dia duplicado",IF(OR(AND(G84&lt;&gt;"",G84&lt;&gt;0,G84&lt;&gt;1),AND(H84&lt;&gt;"",H84&lt;&gt;0,H84&lt;&gt;1)),"Flags devem ser 0 ou 1",IF(AND(H84=1,LEN(TRIM(I84))=0),"Preencher nome do indicante",IF(AND(H84&lt;&gt;1,I84&lt;&gt;""),"Nome sem indicação interna",IF(AND(G84=1,F84=""),"Fechamento sem conversa",IF(OR(AND(E84&lt;&gt;"",E84&lt;B84),AND(F84&lt;&gt;"",F84&lt;B84)),"Evento anterior à entrada",IF(AND(F84&lt;&gt;"",E84=""),"Conversa sem agendamento",IF(OR(E84&gt;TODAY(),F84&gt;TODAY()),"Verificar evento futuro","OK"))))))))))</f>
        <v/>
      </c>
    </row>
    <row r="85" spans="12:15">
      <c r="L85" s="5">
        <f>IF(OR(A85="",B85=""),"",B85-WEEKDAY(B85,2)+1)</f>
        <v/>
      </c>
      <c r="M85" s="5">
        <f>IF(L85="","",L85+6)</f>
        <v/>
      </c>
      <c r="N85" s="6">
        <f>IF(OR(A85="",B85=""),"",DATE(YEAR(B85),MONTH(B85),1))</f>
        <v/>
      </c>
      <c r="O85" s="7">
        <f>IF(COUNTA(A85:K85)=0,"",IF(OR(A85="",B85=""),"Preencher CPF e entrada",IF(COUNTIFS($A$12:$A$5011,A85,$B$12:$B$5011,B85)&gt;1,"CPF + dia duplicado",IF(OR(AND(G85&lt;&gt;"",G85&lt;&gt;0,G85&lt;&gt;1),AND(H85&lt;&gt;"",H85&lt;&gt;0,H85&lt;&gt;1)),"Flags devem ser 0 ou 1",IF(AND(H85=1,LEN(TRIM(I85))=0),"Preencher nome do indicante",IF(AND(H85&lt;&gt;1,I85&lt;&gt;""),"Nome sem indicação interna",IF(AND(G85=1,F85=""),"Fechamento sem conversa",IF(OR(AND(E85&lt;&gt;"",E85&lt;B85),AND(F85&lt;&gt;"",F85&lt;B85)),"Evento anterior à entrada",IF(AND(F85&lt;&gt;"",E85=""),"Conversa sem agendamento",IF(OR(E85&gt;TODAY(),F85&gt;TODAY()),"Verificar evento futuro","OK"))))))))))</f>
        <v/>
      </c>
    </row>
    <row r="86" spans="12:15">
      <c r="L86" s="5">
        <f>IF(OR(A86="",B86=""),"",B86-WEEKDAY(B86,2)+1)</f>
        <v/>
      </c>
      <c r="M86" s="5">
        <f>IF(L86="","",L86+6)</f>
        <v/>
      </c>
      <c r="N86" s="6">
        <f>IF(OR(A86="",B86=""),"",DATE(YEAR(B86),MONTH(B86),1))</f>
        <v/>
      </c>
      <c r="O86" s="7">
        <f>IF(COUNTA(A86:K86)=0,"",IF(OR(A86="",B86=""),"Preencher CPF e entrada",IF(COUNTIFS($A$12:$A$5011,A86,$B$12:$B$5011,B86)&gt;1,"CPF + dia duplicado",IF(OR(AND(G86&lt;&gt;"",G86&lt;&gt;0,G86&lt;&gt;1),AND(H86&lt;&gt;"",H86&lt;&gt;0,H86&lt;&gt;1)),"Flags devem ser 0 ou 1",IF(AND(H86=1,LEN(TRIM(I86))=0),"Preencher nome do indicante",IF(AND(H86&lt;&gt;1,I86&lt;&gt;""),"Nome sem indicação interna",IF(AND(G86=1,F86=""),"Fechamento sem conversa",IF(OR(AND(E86&lt;&gt;"",E86&lt;B86),AND(F86&lt;&gt;"",F86&lt;B86)),"Evento anterior à entrada",IF(AND(F86&lt;&gt;"",E86=""),"Conversa sem agendamento",IF(OR(E86&gt;TODAY(),F86&gt;TODAY()),"Verificar evento futuro","OK"))))))))))</f>
        <v/>
      </c>
    </row>
    <row r="87" spans="12:15">
      <c r="L87" s="5">
        <f>IF(OR(A87="",B87=""),"",B87-WEEKDAY(B87,2)+1)</f>
        <v/>
      </c>
      <c r="M87" s="5">
        <f>IF(L87="","",L87+6)</f>
        <v/>
      </c>
      <c r="N87" s="6">
        <f>IF(OR(A87="",B87=""),"",DATE(YEAR(B87),MONTH(B87),1))</f>
        <v/>
      </c>
      <c r="O87" s="7">
        <f>IF(COUNTA(A87:K87)=0,"",IF(OR(A87="",B87=""),"Preencher CPF e entrada",IF(COUNTIFS($A$12:$A$5011,A87,$B$12:$B$5011,B87)&gt;1,"CPF + dia duplicado",IF(OR(AND(G87&lt;&gt;"",G87&lt;&gt;0,G87&lt;&gt;1),AND(H87&lt;&gt;"",H87&lt;&gt;0,H87&lt;&gt;1)),"Flags devem ser 0 ou 1",IF(AND(H87=1,LEN(TRIM(I87))=0),"Preencher nome do indicante",IF(AND(H87&lt;&gt;1,I87&lt;&gt;""),"Nome sem indicação interna",IF(AND(G87=1,F87=""),"Fechamento sem conversa",IF(OR(AND(E87&lt;&gt;"",E87&lt;B87),AND(F87&lt;&gt;"",F87&lt;B87)),"Evento anterior à entrada",IF(AND(F87&lt;&gt;"",E87=""),"Conversa sem agendamento",IF(OR(E87&gt;TODAY(),F87&gt;TODAY()),"Verificar evento futuro","OK"))))))))))</f>
        <v/>
      </c>
    </row>
    <row r="88" spans="12:15">
      <c r="L88" s="5">
        <f>IF(OR(A88="",B88=""),"",B88-WEEKDAY(B88,2)+1)</f>
        <v/>
      </c>
      <c r="M88" s="5">
        <f>IF(L88="","",L88+6)</f>
        <v/>
      </c>
      <c r="N88" s="6">
        <f>IF(OR(A88="",B88=""),"",DATE(YEAR(B88),MONTH(B88),1))</f>
        <v/>
      </c>
      <c r="O88" s="7">
        <f>IF(COUNTA(A88:K88)=0,"",IF(OR(A88="",B88=""),"Preencher CPF e entrada",IF(COUNTIFS($A$12:$A$5011,A88,$B$12:$B$5011,B88)&gt;1,"CPF + dia duplicado",IF(OR(AND(G88&lt;&gt;"",G88&lt;&gt;0,G88&lt;&gt;1),AND(H88&lt;&gt;"",H88&lt;&gt;0,H88&lt;&gt;1)),"Flags devem ser 0 ou 1",IF(AND(H88=1,LEN(TRIM(I88))=0),"Preencher nome do indicante",IF(AND(H88&lt;&gt;1,I88&lt;&gt;""),"Nome sem indicação interna",IF(AND(G88=1,F88=""),"Fechamento sem conversa",IF(OR(AND(E88&lt;&gt;"",E88&lt;B88),AND(F88&lt;&gt;"",F88&lt;B88)),"Evento anterior à entrada",IF(AND(F88&lt;&gt;"",E88=""),"Conversa sem agendamento",IF(OR(E88&gt;TODAY(),F88&gt;TODAY()),"Verificar evento futuro","OK"))))))))))</f>
        <v/>
      </c>
    </row>
    <row r="89" spans="12:15">
      <c r="L89" s="5">
        <f>IF(OR(A89="",B89=""),"",B89-WEEKDAY(B89,2)+1)</f>
        <v/>
      </c>
      <c r="M89" s="5">
        <f>IF(L89="","",L89+6)</f>
        <v/>
      </c>
      <c r="N89" s="6">
        <f>IF(OR(A89="",B89=""),"",DATE(YEAR(B89),MONTH(B89),1))</f>
        <v/>
      </c>
      <c r="O89" s="7">
        <f>IF(COUNTA(A89:K89)=0,"",IF(OR(A89="",B89=""),"Preencher CPF e entrada",IF(COUNTIFS($A$12:$A$5011,A89,$B$12:$B$5011,B89)&gt;1,"CPF + dia duplicado",IF(OR(AND(G89&lt;&gt;"",G89&lt;&gt;0,G89&lt;&gt;1),AND(H89&lt;&gt;"",H89&lt;&gt;0,H89&lt;&gt;1)),"Flags devem ser 0 ou 1",IF(AND(H89=1,LEN(TRIM(I89))=0),"Preencher nome do indicante",IF(AND(H89&lt;&gt;1,I89&lt;&gt;""),"Nome sem indicação interna",IF(AND(G89=1,F89=""),"Fechamento sem conversa",IF(OR(AND(E89&lt;&gt;"",E89&lt;B89),AND(F89&lt;&gt;"",F89&lt;B89)),"Evento anterior à entrada",IF(AND(F89&lt;&gt;"",E89=""),"Conversa sem agendamento",IF(OR(E89&gt;TODAY(),F89&gt;TODAY()),"Verificar evento futuro","OK"))))))))))</f>
        <v/>
      </c>
    </row>
    <row r="90" spans="12:15">
      <c r="L90" s="5">
        <f>IF(OR(A90="",B90=""),"",B90-WEEKDAY(B90,2)+1)</f>
        <v/>
      </c>
      <c r="M90" s="5">
        <f>IF(L90="","",L90+6)</f>
        <v/>
      </c>
      <c r="N90" s="6">
        <f>IF(OR(A90="",B90=""),"",DATE(YEAR(B90),MONTH(B90),1))</f>
        <v/>
      </c>
      <c r="O90" s="7">
        <f>IF(COUNTA(A90:K90)=0,"",IF(OR(A90="",B90=""),"Preencher CPF e entrada",IF(COUNTIFS($A$12:$A$5011,A90,$B$12:$B$5011,B90)&gt;1,"CPF + dia duplicado",IF(OR(AND(G90&lt;&gt;"",G90&lt;&gt;0,G90&lt;&gt;1),AND(H90&lt;&gt;"",H90&lt;&gt;0,H90&lt;&gt;1)),"Flags devem ser 0 ou 1",IF(AND(H90=1,LEN(TRIM(I90))=0),"Preencher nome do indicante",IF(AND(H90&lt;&gt;1,I90&lt;&gt;""),"Nome sem indicação interna",IF(AND(G90=1,F90=""),"Fechamento sem conversa",IF(OR(AND(E90&lt;&gt;"",E90&lt;B90),AND(F90&lt;&gt;"",F90&lt;B90)),"Evento anterior à entrada",IF(AND(F90&lt;&gt;"",E90=""),"Conversa sem agendamento",IF(OR(E90&gt;TODAY(),F90&gt;TODAY()),"Verificar evento futuro","OK"))))))))))</f>
        <v/>
      </c>
    </row>
    <row r="91" spans="12:15">
      <c r="L91" s="5">
        <f>IF(OR(A91="",B91=""),"",B91-WEEKDAY(B91,2)+1)</f>
        <v/>
      </c>
      <c r="M91" s="5">
        <f>IF(L91="","",L91+6)</f>
        <v/>
      </c>
      <c r="N91" s="6">
        <f>IF(OR(A91="",B91=""),"",DATE(YEAR(B91),MONTH(B91),1))</f>
        <v/>
      </c>
      <c r="O91" s="7">
        <f>IF(COUNTA(A91:K91)=0,"",IF(OR(A91="",B91=""),"Preencher CPF e entrada",IF(COUNTIFS($A$12:$A$5011,A91,$B$12:$B$5011,B91)&gt;1,"CPF + dia duplicado",IF(OR(AND(G91&lt;&gt;"",G91&lt;&gt;0,G91&lt;&gt;1),AND(H91&lt;&gt;"",H91&lt;&gt;0,H91&lt;&gt;1)),"Flags devem ser 0 ou 1",IF(AND(H91=1,LEN(TRIM(I91))=0),"Preencher nome do indicante",IF(AND(H91&lt;&gt;1,I91&lt;&gt;""),"Nome sem indicação interna",IF(AND(G91=1,F91=""),"Fechamento sem conversa",IF(OR(AND(E91&lt;&gt;"",E91&lt;B91),AND(F91&lt;&gt;"",F91&lt;B91)),"Evento anterior à entrada",IF(AND(F91&lt;&gt;"",E91=""),"Conversa sem agendamento",IF(OR(E91&gt;TODAY(),F91&gt;TODAY()),"Verificar evento futuro","OK"))))))))))</f>
        <v/>
      </c>
    </row>
    <row r="92" spans="12:15">
      <c r="L92" s="5">
        <f>IF(OR(A92="",B92=""),"",B92-WEEKDAY(B92,2)+1)</f>
        <v/>
      </c>
      <c r="M92" s="5">
        <f>IF(L92="","",L92+6)</f>
        <v/>
      </c>
      <c r="N92" s="6">
        <f>IF(OR(A92="",B92=""),"",DATE(YEAR(B92),MONTH(B92),1))</f>
        <v/>
      </c>
      <c r="O92" s="7">
        <f>IF(COUNTA(A92:K92)=0,"",IF(OR(A92="",B92=""),"Preencher CPF e entrada",IF(COUNTIFS($A$12:$A$5011,A92,$B$12:$B$5011,B92)&gt;1,"CPF + dia duplicado",IF(OR(AND(G92&lt;&gt;"",G92&lt;&gt;0,G92&lt;&gt;1),AND(H92&lt;&gt;"",H92&lt;&gt;0,H92&lt;&gt;1)),"Flags devem ser 0 ou 1",IF(AND(H92=1,LEN(TRIM(I92))=0),"Preencher nome do indicante",IF(AND(H92&lt;&gt;1,I92&lt;&gt;""),"Nome sem indicação interna",IF(AND(G92=1,F92=""),"Fechamento sem conversa",IF(OR(AND(E92&lt;&gt;"",E92&lt;B92),AND(F92&lt;&gt;"",F92&lt;B92)),"Evento anterior à entrada",IF(AND(F92&lt;&gt;"",E92=""),"Conversa sem agendamento",IF(OR(E92&gt;TODAY(),F92&gt;TODAY()),"Verificar evento futuro","OK"))))))))))</f>
        <v/>
      </c>
    </row>
    <row r="93" spans="12:15">
      <c r="L93" s="5">
        <f>IF(OR(A93="",B93=""),"",B93-WEEKDAY(B93,2)+1)</f>
        <v/>
      </c>
      <c r="M93" s="5">
        <f>IF(L93="","",L93+6)</f>
        <v/>
      </c>
      <c r="N93" s="6">
        <f>IF(OR(A93="",B93=""),"",DATE(YEAR(B93),MONTH(B93),1))</f>
        <v/>
      </c>
      <c r="O93" s="7">
        <f>IF(COUNTA(A93:K93)=0,"",IF(OR(A93="",B93=""),"Preencher CPF e entrada",IF(COUNTIFS($A$12:$A$5011,A93,$B$12:$B$5011,B93)&gt;1,"CPF + dia duplicado",IF(OR(AND(G93&lt;&gt;"",G93&lt;&gt;0,G93&lt;&gt;1),AND(H93&lt;&gt;"",H93&lt;&gt;0,H93&lt;&gt;1)),"Flags devem ser 0 ou 1",IF(AND(H93=1,LEN(TRIM(I93))=0),"Preencher nome do indicante",IF(AND(H93&lt;&gt;1,I93&lt;&gt;""),"Nome sem indicação interna",IF(AND(G93=1,F93=""),"Fechamento sem conversa",IF(OR(AND(E93&lt;&gt;"",E93&lt;B93),AND(F93&lt;&gt;"",F93&lt;B93)),"Evento anterior à entrada",IF(AND(F93&lt;&gt;"",E93=""),"Conversa sem agendamento",IF(OR(E93&gt;TODAY(),F93&gt;TODAY()),"Verificar evento futuro","OK"))))))))))</f>
        <v/>
      </c>
    </row>
    <row r="94" spans="12:15">
      <c r="L94" s="5">
        <f>IF(OR(A94="",B94=""),"",B94-WEEKDAY(B94,2)+1)</f>
        <v/>
      </c>
      <c r="M94" s="5">
        <f>IF(L94="","",L94+6)</f>
        <v/>
      </c>
      <c r="N94" s="6">
        <f>IF(OR(A94="",B94=""),"",DATE(YEAR(B94),MONTH(B94),1))</f>
        <v/>
      </c>
      <c r="O94" s="7">
        <f>IF(COUNTA(A94:K94)=0,"",IF(OR(A94="",B94=""),"Preencher CPF e entrada",IF(COUNTIFS($A$12:$A$5011,A94,$B$12:$B$5011,B94)&gt;1,"CPF + dia duplicado",IF(OR(AND(G94&lt;&gt;"",G94&lt;&gt;0,G94&lt;&gt;1),AND(H94&lt;&gt;"",H94&lt;&gt;0,H94&lt;&gt;1)),"Flags devem ser 0 ou 1",IF(AND(H94=1,LEN(TRIM(I94))=0),"Preencher nome do indicante",IF(AND(H94&lt;&gt;1,I94&lt;&gt;""),"Nome sem indicação interna",IF(AND(G94=1,F94=""),"Fechamento sem conversa",IF(OR(AND(E94&lt;&gt;"",E94&lt;B94),AND(F94&lt;&gt;"",F94&lt;B94)),"Evento anterior à entrada",IF(AND(F94&lt;&gt;"",E94=""),"Conversa sem agendamento",IF(OR(E94&gt;TODAY(),F94&gt;TODAY()),"Verificar evento futuro","OK"))))))))))</f>
        <v/>
      </c>
    </row>
    <row r="95" spans="12:15">
      <c r="L95" s="5">
        <f>IF(OR(A95="",B95=""),"",B95-WEEKDAY(B95,2)+1)</f>
        <v/>
      </c>
      <c r="M95" s="5">
        <f>IF(L95="","",L95+6)</f>
        <v/>
      </c>
      <c r="N95" s="6">
        <f>IF(OR(A95="",B95=""),"",DATE(YEAR(B95),MONTH(B95),1))</f>
        <v/>
      </c>
      <c r="O95" s="7">
        <f>IF(COUNTA(A95:K95)=0,"",IF(OR(A95="",B95=""),"Preencher CPF e entrada",IF(COUNTIFS($A$12:$A$5011,A95,$B$12:$B$5011,B95)&gt;1,"CPF + dia duplicado",IF(OR(AND(G95&lt;&gt;"",G95&lt;&gt;0,G95&lt;&gt;1),AND(H95&lt;&gt;"",H95&lt;&gt;0,H95&lt;&gt;1)),"Flags devem ser 0 ou 1",IF(AND(H95=1,LEN(TRIM(I95))=0),"Preencher nome do indicante",IF(AND(H95&lt;&gt;1,I95&lt;&gt;""),"Nome sem indicação interna",IF(AND(G95=1,F95=""),"Fechamento sem conversa",IF(OR(AND(E95&lt;&gt;"",E95&lt;B95),AND(F95&lt;&gt;"",F95&lt;B95)),"Evento anterior à entrada",IF(AND(F95&lt;&gt;"",E95=""),"Conversa sem agendamento",IF(OR(E95&gt;TODAY(),F95&gt;TODAY()),"Verificar evento futuro","OK"))))))))))</f>
        <v/>
      </c>
    </row>
    <row r="96" spans="12:15">
      <c r="L96" s="5">
        <f>IF(OR(A96="",B96=""),"",B96-WEEKDAY(B96,2)+1)</f>
        <v/>
      </c>
      <c r="M96" s="5">
        <f>IF(L96="","",L96+6)</f>
        <v/>
      </c>
      <c r="N96" s="6">
        <f>IF(OR(A96="",B96=""),"",DATE(YEAR(B96),MONTH(B96),1))</f>
        <v/>
      </c>
      <c r="O96" s="7">
        <f>IF(COUNTA(A96:K96)=0,"",IF(OR(A96="",B96=""),"Preencher CPF e entrada",IF(COUNTIFS($A$12:$A$5011,A96,$B$12:$B$5011,B96)&gt;1,"CPF + dia duplicado",IF(OR(AND(G96&lt;&gt;"",G96&lt;&gt;0,G96&lt;&gt;1),AND(H96&lt;&gt;"",H96&lt;&gt;0,H96&lt;&gt;1)),"Flags devem ser 0 ou 1",IF(AND(H96=1,LEN(TRIM(I96))=0),"Preencher nome do indicante",IF(AND(H96&lt;&gt;1,I96&lt;&gt;""),"Nome sem indicação interna",IF(AND(G96=1,F96=""),"Fechamento sem conversa",IF(OR(AND(E96&lt;&gt;"",E96&lt;B96),AND(F96&lt;&gt;"",F96&lt;B96)),"Evento anterior à entrada",IF(AND(F96&lt;&gt;"",E96=""),"Conversa sem agendamento",IF(OR(E96&gt;TODAY(),F96&gt;TODAY()),"Verificar evento futuro","OK"))))))))))</f>
        <v/>
      </c>
    </row>
    <row r="97" spans="12:15">
      <c r="L97" s="5">
        <f>IF(OR(A97="",B97=""),"",B97-WEEKDAY(B97,2)+1)</f>
        <v/>
      </c>
      <c r="M97" s="5">
        <f>IF(L97="","",L97+6)</f>
        <v/>
      </c>
      <c r="N97" s="6">
        <f>IF(OR(A97="",B97=""),"",DATE(YEAR(B97),MONTH(B97),1))</f>
        <v/>
      </c>
      <c r="O97" s="7">
        <f>IF(COUNTA(A97:K97)=0,"",IF(OR(A97="",B97=""),"Preencher CPF e entrada",IF(COUNTIFS($A$12:$A$5011,A97,$B$12:$B$5011,B97)&gt;1,"CPF + dia duplicado",IF(OR(AND(G97&lt;&gt;"",G97&lt;&gt;0,G97&lt;&gt;1),AND(H97&lt;&gt;"",H97&lt;&gt;0,H97&lt;&gt;1)),"Flags devem ser 0 ou 1",IF(AND(H97=1,LEN(TRIM(I97))=0),"Preencher nome do indicante",IF(AND(H97&lt;&gt;1,I97&lt;&gt;""),"Nome sem indicação interna",IF(AND(G97=1,F97=""),"Fechamento sem conversa",IF(OR(AND(E97&lt;&gt;"",E97&lt;B97),AND(F97&lt;&gt;"",F97&lt;B97)),"Evento anterior à entrada",IF(AND(F97&lt;&gt;"",E97=""),"Conversa sem agendamento",IF(OR(E97&gt;TODAY(),F97&gt;TODAY()),"Verificar evento futuro","OK"))))))))))</f>
        <v/>
      </c>
    </row>
    <row r="98" spans="12:15">
      <c r="L98" s="5">
        <f>IF(OR(A98="",B98=""),"",B98-WEEKDAY(B98,2)+1)</f>
        <v/>
      </c>
      <c r="M98" s="5">
        <f>IF(L98="","",L98+6)</f>
        <v/>
      </c>
      <c r="N98" s="6">
        <f>IF(OR(A98="",B98=""),"",DATE(YEAR(B98),MONTH(B98),1))</f>
        <v/>
      </c>
      <c r="O98" s="7">
        <f>IF(COUNTA(A98:K98)=0,"",IF(OR(A98="",B98=""),"Preencher CPF e entrada",IF(COUNTIFS($A$12:$A$5011,A98,$B$12:$B$5011,B98)&gt;1,"CPF + dia duplicado",IF(OR(AND(G98&lt;&gt;"",G98&lt;&gt;0,G98&lt;&gt;1),AND(H98&lt;&gt;"",H98&lt;&gt;0,H98&lt;&gt;1)),"Flags devem ser 0 ou 1",IF(AND(H98=1,LEN(TRIM(I98))=0),"Preencher nome do indicante",IF(AND(H98&lt;&gt;1,I98&lt;&gt;""),"Nome sem indicação interna",IF(AND(G98=1,F98=""),"Fechamento sem conversa",IF(OR(AND(E98&lt;&gt;"",E98&lt;B98),AND(F98&lt;&gt;"",F98&lt;B98)),"Evento anterior à entrada",IF(AND(F98&lt;&gt;"",E98=""),"Conversa sem agendamento",IF(OR(E98&gt;TODAY(),F98&gt;TODAY()),"Verificar evento futuro","OK"))))))))))</f>
        <v/>
      </c>
    </row>
    <row r="99" spans="12:15">
      <c r="L99" s="5">
        <f>IF(OR(A99="",B99=""),"",B99-WEEKDAY(B99,2)+1)</f>
        <v/>
      </c>
      <c r="M99" s="5">
        <f>IF(L99="","",L99+6)</f>
        <v/>
      </c>
      <c r="N99" s="6">
        <f>IF(OR(A99="",B99=""),"",DATE(YEAR(B99),MONTH(B99),1))</f>
        <v/>
      </c>
      <c r="O99" s="7">
        <f>IF(COUNTA(A99:K99)=0,"",IF(OR(A99="",B99=""),"Preencher CPF e entrada",IF(COUNTIFS($A$12:$A$5011,A99,$B$12:$B$5011,B99)&gt;1,"CPF + dia duplicado",IF(OR(AND(G99&lt;&gt;"",G99&lt;&gt;0,G99&lt;&gt;1),AND(H99&lt;&gt;"",H99&lt;&gt;0,H99&lt;&gt;1)),"Flags devem ser 0 ou 1",IF(AND(H99=1,LEN(TRIM(I99))=0),"Preencher nome do indicante",IF(AND(H99&lt;&gt;1,I99&lt;&gt;""),"Nome sem indicação interna",IF(AND(G99=1,F99=""),"Fechamento sem conversa",IF(OR(AND(E99&lt;&gt;"",E99&lt;B99),AND(F99&lt;&gt;"",F99&lt;B99)),"Evento anterior à entrada",IF(AND(F99&lt;&gt;"",E99=""),"Conversa sem agendamento",IF(OR(E99&gt;TODAY(),F99&gt;TODAY()),"Verificar evento futuro","OK"))))))))))</f>
        <v/>
      </c>
    </row>
    <row r="100" spans="12:15">
      <c r="L100" s="5">
        <f>IF(OR(A100="",B100=""),"",B100-WEEKDAY(B100,2)+1)</f>
        <v/>
      </c>
      <c r="M100" s="5">
        <f>IF(L100="","",L100+6)</f>
        <v/>
      </c>
      <c r="N100" s="6">
        <f>IF(OR(A100="",B100=""),"",DATE(YEAR(B100),MONTH(B100),1))</f>
        <v/>
      </c>
      <c r="O100" s="7">
        <f>IF(COUNTA(A100:K100)=0,"",IF(OR(A100="",B100=""),"Preencher CPF e entrada",IF(COUNTIFS($A$12:$A$5011,A100,$B$12:$B$5011,B100)&gt;1,"CPF + dia duplicado",IF(OR(AND(G100&lt;&gt;"",G100&lt;&gt;0,G100&lt;&gt;1),AND(H100&lt;&gt;"",H100&lt;&gt;0,H100&lt;&gt;1)),"Flags devem ser 0 ou 1",IF(AND(H100=1,LEN(TRIM(I100))=0),"Preencher nome do indicante",IF(AND(H100&lt;&gt;1,I100&lt;&gt;""),"Nome sem indicação interna",IF(AND(G100=1,F100=""),"Fechamento sem conversa",IF(OR(AND(E100&lt;&gt;"",E100&lt;B100),AND(F100&lt;&gt;"",F100&lt;B100)),"Evento anterior à entrada",IF(AND(F100&lt;&gt;"",E100=""),"Conversa sem agendamento",IF(OR(E100&gt;TODAY(),F100&gt;TODAY()),"Verificar evento futuro","OK"))))))))))</f>
        <v/>
      </c>
    </row>
    <row r="101" spans="12:15">
      <c r="L101" s="5">
        <f>IF(OR(A101="",B101=""),"",B101-WEEKDAY(B101,2)+1)</f>
        <v/>
      </c>
      <c r="M101" s="5">
        <f>IF(L101="","",L101+6)</f>
        <v/>
      </c>
      <c r="N101" s="6">
        <f>IF(OR(A101="",B101=""),"",DATE(YEAR(B101),MONTH(B101),1))</f>
        <v/>
      </c>
      <c r="O101" s="7">
        <f>IF(COUNTA(A101:K101)=0,"",IF(OR(A101="",B101=""),"Preencher CPF e entrada",IF(COUNTIFS($A$12:$A$5011,A101,$B$12:$B$5011,B101)&gt;1,"CPF + dia duplicado",IF(OR(AND(G101&lt;&gt;"",G101&lt;&gt;0,G101&lt;&gt;1),AND(H101&lt;&gt;"",H101&lt;&gt;0,H101&lt;&gt;1)),"Flags devem ser 0 ou 1",IF(AND(H101=1,LEN(TRIM(I101))=0),"Preencher nome do indicante",IF(AND(H101&lt;&gt;1,I101&lt;&gt;""),"Nome sem indicação interna",IF(AND(G101=1,F101=""),"Fechamento sem conversa",IF(OR(AND(E101&lt;&gt;"",E101&lt;B101),AND(F101&lt;&gt;"",F101&lt;B101)),"Evento anterior à entrada",IF(AND(F101&lt;&gt;"",E101=""),"Conversa sem agendamento",IF(OR(E101&gt;TODAY(),F101&gt;TODAY()),"Verificar evento futuro","OK"))))))))))</f>
        <v/>
      </c>
    </row>
    <row r="102" spans="12:15">
      <c r="L102" s="5">
        <f>IF(OR(A102="",B102=""),"",B102-WEEKDAY(B102,2)+1)</f>
        <v/>
      </c>
      <c r="M102" s="5">
        <f>IF(L102="","",L102+6)</f>
        <v/>
      </c>
      <c r="N102" s="6">
        <f>IF(OR(A102="",B102=""),"",DATE(YEAR(B102),MONTH(B102),1))</f>
        <v/>
      </c>
      <c r="O102" s="7">
        <f>IF(COUNTA(A102:K102)=0,"",IF(OR(A102="",B102=""),"Preencher CPF e entrada",IF(COUNTIFS($A$12:$A$5011,A102,$B$12:$B$5011,B102)&gt;1,"CPF + dia duplicado",IF(OR(AND(G102&lt;&gt;"",G102&lt;&gt;0,G102&lt;&gt;1),AND(H102&lt;&gt;"",H102&lt;&gt;0,H102&lt;&gt;1)),"Flags devem ser 0 ou 1",IF(AND(H102=1,LEN(TRIM(I102))=0),"Preencher nome do indicante",IF(AND(H102&lt;&gt;1,I102&lt;&gt;""),"Nome sem indicação interna",IF(AND(G102=1,F102=""),"Fechamento sem conversa",IF(OR(AND(E102&lt;&gt;"",E102&lt;B102),AND(F102&lt;&gt;"",F102&lt;B102)),"Evento anterior à entrada",IF(AND(F102&lt;&gt;"",E102=""),"Conversa sem agendamento",IF(OR(E102&gt;TODAY(),F102&gt;TODAY()),"Verificar evento futuro","OK"))))))))))</f>
        <v/>
      </c>
    </row>
    <row r="103" spans="12:15">
      <c r="L103" s="5">
        <f>IF(OR(A103="",B103=""),"",B103-WEEKDAY(B103,2)+1)</f>
        <v/>
      </c>
      <c r="M103" s="5">
        <f>IF(L103="","",L103+6)</f>
        <v/>
      </c>
      <c r="N103" s="6">
        <f>IF(OR(A103="",B103=""),"",DATE(YEAR(B103),MONTH(B103),1))</f>
        <v/>
      </c>
      <c r="O103" s="7">
        <f>IF(COUNTA(A103:K103)=0,"",IF(OR(A103="",B103=""),"Preencher CPF e entrada",IF(COUNTIFS($A$12:$A$5011,A103,$B$12:$B$5011,B103)&gt;1,"CPF + dia duplicado",IF(OR(AND(G103&lt;&gt;"",G103&lt;&gt;0,G103&lt;&gt;1),AND(H103&lt;&gt;"",H103&lt;&gt;0,H103&lt;&gt;1)),"Flags devem ser 0 ou 1",IF(AND(H103=1,LEN(TRIM(I103))=0),"Preencher nome do indicante",IF(AND(H103&lt;&gt;1,I103&lt;&gt;""),"Nome sem indicação interna",IF(AND(G103=1,F103=""),"Fechamento sem conversa",IF(OR(AND(E103&lt;&gt;"",E103&lt;B103),AND(F103&lt;&gt;"",F103&lt;B103)),"Evento anterior à entrada",IF(AND(F103&lt;&gt;"",E103=""),"Conversa sem agendamento",IF(OR(E103&gt;TODAY(),F103&gt;TODAY()),"Verificar evento futuro","OK"))))))))))</f>
        <v/>
      </c>
    </row>
    <row r="104" spans="12:15">
      <c r="L104" s="5">
        <f>IF(OR(A104="",B104=""),"",B104-WEEKDAY(B104,2)+1)</f>
        <v/>
      </c>
      <c r="M104" s="5">
        <f>IF(L104="","",L104+6)</f>
        <v/>
      </c>
      <c r="N104" s="6">
        <f>IF(OR(A104="",B104=""),"",DATE(YEAR(B104),MONTH(B104),1))</f>
        <v/>
      </c>
      <c r="O104" s="7">
        <f>IF(COUNTA(A104:K104)=0,"",IF(OR(A104="",B104=""),"Preencher CPF e entrada",IF(COUNTIFS($A$12:$A$5011,A104,$B$12:$B$5011,B104)&gt;1,"CPF + dia duplicado",IF(OR(AND(G104&lt;&gt;"",G104&lt;&gt;0,G104&lt;&gt;1),AND(H104&lt;&gt;"",H104&lt;&gt;0,H104&lt;&gt;1)),"Flags devem ser 0 ou 1",IF(AND(H104=1,LEN(TRIM(I104))=0),"Preencher nome do indicante",IF(AND(H104&lt;&gt;1,I104&lt;&gt;""),"Nome sem indicação interna",IF(AND(G104=1,F104=""),"Fechamento sem conversa",IF(OR(AND(E104&lt;&gt;"",E104&lt;B104),AND(F104&lt;&gt;"",F104&lt;B104)),"Evento anterior à entrada",IF(AND(F104&lt;&gt;"",E104=""),"Conversa sem agendamento",IF(OR(E104&gt;TODAY(),F104&gt;TODAY()),"Verificar evento futuro","OK"))))))))))</f>
        <v/>
      </c>
    </row>
    <row r="105" spans="12:15">
      <c r="L105" s="5">
        <f>IF(OR(A105="",B105=""),"",B105-WEEKDAY(B105,2)+1)</f>
        <v/>
      </c>
      <c r="M105" s="5">
        <f>IF(L105="","",L105+6)</f>
        <v/>
      </c>
      <c r="N105" s="6">
        <f>IF(OR(A105="",B105=""),"",DATE(YEAR(B105),MONTH(B105),1))</f>
        <v/>
      </c>
      <c r="O105" s="7">
        <f>IF(COUNTA(A105:K105)=0,"",IF(OR(A105="",B105=""),"Preencher CPF e entrada",IF(COUNTIFS($A$12:$A$5011,A105,$B$12:$B$5011,B105)&gt;1,"CPF + dia duplicado",IF(OR(AND(G105&lt;&gt;"",G105&lt;&gt;0,G105&lt;&gt;1),AND(H105&lt;&gt;"",H105&lt;&gt;0,H105&lt;&gt;1)),"Flags devem ser 0 ou 1",IF(AND(H105=1,LEN(TRIM(I105))=0),"Preencher nome do indicante",IF(AND(H105&lt;&gt;1,I105&lt;&gt;""),"Nome sem indicação interna",IF(AND(G105=1,F105=""),"Fechamento sem conversa",IF(OR(AND(E105&lt;&gt;"",E105&lt;B105),AND(F105&lt;&gt;"",F105&lt;B105)),"Evento anterior à entrada",IF(AND(F105&lt;&gt;"",E105=""),"Conversa sem agendamento",IF(OR(E105&gt;TODAY(),F105&gt;TODAY()),"Verificar evento futuro","OK"))))))))))</f>
        <v/>
      </c>
    </row>
    <row r="106" spans="12:15">
      <c r="L106" s="5">
        <f>IF(OR(A106="",B106=""),"",B106-WEEKDAY(B106,2)+1)</f>
        <v/>
      </c>
      <c r="M106" s="5">
        <f>IF(L106="","",L106+6)</f>
        <v/>
      </c>
      <c r="N106" s="6">
        <f>IF(OR(A106="",B106=""),"",DATE(YEAR(B106),MONTH(B106),1))</f>
        <v/>
      </c>
      <c r="O106" s="7">
        <f>IF(COUNTA(A106:K106)=0,"",IF(OR(A106="",B106=""),"Preencher CPF e entrada",IF(COUNTIFS($A$12:$A$5011,A106,$B$12:$B$5011,B106)&gt;1,"CPF + dia duplicado",IF(OR(AND(G106&lt;&gt;"",G106&lt;&gt;0,G106&lt;&gt;1),AND(H106&lt;&gt;"",H106&lt;&gt;0,H106&lt;&gt;1)),"Flags devem ser 0 ou 1",IF(AND(H106=1,LEN(TRIM(I106))=0),"Preencher nome do indicante",IF(AND(H106&lt;&gt;1,I106&lt;&gt;""),"Nome sem indicação interna",IF(AND(G106=1,F106=""),"Fechamento sem conversa",IF(OR(AND(E106&lt;&gt;"",E106&lt;B106),AND(F106&lt;&gt;"",F106&lt;B106)),"Evento anterior à entrada",IF(AND(F106&lt;&gt;"",E106=""),"Conversa sem agendamento",IF(OR(E106&gt;TODAY(),F106&gt;TODAY()),"Verificar evento futuro","OK"))))))))))</f>
        <v/>
      </c>
    </row>
    <row r="107" spans="12:15">
      <c r="L107" s="5">
        <f>IF(OR(A107="",B107=""),"",B107-WEEKDAY(B107,2)+1)</f>
        <v/>
      </c>
      <c r="M107" s="5">
        <f>IF(L107="","",L107+6)</f>
        <v/>
      </c>
      <c r="N107" s="6">
        <f>IF(OR(A107="",B107=""),"",DATE(YEAR(B107),MONTH(B107),1))</f>
        <v/>
      </c>
      <c r="O107" s="7">
        <f>IF(COUNTA(A107:K107)=0,"",IF(OR(A107="",B107=""),"Preencher CPF e entrada",IF(COUNTIFS($A$12:$A$5011,A107,$B$12:$B$5011,B107)&gt;1,"CPF + dia duplicado",IF(OR(AND(G107&lt;&gt;"",G107&lt;&gt;0,G107&lt;&gt;1),AND(H107&lt;&gt;"",H107&lt;&gt;0,H107&lt;&gt;1)),"Flags devem ser 0 ou 1",IF(AND(H107=1,LEN(TRIM(I107))=0),"Preencher nome do indicante",IF(AND(H107&lt;&gt;1,I107&lt;&gt;""),"Nome sem indicação interna",IF(AND(G107=1,F107=""),"Fechamento sem conversa",IF(OR(AND(E107&lt;&gt;"",E107&lt;B107),AND(F107&lt;&gt;"",F107&lt;B107)),"Evento anterior à entrada",IF(AND(F107&lt;&gt;"",E107=""),"Conversa sem agendamento",IF(OR(E107&gt;TODAY(),F107&gt;TODAY()),"Verificar evento futuro","OK"))))))))))</f>
        <v/>
      </c>
    </row>
    <row r="108" spans="12:15">
      <c r="L108" s="5">
        <f>IF(OR(A108="",B108=""),"",B108-WEEKDAY(B108,2)+1)</f>
        <v/>
      </c>
      <c r="M108" s="5">
        <f>IF(L108="","",L108+6)</f>
        <v/>
      </c>
      <c r="N108" s="6">
        <f>IF(OR(A108="",B108=""),"",DATE(YEAR(B108),MONTH(B108),1))</f>
        <v/>
      </c>
      <c r="O108" s="7">
        <f>IF(COUNTA(A108:K108)=0,"",IF(OR(A108="",B108=""),"Preencher CPF e entrada",IF(COUNTIFS($A$12:$A$5011,A108,$B$12:$B$5011,B108)&gt;1,"CPF + dia duplicado",IF(OR(AND(G108&lt;&gt;"",G108&lt;&gt;0,G108&lt;&gt;1),AND(H108&lt;&gt;"",H108&lt;&gt;0,H108&lt;&gt;1)),"Flags devem ser 0 ou 1",IF(AND(H108=1,LEN(TRIM(I108))=0),"Preencher nome do indicante",IF(AND(H108&lt;&gt;1,I108&lt;&gt;""),"Nome sem indicação interna",IF(AND(G108=1,F108=""),"Fechamento sem conversa",IF(OR(AND(E108&lt;&gt;"",E108&lt;B108),AND(F108&lt;&gt;"",F108&lt;B108)),"Evento anterior à entrada",IF(AND(F108&lt;&gt;"",E108=""),"Conversa sem agendamento",IF(OR(E108&gt;TODAY(),F108&gt;TODAY()),"Verificar evento futuro","OK"))))))))))</f>
        <v/>
      </c>
    </row>
    <row r="109" spans="12:15">
      <c r="L109" s="5">
        <f>IF(OR(A109="",B109=""),"",B109-WEEKDAY(B109,2)+1)</f>
        <v/>
      </c>
      <c r="M109" s="5">
        <f>IF(L109="","",L109+6)</f>
        <v/>
      </c>
      <c r="N109" s="6">
        <f>IF(OR(A109="",B109=""),"",DATE(YEAR(B109),MONTH(B109),1))</f>
        <v/>
      </c>
      <c r="O109" s="7">
        <f>IF(COUNTA(A109:K109)=0,"",IF(OR(A109="",B109=""),"Preencher CPF e entrada",IF(COUNTIFS($A$12:$A$5011,A109,$B$12:$B$5011,B109)&gt;1,"CPF + dia duplicado",IF(OR(AND(G109&lt;&gt;"",G109&lt;&gt;0,G109&lt;&gt;1),AND(H109&lt;&gt;"",H109&lt;&gt;0,H109&lt;&gt;1)),"Flags devem ser 0 ou 1",IF(AND(H109=1,LEN(TRIM(I109))=0),"Preencher nome do indicante",IF(AND(H109&lt;&gt;1,I109&lt;&gt;""),"Nome sem indicação interna",IF(AND(G109=1,F109=""),"Fechamento sem conversa",IF(OR(AND(E109&lt;&gt;"",E109&lt;B109),AND(F109&lt;&gt;"",F109&lt;B109)),"Evento anterior à entrada",IF(AND(F109&lt;&gt;"",E109=""),"Conversa sem agendamento",IF(OR(E109&gt;TODAY(),F109&gt;TODAY()),"Verificar evento futuro","OK"))))))))))</f>
        <v/>
      </c>
    </row>
    <row r="110" spans="12:15">
      <c r="L110" s="5">
        <f>IF(OR(A110="",B110=""),"",B110-WEEKDAY(B110,2)+1)</f>
        <v/>
      </c>
      <c r="M110" s="5">
        <f>IF(L110="","",L110+6)</f>
        <v/>
      </c>
      <c r="N110" s="6">
        <f>IF(OR(A110="",B110=""),"",DATE(YEAR(B110),MONTH(B110),1))</f>
        <v/>
      </c>
      <c r="O110" s="7">
        <f>IF(COUNTA(A110:K110)=0,"",IF(OR(A110="",B110=""),"Preencher CPF e entrada",IF(COUNTIFS($A$12:$A$5011,A110,$B$12:$B$5011,B110)&gt;1,"CPF + dia duplicado",IF(OR(AND(G110&lt;&gt;"",G110&lt;&gt;0,G110&lt;&gt;1),AND(H110&lt;&gt;"",H110&lt;&gt;0,H110&lt;&gt;1)),"Flags devem ser 0 ou 1",IF(AND(H110=1,LEN(TRIM(I110))=0),"Preencher nome do indicante",IF(AND(H110&lt;&gt;1,I110&lt;&gt;""),"Nome sem indicação interna",IF(AND(G110=1,F110=""),"Fechamento sem conversa",IF(OR(AND(E110&lt;&gt;"",E110&lt;B110),AND(F110&lt;&gt;"",F110&lt;B110)),"Evento anterior à entrada",IF(AND(F110&lt;&gt;"",E110=""),"Conversa sem agendamento",IF(OR(E110&gt;TODAY(),F110&gt;TODAY()),"Verificar evento futuro","OK"))))))))))</f>
        <v/>
      </c>
    </row>
    <row r="111" spans="12:15">
      <c r="L111" s="5">
        <f>IF(OR(A111="",B111=""),"",B111-WEEKDAY(B111,2)+1)</f>
        <v/>
      </c>
      <c r="M111" s="5">
        <f>IF(L111="","",L111+6)</f>
        <v/>
      </c>
      <c r="N111" s="6">
        <f>IF(OR(A111="",B111=""),"",DATE(YEAR(B111),MONTH(B111),1))</f>
        <v/>
      </c>
      <c r="O111" s="7">
        <f>IF(COUNTA(A111:K111)=0,"",IF(OR(A111="",B111=""),"Preencher CPF e entrada",IF(COUNTIFS($A$12:$A$5011,A111,$B$12:$B$5011,B111)&gt;1,"CPF + dia duplicado",IF(OR(AND(G111&lt;&gt;"",G111&lt;&gt;0,G111&lt;&gt;1),AND(H111&lt;&gt;"",H111&lt;&gt;0,H111&lt;&gt;1)),"Flags devem ser 0 ou 1",IF(AND(H111=1,LEN(TRIM(I111))=0),"Preencher nome do indicante",IF(AND(H111&lt;&gt;1,I111&lt;&gt;""),"Nome sem indicação interna",IF(AND(G111=1,F111=""),"Fechamento sem conversa",IF(OR(AND(E111&lt;&gt;"",E111&lt;B111),AND(F111&lt;&gt;"",F111&lt;B111)),"Evento anterior à entrada",IF(AND(F111&lt;&gt;"",E111=""),"Conversa sem agendamento",IF(OR(E111&gt;TODAY(),F111&gt;TODAY()),"Verificar evento futuro","OK"))))))))))</f>
        <v/>
      </c>
    </row>
    <row r="112" spans="12:15">
      <c r="L112" s="5">
        <f>IF(OR(A112="",B112=""),"",B112-WEEKDAY(B112,2)+1)</f>
        <v/>
      </c>
      <c r="M112" s="5">
        <f>IF(L112="","",L112+6)</f>
        <v/>
      </c>
      <c r="N112" s="6">
        <f>IF(OR(A112="",B112=""),"",DATE(YEAR(B112),MONTH(B112),1))</f>
        <v/>
      </c>
      <c r="O112" s="7">
        <f>IF(COUNTA(A112:K112)=0,"",IF(OR(A112="",B112=""),"Preencher CPF e entrada",IF(COUNTIFS($A$12:$A$5011,A112,$B$12:$B$5011,B112)&gt;1,"CPF + dia duplicado",IF(OR(AND(G112&lt;&gt;"",G112&lt;&gt;0,G112&lt;&gt;1),AND(H112&lt;&gt;"",H112&lt;&gt;0,H112&lt;&gt;1)),"Flags devem ser 0 ou 1",IF(AND(H112=1,LEN(TRIM(I112))=0),"Preencher nome do indicante",IF(AND(H112&lt;&gt;1,I112&lt;&gt;""),"Nome sem indicação interna",IF(AND(G112=1,F112=""),"Fechamento sem conversa",IF(OR(AND(E112&lt;&gt;"",E112&lt;B112),AND(F112&lt;&gt;"",F112&lt;B112)),"Evento anterior à entrada",IF(AND(F112&lt;&gt;"",E112=""),"Conversa sem agendamento",IF(OR(E112&gt;TODAY(),F112&gt;TODAY()),"Verificar evento futuro","OK"))))))))))</f>
        <v/>
      </c>
    </row>
    <row r="113" spans="12:15">
      <c r="L113" s="5">
        <f>IF(OR(A113="",B113=""),"",B113-WEEKDAY(B113,2)+1)</f>
        <v/>
      </c>
      <c r="M113" s="5">
        <f>IF(L113="","",L113+6)</f>
        <v/>
      </c>
      <c r="N113" s="6">
        <f>IF(OR(A113="",B113=""),"",DATE(YEAR(B113),MONTH(B113),1))</f>
        <v/>
      </c>
      <c r="O113" s="7">
        <f>IF(COUNTA(A113:K113)=0,"",IF(OR(A113="",B113=""),"Preencher CPF e entrada",IF(COUNTIFS($A$12:$A$5011,A113,$B$12:$B$5011,B113)&gt;1,"CPF + dia duplicado",IF(OR(AND(G113&lt;&gt;"",G113&lt;&gt;0,G113&lt;&gt;1),AND(H113&lt;&gt;"",H113&lt;&gt;0,H113&lt;&gt;1)),"Flags devem ser 0 ou 1",IF(AND(H113=1,LEN(TRIM(I113))=0),"Preencher nome do indicante",IF(AND(H113&lt;&gt;1,I113&lt;&gt;""),"Nome sem indicação interna",IF(AND(G113=1,F113=""),"Fechamento sem conversa",IF(OR(AND(E113&lt;&gt;"",E113&lt;B113),AND(F113&lt;&gt;"",F113&lt;B113)),"Evento anterior à entrada",IF(AND(F113&lt;&gt;"",E113=""),"Conversa sem agendamento",IF(OR(E113&gt;TODAY(),F113&gt;TODAY()),"Verificar evento futuro","OK"))))))))))</f>
        <v/>
      </c>
    </row>
    <row r="114" spans="12:15">
      <c r="L114" s="5">
        <f>IF(OR(A114="",B114=""),"",B114-WEEKDAY(B114,2)+1)</f>
        <v/>
      </c>
      <c r="M114" s="5">
        <f>IF(L114="","",L114+6)</f>
        <v/>
      </c>
      <c r="N114" s="6">
        <f>IF(OR(A114="",B114=""),"",DATE(YEAR(B114),MONTH(B114),1))</f>
        <v/>
      </c>
      <c r="O114" s="7">
        <f>IF(COUNTA(A114:K114)=0,"",IF(OR(A114="",B114=""),"Preencher CPF e entrada",IF(COUNTIFS($A$12:$A$5011,A114,$B$12:$B$5011,B114)&gt;1,"CPF + dia duplicado",IF(OR(AND(G114&lt;&gt;"",G114&lt;&gt;0,G114&lt;&gt;1),AND(H114&lt;&gt;"",H114&lt;&gt;0,H114&lt;&gt;1)),"Flags devem ser 0 ou 1",IF(AND(H114=1,LEN(TRIM(I114))=0),"Preencher nome do indicante",IF(AND(H114&lt;&gt;1,I114&lt;&gt;""),"Nome sem indicação interna",IF(AND(G114=1,F114=""),"Fechamento sem conversa",IF(OR(AND(E114&lt;&gt;"",E114&lt;B114),AND(F114&lt;&gt;"",F114&lt;B114)),"Evento anterior à entrada",IF(AND(F114&lt;&gt;"",E114=""),"Conversa sem agendamento",IF(OR(E114&gt;TODAY(),F114&gt;TODAY()),"Verificar evento futuro","OK"))))))))))</f>
        <v/>
      </c>
    </row>
    <row r="115" spans="12:15">
      <c r="L115" s="5">
        <f>IF(OR(A115="",B115=""),"",B115-WEEKDAY(B115,2)+1)</f>
        <v/>
      </c>
      <c r="M115" s="5">
        <f>IF(L115="","",L115+6)</f>
        <v/>
      </c>
      <c r="N115" s="6">
        <f>IF(OR(A115="",B115=""),"",DATE(YEAR(B115),MONTH(B115),1))</f>
        <v/>
      </c>
      <c r="O115" s="7">
        <f>IF(COUNTA(A115:K115)=0,"",IF(OR(A115="",B115=""),"Preencher CPF e entrada",IF(COUNTIFS($A$12:$A$5011,A115,$B$12:$B$5011,B115)&gt;1,"CPF + dia duplicado",IF(OR(AND(G115&lt;&gt;"",G115&lt;&gt;0,G115&lt;&gt;1),AND(H115&lt;&gt;"",H115&lt;&gt;0,H115&lt;&gt;1)),"Flags devem ser 0 ou 1",IF(AND(H115=1,LEN(TRIM(I115))=0),"Preencher nome do indicante",IF(AND(H115&lt;&gt;1,I115&lt;&gt;""),"Nome sem indicação interna",IF(AND(G115=1,F115=""),"Fechamento sem conversa",IF(OR(AND(E115&lt;&gt;"",E115&lt;B115),AND(F115&lt;&gt;"",F115&lt;B115)),"Evento anterior à entrada",IF(AND(F115&lt;&gt;"",E115=""),"Conversa sem agendamento",IF(OR(E115&gt;TODAY(),F115&gt;TODAY()),"Verificar evento futuro","OK"))))))))))</f>
        <v/>
      </c>
    </row>
    <row r="116" spans="12:15">
      <c r="L116" s="5">
        <f>IF(OR(A116="",B116=""),"",B116-WEEKDAY(B116,2)+1)</f>
        <v/>
      </c>
      <c r="M116" s="5">
        <f>IF(L116="","",L116+6)</f>
        <v/>
      </c>
      <c r="N116" s="6">
        <f>IF(OR(A116="",B116=""),"",DATE(YEAR(B116),MONTH(B116),1))</f>
        <v/>
      </c>
      <c r="O116" s="7">
        <f>IF(COUNTA(A116:K116)=0,"",IF(OR(A116="",B116=""),"Preencher CPF e entrada",IF(COUNTIFS($A$12:$A$5011,A116,$B$12:$B$5011,B116)&gt;1,"CPF + dia duplicado",IF(OR(AND(G116&lt;&gt;"",G116&lt;&gt;0,G116&lt;&gt;1),AND(H116&lt;&gt;"",H116&lt;&gt;0,H116&lt;&gt;1)),"Flags devem ser 0 ou 1",IF(AND(H116=1,LEN(TRIM(I116))=0),"Preencher nome do indicante",IF(AND(H116&lt;&gt;1,I116&lt;&gt;""),"Nome sem indicação interna",IF(AND(G116=1,F116=""),"Fechamento sem conversa",IF(OR(AND(E116&lt;&gt;"",E116&lt;B116),AND(F116&lt;&gt;"",F116&lt;B116)),"Evento anterior à entrada",IF(AND(F116&lt;&gt;"",E116=""),"Conversa sem agendamento",IF(OR(E116&gt;TODAY(),F116&gt;TODAY()),"Verificar evento futuro","OK"))))))))))</f>
        <v/>
      </c>
    </row>
    <row r="117" spans="12:15">
      <c r="L117" s="5">
        <f>IF(OR(A117="",B117=""),"",B117-WEEKDAY(B117,2)+1)</f>
        <v/>
      </c>
      <c r="M117" s="5">
        <f>IF(L117="","",L117+6)</f>
        <v/>
      </c>
      <c r="N117" s="6">
        <f>IF(OR(A117="",B117=""),"",DATE(YEAR(B117),MONTH(B117),1))</f>
        <v/>
      </c>
      <c r="O117" s="7">
        <f>IF(COUNTA(A117:K117)=0,"",IF(OR(A117="",B117=""),"Preencher CPF e entrada",IF(COUNTIFS($A$12:$A$5011,A117,$B$12:$B$5011,B117)&gt;1,"CPF + dia duplicado",IF(OR(AND(G117&lt;&gt;"",G117&lt;&gt;0,G117&lt;&gt;1),AND(H117&lt;&gt;"",H117&lt;&gt;0,H117&lt;&gt;1)),"Flags devem ser 0 ou 1",IF(AND(H117=1,LEN(TRIM(I117))=0),"Preencher nome do indicante",IF(AND(H117&lt;&gt;1,I117&lt;&gt;""),"Nome sem indicação interna",IF(AND(G117=1,F117=""),"Fechamento sem conversa",IF(OR(AND(E117&lt;&gt;"",E117&lt;B117),AND(F117&lt;&gt;"",F117&lt;B117)),"Evento anterior à entrada",IF(AND(F117&lt;&gt;"",E117=""),"Conversa sem agendamento",IF(OR(E117&gt;TODAY(),F117&gt;TODAY()),"Verificar evento futuro","OK"))))))))))</f>
        <v/>
      </c>
    </row>
    <row r="118" spans="12:15">
      <c r="L118" s="5">
        <f>IF(OR(A118="",B118=""),"",B118-WEEKDAY(B118,2)+1)</f>
        <v/>
      </c>
      <c r="M118" s="5">
        <f>IF(L118="","",L118+6)</f>
        <v/>
      </c>
      <c r="N118" s="6">
        <f>IF(OR(A118="",B118=""),"",DATE(YEAR(B118),MONTH(B118),1))</f>
        <v/>
      </c>
      <c r="O118" s="7">
        <f>IF(COUNTA(A118:K118)=0,"",IF(OR(A118="",B118=""),"Preencher CPF e entrada",IF(COUNTIFS($A$12:$A$5011,A118,$B$12:$B$5011,B118)&gt;1,"CPF + dia duplicado",IF(OR(AND(G118&lt;&gt;"",G118&lt;&gt;0,G118&lt;&gt;1),AND(H118&lt;&gt;"",H118&lt;&gt;0,H118&lt;&gt;1)),"Flags devem ser 0 ou 1",IF(AND(H118=1,LEN(TRIM(I118))=0),"Preencher nome do indicante",IF(AND(H118&lt;&gt;1,I118&lt;&gt;""),"Nome sem indicação interna",IF(AND(G118=1,F118=""),"Fechamento sem conversa",IF(OR(AND(E118&lt;&gt;"",E118&lt;B118),AND(F118&lt;&gt;"",F118&lt;B118)),"Evento anterior à entrada",IF(AND(F118&lt;&gt;"",E118=""),"Conversa sem agendamento",IF(OR(E118&gt;TODAY(),F118&gt;TODAY()),"Verificar evento futuro","OK"))))))))))</f>
        <v/>
      </c>
    </row>
    <row r="119" spans="12:15">
      <c r="L119" s="5">
        <f>IF(OR(A119="",B119=""),"",B119-WEEKDAY(B119,2)+1)</f>
        <v/>
      </c>
      <c r="M119" s="5">
        <f>IF(L119="","",L119+6)</f>
        <v/>
      </c>
      <c r="N119" s="6">
        <f>IF(OR(A119="",B119=""),"",DATE(YEAR(B119),MONTH(B119),1))</f>
        <v/>
      </c>
      <c r="O119" s="7">
        <f>IF(COUNTA(A119:K119)=0,"",IF(OR(A119="",B119=""),"Preencher CPF e entrada",IF(COUNTIFS($A$12:$A$5011,A119,$B$12:$B$5011,B119)&gt;1,"CPF + dia duplicado",IF(OR(AND(G119&lt;&gt;"",G119&lt;&gt;0,G119&lt;&gt;1),AND(H119&lt;&gt;"",H119&lt;&gt;0,H119&lt;&gt;1)),"Flags devem ser 0 ou 1",IF(AND(H119=1,LEN(TRIM(I119))=0),"Preencher nome do indicante",IF(AND(H119&lt;&gt;1,I119&lt;&gt;""),"Nome sem indicação interna",IF(AND(G119=1,F119=""),"Fechamento sem conversa",IF(OR(AND(E119&lt;&gt;"",E119&lt;B119),AND(F119&lt;&gt;"",F119&lt;B119)),"Evento anterior à entrada",IF(AND(F119&lt;&gt;"",E119=""),"Conversa sem agendamento",IF(OR(E119&gt;TODAY(),F119&gt;TODAY()),"Verificar evento futuro","OK"))))))))))</f>
        <v/>
      </c>
    </row>
    <row r="120" spans="12:15">
      <c r="L120" s="5">
        <f>IF(OR(A120="",B120=""),"",B120-WEEKDAY(B120,2)+1)</f>
        <v/>
      </c>
      <c r="M120" s="5">
        <f>IF(L120="","",L120+6)</f>
        <v/>
      </c>
      <c r="N120" s="6">
        <f>IF(OR(A120="",B120=""),"",DATE(YEAR(B120),MONTH(B120),1))</f>
        <v/>
      </c>
      <c r="O120" s="7">
        <f>IF(COUNTA(A120:K120)=0,"",IF(OR(A120="",B120=""),"Preencher CPF e entrada",IF(COUNTIFS($A$12:$A$5011,A120,$B$12:$B$5011,B120)&gt;1,"CPF + dia duplicado",IF(OR(AND(G120&lt;&gt;"",G120&lt;&gt;0,G120&lt;&gt;1),AND(H120&lt;&gt;"",H120&lt;&gt;0,H120&lt;&gt;1)),"Flags devem ser 0 ou 1",IF(AND(H120=1,LEN(TRIM(I120))=0),"Preencher nome do indicante",IF(AND(H120&lt;&gt;1,I120&lt;&gt;""),"Nome sem indicação interna",IF(AND(G120=1,F120=""),"Fechamento sem conversa",IF(OR(AND(E120&lt;&gt;"",E120&lt;B120),AND(F120&lt;&gt;"",F120&lt;B120)),"Evento anterior à entrada",IF(AND(F120&lt;&gt;"",E120=""),"Conversa sem agendamento",IF(OR(E120&gt;TODAY(),F120&gt;TODAY()),"Verificar evento futuro","OK"))))))))))</f>
        <v/>
      </c>
    </row>
    <row r="121" spans="12:15">
      <c r="L121" s="5">
        <f>IF(OR(A121="",B121=""),"",B121-WEEKDAY(B121,2)+1)</f>
        <v/>
      </c>
      <c r="M121" s="5">
        <f>IF(L121="","",L121+6)</f>
        <v/>
      </c>
      <c r="N121" s="6">
        <f>IF(OR(A121="",B121=""),"",DATE(YEAR(B121),MONTH(B121),1))</f>
        <v/>
      </c>
      <c r="O121" s="7">
        <f>IF(COUNTA(A121:K121)=0,"",IF(OR(A121="",B121=""),"Preencher CPF e entrada",IF(COUNTIFS($A$12:$A$5011,A121,$B$12:$B$5011,B121)&gt;1,"CPF + dia duplicado",IF(OR(AND(G121&lt;&gt;"",G121&lt;&gt;0,G121&lt;&gt;1),AND(H121&lt;&gt;"",H121&lt;&gt;0,H121&lt;&gt;1)),"Flags devem ser 0 ou 1",IF(AND(H121=1,LEN(TRIM(I121))=0),"Preencher nome do indicante",IF(AND(H121&lt;&gt;1,I121&lt;&gt;""),"Nome sem indicação interna",IF(AND(G121=1,F121=""),"Fechamento sem conversa",IF(OR(AND(E121&lt;&gt;"",E121&lt;B121),AND(F121&lt;&gt;"",F121&lt;B121)),"Evento anterior à entrada",IF(AND(F121&lt;&gt;"",E121=""),"Conversa sem agendamento",IF(OR(E121&gt;TODAY(),F121&gt;TODAY()),"Verificar evento futuro","OK"))))))))))</f>
        <v/>
      </c>
    </row>
    <row r="122" spans="12:15">
      <c r="L122" s="5">
        <f>IF(OR(A122="",B122=""),"",B122-WEEKDAY(B122,2)+1)</f>
        <v/>
      </c>
      <c r="M122" s="5">
        <f>IF(L122="","",L122+6)</f>
        <v/>
      </c>
      <c r="N122" s="6">
        <f>IF(OR(A122="",B122=""),"",DATE(YEAR(B122),MONTH(B122),1))</f>
        <v/>
      </c>
      <c r="O122" s="7">
        <f>IF(COUNTA(A122:K122)=0,"",IF(OR(A122="",B122=""),"Preencher CPF e entrada",IF(COUNTIFS($A$12:$A$5011,A122,$B$12:$B$5011,B122)&gt;1,"CPF + dia duplicado",IF(OR(AND(G122&lt;&gt;"",G122&lt;&gt;0,G122&lt;&gt;1),AND(H122&lt;&gt;"",H122&lt;&gt;0,H122&lt;&gt;1)),"Flags devem ser 0 ou 1",IF(AND(H122=1,LEN(TRIM(I122))=0),"Preencher nome do indicante",IF(AND(H122&lt;&gt;1,I122&lt;&gt;""),"Nome sem indicação interna",IF(AND(G122=1,F122=""),"Fechamento sem conversa",IF(OR(AND(E122&lt;&gt;"",E122&lt;B122),AND(F122&lt;&gt;"",F122&lt;B122)),"Evento anterior à entrada",IF(AND(F122&lt;&gt;"",E122=""),"Conversa sem agendamento",IF(OR(E122&gt;TODAY(),F122&gt;TODAY()),"Verificar evento futuro","OK"))))))))))</f>
        <v/>
      </c>
    </row>
    <row r="123" spans="12:15">
      <c r="L123" s="5">
        <f>IF(OR(A123="",B123=""),"",B123-WEEKDAY(B123,2)+1)</f>
        <v/>
      </c>
      <c r="M123" s="5">
        <f>IF(L123="","",L123+6)</f>
        <v/>
      </c>
      <c r="N123" s="6">
        <f>IF(OR(A123="",B123=""),"",DATE(YEAR(B123),MONTH(B123),1))</f>
        <v/>
      </c>
      <c r="O123" s="7">
        <f>IF(COUNTA(A123:K123)=0,"",IF(OR(A123="",B123=""),"Preencher CPF e entrada",IF(COUNTIFS($A$12:$A$5011,A123,$B$12:$B$5011,B123)&gt;1,"CPF + dia duplicado",IF(OR(AND(G123&lt;&gt;"",G123&lt;&gt;0,G123&lt;&gt;1),AND(H123&lt;&gt;"",H123&lt;&gt;0,H123&lt;&gt;1)),"Flags devem ser 0 ou 1",IF(AND(H123=1,LEN(TRIM(I123))=0),"Preencher nome do indicante",IF(AND(H123&lt;&gt;1,I123&lt;&gt;""),"Nome sem indicação interna",IF(AND(G123=1,F123=""),"Fechamento sem conversa",IF(OR(AND(E123&lt;&gt;"",E123&lt;B123),AND(F123&lt;&gt;"",F123&lt;B123)),"Evento anterior à entrada",IF(AND(F123&lt;&gt;"",E123=""),"Conversa sem agendamento",IF(OR(E123&gt;TODAY(),F123&gt;TODAY()),"Verificar evento futuro","OK"))))))))))</f>
        <v/>
      </c>
    </row>
    <row r="124" spans="12:15">
      <c r="L124" s="5">
        <f>IF(OR(A124="",B124=""),"",B124-WEEKDAY(B124,2)+1)</f>
        <v/>
      </c>
      <c r="M124" s="5">
        <f>IF(L124="","",L124+6)</f>
        <v/>
      </c>
      <c r="N124" s="6">
        <f>IF(OR(A124="",B124=""),"",DATE(YEAR(B124),MONTH(B124),1))</f>
        <v/>
      </c>
      <c r="O124" s="7">
        <f>IF(COUNTA(A124:K124)=0,"",IF(OR(A124="",B124=""),"Preencher CPF e entrada",IF(COUNTIFS($A$12:$A$5011,A124,$B$12:$B$5011,B124)&gt;1,"CPF + dia duplicado",IF(OR(AND(G124&lt;&gt;"",G124&lt;&gt;0,G124&lt;&gt;1),AND(H124&lt;&gt;"",H124&lt;&gt;0,H124&lt;&gt;1)),"Flags devem ser 0 ou 1",IF(AND(H124=1,LEN(TRIM(I124))=0),"Preencher nome do indicante",IF(AND(H124&lt;&gt;1,I124&lt;&gt;""),"Nome sem indicação interna",IF(AND(G124=1,F124=""),"Fechamento sem conversa",IF(OR(AND(E124&lt;&gt;"",E124&lt;B124),AND(F124&lt;&gt;"",F124&lt;B124)),"Evento anterior à entrada",IF(AND(F124&lt;&gt;"",E124=""),"Conversa sem agendamento",IF(OR(E124&gt;TODAY(),F124&gt;TODAY()),"Verificar evento futuro","OK"))))))))))</f>
        <v/>
      </c>
    </row>
    <row r="125" spans="12:15">
      <c r="L125" s="5">
        <f>IF(OR(A125="",B125=""),"",B125-WEEKDAY(B125,2)+1)</f>
        <v/>
      </c>
      <c r="M125" s="5">
        <f>IF(L125="","",L125+6)</f>
        <v/>
      </c>
      <c r="N125" s="6">
        <f>IF(OR(A125="",B125=""),"",DATE(YEAR(B125),MONTH(B125),1))</f>
        <v/>
      </c>
      <c r="O125" s="7">
        <f>IF(COUNTA(A125:K125)=0,"",IF(OR(A125="",B125=""),"Preencher CPF e entrada",IF(COUNTIFS($A$12:$A$5011,A125,$B$12:$B$5011,B125)&gt;1,"CPF + dia duplicado",IF(OR(AND(G125&lt;&gt;"",G125&lt;&gt;0,G125&lt;&gt;1),AND(H125&lt;&gt;"",H125&lt;&gt;0,H125&lt;&gt;1)),"Flags devem ser 0 ou 1",IF(AND(H125=1,LEN(TRIM(I125))=0),"Preencher nome do indicante",IF(AND(H125&lt;&gt;1,I125&lt;&gt;""),"Nome sem indicação interna",IF(AND(G125=1,F125=""),"Fechamento sem conversa",IF(OR(AND(E125&lt;&gt;"",E125&lt;B125),AND(F125&lt;&gt;"",F125&lt;B125)),"Evento anterior à entrada",IF(AND(F125&lt;&gt;"",E125=""),"Conversa sem agendamento",IF(OR(E125&gt;TODAY(),F125&gt;TODAY()),"Verificar evento futuro","OK"))))))))))</f>
        <v/>
      </c>
    </row>
    <row r="126" spans="12:15">
      <c r="L126" s="5">
        <f>IF(OR(A126="",B126=""),"",B126-WEEKDAY(B126,2)+1)</f>
        <v/>
      </c>
      <c r="M126" s="5">
        <f>IF(L126="","",L126+6)</f>
        <v/>
      </c>
      <c r="N126" s="6">
        <f>IF(OR(A126="",B126=""),"",DATE(YEAR(B126),MONTH(B126),1))</f>
        <v/>
      </c>
      <c r="O126" s="7">
        <f>IF(COUNTA(A126:K126)=0,"",IF(OR(A126="",B126=""),"Preencher CPF e entrada",IF(COUNTIFS($A$12:$A$5011,A126,$B$12:$B$5011,B126)&gt;1,"CPF + dia duplicado",IF(OR(AND(G126&lt;&gt;"",G126&lt;&gt;0,G126&lt;&gt;1),AND(H126&lt;&gt;"",H126&lt;&gt;0,H126&lt;&gt;1)),"Flags devem ser 0 ou 1",IF(AND(H126=1,LEN(TRIM(I126))=0),"Preencher nome do indicante",IF(AND(H126&lt;&gt;1,I126&lt;&gt;""),"Nome sem indicação interna",IF(AND(G126=1,F126=""),"Fechamento sem conversa",IF(OR(AND(E126&lt;&gt;"",E126&lt;B126),AND(F126&lt;&gt;"",F126&lt;B126)),"Evento anterior à entrada",IF(AND(F126&lt;&gt;"",E126=""),"Conversa sem agendamento",IF(OR(E126&gt;TODAY(),F126&gt;TODAY()),"Verificar evento futuro","OK"))))))))))</f>
        <v/>
      </c>
    </row>
    <row r="127" spans="12:15">
      <c r="L127" s="5">
        <f>IF(OR(A127="",B127=""),"",B127-WEEKDAY(B127,2)+1)</f>
        <v/>
      </c>
      <c r="M127" s="5">
        <f>IF(L127="","",L127+6)</f>
        <v/>
      </c>
      <c r="N127" s="6">
        <f>IF(OR(A127="",B127=""),"",DATE(YEAR(B127),MONTH(B127),1))</f>
        <v/>
      </c>
      <c r="O127" s="7">
        <f>IF(COUNTA(A127:K127)=0,"",IF(OR(A127="",B127=""),"Preencher CPF e entrada",IF(COUNTIFS($A$12:$A$5011,A127,$B$12:$B$5011,B127)&gt;1,"CPF + dia duplicado",IF(OR(AND(G127&lt;&gt;"",G127&lt;&gt;0,G127&lt;&gt;1),AND(H127&lt;&gt;"",H127&lt;&gt;0,H127&lt;&gt;1)),"Flags devem ser 0 ou 1",IF(AND(H127=1,LEN(TRIM(I127))=0),"Preencher nome do indicante",IF(AND(H127&lt;&gt;1,I127&lt;&gt;""),"Nome sem indicação interna",IF(AND(G127=1,F127=""),"Fechamento sem conversa",IF(OR(AND(E127&lt;&gt;"",E127&lt;B127),AND(F127&lt;&gt;"",F127&lt;B127)),"Evento anterior à entrada",IF(AND(F127&lt;&gt;"",E127=""),"Conversa sem agendamento",IF(OR(E127&gt;TODAY(),F127&gt;TODAY()),"Verificar evento futuro","OK"))))))))))</f>
        <v/>
      </c>
    </row>
    <row r="128" spans="12:15">
      <c r="L128" s="5">
        <f>IF(OR(A128="",B128=""),"",B128-WEEKDAY(B128,2)+1)</f>
        <v/>
      </c>
      <c r="M128" s="5">
        <f>IF(L128="","",L128+6)</f>
        <v/>
      </c>
      <c r="N128" s="6">
        <f>IF(OR(A128="",B128=""),"",DATE(YEAR(B128),MONTH(B128),1))</f>
        <v/>
      </c>
      <c r="O128" s="7">
        <f>IF(COUNTA(A128:K128)=0,"",IF(OR(A128="",B128=""),"Preencher CPF e entrada",IF(COUNTIFS($A$12:$A$5011,A128,$B$12:$B$5011,B128)&gt;1,"CPF + dia duplicado",IF(OR(AND(G128&lt;&gt;"",G128&lt;&gt;0,G128&lt;&gt;1),AND(H128&lt;&gt;"",H128&lt;&gt;0,H128&lt;&gt;1)),"Flags devem ser 0 ou 1",IF(AND(H128=1,LEN(TRIM(I128))=0),"Preencher nome do indicante",IF(AND(H128&lt;&gt;1,I128&lt;&gt;""),"Nome sem indicação interna",IF(AND(G128=1,F128=""),"Fechamento sem conversa",IF(OR(AND(E128&lt;&gt;"",E128&lt;B128),AND(F128&lt;&gt;"",F128&lt;B128)),"Evento anterior à entrada",IF(AND(F128&lt;&gt;"",E128=""),"Conversa sem agendamento",IF(OR(E128&gt;TODAY(),F128&gt;TODAY()),"Verificar evento futuro","OK"))))))))))</f>
        <v/>
      </c>
    </row>
    <row r="129" spans="12:15">
      <c r="L129" s="5">
        <f>IF(OR(A129="",B129=""),"",B129-WEEKDAY(B129,2)+1)</f>
        <v/>
      </c>
      <c r="M129" s="5">
        <f>IF(L129="","",L129+6)</f>
        <v/>
      </c>
      <c r="N129" s="6">
        <f>IF(OR(A129="",B129=""),"",DATE(YEAR(B129),MONTH(B129),1))</f>
        <v/>
      </c>
      <c r="O129" s="7">
        <f>IF(COUNTA(A129:K129)=0,"",IF(OR(A129="",B129=""),"Preencher CPF e entrada",IF(COUNTIFS($A$12:$A$5011,A129,$B$12:$B$5011,B129)&gt;1,"CPF + dia duplicado",IF(OR(AND(G129&lt;&gt;"",G129&lt;&gt;0,G129&lt;&gt;1),AND(H129&lt;&gt;"",H129&lt;&gt;0,H129&lt;&gt;1)),"Flags devem ser 0 ou 1",IF(AND(H129=1,LEN(TRIM(I129))=0),"Preencher nome do indicante",IF(AND(H129&lt;&gt;1,I129&lt;&gt;""),"Nome sem indicação interna",IF(AND(G129=1,F129=""),"Fechamento sem conversa",IF(OR(AND(E129&lt;&gt;"",E129&lt;B129),AND(F129&lt;&gt;"",F129&lt;B129)),"Evento anterior à entrada",IF(AND(F129&lt;&gt;"",E129=""),"Conversa sem agendamento",IF(OR(E129&gt;TODAY(),F129&gt;TODAY()),"Verificar evento futuro","OK"))))))))))</f>
        <v/>
      </c>
    </row>
    <row r="130" spans="12:15">
      <c r="L130" s="5">
        <f>IF(OR(A130="",B130=""),"",B130-WEEKDAY(B130,2)+1)</f>
        <v/>
      </c>
      <c r="M130" s="5">
        <f>IF(L130="","",L130+6)</f>
        <v/>
      </c>
      <c r="N130" s="6">
        <f>IF(OR(A130="",B130=""),"",DATE(YEAR(B130),MONTH(B130),1))</f>
        <v/>
      </c>
      <c r="O130" s="7">
        <f>IF(COUNTA(A130:K130)=0,"",IF(OR(A130="",B130=""),"Preencher CPF e entrada",IF(COUNTIFS($A$12:$A$5011,A130,$B$12:$B$5011,B130)&gt;1,"CPF + dia duplicado",IF(OR(AND(G130&lt;&gt;"",G130&lt;&gt;0,G130&lt;&gt;1),AND(H130&lt;&gt;"",H130&lt;&gt;0,H130&lt;&gt;1)),"Flags devem ser 0 ou 1",IF(AND(H130=1,LEN(TRIM(I130))=0),"Preencher nome do indicante",IF(AND(H130&lt;&gt;1,I130&lt;&gt;""),"Nome sem indicação interna",IF(AND(G130=1,F130=""),"Fechamento sem conversa",IF(OR(AND(E130&lt;&gt;"",E130&lt;B130),AND(F130&lt;&gt;"",F130&lt;B130)),"Evento anterior à entrada",IF(AND(F130&lt;&gt;"",E130=""),"Conversa sem agendamento",IF(OR(E130&gt;TODAY(),F130&gt;TODAY()),"Verificar evento futuro","OK"))))))))))</f>
        <v/>
      </c>
    </row>
    <row r="131" spans="12:15">
      <c r="L131" s="5">
        <f>IF(OR(A131="",B131=""),"",B131-WEEKDAY(B131,2)+1)</f>
        <v/>
      </c>
      <c r="M131" s="5">
        <f>IF(L131="","",L131+6)</f>
        <v/>
      </c>
      <c r="N131" s="6">
        <f>IF(OR(A131="",B131=""),"",DATE(YEAR(B131),MONTH(B131),1))</f>
        <v/>
      </c>
      <c r="O131" s="7">
        <f>IF(COUNTA(A131:K131)=0,"",IF(OR(A131="",B131=""),"Preencher CPF e entrada",IF(COUNTIFS($A$12:$A$5011,A131,$B$12:$B$5011,B131)&gt;1,"CPF + dia duplicado",IF(OR(AND(G131&lt;&gt;"",G131&lt;&gt;0,G131&lt;&gt;1),AND(H131&lt;&gt;"",H131&lt;&gt;0,H131&lt;&gt;1)),"Flags devem ser 0 ou 1",IF(AND(H131=1,LEN(TRIM(I131))=0),"Preencher nome do indicante",IF(AND(H131&lt;&gt;1,I131&lt;&gt;""),"Nome sem indicação interna",IF(AND(G131=1,F131=""),"Fechamento sem conversa",IF(OR(AND(E131&lt;&gt;"",E131&lt;B131),AND(F131&lt;&gt;"",F131&lt;B131)),"Evento anterior à entrada",IF(AND(F131&lt;&gt;"",E131=""),"Conversa sem agendamento",IF(OR(E131&gt;TODAY(),F131&gt;TODAY()),"Verificar evento futuro","OK"))))))))))</f>
        <v/>
      </c>
    </row>
    <row r="132" spans="12:15">
      <c r="L132" s="5">
        <f>IF(OR(A132="",B132=""),"",B132-WEEKDAY(B132,2)+1)</f>
        <v/>
      </c>
      <c r="M132" s="5">
        <f>IF(L132="","",L132+6)</f>
        <v/>
      </c>
      <c r="N132" s="6">
        <f>IF(OR(A132="",B132=""),"",DATE(YEAR(B132),MONTH(B132),1))</f>
        <v/>
      </c>
      <c r="O132" s="7">
        <f>IF(COUNTA(A132:K132)=0,"",IF(OR(A132="",B132=""),"Preencher CPF e entrada",IF(COUNTIFS($A$12:$A$5011,A132,$B$12:$B$5011,B132)&gt;1,"CPF + dia duplicado",IF(OR(AND(G132&lt;&gt;"",G132&lt;&gt;0,G132&lt;&gt;1),AND(H132&lt;&gt;"",H132&lt;&gt;0,H132&lt;&gt;1)),"Flags devem ser 0 ou 1",IF(AND(H132=1,LEN(TRIM(I132))=0),"Preencher nome do indicante",IF(AND(H132&lt;&gt;1,I132&lt;&gt;""),"Nome sem indicação interna",IF(AND(G132=1,F132=""),"Fechamento sem conversa",IF(OR(AND(E132&lt;&gt;"",E132&lt;B132),AND(F132&lt;&gt;"",F132&lt;B132)),"Evento anterior à entrada",IF(AND(F132&lt;&gt;"",E132=""),"Conversa sem agendamento",IF(OR(E132&gt;TODAY(),F132&gt;TODAY()),"Verificar evento futuro","OK"))))))))))</f>
        <v/>
      </c>
    </row>
    <row r="133" spans="12:15">
      <c r="L133" s="5">
        <f>IF(OR(A133="",B133=""),"",B133-WEEKDAY(B133,2)+1)</f>
        <v/>
      </c>
      <c r="M133" s="5">
        <f>IF(L133="","",L133+6)</f>
        <v/>
      </c>
      <c r="N133" s="6">
        <f>IF(OR(A133="",B133=""),"",DATE(YEAR(B133),MONTH(B133),1))</f>
        <v/>
      </c>
      <c r="O133" s="7">
        <f>IF(COUNTA(A133:K133)=0,"",IF(OR(A133="",B133=""),"Preencher CPF e entrada",IF(COUNTIFS($A$12:$A$5011,A133,$B$12:$B$5011,B133)&gt;1,"CPF + dia duplicado",IF(OR(AND(G133&lt;&gt;"",G133&lt;&gt;0,G133&lt;&gt;1),AND(H133&lt;&gt;"",H133&lt;&gt;0,H133&lt;&gt;1)),"Flags devem ser 0 ou 1",IF(AND(H133=1,LEN(TRIM(I133))=0),"Preencher nome do indicante",IF(AND(H133&lt;&gt;1,I133&lt;&gt;""),"Nome sem indicação interna",IF(AND(G133=1,F133=""),"Fechamento sem conversa",IF(OR(AND(E133&lt;&gt;"",E133&lt;B133),AND(F133&lt;&gt;"",F133&lt;B133)),"Evento anterior à entrada",IF(AND(F133&lt;&gt;"",E133=""),"Conversa sem agendamento",IF(OR(E133&gt;TODAY(),F133&gt;TODAY()),"Verificar evento futuro","OK"))))))))))</f>
        <v/>
      </c>
    </row>
    <row r="134" spans="12:15">
      <c r="L134" s="5">
        <f>IF(OR(A134="",B134=""),"",B134-WEEKDAY(B134,2)+1)</f>
        <v/>
      </c>
      <c r="M134" s="5">
        <f>IF(L134="","",L134+6)</f>
        <v/>
      </c>
      <c r="N134" s="6">
        <f>IF(OR(A134="",B134=""),"",DATE(YEAR(B134),MONTH(B134),1))</f>
        <v/>
      </c>
      <c r="O134" s="7">
        <f>IF(COUNTA(A134:K134)=0,"",IF(OR(A134="",B134=""),"Preencher CPF e entrada",IF(COUNTIFS($A$12:$A$5011,A134,$B$12:$B$5011,B134)&gt;1,"CPF + dia duplicado",IF(OR(AND(G134&lt;&gt;"",G134&lt;&gt;0,G134&lt;&gt;1),AND(H134&lt;&gt;"",H134&lt;&gt;0,H134&lt;&gt;1)),"Flags devem ser 0 ou 1",IF(AND(H134=1,LEN(TRIM(I134))=0),"Preencher nome do indicante",IF(AND(H134&lt;&gt;1,I134&lt;&gt;""),"Nome sem indicação interna",IF(AND(G134=1,F134=""),"Fechamento sem conversa",IF(OR(AND(E134&lt;&gt;"",E134&lt;B134),AND(F134&lt;&gt;"",F134&lt;B134)),"Evento anterior à entrada",IF(AND(F134&lt;&gt;"",E134=""),"Conversa sem agendamento",IF(OR(E134&gt;TODAY(),F134&gt;TODAY()),"Verificar evento futuro","OK"))))))))))</f>
        <v/>
      </c>
    </row>
    <row r="135" spans="12:15">
      <c r="L135" s="5">
        <f>IF(OR(A135="",B135=""),"",B135-WEEKDAY(B135,2)+1)</f>
        <v/>
      </c>
      <c r="M135" s="5">
        <f>IF(L135="","",L135+6)</f>
        <v/>
      </c>
      <c r="N135" s="6">
        <f>IF(OR(A135="",B135=""),"",DATE(YEAR(B135),MONTH(B135),1))</f>
        <v/>
      </c>
      <c r="O135" s="7">
        <f>IF(COUNTA(A135:K135)=0,"",IF(OR(A135="",B135=""),"Preencher CPF e entrada",IF(COUNTIFS($A$12:$A$5011,A135,$B$12:$B$5011,B135)&gt;1,"CPF + dia duplicado",IF(OR(AND(G135&lt;&gt;"",G135&lt;&gt;0,G135&lt;&gt;1),AND(H135&lt;&gt;"",H135&lt;&gt;0,H135&lt;&gt;1)),"Flags devem ser 0 ou 1",IF(AND(H135=1,LEN(TRIM(I135))=0),"Preencher nome do indicante",IF(AND(H135&lt;&gt;1,I135&lt;&gt;""),"Nome sem indicação interna",IF(AND(G135=1,F135=""),"Fechamento sem conversa",IF(OR(AND(E135&lt;&gt;"",E135&lt;B135),AND(F135&lt;&gt;"",F135&lt;B135)),"Evento anterior à entrada",IF(AND(F135&lt;&gt;"",E135=""),"Conversa sem agendamento",IF(OR(E135&gt;TODAY(),F135&gt;TODAY()),"Verificar evento futuro","OK"))))))))))</f>
        <v/>
      </c>
    </row>
    <row r="136" spans="12:15">
      <c r="L136" s="5">
        <f>IF(OR(A136="",B136=""),"",B136-WEEKDAY(B136,2)+1)</f>
        <v/>
      </c>
      <c r="M136" s="5">
        <f>IF(L136="","",L136+6)</f>
        <v/>
      </c>
      <c r="N136" s="6">
        <f>IF(OR(A136="",B136=""),"",DATE(YEAR(B136),MONTH(B136),1))</f>
        <v/>
      </c>
      <c r="O136" s="7">
        <f>IF(COUNTA(A136:K136)=0,"",IF(OR(A136="",B136=""),"Preencher CPF e entrada",IF(COUNTIFS($A$12:$A$5011,A136,$B$12:$B$5011,B136)&gt;1,"CPF + dia duplicado",IF(OR(AND(G136&lt;&gt;"",G136&lt;&gt;0,G136&lt;&gt;1),AND(H136&lt;&gt;"",H136&lt;&gt;0,H136&lt;&gt;1)),"Flags devem ser 0 ou 1",IF(AND(H136=1,LEN(TRIM(I136))=0),"Preencher nome do indicante",IF(AND(H136&lt;&gt;1,I136&lt;&gt;""),"Nome sem indicação interna",IF(AND(G136=1,F136=""),"Fechamento sem conversa",IF(OR(AND(E136&lt;&gt;"",E136&lt;B136),AND(F136&lt;&gt;"",F136&lt;B136)),"Evento anterior à entrada",IF(AND(F136&lt;&gt;"",E136=""),"Conversa sem agendamento",IF(OR(E136&gt;TODAY(),F136&gt;TODAY()),"Verificar evento futuro","OK"))))))))))</f>
        <v/>
      </c>
    </row>
    <row r="137" spans="12:15">
      <c r="L137" s="5">
        <f>IF(OR(A137="",B137=""),"",B137-WEEKDAY(B137,2)+1)</f>
        <v/>
      </c>
      <c r="M137" s="5">
        <f>IF(L137="","",L137+6)</f>
        <v/>
      </c>
      <c r="N137" s="6">
        <f>IF(OR(A137="",B137=""),"",DATE(YEAR(B137),MONTH(B137),1))</f>
        <v/>
      </c>
      <c r="O137" s="7">
        <f>IF(COUNTA(A137:K137)=0,"",IF(OR(A137="",B137=""),"Preencher CPF e entrada",IF(COUNTIFS($A$12:$A$5011,A137,$B$12:$B$5011,B137)&gt;1,"CPF + dia duplicado",IF(OR(AND(G137&lt;&gt;"",G137&lt;&gt;0,G137&lt;&gt;1),AND(H137&lt;&gt;"",H137&lt;&gt;0,H137&lt;&gt;1)),"Flags devem ser 0 ou 1",IF(AND(H137=1,LEN(TRIM(I137))=0),"Preencher nome do indicante",IF(AND(H137&lt;&gt;1,I137&lt;&gt;""),"Nome sem indicação interna",IF(AND(G137=1,F137=""),"Fechamento sem conversa",IF(OR(AND(E137&lt;&gt;"",E137&lt;B137),AND(F137&lt;&gt;"",F137&lt;B137)),"Evento anterior à entrada",IF(AND(F137&lt;&gt;"",E137=""),"Conversa sem agendamento",IF(OR(E137&gt;TODAY(),F137&gt;TODAY()),"Verificar evento futuro","OK"))))))))))</f>
        <v/>
      </c>
    </row>
    <row r="138" spans="12:15">
      <c r="L138" s="5">
        <f>IF(OR(A138="",B138=""),"",B138-WEEKDAY(B138,2)+1)</f>
        <v/>
      </c>
      <c r="M138" s="5">
        <f>IF(L138="","",L138+6)</f>
        <v/>
      </c>
      <c r="N138" s="6">
        <f>IF(OR(A138="",B138=""),"",DATE(YEAR(B138),MONTH(B138),1))</f>
        <v/>
      </c>
      <c r="O138" s="7">
        <f>IF(COUNTA(A138:K138)=0,"",IF(OR(A138="",B138=""),"Preencher CPF e entrada",IF(COUNTIFS($A$12:$A$5011,A138,$B$12:$B$5011,B138)&gt;1,"CPF + dia duplicado",IF(OR(AND(G138&lt;&gt;"",G138&lt;&gt;0,G138&lt;&gt;1),AND(H138&lt;&gt;"",H138&lt;&gt;0,H138&lt;&gt;1)),"Flags devem ser 0 ou 1",IF(AND(H138=1,LEN(TRIM(I138))=0),"Preencher nome do indicante",IF(AND(H138&lt;&gt;1,I138&lt;&gt;""),"Nome sem indicação interna",IF(AND(G138=1,F138=""),"Fechamento sem conversa",IF(OR(AND(E138&lt;&gt;"",E138&lt;B138),AND(F138&lt;&gt;"",F138&lt;B138)),"Evento anterior à entrada",IF(AND(F138&lt;&gt;"",E138=""),"Conversa sem agendamento",IF(OR(E138&gt;TODAY(),F138&gt;TODAY()),"Verificar evento futuro","OK"))))))))))</f>
        <v/>
      </c>
    </row>
    <row r="139" spans="12:15">
      <c r="L139" s="5">
        <f>IF(OR(A139="",B139=""),"",B139-WEEKDAY(B139,2)+1)</f>
        <v/>
      </c>
      <c r="M139" s="5">
        <f>IF(L139="","",L139+6)</f>
        <v/>
      </c>
      <c r="N139" s="6">
        <f>IF(OR(A139="",B139=""),"",DATE(YEAR(B139),MONTH(B139),1))</f>
        <v/>
      </c>
      <c r="O139" s="7">
        <f>IF(COUNTA(A139:K139)=0,"",IF(OR(A139="",B139=""),"Preencher CPF e entrada",IF(COUNTIFS($A$12:$A$5011,A139,$B$12:$B$5011,B139)&gt;1,"CPF + dia duplicado",IF(OR(AND(G139&lt;&gt;"",G139&lt;&gt;0,G139&lt;&gt;1),AND(H139&lt;&gt;"",H139&lt;&gt;0,H139&lt;&gt;1)),"Flags devem ser 0 ou 1",IF(AND(H139=1,LEN(TRIM(I139))=0),"Preencher nome do indicante",IF(AND(H139&lt;&gt;1,I139&lt;&gt;""),"Nome sem indicação interna",IF(AND(G139=1,F139=""),"Fechamento sem conversa",IF(OR(AND(E139&lt;&gt;"",E139&lt;B139),AND(F139&lt;&gt;"",F139&lt;B139)),"Evento anterior à entrada",IF(AND(F139&lt;&gt;"",E139=""),"Conversa sem agendamento",IF(OR(E139&gt;TODAY(),F139&gt;TODAY()),"Verificar evento futuro","OK"))))))))))</f>
        <v/>
      </c>
    </row>
    <row r="140" spans="12:15">
      <c r="L140" s="5">
        <f>IF(OR(A140="",B140=""),"",B140-WEEKDAY(B140,2)+1)</f>
        <v/>
      </c>
      <c r="M140" s="5">
        <f>IF(L140="","",L140+6)</f>
        <v/>
      </c>
      <c r="N140" s="6">
        <f>IF(OR(A140="",B140=""),"",DATE(YEAR(B140),MONTH(B140),1))</f>
        <v/>
      </c>
      <c r="O140" s="7">
        <f>IF(COUNTA(A140:K140)=0,"",IF(OR(A140="",B140=""),"Preencher CPF e entrada",IF(COUNTIFS($A$12:$A$5011,A140,$B$12:$B$5011,B140)&gt;1,"CPF + dia duplicado",IF(OR(AND(G140&lt;&gt;"",G140&lt;&gt;0,G140&lt;&gt;1),AND(H140&lt;&gt;"",H140&lt;&gt;0,H140&lt;&gt;1)),"Flags devem ser 0 ou 1",IF(AND(H140=1,LEN(TRIM(I140))=0),"Preencher nome do indicante",IF(AND(H140&lt;&gt;1,I140&lt;&gt;""),"Nome sem indicação interna",IF(AND(G140=1,F140=""),"Fechamento sem conversa",IF(OR(AND(E140&lt;&gt;"",E140&lt;B140),AND(F140&lt;&gt;"",F140&lt;B140)),"Evento anterior à entrada",IF(AND(F140&lt;&gt;"",E140=""),"Conversa sem agendamento",IF(OR(E140&gt;TODAY(),F140&gt;TODAY()),"Verificar evento futuro","OK"))))))))))</f>
        <v/>
      </c>
    </row>
    <row r="141" spans="12:15">
      <c r="L141" s="5">
        <f>IF(OR(A141="",B141=""),"",B141-WEEKDAY(B141,2)+1)</f>
        <v/>
      </c>
      <c r="M141" s="5">
        <f>IF(L141="","",L141+6)</f>
        <v/>
      </c>
      <c r="N141" s="6">
        <f>IF(OR(A141="",B141=""),"",DATE(YEAR(B141),MONTH(B141),1))</f>
        <v/>
      </c>
      <c r="O141" s="7">
        <f>IF(COUNTA(A141:K141)=0,"",IF(OR(A141="",B141=""),"Preencher CPF e entrada",IF(COUNTIFS($A$12:$A$5011,A141,$B$12:$B$5011,B141)&gt;1,"CPF + dia duplicado",IF(OR(AND(G141&lt;&gt;"",G141&lt;&gt;0,G141&lt;&gt;1),AND(H141&lt;&gt;"",H141&lt;&gt;0,H141&lt;&gt;1)),"Flags devem ser 0 ou 1",IF(AND(H141=1,LEN(TRIM(I141))=0),"Preencher nome do indicante",IF(AND(H141&lt;&gt;1,I141&lt;&gt;""),"Nome sem indicação interna",IF(AND(G141=1,F141=""),"Fechamento sem conversa",IF(OR(AND(E141&lt;&gt;"",E141&lt;B141),AND(F141&lt;&gt;"",F141&lt;B141)),"Evento anterior à entrada",IF(AND(F141&lt;&gt;"",E141=""),"Conversa sem agendamento",IF(OR(E141&gt;TODAY(),F141&gt;TODAY()),"Verificar evento futuro","OK"))))))))))</f>
        <v/>
      </c>
    </row>
    <row r="142" spans="12:15">
      <c r="L142" s="5">
        <f>IF(OR(A142="",B142=""),"",B142-WEEKDAY(B142,2)+1)</f>
        <v/>
      </c>
      <c r="M142" s="5">
        <f>IF(L142="","",L142+6)</f>
        <v/>
      </c>
      <c r="N142" s="6">
        <f>IF(OR(A142="",B142=""),"",DATE(YEAR(B142),MONTH(B142),1))</f>
        <v/>
      </c>
      <c r="O142" s="7">
        <f>IF(COUNTA(A142:K142)=0,"",IF(OR(A142="",B142=""),"Preencher CPF e entrada",IF(COUNTIFS($A$12:$A$5011,A142,$B$12:$B$5011,B142)&gt;1,"CPF + dia duplicado",IF(OR(AND(G142&lt;&gt;"",G142&lt;&gt;0,G142&lt;&gt;1),AND(H142&lt;&gt;"",H142&lt;&gt;0,H142&lt;&gt;1)),"Flags devem ser 0 ou 1",IF(AND(H142=1,LEN(TRIM(I142))=0),"Preencher nome do indicante",IF(AND(H142&lt;&gt;1,I142&lt;&gt;""),"Nome sem indicação interna",IF(AND(G142=1,F142=""),"Fechamento sem conversa",IF(OR(AND(E142&lt;&gt;"",E142&lt;B142),AND(F142&lt;&gt;"",F142&lt;B142)),"Evento anterior à entrada",IF(AND(F142&lt;&gt;"",E142=""),"Conversa sem agendamento",IF(OR(E142&gt;TODAY(),F142&gt;TODAY()),"Verificar evento futuro","OK"))))))))))</f>
        <v/>
      </c>
    </row>
    <row r="143" spans="12:15">
      <c r="L143" s="5">
        <f>IF(OR(A143="",B143=""),"",B143-WEEKDAY(B143,2)+1)</f>
        <v/>
      </c>
      <c r="M143" s="5">
        <f>IF(L143="","",L143+6)</f>
        <v/>
      </c>
      <c r="N143" s="6">
        <f>IF(OR(A143="",B143=""),"",DATE(YEAR(B143),MONTH(B143),1))</f>
        <v/>
      </c>
      <c r="O143" s="7">
        <f>IF(COUNTA(A143:K143)=0,"",IF(OR(A143="",B143=""),"Preencher CPF e entrada",IF(COUNTIFS($A$12:$A$5011,A143,$B$12:$B$5011,B143)&gt;1,"CPF + dia duplicado",IF(OR(AND(G143&lt;&gt;"",G143&lt;&gt;0,G143&lt;&gt;1),AND(H143&lt;&gt;"",H143&lt;&gt;0,H143&lt;&gt;1)),"Flags devem ser 0 ou 1",IF(AND(H143=1,LEN(TRIM(I143))=0),"Preencher nome do indicante",IF(AND(H143&lt;&gt;1,I143&lt;&gt;""),"Nome sem indicação interna",IF(AND(G143=1,F143=""),"Fechamento sem conversa",IF(OR(AND(E143&lt;&gt;"",E143&lt;B143),AND(F143&lt;&gt;"",F143&lt;B143)),"Evento anterior à entrada",IF(AND(F143&lt;&gt;"",E143=""),"Conversa sem agendamento",IF(OR(E143&gt;TODAY(),F143&gt;TODAY()),"Verificar evento futuro","OK"))))))))))</f>
        <v/>
      </c>
    </row>
    <row r="144" spans="12:15">
      <c r="L144" s="5">
        <f>IF(OR(A144="",B144=""),"",B144-WEEKDAY(B144,2)+1)</f>
        <v/>
      </c>
      <c r="M144" s="5">
        <f>IF(L144="","",L144+6)</f>
        <v/>
      </c>
      <c r="N144" s="6">
        <f>IF(OR(A144="",B144=""),"",DATE(YEAR(B144),MONTH(B144),1))</f>
        <v/>
      </c>
      <c r="O144" s="7">
        <f>IF(COUNTA(A144:K144)=0,"",IF(OR(A144="",B144=""),"Preencher CPF e entrada",IF(COUNTIFS($A$12:$A$5011,A144,$B$12:$B$5011,B144)&gt;1,"CPF + dia duplicado",IF(OR(AND(G144&lt;&gt;"",G144&lt;&gt;0,G144&lt;&gt;1),AND(H144&lt;&gt;"",H144&lt;&gt;0,H144&lt;&gt;1)),"Flags devem ser 0 ou 1",IF(AND(H144=1,LEN(TRIM(I144))=0),"Preencher nome do indicante",IF(AND(H144&lt;&gt;1,I144&lt;&gt;""),"Nome sem indicação interna",IF(AND(G144=1,F144=""),"Fechamento sem conversa",IF(OR(AND(E144&lt;&gt;"",E144&lt;B144),AND(F144&lt;&gt;"",F144&lt;B144)),"Evento anterior à entrada",IF(AND(F144&lt;&gt;"",E144=""),"Conversa sem agendamento",IF(OR(E144&gt;TODAY(),F144&gt;TODAY()),"Verificar evento futuro","OK"))))))))))</f>
        <v/>
      </c>
    </row>
    <row r="145" spans="12:15">
      <c r="L145" s="5">
        <f>IF(OR(A145="",B145=""),"",B145-WEEKDAY(B145,2)+1)</f>
        <v/>
      </c>
      <c r="M145" s="5">
        <f>IF(L145="","",L145+6)</f>
        <v/>
      </c>
      <c r="N145" s="6">
        <f>IF(OR(A145="",B145=""),"",DATE(YEAR(B145),MONTH(B145),1))</f>
        <v/>
      </c>
      <c r="O145" s="7">
        <f>IF(COUNTA(A145:K145)=0,"",IF(OR(A145="",B145=""),"Preencher CPF e entrada",IF(COUNTIFS($A$12:$A$5011,A145,$B$12:$B$5011,B145)&gt;1,"CPF + dia duplicado",IF(OR(AND(G145&lt;&gt;"",G145&lt;&gt;0,G145&lt;&gt;1),AND(H145&lt;&gt;"",H145&lt;&gt;0,H145&lt;&gt;1)),"Flags devem ser 0 ou 1",IF(AND(H145=1,LEN(TRIM(I145))=0),"Preencher nome do indicante",IF(AND(H145&lt;&gt;1,I145&lt;&gt;""),"Nome sem indicação interna",IF(AND(G145=1,F145=""),"Fechamento sem conversa",IF(OR(AND(E145&lt;&gt;"",E145&lt;B145),AND(F145&lt;&gt;"",F145&lt;B145)),"Evento anterior à entrada",IF(AND(F145&lt;&gt;"",E145=""),"Conversa sem agendamento",IF(OR(E145&gt;TODAY(),F145&gt;TODAY()),"Verificar evento futuro","OK"))))))))))</f>
        <v/>
      </c>
    </row>
    <row r="146" spans="12:15">
      <c r="L146" s="5">
        <f>IF(OR(A146="",B146=""),"",B146-WEEKDAY(B146,2)+1)</f>
        <v/>
      </c>
      <c r="M146" s="5">
        <f>IF(L146="","",L146+6)</f>
        <v/>
      </c>
      <c r="N146" s="6">
        <f>IF(OR(A146="",B146=""),"",DATE(YEAR(B146),MONTH(B146),1))</f>
        <v/>
      </c>
      <c r="O146" s="7">
        <f>IF(COUNTA(A146:K146)=0,"",IF(OR(A146="",B146=""),"Preencher CPF e entrada",IF(COUNTIFS($A$12:$A$5011,A146,$B$12:$B$5011,B146)&gt;1,"CPF + dia duplicado",IF(OR(AND(G146&lt;&gt;"",G146&lt;&gt;0,G146&lt;&gt;1),AND(H146&lt;&gt;"",H146&lt;&gt;0,H146&lt;&gt;1)),"Flags devem ser 0 ou 1",IF(AND(H146=1,LEN(TRIM(I146))=0),"Preencher nome do indicante",IF(AND(H146&lt;&gt;1,I146&lt;&gt;""),"Nome sem indicação interna",IF(AND(G146=1,F146=""),"Fechamento sem conversa",IF(OR(AND(E146&lt;&gt;"",E146&lt;B146),AND(F146&lt;&gt;"",F146&lt;B146)),"Evento anterior à entrada",IF(AND(F146&lt;&gt;"",E146=""),"Conversa sem agendamento",IF(OR(E146&gt;TODAY(),F146&gt;TODAY()),"Verificar evento futuro","OK"))))))))))</f>
        <v/>
      </c>
    </row>
    <row r="147" spans="12:15">
      <c r="L147" s="5">
        <f>IF(OR(A147="",B147=""),"",B147-WEEKDAY(B147,2)+1)</f>
        <v/>
      </c>
      <c r="M147" s="5">
        <f>IF(L147="","",L147+6)</f>
        <v/>
      </c>
      <c r="N147" s="6">
        <f>IF(OR(A147="",B147=""),"",DATE(YEAR(B147),MONTH(B147),1))</f>
        <v/>
      </c>
      <c r="O147" s="7">
        <f>IF(COUNTA(A147:K147)=0,"",IF(OR(A147="",B147=""),"Preencher CPF e entrada",IF(COUNTIFS($A$12:$A$5011,A147,$B$12:$B$5011,B147)&gt;1,"CPF + dia duplicado",IF(OR(AND(G147&lt;&gt;"",G147&lt;&gt;0,G147&lt;&gt;1),AND(H147&lt;&gt;"",H147&lt;&gt;0,H147&lt;&gt;1)),"Flags devem ser 0 ou 1",IF(AND(H147=1,LEN(TRIM(I147))=0),"Preencher nome do indicante",IF(AND(H147&lt;&gt;1,I147&lt;&gt;""),"Nome sem indicação interna",IF(AND(G147=1,F147=""),"Fechamento sem conversa",IF(OR(AND(E147&lt;&gt;"",E147&lt;B147),AND(F147&lt;&gt;"",F147&lt;B147)),"Evento anterior à entrada",IF(AND(F147&lt;&gt;"",E147=""),"Conversa sem agendamento",IF(OR(E147&gt;TODAY(),F147&gt;TODAY()),"Verificar evento futuro","OK"))))))))))</f>
        <v/>
      </c>
    </row>
    <row r="148" spans="12:15">
      <c r="L148" s="5">
        <f>IF(OR(A148="",B148=""),"",B148-WEEKDAY(B148,2)+1)</f>
        <v/>
      </c>
      <c r="M148" s="5">
        <f>IF(L148="","",L148+6)</f>
        <v/>
      </c>
      <c r="N148" s="6">
        <f>IF(OR(A148="",B148=""),"",DATE(YEAR(B148),MONTH(B148),1))</f>
        <v/>
      </c>
      <c r="O148" s="7">
        <f>IF(COUNTA(A148:K148)=0,"",IF(OR(A148="",B148=""),"Preencher CPF e entrada",IF(COUNTIFS($A$12:$A$5011,A148,$B$12:$B$5011,B148)&gt;1,"CPF + dia duplicado",IF(OR(AND(G148&lt;&gt;"",G148&lt;&gt;0,G148&lt;&gt;1),AND(H148&lt;&gt;"",H148&lt;&gt;0,H148&lt;&gt;1)),"Flags devem ser 0 ou 1",IF(AND(H148=1,LEN(TRIM(I148))=0),"Preencher nome do indicante",IF(AND(H148&lt;&gt;1,I148&lt;&gt;""),"Nome sem indicação interna",IF(AND(G148=1,F148=""),"Fechamento sem conversa",IF(OR(AND(E148&lt;&gt;"",E148&lt;B148),AND(F148&lt;&gt;"",F148&lt;B148)),"Evento anterior à entrada",IF(AND(F148&lt;&gt;"",E148=""),"Conversa sem agendamento",IF(OR(E148&gt;TODAY(),F148&gt;TODAY()),"Verificar evento futuro","OK"))))))))))</f>
        <v/>
      </c>
    </row>
    <row r="149" spans="12:15">
      <c r="L149" s="5">
        <f>IF(OR(A149="",B149=""),"",B149-WEEKDAY(B149,2)+1)</f>
        <v/>
      </c>
      <c r="M149" s="5">
        <f>IF(L149="","",L149+6)</f>
        <v/>
      </c>
      <c r="N149" s="6">
        <f>IF(OR(A149="",B149=""),"",DATE(YEAR(B149),MONTH(B149),1))</f>
        <v/>
      </c>
      <c r="O149" s="7">
        <f>IF(COUNTA(A149:K149)=0,"",IF(OR(A149="",B149=""),"Preencher CPF e entrada",IF(COUNTIFS($A$12:$A$5011,A149,$B$12:$B$5011,B149)&gt;1,"CPF + dia duplicado",IF(OR(AND(G149&lt;&gt;"",G149&lt;&gt;0,G149&lt;&gt;1),AND(H149&lt;&gt;"",H149&lt;&gt;0,H149&lt;&gt;1)),"Flags devem ser 0 ou 1",IF(AND(H149=1,LEN(TRIM(I149))=0),"Preencher nome do indicante",IF(AND(H149&lt;&gt;1,I149&lt;&gt;""),"Nome sem indicação interna",IF(AND(G149=1,F149=""),"Fechamento sem conversa",IF(OR(AND(E149&lt;&gt;"",E149&lt;B149),AND(F149&lt;&gt;"",F149&lt;B149)),"Evento anterior à entrada",IF(AND(F149&lt;&gt;"",E149=""),"Conversa sem agendamento",IF(OR(E149&gt;TODAY(),F149&gt;TODAY()),"Verificar evento futuro","OK"))))))))))</f>
        <v/>
      </c>
    </row>
    <row r="150" spans="12:15">
      <c r="L150" s="5">
        <f>IF(OR(A150="",B150=""),"",B150-WEEKDAY(B150,2)+1)</f>
        <v/>
      </c>
      <c r="M150" s="5">
        <f>IF(L150="","",L150+6)</f>
        <v/>
      </c>
      <c r="N150" s="6">
        <f>IF(OR(A150="",B150=""),"",DATE(YEAR(B150),MONTH(B150),1))</f>
        <v/>
      </c>
      <c r="O150" s="7">
        <f>IF(COUNTA(A150:K150)=0,"",IF(OR(A150="",B150=""),"Preencher CPF e entrada",IF(COUNTIFS($A$12:$A$5011,A150,$B$12:$B$5011,B150)&gt;1,"CPF + dia duplicado",IF(OR(AND(G150&lt;&gt;"",G150&lt;&gt;0,G150&lt;&gt;1),AND(H150&lt;&gt;"",H150&lt;&gt;0,H150&lt;&gt;1)),"Flags devem ser 0 ou 1",IF(AND(H150=1,LEN(TRIM(I150))=0),"Preencher nome do indicante",IF(AND(H150&lt;&gt;1,I150&lt;&gt;""),"Nome sem indicação interna",IF(AND(G150=1,F150=""),"Fechamento sem conversa",IF(OR(AND(E150&lt;&gt;"",E150&lt;B150),AND(F150&lt;&gt;"",F150&lt;B150)),"Evento anterior à entrada",IF(AND(F150&lt;&gt;"",E150=""),"Conversa sem agendamento",IF(OR(E150&gt;TODAY(),F150&gt;TODAY()),"Verificar evento futuro","OK"))))))))))</f>
        <v/>
      </c>
    </row>
    <row r="151" spans="12:15">
      <c r="L151" s="5">
        <f>IF(OR(A151="",B151=""),"",B151-WEEKDAY(B151,2)+1)</f>
        <v/>
      </c>
      <c r="M151" s="5">
        <f>IF(L151="","",L151+6)</f>
        <v/>
      </c>
      <c r="N151" s="6">
        <f>IF(OR(A151="",B151=""),"",DATE(YEAR(B151),MONTH(B151),1))</f>
        <v/>
      </c>
      <c r="O151" s="7">
        <f>IF(COUNTA(A151:K151)=0,"",IF(OR(A151="",B151=""),"Preencher CPF e entrada",IF(COUNTIFS($A$12:$A$5011,A151,$B$12:$B$5011,B151)&gt;1,"CPF + dia duplicado",IF(OR(AND(G151&lt;&gt;"",G151&lt;&gt;0,G151&lt;&gt;1),AND(H151&lt;&gt;"",H151&lt;&gt;0,H151&lt;&gt;1)),"Flags devem ser 0 ou 1",IF(AND(H151=1,LEN(TRIM(I151))=0),"Preencher nome do indicante",IF(AND(H151&lt;&gt;1,I151&lt;&gt;""),"Nome sem indicação interna",IF(AND(G151=1,F151=""),"Fechamento sem conversa",IF(OR(AND(E151&lt;&gt;"",E151&lt;B151),AND(F151&lt;&gt;"",F151&lt;B151)),"Evento anterior à entrada",IF(AND(F151&lt;&gt;"",E151=""),"Conversa sem agendamento",IF(OR(E151&gt;TODAY(),F151&gt;TODAY()),"Verificar evento futuro","OK"))))))))))</f>
        <v/>
      </c>
    </row>
    <row r="152" spans="12:15">
      <c r="L152" s="5">
        <f>IF(OR(A152="",B152=""),"",B152-WEEKDAY(B152,2)+1)</f>
        <v/>
      </c>
      <c r="M152" s="5">
        <f>IF(L152="","",L152+6)</f>
        <v/>
      </c>
      <c r="N152" s="6">
        <f>IF(OR(A152="",B152=""),"",DATE(YEAR(B152),MONTH(B152),1))</f>
        <v/>
      </c>
      <c r="O152" s="7">
        <f>IF(COUNTA(A152:K152)=0,"",IF(OR(A152="",B152=""),"Preencher CPF e entrada",IF(COUNTIFS($A$12:$A$5011,A152,$B$12:$B$5011,B152)&gt;1,"CPF + dia duplicado",IF(OR(AND(G152&lt;&gt;"",G152&lt;&gt;0,G152&lt;&gt;1),AND(H152&lt;&gt;"",H152&lt;&gt;0,H152&lt;&gt;1)),"Flags devem ser 0 ou 1",IF(AND(H152=1,LEN(TRIM(I152))=0),"Preencher nome do indicante",IF(AND(H152&lt;&gt;1,I152&lt;&gt;""),"Nome sem indicação interna",IF(AND(G152=1,F152=""),"Fechamento sem conversa",IF(OR(AND(E152&lt;&gt;"",E152&lt;B152),AND(F152&lt;&gt;"",F152&lt;B152)),"Evento anterior à entrada",IF(AND(F152&lt;&gt;"",E152=""),"Conversa sem agendamento",IF(OR(E152&gt;TODAY(),F152&gt;TODAY()),"Verificar evento futuro","OK"))))))))))</f>
        <v/>
      </c>
    </row>
    <row r="153" spans="12:15">
      <c r="L153" s="5">
        <f>IF(OR(A153="",B153=""),"",B153-WEEKDAY(B153,2)+1)</f>
        <v/>
      </c>
      <c r="M153" s="5">
        <f>IF(L153="","",L153+6)</f>
        <v/>
      </c>
      <c r="N153" s="6">
        <f>IF(OR(A153="",B153=""),"",DATE(YEAR(B153),MONTH(B153),1))</f>
        <v/>
      </c>
      <c r="O153" s="7">
        <f>IF(COUNTA(A153:K153)=0,"",IF(OR(A153="",B153=""),"Preencher CPF e entrada",IF(COUNTIFS($A$12:$A$5011,A153,$B$12:$B$5011,B153)&gt;1,"CPF + dia duplicado",IF(OR(AND(G153&lt;&gt;"",G153&lt;&gt;0,G153&lt;&gt;1),AND(H153&lt;&gt;"",H153&lt;&gt;0,H153&lt;&gt;1)),"Flags devem ser 0 ou 1",IF(AND(H153=1,LEN(TRIM(I153))=0),"Preencher nome do indicante",IF(AND(H153&lt;&gt;1,I153&lt;&gt;""),"Nome sem indicação interna",IF(AND(G153=1,F153=""),"Fechamento sem conversa",IF(OR(AND(E153&lt;&gt;"",E153&lt;B153),AND(F153&lt;&gt;"",F153&lt;B153)),"Evento anterior à entrada",IF(AND(F153&lt;&gt;"",E153=""),"Conversa sem agendamento",IF(OR(E153&gt;TODAY(),F153&gt;TODAY()),"Verificar evento futuro","OK"))))))))))</f>
        <v/>
      </c>
    </row>
    <row r="154" spans="12:15">
      <c r="L154" s="5">
        <f>IF(OR(A154="",B154=""),"",B154-WEEKDAY(B154,2)+1)</f>
        <v/>
      </c>
      <c r="M154" s="5">
        <f>IF(L154="","",L154+6)</f>
        <v/>
      </c>
      <c r="N154" s="6">
        <f>IF(OR(A154="",B154=""),"",DATE(YEAR(B154),MONTH(B154),1))</f>
        <v/>
      </c>
      <c r="O154" s="7">
        <f>IF(COUNTA(A154:K154)=0,"",IF(OR(A154="",B154=""),"Preencher CPF e entrada",IF(COUNTIFS($A$12:$A$5011,A154,$B$12:$B$5011,B154)&gt;1,"CPF + dia duplicado",IF(OR(AND(G154&lt;&gt;"",G154&lt;&gt;0,G154&lt;&gt;1),AND(H154&lt;&gt;"",H154&lt;&gt;0,H154&lt;&gt;1)),"Flags devem ser 0 ou 1",IF(AND(H154=1,LEN(TRIM(I154))=0),"Preencher nome do indicante",IF(AND(H154&lt;&gt;1,I154&lt;&gt;""),"Nome sem indicação interna",IF(AND(G154=1,F154=""),"Fechamento sem conversa",IF(OR(AND(E154&lt;&gt;"",E154&lt;B154),AND(F154&lt;&gt;"",F154&lt;B154)),"Evento anterior à entrada",IF(AND(F154&lt;&gt;"",E154=""),"Conversa sem agendamento",IF(OR(E154&gt;TODAY(),F154&gt;TODAY()),"Verificar evento futuro","OK"))))))))))</f>
        <v/>
      </c>
    </row>
    <row r="155" spans="12:15">
      <c r="L155" s="5">
        <f>IF(OR(A155="",B155=""),"",B155-WEEKDAY(B155,2)+1)</f>
        <v/>
      </c>
      <c r="M155" s="5">
        <f>IF(L155="","",L155+6)</f>
        <v/>
      </c>
      <c r="N155" s="6">
        <f>IF(OR(A155="",B155=""),"",DATE(YEAR(B155),MONTH(B155),1))</f>
        <v/>
      </c>
      <c r="O155" s="7">
        <f>IF(COUNTA(A155:K155)=0,"",IF(OR(A155="",B155=""),"Preencher CPF e entrada",IF(COUNTIFS($A$12:$A$5011,A155,$B$12:$B$5011,B155)&gt;1,"CPF + dia duplicado",IF(OR(AND(G155&lt;&gt;"",G155&lt;&gt;0,G155&lt;&gt;1),AND(H155&lt;&gt;"",H155&lt;&gt;0,H155&lt;&gt;1)),"Flags devem ser 0 ou 1",IF(AND(H155=1,LEN(TRIM(I155))=0),"Preencher nome do indicante",IF(AND(H155&lt;&gt;1,I155&lt;&gt;""),"Nome sem indicação interna",IF(AND(G155=1,F155=""),"Fechamento sem conversa",IF(OR(AND(E155&lt;&gt;"",E155&lt;B155),AND(F155&lt;&gt;"",F155&lt;B155)),"Evento anterior à entrada",IF(AND(F155&lt;&gt;"",E155=""),"Conversa sem agendamento",IF(OR(E155&gt;TODAY(),F155&gt;TODAY()),"Verificar evento futuro","OK"))))))))))</f>
        <v/>
      </c>
    </row>
    <row r="156" spans="12:15">
      <c r="L156" s="5">
        <f>IF(OR(A156="",B156=""),"",B156-WEEKDAY(B156,2)+1)</f>
        <v/>
      </c>
      <c r="M156" s="5">
        <f>IF(L156="","",L156+6)</f>
        <v/>
      </c>
      <c r="N156" s="6">
        <f>IF(OR(A156="",B156=""),"",DATE(YEAR(B156),MONTH(B156),1))</f>
        <v/>
      </c>
      <c r="O156" s="7">
        <f>IF(COUNTA(A156:K156)=0,"",IF(OR(A156="",B156=""),"Preencher CPF e entrada",IF(COUNTIFS($A$12:$A$5011,A156,$B$12:$B$5011,B156)&gt;1,"CPF + dia duplicado",IF(OR(AND(G156&lt;&gt;"",G156&lt;&gt;0,G156&lt;&gt;1),AND(H156&lt;&gt;"",H156&lt;&gt;0,H156&lt;&gt;1)),"Flags devem ser 0 ou 1",IF(AND(H156=1,LEN(TRIM(I156))=0),"Preencher nome do indicante",IF(AND(H156&lt;&gt;1,I156&lt;&gt;""),"Nome sem indicação interna",IF(AND(G156=1,F156=""),"Fechamento sem conversa",IF(OR(AND(E156&lt;&gt;"",E156&lt;B156),AND(F156&lt;&gt;"",F156&lt;B156)),"Evento anterior à entrada",IF(AND(F156&lt;&gt;"",E156=""),"Conversa sem agendamento",IF(OR(E156&gt;TODAY(),F156&gt;TODAY()),"Verificar evento futuro","OK"))))))))))</f>
        <v/>
      </c>
    </row>
    <row r="157" spans="12:15">
      <c r="L157" s="5">
        <f>IF(OR(A157="",B157=""),"",B157-WEEKDAY(B157,2)+1)</f>
        <v/>
      </c>
      <c r="M157" s="5">
        <f>IF(L157="","",L157+6)</f>
        <v/>
      </c>
      <c r="N157" s="6">
        <f>IF(OR(A157="",B157=""),"",DATE(YEAR(B157),MONTH(B157),1))</f>
        <v/>
      </c>
      <c r="O157" s="7">
        <f>IF(COUNTA(A157:K157)=0,"",IF(OR(A157="",B157=""),"Preencher CPF e entrada",IF(COUNTIFS($A$12:$A$5011,A157,$B$12:$B$5011,B157)&gt;1,"CPF + dia duplicado",IF(OR(AND(G157&lt;&gt;"",G157&lt;&gt;0,G157&lt;&gt;1),AND(H157&lt;&gt;"",H157&lt;&gt;0,H157&lt;&gt;1)),"Flags devem ser 0 ou 1",IF(AND(H157=1,LEN(TRIM(I157))=0),"Preencher nome do indicante",IF(AND(H157&lt;&gt;1,I157&lt;&gt;""),"Nome sem indicação interna",IF(AND(G157=1,F157=""),"Fechamento sem conversa",IF(OR(AND(E157&lt;&gt;"",E157&lt;B157),AND(F157&lt;&gt;"",F157&lt;B157)),"Evento anterior à entrada",IF(AND(F157&lt;&gt;"",E157=""),"Conversa sem agendamento",IF(OR(E157&gt;TODAY(),F157&gt;TODAY()),"Verificar evento futuro","OK"))))))))))</f>
        <v/>
      </c>
    </row>
    <row r="158" spans="12:15">
      <c r="L158" s="5">
        <f>IF(OR(A158="",B158=""),"",B158-WEEKDAY(B158,2)+1)</f>
        <v/>
      </c>
      <c r="M158" s="5">
        <f>IF(L158="","",L158+6)</f>
        <v/>
      </c>
      <c r="N158" s="6">
        <f>IF(OR(A158="",B158=""),"",DATE(YEAR(B158),MONTH(B158),1))</f>
        <v/>
      </c>
      <c r="O158" s="7">
        <f>IF(COUNTA(A158:K158)=0,"",IF(OR(A158="",B158=""),"Preencher CPF e entrada",IF(COUNTIFS($A$12:$A$5011,A158,$B$12:$B$5011,B158)&gt;1,"CPF + dia duplicado",IF(OR(AND(G158&lt;&gt;"",G158&lt;&gt;0,G158&lt;&gt;1),AND(H158&lt;&gt;"",H158&lt;&gt;0,H158&lt;&gt;1)),"Flags devem ser 0 ou 1",IF(AND(H158=1,LEN(TRIM(I158))=0),"Preencher nome do indicante",IF(AND(H158&lt;&gt;1,I158&lt;&gt;""),"Nome sem indicação interna",IF(AND(G158=1,F158=""),"Fechamento sem conversa",IF(OR(AND(E158&lt;&gt;"",E158&lt;B158),AND(F158&lt;&gt;"",F158&lt;B158)),"Evento anterior à entrada",IF(AND(F158&lt;&gt;"",E158=""),"Conversa sem agendamento",IF(OR(E158&gt;TODAY(),F158&gt;TODAY()),"Verificar evento futuro","OK"))))))))))</f>
        <v/>
      </c>
    </row>
    <row r="159" spans="12:15">
      <c r="L159" s="5">
        <f>IF(OR(A159="",B159=""),"",B159-WEEKDAY(B159,2)+1)</f>
        <v/>
      </c>
      <c r="M159" s="5">
        <f>IF(L159="","",L159+6)</f>
        <v/>
      </c>
      <c r="N159" s="6">
        <f>IF(OR(A159="",B159=""),"",DATE(YEAR(B159),MONTH(B159),1))</f>
        <v/>
      </c>
      <c r="O159" s="7">
        <f>IF(COUNTA(A159:K159)=0,"",IF(OR(A159="",B159=""),"Preencher CPF e entrada",IF(COUNTIFS($A$12:$A$5011,A159,$B$12:$B$5011,B159)&gt;1,"CPF + dia duplicado",IF(OR(AND(G159&lt;&gt;"",G159&lt;&gt;0,G159&lt;&gt;1),AND(H159&lt;&gt;"",H159&lt;&gt;0,H159&lt;&gt;1)),"Flags devem ser 0 ou 1",IF(AND(H159=1,LEN(TRIM(I159))=0),"Preencher nome do indicante",IF(AND(H159&lt;&gt;1,I159&lt;&gt;""),"Nome sem indicação interna",IF(AND(G159=1,F159=""),"Fechamento sem conversa",IF(OR(AND(E159&lt;&gt;"",E159&lt;B159),AND(F159&lt;&gt;"",F159&lt;B159)),"Evento anterior à entrada",IF(AND(F159&lt;&gt;"",E159=""),"Conversa sem agendamento",IF(OR(E159&gt;TODAY(),F159&gt;TODAY()),"Verificar evento futuro","OK"))))))))))</f>
        <v/>
      </c>
    </row>
    <row r="160" spans="12:15">
      <c r="L160" s="5">
        <f>IF(OR(A160="",B160=""),"",B160-WEEKDAY(B160,2)+1)</f>
        <v/>
      </c>
      <c r="M160" s="5">
        <f>IF(L160="","",L160+6)</f>
        <v/>
      </c>
      <c r="N160" s="6">
        <f>IF(OR(A160="",B160=""),"",DATE(YEAR(B160),MONTH(B160),1))</f>
        <v/>
      </c>
      <c r="O160" s="7">
        <f>IF(COUNTA(A160:K160)=0,"",IF(OR(A160="",B160=""),"Preencher CPF e entrada",IF(COUNTIFS($A$12:$A$5011,A160,$B$12:$B$5011,B160)&gt;1,"CPF + dia duplicado",IF(OR(AND(G160&lt;&gt;"",G160&lt;&gt;0,G160&lt;&gt;1),AND(H160&lt;&gt;"",H160&lt;&gt;0,H160&lt;&gt;1)),"Flags devem ser 0 ou 1",IF(AND(H160=1,LEN(TRIM(I160))=0),"Preencher nome do indicante",IF(AND(H160&lt;&gt;1,I160&lt;&gt;""),"Nome sem indicação interna",IF(AND(G160=1,F160=""),"Fechamento sem conversa",IF(OR(AND(E160&lt;&gt;"",E160&lt;B160),AND(F160&lt;&gt;"",F160&lt;B160)),"Evento anterior à entrada",IF(AND(F160&lt;&gt;"",E160=""),"Conversa sem agendamento",IF(OR(E160&gt;TODAY(),F160&gt;TODAY()),"Verificar evento futuro","OK"))))))))))</f>
        <v/>
      </c>
    </row>
    <row r="161" spans="12:15">
      <c r="L161" s="5">
        <f>IF(OR(A161="",B161=""),"",B161-WEEKDAY(B161,2)+1)</f>
        <v/>
      </c>
      <c r="M161" s="5">
        <f>IF(L161="","",L161+6)</f>
        <v/>
      </c>
      <c r="N161" s="6">
        <f>IF(OR(A161="",B161=""),"",DATE(YEAR(B161),MONTH(B161),1))</f>
        <v/>
      </c>
      <c r="O161" s="7">
        <f>IF(COUNTA(A161:K161)=0,"",IF(OR(A161="",B161=""),"Preencher CPF e entrada",IF(COUNTIFS($A$12:$A$5011,A161,$B$12:$B$5011,B161)&gt;1,"CPF + dia duplicado",IF(OR(AND(G161&lt;&gt;"",G161&lt;&gt;0,G161&lt;&gt;1),AND(H161&lt;&gt;"",H161&lt;&gt;0,H161&lt;&gt;1)),"Flags devem ser 0 ou 1",IF(AND(H161=1,LEN(TRIM(I161))=0),"Preencher nome do indicante",IF(AND(H161&lt;&gt;1,I161&lt;&gt;""),"Nome sem indicação interna",IF(AND(G161=1,F161=""),"Fechamento sem conversa",IF(OR(AND(E161&lt;&gt;"",E161&lt;B161),AND(F161&lt;&gt;"",F161&lt;B161)),"Evento anterior à entrada",IF(AND(F161&lt;&gt;"",E161=""),"Conversa sem agendamento",IF(OR(E161&gt;TODAY(),F161&gt;TODAY()),"Verificar evento futuro","OK"))))))))))</f>
        <v/>
      </c>
    </row>
    <row r="162" spans="12:15">
      <c r="L162" s="5">
        <f>IF(OR(A162="",B162=""),"",B162-WEEKDAY(B162,2)+1)</f>
        <v/>
      </c>
      <c r="M162" s="5">
        <f>IF(L162="","",L162+6)</f>
        <v/>
      </c>
      <c r="N162" s="6">
        <f>IF(OR(A162="",B162=""),"",DATE(YEAR(B162),MONTH(B162),1))</f>
        <v/>
      </c>
      <c r="O162" s="7">
        <f>IF(COUNTA(A162:K162)=0,"",IF(OR(A162="",B162=""),"Preencher CPF e entrada",IF(COUNTIFS($A$12:$A$5011,A162,$B$12:$B$5011,B162)&gt;1,"CPF + dia duplicado",IF(OR(AND(G162&lt;&gt;"",G162&lt;&gt;0,G162&lt;&gt;1),AND(H162&lt;&gt;"",H162&lt;&gt;0,H162&lt;&gt;1)),"Flags devem ser 0 ou 1",IF(AND(H162=1,LEN(TRIM(I162))=0),"Preencher nome do indicante",IF(AND(H162&lt;&gt;1,I162&lt;&gt;""),"Nome sem indicação interna",IF(AND(G162=1,F162=""),"Fechamento sem conversa",IF(OR(AND(E162&lt;&gt;"",E162&lt;B162),AND(F162&lt;&gt;"",F162&lt;B162)),"Evento anterior à entrada",IF(AND(F162&lt;&gt;"",E162=""),"Conversa sem agendamento",IF(OR(E162&gt;TODAY(),F162&gt;TODAY()),"Verificar evento futuro","OK"))))))))))</f>
        <v/>
      </c>
    </row>
    <row r="163" spans="12:15">
      <c r="L163" s="5">
        <f>IF(OR(A163="",B163=""),"",B163-WEEKDAY(B163,2)+1)</f>
        <v/>
      </c>
      <c r="M163" s="5">
        <f>IF(L163="","",L163+6)</f>
        <v/>
      </c>
      <c r="N163" s="6">
        <f>IF(OR(A163="",B163=""),"",DATE(YEAR(B163),MONTH(B163),1))</f>
        <v/>
      </c>
      <c r="O163" s="7">
        <f>IF(COUNTA(A163:K163)=0,"",IF(OR(A163="",B163=""),"Preencher CPF e entrada",IF(COUNTIFS($A$12:$A$5011,A163,$B$12:$B$5011,B163)&gt;1,"CPF + dia duplicado",IF(OR(AND(G163&lt;&gt;"",G163&lt;&gt;0,G163&lt;&gt;1),AND(H163&lt;&gt;"",H163&lt;&gt;0,H163&lt;&gt;1)),"Flags devem ser 0 ou 1",IF(AND(H163=1,LEN(TRIM(I163))=0),"Preencher nome do indicante",IF(AND(H163&lt;&gt;1,I163&lt;&gt;""),"Nome sem indicação interna",IF(AND(G163=1,F163=""),"Fechamento sem conversa",IF(OR(AND(E163&lt;&gt;"",E163&lt;B163),AND(F163&lt;&gt;"",F163&lt;B163)),"Evento anterior à entrada",IF(AND(F163&lt;&gt;"",E163=""),"Conversa sem agendamento",IF(OR(E163&gt;TODAY(),F163&gt;TODAY()),"Verificar evento futuro","OK"))))))))))</f>
        <v/>
      </c>
    </row>
    <row r="164" spans="12:15">
      <c r="L164" s="5">
        <f>IF(OR(A164="",B164=""),"",B164-WEEKDAY(B164,2)+1)</f>
        <v/>
      </c>
      <c r="M164" s="5">
        <f>IF(L164="","",L164+6)</f>
        <v/>
      </c>
      <c r="N164" s="6">
        <f>IF(OR(A164="",B164=""),"",DATE(YEAR(B164),MONTH(B164),1))</f>
        <v/>
      </c>
      <c r="O164" s="7">
        <f>IF(COUNTA(A164:K164)=0,"",IF(OR(A164="",B164=""),"Preencher CPF e entrada",IF(COUNTIFS($A$12:$A$5011,A164,$B$12:$B$5011,B164)&gt;1,"CPF + dia duplicado",IF(OR(AND(G164&lt;&gt;"",G164&lt;&gt;0,G164&lt;&gt;1),AND(H164&lt;&gt;"",H164&lt;&gt;0,H164&lt;&gt;1)),"Flags devem ser 0 ou 1",IF(AND(H164=1,LEN(TRIM(I164))=0),"Preencher nome do indicante",IF(AND(H164&lt;&gt;1,I164&lt;&gt;""),"Nome sem indicação interna",IF(AND(G164=1,F164=""),"Fechamento sem conversa",IF(OR(AND(E164&lt;&gt;"",E164&lt;B164),AND(F164&lt;&gt;"",F164&lt;B164)),"Evento anterior à entrada",IF(AND(F164&lt;&gt;"",E164=""),"Conversa sem agendamento",IF(OR(E164&gt;TODAY(),F164&gt;TODAY()),"Verificar evento futuro","OK"))))))))))</f>
        <v/>
      </c>
    </row>
    <row r="165" spans="12:15">
      <c r="L165" s="5">
        <f>IF(OR(A165="",B165=""),"",B165-WEEKDAY(B165,2)+1)</f>
        <v/>
      </c>
      <c r="M165" s="5">
        <f>IF(L165="","",L165+6)</f>
        <v/>
      </c>
      <c r="N165" s="6">
        <f>IF(OR(A165="",B165=""),"",DATE(YEAR(B165),MONTH(B165),1))</f>
        <v/>
      </c>
      <c r="O165" s="7">
        <f>IF(COUNTA(A165:K165)=0,"",IF(OR(A165="",B165=""),"Preencher CPF e entrada",IF(COUNTIFS($A$12:$A$5011,A165,$B$12:$B$5011,B165)&gt;1,"CPF + dia duplicado",IF(OR(AND(G165&lt;&gt;"",G165&lt;&gt;0,G165&lt;&gt;1),AND(H165&lt;&gt;"",H165&lt;&gt;0,H165&lt;&gt;1)),"Flags devem ser 0 ou 1",IF(AND(H165=1,LEN(TRIM(I165))=0),"Preencher nome do indicante",IF(AND(H165&lt;&gt;1,I165&lt;&gt;""),"Nome sem indicação interna",IF(AND(G165=1,F165=""),"Fechamento sem conversa",IF(OR(AND(E165&lt;&gt;"",E165&lt;B165),AND(F165&lt;&gt;"",F165&lt;B165)),"Evento anterior à entrada",IF(AND(F165&lt;&gt;"",E165=""),"Conversa sem agendamento",IF(OR(E165&gt;TODAY(),F165&gt;TODAY()),"Verificar evento futuro","OK"))))))))))</f>
        <v/>
      </c>
    </row>
    <row r="166" spans="12:15">
      <c r="L166" s="5">
        <f>IF(OR(A166="",B166=""),"",B166-WEEKDAY(B166,2)+1)</f>
        <v/>
      </c>
      <c r="M166" s="5">
        <f>IF(L166="","",L166+6)</f>
        <v/>
      </c>
      <c r="N166" s="6">
        <f>IF(OR(A166="",B166=""),"",DATE(YEAR(B166),MONTH(B166),1))</f>
        <v/>
      </c>
      <c r="O166" s="7">
        <f>IF(COUNTA(A166:K166)=0,"",IF(OR(A166="",B166=""),"Preencher CPF e entrada",IF(COUNTIFS($A$12:$A$5011,A166,$B$12:$B$5011,B166)&gt;1,"CPF + dia duplicado",IF(OR(AND(G166&lt;&gt;"",G166&lt;&gt;0,G166&lt;&gt;1),AND(H166&lt;&gt;"",H166&lt;&gt;0,H166&lt;&gt;1)),"Flags devem ser 0 ou 1",IF(AND(H166=1,LEN(TRIM(I166))=0),"Preencher nome do indicante",IF(AND(H166&lt;&gt;1,I166&lt;&gt;""),"Nome sem indicação interna",IF(AND(G166=1,F166=""),"Fechamento sem conversa",IF(OR(AND(E166&lt;&gt;"",E166&lt;B166),AND(F166&lt;&gt;"",F166&lt;B166)),"Evento anterior à entrada",IF(AND(F166&lt;&gt;"",E166=""),"Conversa sem agendamento",IF(OR(E166&gt;TODAY(),F166&gt;TODAY()),"Verificar evento futuro","OK"))))))))))</f>
        <v/>
      </c>
    </row>
    <row r="167" spans="12:15">
      <c r="L167" s="5">
        <f>IF(OR(A167="",B167=""),"",B167-WEEKDAY(B167,2)+1)</f>
        <v/>
      </c>
      <c r="M167" s="5">
        <f>IF(L167="","",L167+6)</f>
        <v/>
      </c>
      <c r="N167" s="6">
        <f>IF(OR(A167="",B167=""),"",DATE(YEAR(B167),MONTH(B167),1))</f>
        <v/>
      </c>
      <c r="O167" s="7">
        <f>IF(COUNTA(A167:K167)=0,"",IF(OR(A167="",B167=""),"Preencher CPF e entrada",IF(COUNTIFS($A$12:$A$5011,A167,$B$12:$B$5011,B167)&gt;1,"CPF + dia duplicado",IF(OR(AND(G167&lt;&gt;"",G167&lt;&gt;0,G167&lt;&gt;1),AND(H167&lt;&gt;"",H167&lt;&gt;0,H167&lt;&gt;1)),"Flags devem ser 0 ou 1",IF(AND(H167=1,LEN(TRIM(I167))=0),"Preencher nome do indicante",IF(AND(H167&lt;&gt;1,I167&lt;&gt;""),"Nome sem indicação interna",IF(AND(G167=1,F167=""),"Fechamento sem conversa",IF(OR(AND(E167&lt;&gt;"",E167&lt;B167),AND(F167&lt;&gt;"",F167&lt;B167)),"Evento anterior à entrada",IF(AND(F167&lt;&gt;"",E167=""),"Conversa sem agendamento",IF(OR(E167&gt;TODAY(),F167&gt;TODAY()),"Verificar evento futuro","OK"))))))))))</f>
        <v/>
      </c>
    </row>
    <row r="168" spans="12:15">
      <c r="L168" s="5">
        <f>IF(OR(A168="",B168=""),"",B168-WEEKDAY(B168,2)+1)</f>
        <v/>
      </c>
      <c r="M168" s="5">
        <f>IF(L168="","",L168+6)</f>
        <v/>
      </c>
      <c r="N168" s="6">
        <f>IF(OR(A168="",B168=""),"",DATE(YEAR(B168),MONTH(B168),1))</f>
        <v/>
      </c>
      <c r="O168" s="7">
        <f>IF(COUNTA(A168:K168)=0,"",IF(OR(A168="",B168=""),"Preencher CPF e entrada",IF(COUNTIFS($A$12:$A$5011,A168,$B$12:$B$5011,B168)&gt;1,"CPF + dia duplicado",IF(OR(AND(G168&lt;&gt;"",G168&lt;&gt;0,G168&lt;&gt;1),AND(H168&lt;&gt;"",H168&lt;&gt;0,H168&lt;&gt;1)),"Flags devem ser 0 ou 1",IF(AND(H168=1,LEN(TRIM(I168))=0),"Preencher nome do indicante",IF(AND(H168&lt;&gt;1,I168&lt;&gt;""),"Nome sem indicação interna",IF(AND(G168=1,F168=""),"Fechamento sem conversa",IF(OR(AND(E168&lt;&gt;"",E168&lt;B168),AND(F168&lt;&gt;"",F168&lt;B168)),"Evento anterior à entrada",IF(AND(F168&lt;&gt;"",E168=""),"Conversa sem agendamento",IF(OR(E168&gt;TODAY(),F168&gt;TODAY()),"Verificar evento futuro","OK"))))))))))</f>
        <v/>
      </c>
    </row>
    <row r="169" spans="12:15">
      <c r="L169" s="5">
        <f>IF(OR(A169="",B169=""),"",B169-WEEKDAY(B169,2)+1)</f>
        <v/>
      </c>
      <c r="M169" s="5">
        <f>IF(L169="","",L169+6)</f>
        <v/>
      </c>
      <c r="N169" s="6">
        <f>IF(OR(A169="",B169=""),"",DATE(YEAR(B169),MONTH(B169),1))</f>
        <v/>
      </c>
      <c r="O169" s="7">
        <f>IF(COUNTA(A169:K169)=0,"",IF(OR(A169="",B169=""),"Preencher CPF e entrada",IF(COUNTIFS($A$12:$A$5011,A169,$B$12:$B$5011,B169)&gt;1,"CPF + dia duplicado",IF(OR(AND(G169&lt;&gt;"",G169&lt;&gt;0,G169&lt;&gt;1),AND(H169&lt;&gt;"",H169&lt;&gt;0,H169&lt;&gt;1)),"Flags devem ser 0 ou 1",IF(AND(H169=1,LEN(TRIM(I169))=0),"Preencher nome do indicante",IF(AND(H169&lt;&gt;1,I169&lt;&gt;""),"Nome sem indicação interna",IF(AND(G169=1,F169=""),"Fechamento sem conversa",IF(OR(AND(E169&lt;&gt;"",E169&lt;B169),AND(F169&lt;&gt;"",F169&lt;B169)),"Evento anterior à entrada",IF(AND(F169&lt;&gt;"",E169=""),"Conversa sem agendamento",IF(OR(E169&gt;TODAY(),F169&gt;TODAY()),"Verificar evento futuro","OK"))))))))))</f>
        <v/>
      </c>
    </row>
    <row r="170" spans="12:15">
      <c r="L170" s="5">
        <f>IF(OR(A170="",B170=""),"",B170-WEEKDAY(B170,2)+1)</f>
        <v/>
      </c>
      <c r="M170" s="5">
        <f>IF(L170="","",L170+6)</f>
        <v/>
      </c>
      <c r="N170" s="6">
        <f>IF(OR(A170="",B170=""),"",DATE(YEAR(B170),MONTH(B170),1))</f>
        <v/>
      </c>
      <c r="O170" s="7">
        <f>IF(COUNTA(A170:K170)=0,"",IF(OR(A170="",B170=""),"Preencher CPF e entrada",IF(COUNTIFS($A$12:$A$5011,A170,$B$12:$B$5011,B170)&gt;1,"CPF + dia duplicado",IF(OR(AND(G170&lt;&gt;"",G170&lt;&gt;0,G170&lt;&gt;1),AND(H170&lt;&gt;"",H170&lt;&gt;0,H170&lt;&gt;1)),"Flags devem ser 0 ou 1",IF(AND(H170=1,LEN(TRIM(I170))=0),"Preencher nome do indicante",IF(AND(H170&lt;&gt;1,I170&lt;&gt;""),"Nome sem indicação interna",IF(AND(G170=1,F170=""),"Fechamento sem conversa",IF(OR(AND(E170&lt;&gt;"",E170&lt;B170),AND(F170&lt;&gt;"",F170&lt;B170)),"Evento anterior à entrada",IF(AND(F170&lt;&gt;"",E170=""),"Conversa sem agendamento",IF(OR(E170&gt;TODAY(),F170&gt;TODAY()),"Verificar evento futuro","OK"))))))))))</f>
        <v/>
      </c>
    </row>
    <row r="171" spans="12:15">
      <c r="L171" s="5">
        <f>IF(OR(A171="",B171=""),"",B171-WEEKDAY(B171,2)+1)</f>
        <v/>
      </c>
      <c r="M171" s="5">
        <f>IF(L171="","",L171+6)</f>
        <v/>
      </c>
      <c r="N171" s="6">
        <f>IF(OR(A171="",B171=""),"",DATE(YEAR(B171),MONTH(B171),1))</f>
        <v/>
      </c>
      <c r="O171" s="7">
        <f>IF(COUNTA(A171:K171)=0,"",IF(OR(A171="",B171=""),"Preencher CPF e entrada",IF(COUNTIFS($A$12:$A$5011,A171,$B$12:$B$5011,B171)&gt;1,"CPF + dia duplicado",IF(OR(AND(G171&lt;&gt;"",G171&lt;&gt;0,G171&lt;&gt;1),AND(H171&lt;&gt;"",H171&lt;&gt;0,H171&lt;&gt;1)),"Flags devem ser 0 ou 1",IF(AND(H171=1,LEN(TRIM(I171))=0),"Preencher nome do indicante",IF(AND(H171&lt;&gt;1,I171&lt;&gt;""),"Nome sem indicação interna",IF(AND(G171=1,F171=""),"Fechamento sem conversa",IF(OR(AND(E171&lt;&gt;"",E171&lt;B171),AND(F171&lt;&gt;"",F171&lt;B171)),"Evento anterior à entrada",IF(AND(F171&lt;&gt;"",E171=""),"Conversa sem agendamento",IF(OR(E171&gt;TODAY(),F171&gt;TODAY()),"Verificar evento futuro","OK"))))))))))</f>
        <v/>
      </c>
    </row>
    <row r="172" spans="12:15">
      <c r="L172" s="5">
        <f>IF(OR(A172="",B172=""),"",B172-WEEKDAY(B172,2)+1)</f>
        <v/>
      </c>
      <c r="M172" s="5">
        <f>IF(L172="","",L172+6)</f>
        <v/>
      </c>
      <c r="N172" s="6">
        <f>IF(OR(A172="",B172=""),"",DATE(YEAR(B172),MONTH(B172),1))</f>
        <v/>
      </c>
      <c r="O172" s="7">
        <f>IF(COUNTA(A172:K172)=0,"",IF(OR(A172="",B172=""),"Preencher CPF e entrada",IF(COUNTIFS($A$12:$A$5011,A172,$B$12:$B$5011,B172)&gt;1,"CPF + dia duplicado",IF(OR(AND(G172&lt;&gt;"",G172&lt;&gt;0,G172&lt;&gt;1),AND(H172&lt;&gt;"",H172&lt;&gt;0,H172&lt;&gt;1)),"Flags devem ser 0 ou 1",IF(AND(H172=1,LEN(TRIM(I172))=0),"Preencher nome do indicante",IF(AND(H172&lt;&gt;1,I172&lt;&gt;""),"Nome sem indicação interna",IF(AND(G172=1,F172=""),"Fechamento sem conversa",IF(OR(AND(E172&lt;&gt;"",E172&lt;B172),AND(F172&lt;&gt;"",F172&lt;B172)),"Evento anterior à entrada",IF(AND(F172&lt;&gt;"",E172=""),"Conversa sem agendamento",IF(OR(E172&gt;TODAY(),F172&gt;TODAY()),"Verificar evento futuro","OK"))))))))))</f>
        <v/>
      </c>
    </row>
    <row r="173" spans="12:15">
      <c r="L173" s="5">
        <f>IF(OR(A173="",B173=""),"",B173-WEEKDAY(B173,2)+1)</f>
        <v/>
      </c>
      <c r="M173" s="5">
        <f>IF(L173="","",L173+6)</f>
        <v/>
      </c>
      <c r="N173" s="6">
        <f>IF(OR(A173="",B173=""),"",DATE(YEAR(B173),MONTH(B173),1))</f>
        <v/>
      </c>
      <c r="O173" s="7">
        <f>IF(COUNTA(A173:K173)=0,"",IF(OR(A173="",B173=""),"Preencher CPF e entrada",IF(COUNTIFS($A$12:$A$5011,A173,$B$12:$B$5011,B173)&gt;1,"CPF + dia duplicado",IF(OR(AND(G173&lt;&gt;"",G173&lt;&gt;0,G173&lt;&gt;1),AND(H173&lt;&gt;"",H173&lt;&gt;0,H173&lt;&gt;1)),"Flags devem ser 0 ou 1",IF(AND(H173=1,LEN(TRIM(I173))=0),"Preencher nome do indicante",IF(AND(H173&lt;&gt;1,I173&lt;&gt;""),"Nome sem indicação interna",IF(AND(G173=1,F173=""),"Fechamento sem conversa",IF(OR(AND(E173&lt;&gt;"",E173&lt;B173),AND(F173&lt;&gt;"",F173&lt;B173)),"Evento anterior à entrada",IF(AND(F173&lt;&gt;"",E173=""),"Conversa sem agendamento",IF(OR(E173&gt;TODAY(),F173&gt;TODAY()),"Verificar evento futuro","OK"))))))))))</f>
        <v/>
      </c>
    </row>
    <row r="174" spans="12:15">
      <c r="L174" s="5">
        <f>IF(OR(A174="",B174=""),"",B174-WEEKDAY(B174,2)+1)</f>
        <v/>
      </c>
      <c r="M174" s="5">
        <f>IF(L174="","",L174+6)</f>
        <v/>
      </c>
      <c r="N174" s="6">
        <f>IF(OR(A174="",B174=""),"",DATE(YEAR(B174),MONTH(B174),1))</f>
        <v/>
      </c>
      <c r="O174" s="7">
        <f>IF(COUNTA(A174:K174)=0,"",IF(OR(A174="",B174=""),"Preencher CPF e entrada",IF(COUNTIFS($A$12:$A$5011,A174,$B$12:$B$5011,B174)&gt;1,"CPF + dia duplicado",IF(OR(AND(G174&lt;&gt;"",G174&lt;&gt;0,G174&lt;&gt;1),AND(H174&lt;&gt;"",H174&lt;&gt;0,H174&lt;&gt;1)),"Flags devem ser 0 ou 1",IF(AND(H174=1,LEN(TRIM(I174))=0),"Preencher nome do indicante",IF(AND(H174&lt;&gt;1,I174&lt;&gt;""),"Nome sem indicação interna",IF(AND(G174=1,F174=""),"Fechamento sem conversa",IF(OR(AND(E174&lt;&gt;"",E174&lt;B174),AND(F174&lt;&gt;"",F174&lt;B174)),"Evento anterior à entrada",IF(AND(F174&lt;&gt;"",E174=""),"Conversa sem agendamento",IF(OR(E174&gt;TODAY(),F174&gt;TODAY()),"Verificar evento futuro","OK"))))))))))</f>
        <v/>
      </c>
    </row>
    <row r="175" spans="12:15">
      <c r="L175" s="5">
        <f>IF(OR(A175="",B175=""),"",B175-WEEKDAY(B175,2)+1)</f>
        <v/>
      </c>
      <c r="M175" s="5">
        <f>IF(L175="","",L175+6)</f>
        <v/>
      </c>
      <c r="N175" s="6">
        <f>IF(OR(A175="",B175=""),"",DATE(YEAR(B175),MONTH(B175),1))</f>
        <v/>
      </c>
      <c r="O175" s="7">
        <f>IF(COUNTA(A175:K175)=0,"",IF(OR(A175="",B175=""),"Preencher CPF e entrada",IF(COUNTIFS($A$12:$A$5011,A175,$B$12:$B$5011,B175)&gt;1,"CPF + dia duplicado",IF(OR(AND(G175&lt;&gt;"",G175&lt;&gt;0,G175&lt;&gt;1),AND(H175&lt;&gt;"",H175&lt;&gt;0,H175&lt;&gt;1)),"Flags devem ser 0 ou 1",IF(AND(H175=1,LEN(TRIM(I175))=0),"Preencher nome do indicante",IF(AND(H175&lt;&gt;1,I175&lt;&gt;""),"Nome sem indicação interna",IF(AND(G175=1,F175=""),"Fechamento sem conversa",IF(OR(AND(E175&lt;&gt;"",E175&lt;B175),AND(F175&lt;&gt;"",F175&lt;B175)),"Evento anterior à entrada",IF(AND(F175&lt;&gt;"",E175=""),"Conversa sem agendamento",IF(OR(E175&gt;TODAY(),F175&gt;TODAY()),"Verificar evento futuro","OK"))))))))))</f>
        <v/>
      </c>
    </row>
    <row r="176" spans="12:15">
      <c r="L176" s="5">
        <f>IF(OR(A176="",B176=""),"",B176-WEEKDAY(B176,2)+1)</f>
        <v/>
      </c>
      <c r="M176" s="5">
        <f>IF(L176="","",L176+6)</f>
        <v/>
      </c>
      <c r="N176" s="6">
        <f>IF(OR(A176="",B176=""),"",DATE(YEAR(B176),MONTH(B176),1))</f>
        <v/>
      </c>
      <c r="O176" s="7">
        <f>IF(COUNTA(A176:K176)=0,"",IF(OR(A176="",B176=""),"Preencher CPF e entrada",IF(COUNTIFS($A$12:$A$5011,A176,$B$12:$B$5011,B176)&gt;1,"CPF + dia duplicado",IF(OR(AND(G176&lt;&gt;"",G176&lt;&gt;0,G176&lt;&gt;1),AND(H176&lt;&gt;"",H176&lt;&gt;0,H176&lt;&gt;1)),"Flags devem ser 0 ou 1",IF(AND(H176=1,LEN(TRIM(I176))=0),"Preencher nome do indicante",IF(AND(H176&lt;&gt;1,I176&lt;&gt;""),"Nome sem indicação interna",IF(AND(G176=1,F176=""),"Fechamento sem conversa",IF(OR(AND(E176&lt;&gt;"",E176&lt;B176),AND(F176&lt;&gt;"",F176&lt;B176)),"Evento anterior à entrada",IF(AND(F176&lt;&gt;"",E176=""),"Conversa sem agendamento",IF(OR(E176&gt;TODAY(),F176&gt;TODAY()),"Verificar evento futuro","OK"))))))))))</f>
        <v/>
      </c>
    </row>
    <row r="177" spans="12:15">
      <c r="L177" s="5">
        <f>IF(OR(A177="",B177=""),"",B177-WEEKDAY(B177,2)+1)</f>
        <v/>
      </c>
      <c r="M177" s="5">
        <f>IF(L177="","",L177+6)</f>
        <v/>
      </c>
      <c r="N177" s="6">
        <f>IF(OR(A177="",B177=""),"",DATE(YEAR(B177),MONTH(B177),1))</f>
        <v/>
      </c>
      <c r="O177" s="7">
        <f>IF(COUNTA(A177:K177)=0,"",IF(OR(A177="",B177=""),"Preencher CPF e entrada",IF(COUNTIFS($A$12:$A$5011,A177,$B$12:$B$5011,B177)&gt;1,"CPF + dia duplicado",IF(OR(AND(G177&lt;&gt;"",G177&lt;&gt;0,G177&lt;&gt;1),AND(H177&lt;&gt;"",H177&lt;&gt;0,H177&lt;&gt;1)),"Flags devem ser 0 ou 1",IF(AND(H177=1,LEN(TRIM(I177))=0),"Preencher nome do indicante",IF(AND(H177&lt;&gt;1,I177&lt;&gt;""),"Nome sem indicação interna",IF(AND(G177=1,F177=""),"Fechamento sem conversa",IF(OR(AND(E177&lt;&gt;"",E177&lt;B177),AND(F177&lt;&gt;"",F177&lt;B177)),"Evento anterior à entrada",IF(AND(F177&lt;&gt;"",E177=""),"Conversa sem agendamento",IF(OR(E177&gt;TODAY(),F177&gt;TODAY()),"Verificar evento futuro","OK"))))))))))</f>
        <v/>
      </c>
    </row>
    <row r="178" spans="12:15">
      <c r="L178" s="5">
        <f>IF(OR(A178="",B178=""),"",B178-WEEKDAY(B178,2)+1)</f>
        <v/>
      </c>
      <c r="M178" s="5">
        <f>IF(L178="","",L178+6)</f>
        <v/>
      </c>
      <c r="N178" s="6">
        <f>IF(OR(A178="",B178=""),"",DATE(YEAR(B178),MONTH(B178),1))</f>
        <v/>
      </c>
      <c r="O178" s="7">
        <f>IF(COUNTA(A178:K178)=0,"",IF(OR(A178="",B178=""),"Preencher CPF e entrada",IF(COUNTIFS($A$12:$A$5011,A178,$B$12:$B$5011,B178)&gt;1,"CPF + dia duplicado",IF(OR(AND(G178&lt;&gt;"",G178&lt;&gt;0,G178&lt;&gt;1),AND(H178&lt;&gt;"",H178&lt;&gt;0,H178&lt;&gt;1)),"Flags devem ser 0 ou 1",IF(AND(H178=1,LEN(TRIM(I178))=0),"Preencher nome do indicante",IF(AND(H178&lt;&gt;1,I178&lt;&gt;""),"Nome sem indicação interna",IF(AND(G178=1,F178=""),"Fechamento sem conversa",IF(OR(AND(E178&lt;&gt;"",E178&lt;B178),AND(F178&lt;&gt;"",F178&lt;B178)),"Evento anterior à entrada",IF(AND(F178&lt;&gt;"",E178=""),"Conversa sem agendamento",IF(OR(E178&gt;TODAY(),F178&gt;TODAY()),"Verificar evento futuro","OK"))))))))))</f>
        <v/>
      </c>
    </row>
    <row r="179" spans="12:15">
      <c r="L179" s="5">
        <f>IF(OR(A179="",B179=""),"",B179-WEEKDAY(B179,2)+1)</f>
        <v/>
      </c>
      <c r="M179" s="5">
        <f>IF(L179="","",L179+6)</f>
        <v/>
      </c>
      <c r="N179" s="6">
        <f>IF(OR(A179="",B179=""),"",DATE(YEAR(B179),MONTH(B179),1))</f>
        <v/>
      </c>
      <c r="O179" s="7">
        <f>IF(COUNTA(A179:K179)=0,"",IF(OR(A179="",B179=""),"Preencher CPF e entrada",IF(COUNTIFS($A$12:$A$5011,A179,$B$12:$B$5011,B179)&gt;1,"CPF + dia duplicado",IF(OR(AND(G179&lt;&gt;"",G179&lt;&gt;0,G179&lt;&gt;1),AND(H179&lt;&gt;"",H179&lt;&gt;0,H179&lt;&gt;1)),"Flags devem ser 0 ou 1",IF(AND(H179=1,LEN(TRIM(I179))=0),"Preencher nome do indicante",IF(AND(H179&lt;&gt;1,I179&lt;&gt;""),"Nome sem indicação interna",IF(AND(G179=1,F179=""),"Fechamento sem conversa",IF(OR(AND(E179&lt;&gt;"",E179&lt;B179),AND(F179&lt;&gt;"",F179&lt;B179)),"Evento anterior à entrada",IF(AND(F179&lt;&gt;"",E179=""),"Conversa sem agendamento",IF(OR(E179&gt;TODAY(),F179&gt;TODAY()),"Verificar evento futuro","OK"))))))))))</f>
        <v/>
      </c>
    </row>
    <row r="180" spans="12:15">
      <c r="L180" s="5">
        <f>IF(OR(A180="",B180=""),"",B180-WEEKDAY(B180,2)+1)</f>
        <v/>
      </c>
      <c r="M180" s="5">
        <f>IF(L180="","",L180+6)</f>
        <v/>
      </c>
      <c r="N180" s="6">
        <f>IF(OR(A180="",B180=""),"",DATE(YEAR(B180),MONTH(B180),1))</f>
        <v/>
      </c>
      <c r="O180" s="7">
        <f>IF(COUNTA(A180:K180)=0,"",IF(OR(A180="",B180=""),"Preencher CPF e entrada",IF(COUNTIFS($A$12:$A$5011,A180,$B$12:$B$5011,B180)&gt;1,"CPF + dia duplicado",IF(OR(AND(G180&lt;&gt;"",G180&lt;&gt;0,G180&lt;&gt;1),AND(H180&lt;&gt;"",H180&lt;&gt;0,H180&lt;&gt;1)),"Flags devem ser 0 ou 1",IF(AND(H180=1,LEN(TRIM(I180))=0),"Preencher nome do indicante",IF(AND(H180&lt;&gt;1,I180&lt;&gt;""),"Nome sem indicação interna",IF(AND(G180=1,F180=""),"Fechamento sem conversa",IF(OR(AND(E180&lt;&gt;"",E180&lt;B180),AND(F180&lt;&gt;"",F180&lt;B180)),"Evento anterior à entrada",IF(AND(F180&lt;&gt;"",E180=""),"Conversa sem agendamento",IF(OR(E180&gt;TODAY(),F180&gt;TODAY()),"Verificar evento futuro","OK"))))))))))</f>
        <v/>
      </c>
    </row>
    <row r="181" spans="12:15">
      <c r="L181" s="5">
        <f>IF(OR(A181="",B181=""),"",B181-WEEKDAY(B181,2)+1)</f>
        <v/>
      </c>
      <c r="M181" s="5">
        <f>IF(L181="","",L181+6)</f>
        <v/>
      </c>
      <c r="N181" s="6">
        <f>IF(OR(A181="",B181=""),"",DATE(YEAR(B181),MONTH(B181),1))</f>
        <v/>
      </c>
      <c r="O181" s="7">
        <f>IF(COUNTA(A181:K181)=0,"",IF(OR(A181="",B181=""),"Preencher CPF e entrada",IF(COUNTIFS($A$12:$A$5011,A181,$B$12:$B$5011,B181)&gt;1,"CPF + dia duplicado",IF(OR(AND(G181&lt;&gt;"",G181&lt;&gt;0,G181&lt;&gt;1),AND(H181&lt;&gt;"",H181&lt;&gt;0,H181&lt;&gt;1)),"Flags devem ser 0 ou 1",IF(AND(H181=1,LEN(TRIM(I181))=0),"Preencher nome do indicante",IF(AND(H181&lt;&gt;1,I181&lt;&gt;""),"Nome sem indicação interna",IF(AND(G181=1,F181=""),"Fechamento sem conversa",IF(OR(AND(E181&lt;&gt;"",E181&lt;B181),AND(F181&lt;&gt;"",F181&lt;B181)),"Evento anterior à entrada",IF(AND(F181&lt;&gt;"",E181=""),"Conversa sem agendamento",IF(OR(E181&gt;TODAY(),F181&gt;TODAY()),"Verificar evento futuro","OK"))))))))))</f>
        <v/>
      </c>
    </row>
    <row r="182" spans="12:15">
      <c r="L182" s="5">
        <f>IF(OR(A182="",B182=""),"",B182-WEEKDAY(B182,2)+1)</f>
        <v/>
      </c>
      <c r="M182" s="5">
        <f>IF(L182="","",L182+6)</f>
        <v/>
      </c>
      <c r="N182" s="6">
        <f>IF(OR(A182="",B182=""),"",DATE(YEAR(B182),MONTH(B182),1))</f>
        <v/>
      </c>
      <c r="O182" s="7">
        <f>IF(COUNTA(A182:K182)=0,"",IF(OR(A182="",B182=""),"Preencher CPF e entrada",IF(COUNTIFS($A$12:$A$5011,A182,$B$12:$B$5011,B182)&gt;1,"CPF + dia duplicado",IF(OR(AND(G182&lt;&gt;"",G182&lt;&gt;0,G182&lt;&gt;1),AND(H182&lt;&gt;"",H182&lt;&gt;0,H182&lt;&gt;1)),"Flags devem ser 0 ou 1",IF(AND(H182=1,LEN(TRIM(I182))=0),"Preencher nome do indicante",IF(AND(H182&lt;&gt;1,I182&lt;&gt;""),"Nome sem indicação interna",IF(AND(G182=1,F182=""),"Fechamento sem conversa",IF(OR(AND(E182&lt;&gt;"",E182&lt;B182),AND(F182&lt;&gt;"",F182&lt;B182)),"Evento anterior à entrada",IF(AND(F182&lt;&gt;"",E182=""),"Conversa sem agendamento",IF(OR(E182&gt;TODAY(),F182&gt;TODAY()),"Verificar evento futuro","OK"))))))))))</f>
        <v/>
      </c>
    </row>
    <row r="183" spans="12:15">
      <c r="L183" s="5">
        <f>IF(OR(A183="",B183=""),"",B183-WEEKDAY(B183,2)+1)</f>
        <v/>
      </c>
      <c r="M183" s="5">
        <f>IF(L183="","",L183+6)</f>
        <v/>
      </c>
      <c r="N183" s="6">
        <f>IF(OR(A183="",B183=""),"",DATE(YEAR(B183),MONTH(B183),1))</f>
        <v/>
      </c>
      <c r="O183" s="7">
        <f>IF(COUNTA(A183:K183)=0,"",IF(OR(A183="",B183=""),"Preencher CPF e entrada",IF(COUNTIFS($A$12:$A$5011,A183,$B$12:$B$5011,B183)&gt;1,"CPF + dia duplicado",IF(OR(AND(G183&lt;&gt;"",G183&lt;&gt;0,G183&lt;&gt;1),AND(H183&lt;&gt;"",H183&lt;&gt;0,H183&lt;&gt;1)),"Flags devem ser 0 ou 1",IF(AND(H183=1,LEN(TRIM(I183))=0),"Preencher nome do indicante",IF(AND(H183&lt;&gt;1,I183&lt;&gt;""),"Nome sem indicação interna",IF(AND(G183=1,F183=""),"Fechamento sem conversa",IF(OR(AND(E183&lt;&gt;"",E183&lt;B183),AND(F183&lt;&gt;"",F183&lt;B183)),"Evento anterior à entrada",IF(AND(F183&lt;&gt;"",E183=""),"Conversa sem agendamento",IF(OR(E183&gt;TODAY(),F183&gt;TODAY()),"Verificar evento futuro","OK"))))))))))</f>
        <v/>
      </c>
    </row>
    <row r="184" spans="12:15">
      <c r="L184" s="5">
        <f>IF(OR(A184="",B184=""),"",B184-WEEKDAY(B184,2)+1)</f>
        <v/>
      </c>
      <c r="M184" s="5">
        <f>IF(L184="","",L184+6)</f>
        <v/>
      </c>
      <c r="N184" s="6">
        <f>IF(OR(A184="",B184=""),"",DATE(YEAR(B184),MONTH(B184),1))</f>
        <v/>
      </c>
      <c r="O184" s="7">
        <f>IF(COUNTA(A184:K184)=0,"",IF(OR(A184="",B184=""),"Preencher CPF e entrada",IF(COUNTIFS($A$12:$A$5011,A184,$B$12:$B$5011,B184)&gt;1,"CPF + dia duplicado",IF(OR(AND(G184&lt;&gt;"",G184&lt;&gt;0,G184&lt;&gt;1),AND(H184&lt;&gt;"",H184&lt;&gt;0,H184&lt;&gt;1)),"Flags devem ser 0 ou 1",IF(AND(H184=1,LEN(TRIM(I184))=0),"Preencher nome do indicante",IF(AND(H184&lt;&gt;1,I184&lt;&gt;""),"Nome sem indicação interna",IF(AND(G184=1,F184=""),"Fechamento sem conversa",IF(OR(AND(E184&lt;&gt;"",E184&lt;B184),AND(F184&lt;&gt;"",F184&lt;B184)),"Evento anterior à entrada",IF(AND(F184&lt;&gt;"",E184=""),"Conversa sem agendamento",IF(OR(E184&gt;TODAY(),F184&gt;TODAY()),"Verificar evento futuro","OK"))))))))))</f>
        <v/>
      </c>
    </row>
    <row r="185" spans="12:15">
      <c r="L185" s="5">
        <f>IF(OR(A185="",B185=""),"",B185-WEEKDAY(B185,2)+1)</f>
        <v/>
      </c>
      <c r="M185" s="5">
        <f>IF(L185="","",L185+6)</f>
        <v/>
      </c>
      <c r="N185" s="6">
        <f>IF(OR(A185="",B185=""),"",DATE(YEAR(B185),MONTH(B185),1))</f>
        <v/>
      </c>
      <c r="O185" s="7">
        <f>IF(COUNTA(A185:K185)=0,"",IF(OR(A185="",B185=""),"Preencher CPF e entrada",IF(COUNTIFS($A$12:$A$5011,A185,$B$12:$B$5011,B185)&gt;1,"CPF + dia duplicado",IF(OR(AND(G185&lt;&gt;"",G185&lt;&gt;0,G185&lt;&gt;1),AND(H185&lt;&gt;"",H185&lt;&gt;0,H185&lt;&gt;1)),"Flags devem ser 0 ou 1",IF(AND(H185=1,LEN(TRIM(I185))=0),"Preencher nome do indicante",IF(AND(H185&lt;&gt;1,I185&lt;&gt;""),"Nome sem indicação interna",IF(AND(G185=1,F185=""),"Fechamento sem conversa",IF(OR(AND(E185&lt;&gt;"",E185&lt;B185),AND(F185&lt;&gt;"",F185&lt;B185)),"Evento anterior à entrada",IF(AND(F185&lt;&gt;"",E185=""),"Conversa sem agendamento",IF(OR(E185&gt;TODAY(),F185&gt;TODAY()),"Verificar evento futuro","OK"))))))))))</f>
        <v/>
      </c>
    </row>
    <row r="186" spans="12:15">
      <c r="L186" s="5">
        <f>IF(OR(A186="",B186=""),"",B186-WEEKDAY(B186,2)+1)</f>
        <v/>
      </c>
      <c r="M186" s="5">
        <f>IF(L186="","",L186+6)</f>
        <v/>
      </c>
      <c r="N186" s="6">
        <f>IF(OR(A186="",B186=""),"",DATE(YEAR(B186),MONTH(B186),1))</f>
        <v/>
      </c>
      <c r="O186" s="7">
        <f>IF(COUNTA(A186:K186)=0,"",IF(OR(A186="",B186=""),"Preencher CPF e entrada",IF(COUNTIFS($A$12:$A$5011,A186,$B$12:$B$5011,B186)&gt;1,"CPF + dia duplicado",IF(OR(AND(G186&lt;&gt;"",G186&lt;&gt;0,G186&lt;&gt;1),AND(H186&lt;&gt;"",H186&lt;&gt;0,H186&lt;&gt;1)),"Flags devem ser 0 ou 1",IF(AND(H186=1,LEN(TRIM(I186))=0),"Preencher nome do indicante",IF(AND(H186&lt;&gt;1,I186&lt;&gt;""),"Nome sem indicação interna",IF(AND(G186=1,F186=""),"Fechamento sem conversa",IF(OR(AND(E186&lt;&gt;"",E186&lt;B186),AND(F186&lt;&gt;"",F186&lt;B186)),"Evento anterior à entrada",IF(AND(F186&lt;&gt;"",E186=""),"Conversa sem agendamento",IF(OR(E186&gt;TODAY(),F186&gt;TODAY()),"Verificar evento futuro","OK"))))))))))</f>
        <v/>
      </c>
    </row>
    <row r="187" spans="12:15">
      <c r="L187" s="5">
        <f>IF(OR(A187="",B187=""),"",B187-WEEKDAY(B187,2)+1)</f>
        <v/>
      </c>
      <c r="M187" s="5">
        <f>IF(L187="","",L187+6)</f>
        <v/>
      </c>
      <c r="N187" s="6">
        <f>IF(OR(A187="",B187=""),"",DATE(YEAR(B187),MONTH(B187),1))</f>
        <v/>
      </c>
      <c r="O187" s="7">
        <f>IF(COUNTA(A187:K187)=0,"",IF(OR(A187="",B187=""),"Preencher CPF e entrada",IF(COUNTIFS($A$12:$A$5011,A187,$B$12:$B$5011,B187)&gt;1,"CPF + dia duplicado",IF(OR(AND(G187&lt;&gt;"",G187&lt;&gt;0,G187&lt;&gt;1),AND(H187&lt;&gt;"",H187&lt;&gt;0,H187&lt;&gt;1)),"Flags devem ser 0 ou 1",IF(AND(H187=1,LEN(TRIM(I187))=0),"Preencher nome do indicante",IF(AND(H187&lt;&gt;1,I187&lt;&gt;""),"Nome sem indicação interna",IF(AND(G187=1,F187=""),"Fechamento sem conversa",IF(OR(AND(E187&lt;&gt;"",E187&lt;B187),AND(F187&lt;&gt;"",F187&lt;B187)),"Evento anterior à entrada",IF(AND(F187&lt;&gt;"",E187=""),"Conversa sem agendamento",IF(OR(E187&gt;TODAY(),F187&gt;TODAY()),"Verificar evento futuro","OK"))))))))))</f>
        <v/>
      </c>
    </row>
    <row r="188" spans="12:15">
      <c r="L188" s="5">
        <f>IF(OR(A188="",B188=""),"",B188-WEEKDAY(B188,2)+1)</f>
        <v/>
      </c>
      <c r="M188" s="5">
        <f>IF(L188="","",L188+6)</f>
        <v/>
      </c>
      <c r="N188" s="6">
        <f>IF(OR(A188="",B188=""),"",DATE(YEAR(B188),MONTH(B188),1))</f>
        <v/>
      </c>
      <c r="O188" s="7">
        <f>IF(COUNTA(A188:K188)=0,"",IF(OR(A188="",B188=""),"Preencher CPF e entrada",IF(COUNTIFS($A$12:$A$5011,A188,$B$12:$B$5011,B188)&gt;1,"CPF + dia duplicado",IF(OR(AND(G188&lt;&gt;"",G188&lt;&gt;0,G188&lt;&gt;1),AND(H188&lt;&gt;"",H188&lt;&gt;0,H188&lt;&gt;1)),"Flags devem ser 0 ou 1",IF(AND(H188=1,LEN(TRIM(I188))=0),"Preencher nome do indicante",IF(AND(H188&lt;&gt;1,I188&lt;&gt;""),"Nome sem indicação interna",IF(AND(G188=1,F188=""),"Fechamento sem conversa",IF(OR(AND(E188&lt;&gt;"",E188&lt;B188),AND(F188&lt;&gt;"",F188&lt;B188)),"Evento anterior à entrada",IF(AND(F188&lt;&gt;"",E188=""),"Conversa sem agendamento",IF(OR(E188&gt;TODAY(),F188&gt;TODAY()),"Verificar evento futuro","OK"))))))))))</f>
        <v/>
      </c>
    </row>
    <row r="189" spans="12:15">
      <c r="L189" s="5">
        <f>IF(OR(A189="",B189=""),"",B189-WEEKDAY(B189,2)+1)</f>
        <v/>
      </c>
      <c r="M189" s="5">
        <f>IF(L189="","",L189+6)</f>
        <v/>
      </c>
      <c r="N189" s="6">
        <f>IF(OR(A189="",B189=""),"",DATE(YEAR(B189),MONTH(B189),1))</f>
        <v/>
      </c>
      <c r="O189" s="7">
        <f>IF(COUNTA(A189:K189)=0,"",IF(OR(A189="",B189=""),"Preencher CPF e entrada",IF(COUNTIFS($A$12:$A$5011,A189,$B$12:$B$5011,B189)&gt;1,"CPF + dia duplicado",IF(OR(AND(G189&lt;&gt;"",G189&lt;&gt;0,G189&lt;&gt;1),AND(H189&lt;&gt;"",H189&lt;&gt;0,H189&lt;&gt;1)),"Flags devem ser 0 ou 1",IF(AND(H189=1,LEN(TRIM(I189))=0),"Preencher nome do indicante",IF(AND(H189&lt;&gt;1,I189&lt;&gt;""),"Nome sem indicação interna",IF(AND(G189=1,F189=""),"Fechamento sem conversa",IF(OR(AND(E189&lt;&gt;"",E189&lt;B189),AND(F189&lt;&gt;"",F189&lt;B189)),"Evento anterior à entrada",IF(AND(F189&lt;&gt;"",E189=""),"Conversa sem agendamento",IF(OR(E189&gt;TODAY(),F189&gt;TODAY()),"Verificar evento futuro","OK"))))))))))</f>
        <v/>
      </c>
    </row>
    <row r="190" spans="12:15">
      <c r="L190" s="5">
        <f>IF(OR(A190="",B190=""),"",B190-WEEKDAY(B190,2)+1)</f>
        <v/>
      </c>
      <c r="M190" s="5">
        <f>IF(L190="","",L190+6)</f>
        <v/>
      </c>
      <c r="N190" s="6">
        <f>IF(OR(A190="",B190=""),"",DATE(YEAR(B190),MONTH(B190),1))</f>
        <v/>
      </c>
      <c r="O190" s="7">
        <f>IF(COUNTA(A190:K190)=0,"",IF(OR(A190="",B190=""),"Preencher CPF e entrada",IF(COUNTIFS($A$12:$A$5011,A190,$B$12:$B$5011,B190)&gt;1,"CPF + dia duplicado",IF(OR(AND(G190&lt;&gt;"",G190&lt;&gt;0,G190&lt;&gt;1),AND(H190&lt;&gt;"",H190&lt;&gt;0,H190&lt;&gt;1)),"Flags devem ser 0 ou 1",IF(AND(H190=1,LEN(TRIM(I190))=0),"Preencher nome do indicante",IF(AND(H190&lt;&gt;1,I190&lt;&gt;""),"Nome sem indicação interna",IF(AND(G190=1,F190=""),"Fechamento sem conversa",IF(OR(AND(E190&lt;&gt;"",E190&lt;B190),AND(F190&lt;&gt;"",F190&lt;B190)),"Evento anterior à entrada",IF(AND(F190&lt;&gt;"",E190=""),"Conversa sem agendamento",IF(OR(E190&gt;TODAY(),F190&gt;TODAY()),"Verificar evento futuro","OK"))))))))))</f>
        <v/>
      </c>
    </row>
    <row r="191" spans="12:15">
      <c r="L191" s="5">
        <f>IF(OR(A191="",B191=""),"",B191-WEEKDAY(B191,2)+1)</f>
        <v/>
      </c>
      <c r="M191" s="5">
        <f>IF(L191="","",L191+6)</f>
        <v/>
      </c>
      <c r="N191" s="6">
        <f>IF(OR(A191="",B191=""),"",DATE(YEAR(B191),MONTH(B191),1))</f>
        <v/>
      </c>
      <c r="O191" s="7">
        <f>IF(COUNTA(A191:K191)=0,"",IF(OR(A191="",B191=""),"Preencher CPF e entrada",IF(COUNTIFS($A$12:$A$5011,A191,$B$12:$B$5011,B191)&gt;1,"CPF + dia duplicado",IF(OR(AND(G191&lt;&gt;"",G191&lt;&gt;0,G191&lt;&gt;1),AND(H191&lt;&gt;"",H191&lt;&gt;0,H191&lt;&gt;1)),"Flags devem ser 0 ou 1",IF(AND(H191=1,LEN(TRIM(I191))=0),"Preencher nome do indicante",IF(AND(H191&lt;&gt;1,I191&lt;&gt;""),"Nome sem indicação interna",IF(AND(G191=1,F191=""),"Fechamento sem conversa",IF(OR(AND(E191&lt;&gt;"",E191&lt;B191),AND(F191&lt;&gt;"",F191&lt;B191)),"Evento anterior à entrada",IF(AND(F191&lt;&gt;"",E191=""),"Conversa sem agendamento",IF(OR(E191&gt;TODAY(),F191&gt;TODAY()),"Verificar evento futuro","OK"))))))))))</f>
        <v/>
      </c>
    </row>
    <row r="192" spans="12:15">
      <c r="L192" s="5">
        <f>IF(OR(A192="",B192=""),"",B192-WEEKDAY(B192,2)+1)</f>
        <v/>
      </c>
      <c r="M192" s="5">
        <f>IF(L192="","",L192+6)</f>
        <v/>
      </c>
      <c r="N192" s="6">
        <f>IF(OR(A192="",B192=""),"",DATE(YEAR(B192),MONTH(B192),1))</f>
        <v/>
      </c>
      <c r="O192" s="7">
        <f>IF(COUNTA(A192:K192)=0,"",IF(OR(A192="",B192=""),"Preencher CPF e entrada",IF(COUNTIFS($A$12:$A$5011,A192,$B$12:$B$5011,B192)&gt;1,"CPF + dia duplicado",IF(OR(AND(G192&lt;&gt;"",G192&lt;&gt;0,G192&lt;&gt;1),AND(H192&lt;&gt;"",H192&lt;&gt;0,H192&lt;&gt;1)),"Flags devem ser 0 ou 1",IF(AND(H192=1,LEN(TRIM(I192))=0),"Preencher nome do indicante",IF(AND(H192&lt;&gt;1,I192&lt;&gt;""),"Nome sem indicação interna",IF(AND(G192=1,F192=""),"Fechamento sem conversa",IF(OR(AND(E192&lt;&gt;"",E192&lt;B192),AND(F192&lt;&gt;"",F192&lt;B192)),"Evento anterior à entrada",IF(AND(F192&lt;&gt;"",E192=""),"Conversa sem agendamento",IF(OR(E192&gt;TODAY(),F192&gt;TODAY()),"Verificar evento futuro","OK"))))))))))</f>
        <v/>
      </c>
    </row>
    <row r="193" spans="12:15">
      <c r="L193" s="5">
        <f>IF(OR(A193="",B193=""),"",B193-WEEKDAY(B193,2)+1)</f>
        <v/>
      </c>
      <c r="M193" s="5">
        <f>IF(L193="","",L193+6)</f>
        <v/>
      </c>
      <c r="N193" s="6">
        <f>IF(OR(A193="",B193=""),"",DATE(YEAR(B193),MONTH(B193),1))</f>
        <v/>
      </c>
      <c r="O193" s="7">
        <f>IF(COUNTA(A193:K193)=0,"",IF(OR(A193="",B193=""),"Preencher CPF e entrada",IF(COUNTIFS($A$12:$A$5011,A193,$B$12:$B$5011,B193)&gt;1,"CPF + dia duplicado",IF(OR(AND(G193&lt;&gt;"",G193&lt;&gt;0,G193&lt;&gt;1),AND(H193&lt;&gt;"",H193&lt;&gt;0,H193&lt;&gt;1)),"Flags devem ser 0 ou 1",IF(AND(H193=1,LEN(TRIM(I193))=0),"Preencher nome do indicante",IF(AND(H193&lt;&gt;1,I193&lt;&gt;""),"Nome sem indicação interna",IF(AND(G193=1,F193=""),"Fechamento sem conversa",IF(OR(AND(E193&lt;&gt;"",E193&lt;B193),AND(F193&lt;&gt;"",F193&lt;B193)),"Evento anterior à entrada",IF(AND(F193&lt;&gt;"",E193=""),"Conversa sem agendamento",IF(OR(E193&gt;TODAY(),F193&gt;TODAY()),"Verificar evento futuro","OK"))))))))))</f>
        <v/>
      </c>
    </row>
    <row r="194" spans="12:15">
      <c r="L194" s="5">
        <f>IF(OR(A194="",B194=""),"",B194-WEEKDAY(B194,2)+1)</f>
        <v/>
      </c>
      <c r="M194" s="5">
        <f>IF(L194="","",L194+6)</f>
        <v/>
      </c>
      <c r="N194" s="6">
        <f>IF(OR(A194="",B194=""),"",DATE(YEAR(B194),MONTH(B194),1))</f>
        <v/>
      </c>
      <c r="O194" s="7">
        <f>IF(COUNTA(A194:K194)=0,"",IF(OR(A194="",B194=""),"Preencher CPF e entrada",IF(COUNTIFS($A$12:$A$5011,A194,$B$12:$B$5011,B194)&gt;1,"CPF + dia duplicado",IF(OR(AND(G194&lt;&gt;"",G194&lt;&gt;0,G194&lt;&gt;1),AND(H194&lt;&gt;"",H194&lt;&gt;0,H194&lt;&gt;1)),"Flags devem ser 0 ou 1",IF(AND(H194=1,LEN(TRIM(I194))=0),"Preencher nome do indicante",IF(AND(H194&lt;&gt;1,I194&lt;&gt;""),"Nome sem indicação interna",IF(AND(G194=1,F194=""),"Fechamento sem conversa",IF(OR(AND(E194&lt;&gt;"",E194&lt;B194),AND(F194&lt;&gt;"",F194&lt;B194)),"Evento anterior à entrada",IF(AND(F194&lt;&gt;"",E194=""),"Conversa sem agendamento",IF(OR(E194&gt;TODAY(),F194&gt;TODAY()),"Verificar evento futuro","OK"))))))))))</f>
        <v/>
      </c>
    </row>
    <row r="195" spans="12:15">
      <c r="L195" s="5">
        <f>IF(OR(A195="",B195=""),"",B195-WEEKDAY(B195,2)+1)</f>
        <v/>
      </c>
      <c r="M195" s="5">
        <f>IF(L195="","",L195+6)</f>
        <v/>
      </c>
      <c r="N195" s="6">
        <f>IF(OR(A195="",B195=""),"",DATE(YEAR(B195),MONTH(B195),1))</f>
        <v/>
      </c>
      <c r="O195" s="7">
        <f>IF(COUNTA(A195:K195)=0,"",IF(OR(A195="",B195=""),"Preencher CPF e entrada",IF(COUNTIFS($A$12:$A$5011,A195,$B$12:$B$5011,B195)&gt;1,"CPF + dia duplicado",IF(OR(AND(G195&lt;&gt;"",G195&lt;&gt;0,G195&lt;&gt;1),AND(H195&lt;&gt;"",H195&lt;&gt;0,H195&lt;&gt;1)),"Flags devem ser 0 ou 1",IF(AND(H195=1,LEN(TRIM(I195))=0),"Preencher nome do indicante",IF(AND(H195&lt;&gt;1,I195&lt;&gt;""),"Nome sem indicação interna",IF(AND(G195=1,F195=""),"Fechamento sem conversa",IF(OR(AND(E195&lt;&gt;"",E195&lt;B195),AND(F195&lt;&gt;"",F195&lt;B195)),"Evento anterior à entrada",IF(AND(F195&lt;&gt;"",E195=""),"Conversa sem agendamento",IF(OR(E195&gt;TODAY(),F195&gt;TODAY()),"Verificar evento futuro","OK"))))))))))</f>
        <v/>
      </c>
    </row>
    <row r="196" spans="12:15">
      <c r="L196" s="5">
        <f>IF(OR(A196="",B196=""),"",B196-WEEKDAY(B196,2)+1)</f>
        <v/>
      </c>
      <c r="M196" s="5">
        <f>IF(L196="","",L196+6)</f>
        <v/>
      </c>
      <c r="N196" s="6">
        <f>IF(OR(A196="",B196=""),"",DATE(YEAR(B196),MONTH(B196),1))</f>
        <v/>
      </c>
      <c r="O196" s="7">
        <f>IF(COUNTA(A196:K196)=0,"",IF(OR(A196="",B196=""),"Preencher CPF e entrada",IF(COUNTIFS($A$12:$A$5011,A196,$B$12:$B$5011,B196)&gt;1,"CPF + dia duplicado",IF(OR(AND(G196&lt;&gt;"",G196&lt;&gt;0,G196&lt;&gt;1),AND(H196&lt;&gt;"",H196&lt;&gt;0,H196&lt;&gt;1)),"Flags devem ser 0 ou 1",IF(AND(H196=1,LEN(TRIM(I196))=0),"Preencher nome do indicante",IF(AND(H196&lt;&gt;1,I196&lt;&gt;""),"Nome sem indicação interna",IF(AND(G196=1,F196=""),"Fechamento sem conversa",IF(OR(AND(E196&lt;&gt;"",E196&lt;B196),AND(F196&lt;&gt;"",F196&lt;B196)),"Evento anterior à entrada",IF(AND(F196&lt;&gt;"",E196=""),"Conversa sem agendamento",IF(OR(E196&gt;TODAY(),F196&gt;TODAY()),"Verificar evento futuro","OK"))))))))))</f>
        <v/>
      </c>
    </row>
    <row r="197" spans="12:15">
      <c r="L197" s="5">
        <f>IF(OR(A197="",B197=""),"",B197-WEEKDAY(B197,2)+1)</f>
        <v/>
      </c>
      <c r="M197" s="5">
        <f>IF(L197="","",L197+6)</f>
        <v/>
      </c>
      <c r="N197" s="6">
        <f>IF(OR(A197="",B197=""),"",DATE(YEAR(B197),MONTH(B197),1))</f>
        <v/>
      </c>
      <c r="O197" s="7">
        <f>IF(COUNTA(A197:K197)=0,"",IF(OR(A197="",B197=""),"Preencher CPF e entrada",IF(COUNTIFS($A$12:$A$5011,A197,$B$12:$B$5011,B197)&gt;1,"CPF + dia duplicado",IF(OR(AND(G197&lt;&gt;"",G197&lt;&gt;0,G197&lt;&gt;1),AND(H197&lt;&gt;"",H197&lt;&gt;0,H197&lt;&gt;1)),"Flags devem ser 0 ou 1",IF(AND(H197=1,LEN(TRIM(I197))=0),"Preencher nome do indicante",IF(AND(H197&lt;&gt;1,I197&lt;&gt;""),"Nome sem indicação interna",IF(AND(G197=1,F197=""),"Fechamento sem conversa",IF(OR(AND(E197&lt;&gt;"",E197&lt;B197),AND(F197&lt;&gt;"",F197&lt;B197)),"Evento anterior à entrada",IF(AND(F197&lt;&gt;"",E197=""),"Conversa sem agendamento",IF(OR(E197&gt;TODAY(),F197&gt;TODAY()),"Verificar evento futuro","OK"))))))))))</f>
        <v/>
      </c>
    </row>
    <row r="198" spans="12:15">
      <c r="L198" s="5">
        <f>IF(OR(A198="",B198=""),"",B198-WEEKDAY(B198,2)+1)</f>
        <v/>
      </c>
      <c r="M198" s="5">
        <f>IF(L198="","",L198+6)</f>
        <v/>
      </c>
      <c r="N198" s="6">
        <f>IF(OR(A198="",B198=""),"",DATE(YEAR(B198),MONTH(B198),1))</f>
        <v/>
      </c>
      <c r="O198" s="7">
        <f>IF(COUNTA(A198:K198)=0,"",IF(OR(A198="",B198=""),"Preencher CPF e entrada",IF(COUNTIFS($A$12:$A$5011,A198,$B$12:$B$5011,B198)&gt;1,"CPF + dia duplicado",IF(OR(AND(G198&lt;&gt;"",G198&lt;&gt;0,G198&lt;&gt;1),AND(H198&lt;&gt;"",H198&lt;&gt;0,H198&lt;&gt;1)),"Flags devem ser 0 ou 1",IF(AND(H198=1,LEN(TRIM(I198))=0),"Preencher nome do indicante",IF(AND(H198&lt;&gt;1,I198&lt;&gt;""),"Nome sem indicação interna",IF(AND(G198=1,F198=""),"Fechamento sem conversa",IF(OR(AND(E198&lt;&gt;"",E198&lt;B198),AND(F198&lt;&gt;"",F198&lt;B198)),"Evento anterior à entrada",IF(AND(F198&lt;&gt;"",E198=""),"Conversa sem agendamento",IF(OR(E198&gt;TODAY(),F198&gt;TODAY()),"Verificar evento futuro","OK"))))))))))</f>
        <v/>
      </c>
    </row>
    <row r="199" spans="12:15">
      <c r="L199" s="5">
        <f>IF(OR(A199="",B199=""),"",B199-WEEKDAY(B199,2)+1)</f>
        <v/>
      </c>
      <c r="M199" s="5">
        <f>IF(L199="","",L199+6)</f>
        <v/>
      </c>
      <c r="N199" s="6">
        <f>IF(OR(A199="",B199=""),"",DATE(YEAR(B199),MONTH(B199),1))</f>
        <v/>
      </c>
      <c r="O199" s="7">
        <f>IF(COUNTA(A199:K199)=0,"",IF(OR(A199="",B199=""),"Preencher CPF e entrada",IF(COUNTIFS($A$12:$A$5011,A199,$B$12:$B$5011,B199)&gt;1,"CPF + dia duplicado",IF(OR(AND(G199&lt;&gt;"",G199&lt;&gt;0,G199&lt;&gt;1),AND(H199&lt;&gt;"",H199&lt;&gt;0,H199&lt;&gt;1)),"Flags devem ser 0 ou 1",IF(AND(H199=1,LEN(TRIM(I199))=0),"Preencher nome do indicante",IF(AND(H199&lt;&gt;1,I199&lt;&gt;""),"Nome sem indicação interna",IF(AND(G199=1,F199=""),"Fechamento sem conversa",IF(OR(AND(E199&lt;&gt;"",E199&lt;B199),AND(F199&lt;&gt;"",F199&lt;B199)),"Evento anterior à entrada",IF(AND(F199&lt;&gt;"",E199=""),"Conversa sem agendamento",IF(OR(E199&gt;TODAY(),F199&gt;TODAY()),"Verificar evento futuro","OK"))))))))))</f>
        <v/>
      </c>
    </row>
    <row r="200" spans="12:15">
      <c r="L200" s="5">
        <f>IF(OR(A200="",B200=""),"",B200-WEEKDAY(B200,2)+1)</f>
        <v/>
      </c>
      <c r="M200" s="5">
        <f>IF(L200="","",L200+6)</f>
        <v/>
      </c>
      <c r="N200" s="6">
        <f>IF(OR(A200="",B200=""),"",DATE(YEAR(B200),MONTH(B200),1))</f>
        <v/>
      </c>
      <c r="O200" s="7">
        <f>IF(COUNTA(A200:K200)=0,"",IF(OR(A200="",B200=""),"Preencher CPF e entrada",IF(COUNTIFS($A$12:$A$5011,A200,$B$12:$B$5011,B200)&gt;1,"CPF + dia duplicado",IF(OR(AND(G200&lt;&gt;"",G200&lt;&gt;0,G200&lt;&gt;1),AND(H200&lt;&gt;"",H200&lt;&gt;0,H200&lt;&gt;1)),"Flags devem ser 0 ou 1",IF(AND(H200=1,LEN(TRIM(I200))=0),"Preencher nome do indicante",IF(AND(H200&lt;&gt;1,I200&lt;&gt;""),"Nome sem indicação interna",IF(AND(G200=1,F200=""),"Fechamento sem conversa",IF(OR(AND(E200&lt;&gt;"",E200&lt;B200),AND(F200&lt;&gt;"",F200&lt;B200)),"Evento anterior à entrada",IF(AND(F200&lt;&gt;"",E200=""),"Conversa sem agendamento",IF(OR(E200&gt;TODAY(),F200&gt;TODAY()),"Verificar evento futuro","OK"))))))))))</f>
        <v/>
      </c>
    </row>
    <row r="201" spans="12:15">
      <c r="L201" s="5">
        <f>IF(OR(A201="",B201=""),"",B201-WEEKDAY(B201,2)+1)</f>
        <v/>
      </c>
      <c r="M201" s="5">
        <f>IF(L201="","",L201+6)</f>
        <v/>
      </c>
      <c r="N201" s="6">
        <f>IF(OR(A201="",B201=""),"",DATE(YEAR(B201),MONTH(B201),1))</f>
        <v/>
      </c>
      <c r="O201" s="7">
        <f>IF(COUNTA(A201:K201)=0,"",IF(OR(A201="",B201=""),"Preencher CPF e entrada",IF(COUNTIFS($A$12:$A$5011,A201,$B$12:$B$5011,B201)&gt;1,"CPF + dia duplicado",IF(OR(AND(G201&lt;&gt;"",G201&lt;&gt;0,G201&lt;&gt;1),AND(H201&lt;&gt;"",H201&lt;&gt;0,H201&lt;&gt;1)),"Flags devem ser 0 ou 1",IF(AND(H201=1,LEN(TRIM(I201))=0),"Preencher nome do indicante",IF(AND(H201&lt;&gt;1,I201&lt;&gt;""),"Nome sem indicação interna",IF(AND(G201=1,F201=""),"Fechamento sem conversa",IF(OR(AND(E201&lt;&gt;"",E201&lt;B201),AND(F201&lt;&gt;"",F201&lt;B201)),"Evento anterior à entrada",IF(AND(F201&lt;&gt;"",E201=""),"Conversa sem agendamento",IF(OR(E201&gt;TODAY(),F201&gt;TODAY()),"Verificar evento futuro","OK"))))))))))</f>
        <v/>
      </c>
    </row>
    <row r="202" spans="12:15">
      <c r="L202" s="5">
        <f>IF(OR(A202="",B202=""),"",B202-WEEKDAY(B202,2)+1)</f>
        <v/>
      </c>
      <c r="M202" s="5">
        <f>IF(L202="","",L202+6)</f>
        <v/>
      </c>
      <c r="N202" s="6">
        <f>IF(OR(A202="",B202=""),"",DATE(YEAR(B202),MONTH(B202),1))</f>
        <v/>
      </c>
      <c r="O202" s="7">
        <f>IF(COUNTA(A202:K202)=0,"",IF(OR(A202="",B202=""),"Preencher CPF e entrada",IF(COUNTIFS($A$12:$A$5011,A202,$B$12:$B$5011,B202)&gt;1,"CPF + dia duplicado",IF(OR(AND(G202&lt;&gt;"",G202&lt;&gt;0,G202&lt;&gt;1),AND(H202&lt;&gt;"",H202&lt;&gt;0,H202&lt;&gt;1)),"Flags devem ser 0 ou 1",IF(AND(H202=1,LEN(TRIM(I202))=0),"Preencher nome do indicante",IF(AND(H202&lt;&gt;1,I202&lt;&gt;""),"Nome sem indicação interna",IF(AND(G202=1,F202=""),"Fechamento sem conversa",IF(OR(AND(E202&lt;&gt;"",E202&lt;B202),AND(F202&lt;&gt;"",F202&lt;B202)),"Evento anterior à entrada",IF(AND(F202&lt;&gt;"",E202=""),"Conversa sem agendamento",IF(OR(E202&gt;TODAY(),F202&gt;TODAY()),"Verificar evento futuro","OK"))))))))))</f>
        <v/>
      </c>
    </row>
    <row r="203" spans="12:15">
      <c r="L203" s="5">
        <f>IF(OR(A203="",B203=""),"",B203-WEEKDAY(B203,2)+1)</f>
        <v/>
      </c>
      <c r="M203" s="5">
        <f>IF(L203="","",L203+6)</f>
        <v/>
      </c>
      <c r="N203" s="6">
        <f>IF(OR(A203="",B203=""),"",DATE(YEAR(B203),MONTH(B203),1))</f>
        <v/>
      </c>
      <c r="O203" s="7">
        <f>IF(COUNTA(A203:K203)=0,"",IF(OR(A203="",B203=""),"Preencher CPF e entrada",IF(COUNTIFS($A$12:$A$5011,A203,$B$12:$B$5011,B203)&gt;1,"CPF + dia duplicado",IF(OR(AND(G203&lt;&gt;"",G203&lt;&gt;0,G203&lt;&gt;1),AND(H203&lt;&gt;"",H203&lt;&gt;0,H203&lt;&gt;1)),"Flags devem ser 0 ou 1",IF(AND(H203=1,LEN(TRIM(I203))=0),"Preencher nome do indicante",IF(AND(H203&lt;&gt;1,I203&lt;&gt;""),"Nome sem indicação interna",IF(AND(G203=1,F203=""),"Fechamento sem conversa",IF(OR(AND(E203&lt;&gt;"",E203&lt;B203),AND(F203&lt;&gt;"",F203&lt;B203)),"Evento anterior à entrada",IF(AND(F203&lt;&gt;"",E203=""),"Conversa sem agendamento",IF(OR(E203&gt;TODAY(),F203&gt;TODAY()),"Verificar evento futuro","OK"))))))))))</f>
        <v/>
      </c>
    </row>
    <row r="204" spans="12:15">
      <c r="L204" s="5">
        <f>IF(OR(A204="",B204=""),"",B204-WEEKDAY(B204,2)+1)</f>
        <v/>
      </c>
      <c r="M204" s="5">
        <f>IF(L204="","",L204+6)</f>
        <v/>
      </c>
      <c r="N204" s="6">
        <f>IF(OR(A204="",B204=""),"",DATE(YEAR(B204),MONTH(B204),1))</f>
        <v/>
      </c>
      <c r="O204" s="7">
        <f>IF(COUNTA(A204:K204)=0,"",IF(OR(A204="",B204=""),"Preencher CPF e entrada",IF(COUNTIFS($A$12:$A$5011,A204,$B$12:$B$5011,B204)&gt;1,"CPF + dia duplicado",IF(OR(AND(G204&lt;&gt;"",G204&lt;&gt;0,G204&lt;&gt;1),AND(H204&lt;&gt;"",H204&lt;&gt;0,H204&lt;&gt;1)),"Flags devem ser 0 ou 1",IF(AND(H204=1,LEN(TRIM(I204))=0),"Preencher nome do indicante",IF(AND(H204&lt;&gt;1,I204&lt;&gt;""),"Nome sem indicação interna",IF(AND(G204=1,F204=""),"Fechamento sem conversa",IF(OR(AND(E204&lt;&gt;"",E204&lt;B204),AND(F204&lt;&gt;"",F204&lt;B204)),"Evento anterior à entrada",IF(AND(F204&lt;&gt;"",E204=""),"Conversa sem agendamento",IF(OR(E204&gt;TODAY(),F204&gt;TODAY()),"Verificar evento futuro","OK"))))))))))</f>
        <v/>
      </c>
    </row>
    <row r="205" spans="12:15">
      <c r="L205" s="5">
        <f>IF(OR(A205="",B205=""),"",B205-WEEKDAY(B205,2)+1)</f>
        <v/>
      </c>
      <c r="M205" s="5">
        <f>IF(L205="","",L205+6)</f>
        <v/>
      </c>
      <c r="N205" s="6">
        <f>IF(OR(A205="",B205=""),"",DATE(YEAR(B205),MONTH(B205),1))</f>
        <v/>
      </c>
      <c r="O205" s="7">
        <f>IF(COUNTA(A205:K205)=0,"",IF(OR(A205="",B205=""),"Preencher CPF e entrada",IF(COUNTIFS($A$12:$A$5011,A205,$B$12:$B$5011,B205)&gt;1,"CPF + dia duplicado",IF(OR(AND(G205&lt;&gt;"",G205&lt;&gt;0,G205&lt;&gt;1),AND(H205&lt;&gt;"",H205&lt;&gt;0,H205&lt;&gt;1)),"Flags devem ser 0 ou 1",IF(AND(H205=1,LEN(TRIM(I205))=0),"Preencher nome do indicante",IF(AND(H205&lt;&gt;1,I205&lt;&gt;""),"Nome sem indicação interna",IF(AND(G205=1,F205=""),"Fechamento sem conversa",IF(OR(AND(E205&lt;&gt;"",E205&lt;B205),AND(F205&lt;&gt;"",F205&lt;B205)),"Evento anterior à entrada",IF(AND(F205&lt;&gt;"",E205=""),"Conversa sem agendamento",IF(OR(E205&gt;TODAY(),F205&gt;TODAY()),"Verificar evento futuro","OK"))))))))))</f>
        <v/>
      </c>
    </row>
    <row r="206" spans="12:15">
      <c r="L206" s="5">
        <f>IF(OR(A206="",B206=""),"",B206-WEEKDAY(B206,2)+1)</f>
        <v/>
      </c>
      <c r="M206" s="5">
        <f>IF(L206="","",L206+6)</f>
        <v/>
      </c>
      <c r="N206" s="6">
        <f>IF(OR(A206="",B206=""),"",DATE(YEAR(B206),MONTH(B206),1))</f>
        <v/>
      </c>
      <c r="O206" s="7">
        <f>IF(COUNTA(A206:K206)=0,"",IF(OR(A206="",B206=""),"Preencher CPF e entrada",IF(COUNTIFS($A$12:$A$5011,A206,$B$12:$B$5011,B206)&gt;1,"CPF + dia duplicado",IF(OR(AND(G206&lt;&gt;"",G206&lt;&gt;0,G206&lt;&gt;1),AND(H206&lt;&gt;"",H206&lt;&gt;0,H206&lt;&gt;1)),"Flags devem ser 0 ou 1",IF(AND(H206=1,LEN(TRIM(I206))=0),"Preencher nome do indicante",IF(AND(H206&lt;&gt;1,I206&lt;&gt;""),"Nome sem indicação interna",IF(AND(G206=1,F206=""),"Fechamento sem conversa",IF(OR(AND(E206&lt;&gt;"",E206&lt;B206),AND(F206&lt;&gt;"",F206&lt;B206)),"Evento anterior à entrada",IF(AND(F206&lt;&gt;"",E206=""),"Conversa sem agendamento",IF(OR(E206&gt;TODAY(),F206&gt;TODAY()),"Verificar evento futuro","OK"))))))))))</f>
        <v/>
      </c>
    </row>
    <row r="207" spans="12:15">
      <c r="L207" s="5">
        <f>IF(OR(A207="",B207=""),"",B207-WEEKDAY(B207,2)+1)</f>
        <v/>
      </c>
      <c r="M207" s="5">
        <f>IF(L207="","",L207+6)</f>
        <v/>
      </c>
      <c r="N207" s="6">
        <f>IF(OR(A207="",B207=""),"",DATE(YEAR(B207),MONTH(B207),1))</f>
        <v/>
      </c>
      <c r="O207" s="7">
        <f>IF(COUNTA(A207:K207)=0,"",IF(OR(A207="",B207=""),"Preencher CPF e entrada",IF(COUNTIFS($A$12:$A$5011,A207,$B$12:$B$5011,B207)&gt;1,"CPF + dia duplicado",IF(OR(AND(G207&lt;&gt;"",G207&lt;&gt;0,G207&lt;&gt;1),AND(H207&lt;&gt;"",H207&lt;&gt;0,H207&lt;&gt;1)),"Flags devem ser 0 ou 1",IF(AND(H207=1,LEN(TRIM(I207))=0),"Preencher nome do indicante",IF(AND(H207&lt;&gt;1,I207&lt;&gt;""),"Nome sem indicação interna",IF(AND(G207=1,F207=""),"Fechamento sem conversa",IF(OR(AND(E207&lt;&gt;"",E207&lt;B207),AND(F207&lt;&gt;"",F207&lt;B207)),"Evento anterior à entrada",IF(AND(F207&lt;&gt;"",E207=""),"Conversa sem agendamento",IF(OR(E207&gt;TODAY(),F207&gt;TODAY()),"Verificar evento futuro","OK"))))))))))</f>
        <v/>
      </c>
    </row>
    <row r="208" spans="12:15">
      <c r="L208" s="5">
        <f>IF(OR(A208="",B208=""),"",B208-WEEKDAY(B208,2)+1)</f>
        <v/>
      </c>
      <c r="M208" s="5">
        <f>IF(L208="","",L208+6)</f>
        <v/>
      </c>
      <c r="N208" s="6">
        <f>IF(OR(A208="",B208=""),"",DATE(YEAR(B208),MONTH(B208),1))</f>
        <v/>
      </c>
      <c r="O208" s="7">
        <f>IF(COUNTA(A208:K208)=0,"",IF(OR(A208="",B208=""),"Preencher CPF e entrada",IF(COUNTIFS($A$12:$A$5011,A208,$B$12:$B$5011,B208)&gt;1,"CPF + dia duplicado",IF(OR(AND(G208&lt;&gt;"",G208&lt;&gt;0,G208&lt;&gt;1),AND(H208&lt;&gt;"",H208&lt;&gt;0,H208&lt;&gt;1)),"Flags devem ser 0 ou 1",IF(AND(H208=1,LEN(TRIM(I208))=0),"Preencher nome do indicante",IF(AND(H208&lt;&gt;1,I208&lt;&gt;""),"Nome sem indicação interna",IF(AND(G208=1,F208=""),"Fechamento sem conversa",IF(OR(AND(E208&lt;&gt;"",E208&lt;B208),AND(F208&lt;&gt;"",F208&lt;B208)),"Evento anterior à entrada",IF(AND(F208&lt;&gt;"",E208=""),"Conversa sem agendamento",IF(OR(E208&gt;TODAY(),F208&gt;TODAY()),"Verificar evento futuro","OK"))))))))))</f>
        <v/>
      </c>
    </row>
    <row r="209" spans="12:15">
      <c r="L209" s="5">
        <f>IF(OR(A209="",B209=""),"",B209-WEEKDAY(B209,2)+1)</f>
        <v/>
      </c>
      <c r="M209" s="5">
        <f>IF(L209="","",L209+6)</f>
        <v/>
      </c>
      <c r="N209" s="6">
        <f>IF(OR(A209="",B209=""),"",DATE(YEAR(B209),MONTH(B209),1))</f>
        <v/>
      </c>
      <c r="O209" s="7">
        <f>IF(COUNTA(A209:K209)=0,"",IF(OR(A209="",B209=""),"Preencher CPF e entrada",IF(COUNTIFS($A$12:$A$5011,A209,$B$12:$B$5011,B209)&gt;1,"CPF + dia duplicado",IF(OR(AND(G209&lt;&gt;"",G209&lt;&gt;0,G209&lt;&gt;1),AND(H209&lt;&gt;"",H209&lt;&gt;0,H209&lt;&gt;1)),"Flags devem ser 0 ou 1",IF(AND(H209=1,LEN(TRIM(I209))=0),"Preencher nome do indicante",IF(AND(H209&lt;&gt;1,I209&lt;&gt;""),"Nome sem indicação interna",IF(AND(G209=1,F209=""),"Fechamento sem conversa",IF(OR(AND(E209&lt;&gt;"",E209&lt;B209),AND(F209&lt;&gt;"",F209&lt;B209)),"Evento anterior à entrada",IF(AND(F209&lt;&gt;"",E209=""),"Conversa sem agendamento",IF(OR(E209&gt;TODAY(),F209&gt;TODAY()),"Verificar evento futuro","OK"))))))))))</f>
        <v/>
      </c>
    </row>
    <row r="210" spans="12:15">
      <c r="L210" s="5">
        <f>IF(OR(A210="",B210=""),"",B210-WEEKDAY(B210,2)+1)</f>
        <v/>
      </c>
      <c r="M210" s="5">
        <f>IF(L210="","",L210+6)</f>
        <v/>
      </c>
      <c r="N210" s="6">
        <f>IF(OR(A210="",B210=""),"",DATE(YEAR(B210),MONTH(B210),1))</f>
        <v/>
      </c>
      <c r="O210" s="7">
        <f>IF(COUNTA(A210:K210)=0,"",IF(OR(A210="",B210=""),"Preencher CPF e entrada",IF(COUNTIFS($A$12:$A$5011,A210,$B$12:$B$5011,B210)&gt;1,"CPF + dia duplicado",IF(OR(AND(G210&lt;&gt;"",G210&lt;&gt;0,G210&lt;&gt;1),AND(H210&lt;&gt;"",H210&lt;&gt;0,H210&lt;&gt;1)),"Flags devem ser 0 ou 1",IF(AND(H210=1,LEN(TRIM(I210))=0),"Preencher nome do indicante",IF(AND(H210&lt;&gt;1,I210&lt;&gt;""),"Nome sem indicação interna",IF(AND(G210=1,F210=""),"Fechamento sem conversa",IF(OR(AND(E210&lt;&gt;"",E210&lt;B210),AND(F210&lt;&gt;"",F210&lt;B210)),"Evento anterior à entrada",IF(AND(F210&lt;&gt;"",E210=""),"Conversa sem agendamento",IF(OR(E210&gt;TODAY(),F210&gt;TODAY()),"Verificar evento futuro","OK"))))))))))</f>
        <v/>
      </c>
    </row>
    <row r="211" spans="12:15">
      <c r="L211" s="5">
        <f>IF(OR(A211="",B211=""),"",B211-WEEKDAY(B211,2)+1)</f>
        <v/>
      </c>
      <c r="M211" s="5">
        <f>IF(L211="","",L211+6)</f>
        <v/>
      </c>
      <c r="N211" s="6">
        <f>IF(OR(A211="",B211=""),"",DATE(YEAR(B211),MONTH(B211),1))</f>
        <v/>
      </c>
      <c r="O211" s="7">
        <f>IF(COUNTA(A211:K211)=0,"",IF(OR(A211="",B211=""),"Preencher CPF e entrada",IF(COUNTIFS($A$12:$A$5011,A211,$B$12:$B$5011,B211)&gt;1,"CPF + dia duplicado",IF(OR(AND(G211&lt;&gt;"",G211&lt;&gt;0,G211&lt;&gt;1),AND(H211&lt;&gt;"",H211&lt;&gt;0,H211&lt;&gt;1)),"Flags devem ser 0 ou 1",IF(AND(H211=1,LEN(TRIM(I211))=0),"Preencher nome do indicante",IF(AND(H211&lt;&gt;1,I211&lt;&gt;""),"Nome sem indicação interna",IF(AND(G211=1,F211=""),"Fechamento sem conversa",IF(OR(AND(E211&lt;&gt;"",E211&lt;B211),AND(F211&lt;&gt;"",F211&lt;B211)),"Evento anterior à entrada",IF(AND(F211&lt;&gt;"",E211=""),"Conversa sem agendamento",IF(OR(E211&gt;TODAY(),F211&gt;TODAY()),"Verificar evento futuro","OK"))))))))))</f>
        <v/>
      </c>
    </row>
    <row r="212" spans="12:15">
      <c r="L212" s="5">
        <f>IF(OR(A212="",B212=""),"",B212-WEEKDAY(B212,2)+1)</f>
        <v/>
      </c>
      <c r="M212" s="5">
        <f>IF(L212="","",L212+6)</f>
        <v/>
      </c>
      <c r="N212" s="6">
        <f>IF(OR(A212="",B212=""),"",DATE(YEAR(B212),MONTH(B212),1))</f>
        <v/>
      </c>
      <c r="O212" s="7">
        <f>IF(COUNTA(A212:K212)=0,"",IF(OR(A212="",B212=""),"Preencher CPF e entrada",IF(COUNTIFS($A$12:$A$5011,A212,$B$12:$B$5011,B212)&gt;1,"CPF + dia duplicado",IF(OR(AND(G212&lt;&gt;"",G212&lt;&gt;0,G212&lt;&gt;1),AND(H212&lt;&gt;"",H212&lt;&gt;0,H212&lt;&gt;1)),"Flags devem ser 0 ou 1",IF(AND(H212=1,LEN(TRIM(I212))=0),"Preencher nome do indicante",IF(AND(H212&lt;&gt;1,I212&lt;&gt;""),"Nome sem indicação interna",IF(AND(G212=1,F212=""),"Fechamento sem conversa",IF(OR(AND(E212&lt;&gt;"",E212&lt;B212),AND(F212&lt;&gt;"",F212&lt;B212)),"Evento anterior à entrada",IF(AND(F212&lt;&gt;"",E212=""),"Conversa sem agendamento",IF(OR(E212&gt;TODAY(),F212&gt;TODAY()),"Verificar evento futuro","OK"))))))))))</f>
        <v/>
      </c>
    </row>
    <row r="213" spans="12:15">
      <c r="L213" s="5">
        <f>IF(OR(A213="",B213=""),"",B213-WEEKDAY(B213,2)+1)</f>
        <v/>
      </c>
      <c r="M213" s="5">
        <f>IF(L213="","",L213+6)</f>
        <v/>
      </c>
      <c r="N213" s="6">
        <f>IF(OR(A213="",B213=""),"",DATE(YEAR(B213),MONTH(B213),1))</f>
        <v/>
      </c>
      <c r="O213" s="7">
        <f>IF(COUNTA(A213:K213)=0,"",IF(OR(A213="",B213=""),"Preencher CPF e entrada",IF(COUNTIFS($A$12:$A$5011,A213,$B$12:$B$5011,B213)&gt;1,"CPF + dia duplicado",IF(OR(AND(G213&lt;&gt;"",G213&lt;&gt;0,G213&lt;&gt;1),AND(H213&lt;&gt;"",H213&lt;&gt;0,H213&lt;&gt;1)),"Flags devem ser 0 ou 1",IF(AND(H213=1,LEN(TRIM(I213))=0),"Preencher nome do indicante",IF(AND(H213&lt;&gt;1,I213&lt;&gt;""),"Nome sem indicação interna",IF(AND(G213=1,F213=""),"Fechamento sem conversa",IF(OR(AND(E213&lt;&gt;"",E213&lt;B213),AND(F213&lt;&gt;"",F213&lt;B213)),"Evento anterior à entrada",IF(AND(F213&lt;&gt;"",E213=""),"Conversa sem agendamento",IF(OR(E213&gt;TODAY(),F213&gt;TODAY()),"Verificar evento futuro","OK"))))))))))</f>
        <v/>
      </c>
    </row>
    <row r="214" spans="12:15">
      <c r="L214" s="5">
        <f>IF(OR(A214="",B214=""),"",B214-WEEKDAY(B214,2)+1)</f>
        <v/>
      </c>
      <c r="M214" s="5">
        <f>IF(L214="","",L214+6)</f>
        <v/>
      </c>
      <c r="N214" s="6">
        <f>IF(OR(A214="",B214=""),"",DATE(YEAR(B214),MONTH(B214),1))</f>
        <v/>
      </c>
      <c r="O214" s="7">
        <f>IF(COUNTA(A214:K214)=0,"",IF(OR(A214="",B214=""),"Preencher CPF e entrada",IF(COUNTIFS($A$12:$A$5011,A214,$B$12:$B$5011,B214)&gt;1,"CPF + dia duplicado",IF(OR(AND(G214&lt;&gt;"",G214&lt;&gt;0,G214&lt;&gt;1),AND(H214&lt;&gt;"",H214&lt;&gt;0,H214&lt;&gt;1)),"Flags devem ser 0 ou 1",IF(AND(H214=1,LEN(TRIM(I214))=0),"Preencher nome do indicante",IF(AND(H214&lt;&gt;1,I214&lt;&gt;""),"Nome sem indicação interna",IF(AND(G214=1,F214=""),"Fechamento sem conversa",IF(OR(AND(E214&lt;&gt;"",E214&lt;B214),AND(F214&lt;&gt;"",F214&lt;B214)),"Evento anterior à entrada",IF(AND(F214&lt;&gt;"",E214=""),"Conversa sem agendamento",IF(OR(E214&gt;TODAY(),F214&gt;TODAY()),"Verificar evento futuro","OK"))))))))))</f>
        <v/>
      </c>
    </row>
    <row r="215" spans="12:15">
      <c r="L215" s="5">
        <f>IF(OR(A215="",B215=""),"",B215-WEEKDAY(B215,2)+1)</f>
        <v/>
      </c>
      <c r="M215" s="5">
        <f>IF(L215="","",L215+6)</f>
        <v/>
      </c>
      <c r="N215" s="6">
        <f>IF(OR(A215="",B215=""),"",DATE(YEAR(B215),MONTH(B215),1))</f>
        <v/>
      </c>
      <c r="O215" s="7">
        <f>IF(COUNTA(A215:K215)=0,"",IF(OR(A215="",B215=""),"Preencher CPF e entrada",IF(COUNTIFS($A$12:$A$5011,A215,$B$12:$B$5011,B215)&gt;1,"CPF + dia duplicado",IF(OR(AND(G215&lt;&gt;"",G215&lt;&gt;0,G215&lt;&gt;1),AND(H215&lt;&gt;"",H215&lt;&gt;0,H215&lt;&gt;1)),"Flags devem ser 0 ou 1",IF(AND(H215=1,LEN(TRIM(I215))=0),"Preencher nome do indicante",IF(AND(H215&lt;&gt;1,I215&lt;&gt;""),"Nome sem indicação interna",IF(AND(G215=1,F215=""),"Fechamento sem conversa",IF(OR(AND(E215&lt;&gt;"",E215&lt;B215),AND(F215&lt;&gt;"",F215&lt;B215)),"Evento anterior à entrada",IF(AND(F215&lt;&gt;"",E215=""),"Conversa sem agendamento",IF(OR(E215&gt;TODAY(),F215&gt;TODAY()),"Verificar evento futuro","OK"))))))))))</f>
        <v/>
      </c>
    </row>
    <row r="216" spans="12:15">
      <c r="L216" s="5">
        <f>IF(OR(A216="",B216=""),"",B216-WEEKDAY(B216,2)+1)</f>
        <v/>
      </c>
      <c r="M216" s="5">
        <f>IF(L216="","",L216+6)</f>
        <v/>
      </c>
      <c r="N216" s="6">
        <f>IF(OR(A216="",B216=""),"",DATE(YEAR(B216),MONTH(B216),1))</f>
        <v/>
      </c>
      <c r="O216" s="7">
        <f>IF(COUNTA(A216:K216)=0,"",IF(OR(A216="",B216=""),"Preencher CPF e entrada",IF(COUNTIFS($A$12:$A$5011,A216,$B$12:$B$5011,B216)&gt;1,"CPF + dia duplicado",IF(OR(AND(G216&lt;&gt;"",G216&lt;&gt;0,G216&lt;&gt;1),AND(H216&lt;&gt;"",H216&lt;&gt;0,H216&lt;&gt;1)),"Flags devem ser 0 ou 1",IF(AND(H216=1,LEN(TRIM(I216))=0),"Preencher nome do indicante",IF(AND(H216&lt;&gt;1,I216&lt;&gt;""),"Nome sem indicação interna",IF(AND(G216=1,F216=""),"Fechamento sem conversa",IF(OR(AND(E216&lt;&gt;"",E216&lt;B216),AND(F216&lt;&gt;"",F216&lt;B216)),"Evento anterior à entrada",IF(AND(F216&lt;&gt;"",E216=""),"Conversa sem agendamento",IF(OR(E216&gt;TODAY(),F216&gt;TODAY()),"Verificar evento futuro","OK"))))))))))</f>
        <v/>
      </c>
    </row>
    <row r="217" spans="12:15">
      <c r="L217" s="5">
        <f>IF(OR(A217="",B217=""),"",B217-WEEKDAY(B217,2)+1)</f>
        <v/>
      </c>
      <c r="M217" s="5">
        <f>IF(L217="","",L217+6)</f>
        <v/>
      </c>
      <c r="N217" s="6">
        <f>IF(OR(A217="",B217=""),"",DATE(YEAR(B217),MONTH(B217),1))</f>
        <v/>
      </c>
      <c r="O217" s="7">
        <f>IF(COUNTA(A217:K217)=0,"",IF(OR(A217="",B217=""),"Preencher CPF e entrada",IF(COUNTIFS($A$12:$A$5011,A217,$B$12:$B$5011,B217)&gt;1,"CPF + dia duplicado",IF(OR(AND(G217&lt;&gt;"",G217&lt;&gt;0,G217&lt;&gt;1),AND(H217&lt;&gt;"",H217&lt;&gt;0,H217&lt;&gt;1)),"Flags devem ser 0 ou 1",IF(AND(H217=1,LEN(TRIM(I217))=0),"Preencher nome do indicante",IF(AND(H217&lt;&gt;1,I217&lt;&gt;""),"Nome sem indicação interna",IF(AND(G217=1,F217=""),"Fechamento sem conversa",IF(OR(AND(E217&lt;&gt;"",E217&lt;B217),AND(F217&lt;&gt;"",F217&lt;B217)),"Evento anterior à entrada",IF(AND(F217&lt;&gt;"",E217=""),"Conversa sem agendamento",IF(OR(E217&gt;TODAY(),F217&gt;TODAY()),"Verificar evento futuro","OK"))))))))))</f>
        <v/>
      </c>
    </row>
    <row r="218" spans="12:15">
      <c r="L218" s="5">
        <f>IF(OR(A218="",B218=""),"",B218-WEEKDAY(B218,2)+1)</f>
        <v/>
      </c>
      <c r="M218" s="5">
        <f>IF(L218="","",L218+6)</f>
        <v/>
      </c>
      <c r="N218" s="6">
        <f>IF(OR(A218="",B218=""),"",DATE(YEAR(B218),MONTH(B218),1))</f>
        <v/>
      </c>
      <c r="O218" s="7">
        <f>IF(COUNTA(A218:K218)=0,"",IF(OR(A218="",B218=""),"Preencher CPF e entrada",IF(COUNTIFS($A$12:$A$5011,A218,$B$12:$B$5011,B218)&gt;1,"CPF + dia duplicado",IF(OR(AND(G218&lt;&gt;"",G218&lt;&gt;0,G218&lt;&gt;1),AND(H218&lt;&gt;"",H218&lt;&gt;0,H218&lt;&gt;1)),"Flags devem ser 0 ou 1",IF(AND(H218=1,LEN(TRIM(I218))=0),"Preencher nome do indicante",IF(AND(H218&lt;&gt;1,I218&lt;&gt;""),"Nome sem indicação interna",IF(AND(G218=1,F218=""),"Fechamento sem conversa",IF(OR(AND(E218&lt;&gt;"",E218&lt;B218),AND(F218&lt;&gt;"",F218&lt;B218)),"Evento anterior à entrada",IF(AND(F218&lt;&gt;"",E218=""),"Conversa sem agendamento",IF(OR(E218&gt;TODAY(),F218&gt;TODAY()),"Verificar evento futuro","OK"))))))))))</f>
        <v/>
      </c>
    </row>
    <row r="219" spans="12:15">
      <c r="L219" s="5">
        <f>IF(OR(A219="",B219=""),"",B219-WEEKDAY(B219,2)+1)</f>
        <v/>
      </c>
      <c r="M219" s="5">
        <f>IF(L219="","",L219+6)</f>
        <v/>
      </c>
      <c r="N219" s="6">
        <f>IF(OR(A219="",B219=""),"",DATE(YEAR(B219),MONTH(B219),1))</f>
        <v/>
      </c>
      <c r="O219" s="7">
        <f>IF(COUNTA(A219:K219)=0,"",IF(OR(A219="",B219=""),"Preencher CPF e entrada",IF(COUNTIFS($A$12:$A$5011,A219,$B$12:$B$5011,B219)&gt;1,"CPF + dia duplicado",IF(OR(AND(G219&lt;&gt;"",G219&lt;&gt;0,G219&lt;&gt;1),AND(H219&lt;&gt;"",H219&lt;&gt;0,H219&lt;&gt;1)),"Flags devem ser 0 ou 1",IF(AND(H219=1,LEN(TRIM(I219))=0),"Preencher nome do indicante",IF(AND(H219&lt;&gt;1,I219&lt;&gt;""),"Nome sem indicação interna",IF(AND(G219=1,F219=""),"Fechamento sem conversa",IF(OR(AND(E219&lt;&gt;"",E219&lt;B219),AND(F219&lt;&gt;"",F219&lt;B219)),"Evento anterior à entrada",IF(AND(F219&lt;&gt;"",E219=""),"Conversa sem agendamento",IF(OR(E219&gt;TODAY(),F219&gt;TODAY()),"Verificar evento futuro","OK"))))))))))</f>
        <v/>
      </c>
    </row>
    <row r="220" spans="12:15">
      <c r="L220" s="5">
        <f>IF(OR(A220="",B220=""),"",B220-WEEKDAY(B220,2)+1)</f>
        <v/>
      </c>
      <c r="M220" s="5">
        <f>IF(L220="","",L220+6)</f>
        <v/>
      </c>
      <c r="N220" s="6">
        <f>IF(OR(A220="",B220=""),"",DATE(YEAR(B220),MONTH(B220),1))</f>
        <v/>
      </c>
      <c r="O220" s="7">
        <f>IF(COUNTA(A220:K220)=0,"",IF(OR(A220="",B220=""),"Preencher CPF e entrada",IF(COUNTIFS($A$12:$A$5011,A220,$B$12:$B$5011,B220)&gt;1,"CPF + dia duplicado",IF(OR(AND(G220&lt;&gt;"",G220&lt;&gt;0,G220&lt;&gt;1),AND(H220&lt;&gt;"",H220&lt;&gt;0,H220&lt;&gt;1)),"Flags devem ser 0 ou 1",IF(AND(H220=1,LEN(TRIM(I220))=0),"Preencher nome do indicante",IF(AND(H220&lt;&gt;1,I220&lt;&gt;""),"Nome sem indicação interna",IF(AND(G220=1,F220=""),"Fechamento sem conversa",IF(OR(AND(E220&lt;&gt;"",E220&lt;B220),AND(F220&lt;&gt;"",F220&lt;B220)),"Evento anterior à entrada",IF(AND(F220&lt;&gt;"",E220=""),"Conversa sem agendamento",IF(OR(E220&gt;TODAY(),F220&gt;TODAY()),"Verificar evento futuro","OK"))))))))))</f>
        <v/>
      </c>
    </row>
    <row r="221" spans="12:15">
      <c r="L221" s="5">
        <f>IF(OR(A221="",B221=""),"",B221-WEEKDAY(B221,2)+1)</f>
        <v/>
      </c>
      <c r="M221" s="5">
        <f>IF(L221="","",L221+6)</f>
        <v/>
      </c>
      <c r="N221" s="6">
        <f>IF(OR(A221="",B221=""),"",DATE(YEAR(B221),MONTH(B221),1))</f>
        <v/>
      </c>
      <c r="O221" s="7">
        <f>IF(COUNTA(A221:K221)=0,"",IF(OR(A221="",B221=""),"Preencher CPF e entrada",IF(COUNTIFS($A$12:$A$5011,A221,$B$12:$B$5011,B221)&gt;1,"CPF + dia duplicado",IF(OR(AND(G221&lt;&gt;"",G221&lt;&gt;0,G221&lt;&gt;1),AND(H221&lt;&gt;"",H221&lt;&gt;0,H221&lt;&gt;1)),"Flags devem ser 0 ou 1",IF(AND(H221=1,LEN(TRIM(I221))=0),"Preencher nome do indicante",IF(AND(H221&lt;&gt;1,I221&lt;&gt;""),"Nome sem indicação interna",IF(AND(G221=1,F221=""),"Fechamento sem conversa",IF(OR(AND(E221&lt;&gt;"",E221&lt;B221),AND(F221&lt;&gt;"",F221&lt;B221)),"Evento anterior à entrada",IF(AND(F221&lt;&gt;"",E221=""),"Conversa sem agendamento",IF(OR(E221&gt;TODAY(),F221&gt;TODAY()),"Verificar evento futuro","OK"))))))))))</f>
        <v/>
      </c>
    </row>
    <row r="222" spans="12:15">
      <c r="L222" s="5">
        <f>IF(OR(A222="",B222=""),"",B222-WEEKDAY(B222,2)+1)</f>
        <v/>
      </c>
      <c r="M222" s="5">
        <f>IF(L222="","",L222+6)</f>
        <v/>
      </c>
      <c r="N222" s="6">
        <f>IF(OR(A222="",B222=""),"",DATE(YEAR(B222),MONTH(B222),1))</f>
        <v/>
      </c>
      <c r="O222" s="7">
        <f>IF(COUNTA(A222:K222)=0,"",IF(OR(A222="",B222=""),"Preencher CPF e entrada",IF(COUNTIFS($A$12:$A$5011,A222,$B$12:$B$5011,B222)&gt;1,"CPF + dia duplicado",IF(OR(AND(G222&lt;&gt;"",G222&lt;&gt;0,G222&lt;&gt;1),AND(H222&lt;&gt;"",H222&lt;&gt;0,H222&lt;&gt;1)),"Flags devem ser 0 ou 1",IF(AND(H222=1,LEN(TRIM(I222))=0),"Preencher nome do indicante",IF(AND(H222&lt;&gt;1,I222&lt;&gt;""),"Nome sem indicação interna",IF(AND(G222=1,F222=""),"Fechamento sem conversa",IF(OR(AND(E222&lt;&gt;"",E222&lt;B222),AND(F222&lt;&gt;"",F222&lt;B222)),"Evento anterior à entrada",IF(AND(F222&lt;&gt;"",E222=""),"Conversa sem agendamento",IF(OR(E222&gt;TODAY(),F222&gt;TODAY()),"Verificar evento futuro","OK"))))))))))</f>
        <v/>
      </c>
    </row>
    <row r="223" spans="12:15">
      <c r="L223" s="5">
        <f>IF(OR(A223="",B223=""),"",B223-WEEKDAY(B223,2)+1)</f>
        <v/>
      </c>
      <c r="M223" s="5">
        <f>IF(L223="","",L223+6)</f>
        <v/>
      </c>
      <c r="N223" s="6">
        <f>IF(OR(A223="",B223=""),"",DATE(YEAR(B223),MONTH(B223),1))</f>
        <v/>
      </c>
      <c r="O223" s="7">
        <f>IF(COUNTA(A223:K223)=0,"",IF(OR(A223="",B223=""),"Preencher CPF e entrada",IF(COUNTIFS($A$12:$A$5011,A223,$B$12:$B$5011,B223)&gt;1,"CPF + dia duplicado",IF(OR(AND(G223&lt;&gt;"",G223&lt;&gt;0,G223&lt;&gt;1),AND(H223&lt;&gt;"",H223&lt;&gt;0,H223&lt;&gt;1)),"Flags devem ser 0 ou 1",IF(AND(H223=1,LEN(TRIM(I223))=0),"Preencher nome do indicante",IF(AND(H223&lt;&gt;1,I223&lt;&gt;""),"Nome sem indicação interna",IF(AND(G223=1,F223=""),"Fechamento sem conversa",IF(OR(AND(E223&lt;&gt;"",E223&lt;B223),AND(F223&lt;&gt;"",F223&lt;B223)),"Evento anterior à entrada",IF(AND(F223&lt;&gt;"",E223=""),"Conversa sem agendamento",IF(OR(E223&gt;TODAY(),F223&gt;TODAY()),"Verificar evento futuro","OK"))))))))))</f>
        <v/>
      </c>
    </row>
    <row r="224" spans="12:15">
      <c r="L224" s="5">
        <f>IF(OR(A224="",B224=""),"",B224-WEEKDAY(B224,2)+1)</f>
        <v/>
      </c>
      <c r="M224" s="5">
        <f>IF(L224="","",L224+6)</f>
        <v/>
      </c>
      <c r="N224" s="6">
        <f>IF(OR(A224="",B224=""),"",DATE(YEAR(B224),MONTH(B224),1))</f>
        <v/>
      </c>
      <c r="O224" s="7">
        <f>IF(COUNTA(A224:K224)=0,"",IF(OR(A224="",B224=""),"Preencher CPF e entrada",IF(COUNTIFS($A$12:$A$5011,A224,$B$12:$B$5011,B224)&gt;1,"CPF + dia duplicado",IF(OR(AND(G224&lt;&gt;"",G224&lt;&gt;0,G224&lt;&gt;1),AND(H224&lt;&gt;"",H224&lt;&gt;0,H224&lt;&gt;1)),"Flags devem ser 0 ou 1",IF(AND(H224=1,LEN(TRIM(I224))=0),"Preencher nome do indicante",IF(AND(H224&lt;&gt;1,I224&lt;&gt;""),"Nome sem indicação interna",IF(AND(G224=1,F224=""),"Fechamento sem conversa",IF(OR(AND(E224&lt;&gt;"",E224&lt;B224),AND(F224&lt;&gt;"",F224&lt;B224)),"Evento anterior à entrada",IF(AND(F224&lt;&gt;"",E224=""),"Conversa sem agendamento",IF(OR(E224&gt;TODAY(),F224&gt;TODAY()),"Verificar evento futuro","OK"))))))))))</f>
        <v/>
      </c>
    </row>
    <row r="225" spans="12:15">
      <c r="L225" s="5">
        <f>IF(OR(A225="",B225=""),"",B225-WEEKDAY(B225,2)+1)</f>
        <v/>
      </c>
      <c r="M225" s="5">
        <f>IF(L225="","",L225+6)</f>
        <v/>
      </c>
      <c r="N225" s="6">
        <f>IF(OR(A225="",B225=""),"",DATE(YEAR(B225),MONTH(B225),1))</f>
        <v/>
      </c>
      <c r="O225" s="7">
        <f>IF(COUNTA(A225:K225)=0,"",IF(OR(A225="",B225=""),"Preencher CPF e entrada",IF(COUNTIFS($A$12:$A$5011,A225,$B$12:$B$5011,B225)&gt;1,"CPF + dia duplicado",IF(OR(AND(G225&lt;&gt;"",G225&lt;&gt;0,G225&lt;&gt;1),AND(H225&lt;&gt;"",H225&lt;&gt;0,H225&lt;&gt;1)),"Flags devem ser 0 ou 1",IF(AND(H225=1,LEN(TRIM(I225))=0),"Preencher nome do indicante",IF(AND(H225&lt;&gt;1,I225&lt;&gt;""),"Nome sem indicação interna",IF(AND(G225=1,F225=""),"Fechamento sem conversa",IF(OR(AND(E225&lt;&gt;"",E225&lt;B225),AND(F225&lt;&gt;"",F225&lt;B225)),"Evento anterior à entrada",IF(AND(F225&lt;&gt;"",E225=""),"Conversa sem agendamento",IF(OR(E225&gt;TODAY(),F225&gt;TODAY()),"Verificar evento futuro","OK"))))))))))</f>
        <v/>
      </c>
    </row>
    <row r="226" spans="12:15">
      <c r="L226" s="5">
        <f>IF(OR(A226="",B226=""),"",B226-WEEKDAY(B226,2)+1)</f>
        <v/>
      </c>
      <c r="M226" s="5">
        <f>IF(L226="","",L226+6)</f>
        <v/>
      </c>
      <c r="N226" s="6">
        <f>IF(OR(A226="",B226=""),"",DATE(YEAR(B226),MONTH(B226),1))</f>
        <v/>
      </c>
      <c r="O226" s="7">
        <f>IF(COUNTA(A226:K226)=0,"",IF(OR(A226="",B226=""),"Preencher CPF e entrada",IF(COUNTIFS($A$12:$A$5011,A226,$B$12:$B$5011,B226)&gt;1,"CPF + dia duplicado",IF(OR(AND(G226&lt;&gt;"",G226&lt;&gt;0,G226&lt;&gt;1),AND(H226&lt;&gt;"",H226&lt;&gt;0,H226&lt;&gt;1)),"Flags devem ser 0 ou 1",IF(AND(H226=1,LEN(TRIM(I226))=0),"Preencher nome do indicante",IF(AND(H226&lt;&gt;1,I226&lt;&gt;""),"Nome sem indicação interna",IF(AND(G226=1,F226=""),"Fechamento sem conversa",IF(OR(AND(E226&lt;&gt;"",E226&lt;B226),AND(F226&lt;&gt;"",F226&lt;B226)),"Evento anterior à entrada",IF(AND(F226&lt;&gt;"",E226=""),"Conversa sem agendamento",IF(OR(E226&gt;TODAY(),F226&gt;TODAY()),"Verificar evento futuro","OK"))))))))))</f>
        <v/>
      </c>
    </row>
    <row r="227" spans="12:15">
      <c r="L227" s="5">
        <f>IF(OR(A227="",B227=""),"",B227-WEEKDAY(B227,2)+1)</f>
        <v/>
      </c>
      <c r="M227" s="5">
        <f>IF(L227="","",L227+6)</f>
        <v/>
      </c>
      <c r="N227" s="6">
        <f>IF(OR(A227="",B227=""),"",DATE(YEAR(B227),MONTH(B227),1))</f>
        <v/>
      </c>
      <c r="O227" s="7">
        <f>IF(COUNTA(A227:K227)=0,"",IF(OR(A227="",B227=""),"Preencher CPF e entrada",IF(COUNTIFS($A$12:$A$5011,A227,$B$12:$B$5011,B227)&gt;1,"CPF + dia duplicado",IF(OR(AND(G227&lt;&gt;"",G227&lt;&gt;0,G227&lt;&gt;1),AND(H227&lt;&gt;"",H227&lt;&gt;0,H227&lt;&gt;1)),"Flags devem ser 0 ou 1",IF(AND(H227=1,LEN(TRIM(I227))=0),"Preencher nome do indicante",IF(AND(H227&lt;&gt;1,I227&lt;&gt;""),"Nome sem indicação interna",IF(AND(G227=1,F227=""),"Fechamento sem conversa",IF(OR(AND(E227&lt;&gt;"",E227&lt;B227),AND(F227&lt;&gt;"",F227&lt;B227)),"Evento anterior à entrada",IF(AND(F227&lt;&gt;"",E227=""),"Conversa sem agendamento",IF(OR(E227&gt;TODAY(),F227&gt;TODAY()),"Verificar evento futuro","OK"))))))))))</f>
        <v/>
      </c>
    </row>
    <row r="228" spans="12:15">
      <c r="L228" s="5">
        <f>IF(OR(A228="",B228=""),"",B228-WEEKDAY(B228,2)+1)</f>
        <v/>
      </c>
      <c r="M228" s="5">
        <f>IF(L228="","",L228+6)</f>
        <v/>
      </c>
      <c r="N228" s="6">
        <f>IF(OR(A228="",B228=""),"",DATE(YEAR(B228),MONTH(B228),1))</f>
        <v/>
      </c>
      <c r="O228" s="7">
        <f>IF(COUNTA(A228:K228)=0,"",IF(OR(A228="",B228=""),"Preencher CPF e entrada",IF(COUNTIFS($A$12:$A$5011,A228,$B$12:$B$5011,B228)&gt;1,"CPF + dia duplicado",IF(OR(AND(G228&lt;&gt;"",G228&lt;&gt;0,G228&lt;&gt;1),AND(H228&lt;&gt;"",H228&lt;&gt;0,H228&lt;&gt;1)),"Flags devem ser 0 ou 1",IF(AND(H228=1,LEN(TRIM(I228))=0),"Preencher nome do indicante",IF(AND(H228&lt;&gt;1,I228&lt;&gt;""),"Nome sem indicação interna",IF(AND(G228=1,F228=""),"Fechamento sem conversa",IF(OR(AND(E228&lt;&gt;"",E228&lt;B228),AND(F228&lt;&gt;"",F228&lt;B228)),"Evento anterior à entrada",IF(AND(F228&lt;&gt;"",E228=""),"Conversa sem agendamento",IF(OR(E228&gt;TODAY(),F228&gt;TODAY()),"Verificar evento futuro","OK"))))))))))</f>
        <v/>
      </c>
    </row>
    <row r="229" spans="12:15">
      <c r="L229" s="5">
        <f>IF(OR(A229="",B229=""),"",B229-WEEKDAY(B229,2)+1)</f>
        <v/>
      </c>
      <c r="M229" s="5">
        <f>IF(L229="","",L229+6)</f>
        <v/>
      </c>
      <c r="N229" s="6">
        <f>IF(OR(A229="",B229=""),"",DATE(YEAR(B229),MONTH(B229),1))</f>
        <v/>
      </c>
      <c r="O229" s="7">
        <f>IF(COUNTA(A229:K229)=0,"",IF(OR(A229="",B229=""),"Preencher CPF e entrada",IF(COUNTIFS($A$12:$A$5011,A229,$B$12:$B$5011,B229)&gt;1,"CPF + dia duplicado",IF(OR(AND(G229&lt;&gt;"",G229&lt;&gt;0,G229&lt;&gt;1),AND(H229&lt;&gt;"",H229&lt;&gt;0,H229&lt;&gt;1)),"Flags devem ser 0 ou 1",IF(AND(H229=1,LEN(TRIM(I229))=0),"Preencher nome do indicante",IF(AND(H229&lt;&gt;1,I229&lt;&gt;""),"Nome sem indicação interna",IF(AND(G229=1,F229=""),"Fechamento sem conversa",IF(OR(AND(E229&lt;&gt;"",E229&lt;B229),AND(F229&lt;&gt;"",F229&lt;B229)),"Evento anterior à entrada",IF(AND(F229&lt;&gt;"",E229=""),"Conversa sem agendamento",IF(OR(E229&gt;TODAY(),F229&gt;TODAY()),"Verificar evento futuro","OK"))))))))))</f>
        <v/>
      </c>
    </row>
    <row r="230" spans="12:15">
      <c r="L230" s="5">
        <f>IF(OR(A230="",B230=""),"",B230-WEEKDAY(B230,2)+1)</f>
        <v/>
      </c>
      <c r="M230" s="5">
        <f>IF(L230="","",L230+6)</f>
        <v/>
      </c>
      <c r="N230" s="6">
        <f>IF(OR(A230="",B230=""),"",DATE(YEAR(B230),MONTH(B230),1))</f>
        <v/>
      </c>
      <c r="O230" s="7">
        <f>IF(COUNTA(A230:K230)=0,"",IF(OR(A230="",B230=""),"Preencher CPF e entrada",IF(COUNTIFS($A$12:$A$5011,A230,$B$12:$B$5011,B230)&gt;1,"CPF + dia duplicado",IF(OR(AND(G230&lt;&gt;"",G230&lt;&gt;0,G230&lt;&gt;1),AND(H230&lt;&gt;"",H230&lt;&gt;0,H230&lt;&gt;1)),"Flags devem ser 0 ou 1",IF(AND(H230=1,LEN(TRIM(I230))=0),"Preencher nome do indicante",IF(AND(H230&lt;&gt;1,I230&lt;&gt;""),"Nome sem indicação interna",IF(AND(G230=1,F230=""),"Fechamento sem conversa",IF(OR(AND(E230&lt;&gt;"",E230&lt;B230),AND(F230&lt;&gt;"",F230&lt;B230)),"Evento anterior à entrada",IF(AND(F230&lt;&gt;"",E230=""),"Conversa sem agendamento",IF(OR(E230&gt;TODAY(),F230&gt;TODAY()),"Verificar evento futuro","OK"))))))))))</f>
        <v/>
      </c>
    </row>
    <row r="231" spans="12:15">
      <c r="L231" s="5">
        <f>IF(OR(A231="",B231=""),"",B231-WEEKDAY(B231,2)+1)</f>
        <v/>
      </c>
      <c r="M231" s="5">
        <f>IF(L231="","",L231+6)</f>
        <v/>
      </c>
      <c r="N231" s="6">
        <f>IF(OR(A231="",B231=""),"",DATE(YEAR(B231),MONTH(B231),1))</f>
        <v/>
      </c>
      <c r="O231" s="7">
        <f>IF(COUNTA(A231:K231)=0,"",IF(OR(A231="",B231=""),"Preencher CPF e entrada",IF(COUNTIFS($A$12:$A$5011,A231,$B$12:$B$5011,B231)&gt;1,"CPF + dia duplicado",IF(OR(AND(G231&lt;&gt;"",G231&lt;&gt;0,G231&lt;&gt;1),AND(H231&lt;&gt;"",H231&lt;&gt;0,H231&lt;&gt;1)),"Flags devem ser 0 ou 1",IF(AND(H231=1,LEN(TRIM(I231))=0),"Preencher nome do indicante",IF(AND(H231&lt;&gt;1,I231&lt;&gt;""),"Nome sem indicação interna",IF(AND(G231=1,F231=""),"Fechamento sem conversa",IF(OR(AND(E231&lt;&gt;"",E231&lt;B231),AND(F231&lt;&gt;"",F231&lt;B231)),"Evento anterior à entrada",IF(AND(F231&lt;&gt;"",E231=""),"Conversa sem agendamento",IF(OR(E231&gt;TODAY(),F231&gt;TODAY()),"Verificar evento futuro","OK"))))))))))</f>
        <v/>
      </c>
    </row>
    <row r="232" spans="12:15">
      <c r="L232" s="5">
        <f>IF(OR(A232="",B232=""),"",B232-WEEKDAY(B232,2)+1)</f>
        <v/>
      </c>
      <c r="M232" s="5">
        <f>IF(L232="","",L232+6)</f>
        <v/>
      </c>
      <c r="N232" s="6">
        <f>IF(OR(A232="",B232=""),"",DATE(YEAR(B232),MONTH(B232),1))</f>
        <v/>
      </c>
      <c r="O232" s="7">
        <f>IF(COUNTA(A232:K232)=0,"",IF(OR(A232="",B232=""),"Preencher CPF e entrada",IF(COUNTIFS($A$12:$A$5011,A232,$B$12:$B$5011,B232)&gt;1,"CPF + dia duplicado",IF(OR(AND(G232&lt;&gt;"",G232&lt;&gt;0,G232&lt;&gt;1),AND(H232&lt;&gt;"",H232&lt;&gt;0,H232&lt;&gt;1)),"Flags devem ser 0 ou 1",IF(AND(H232=1,LEN(TRIM(I232))=0),"Preencher nome do indicante",IF(AND(H232&lt;&gt;1,I232&lt;&gt;""),"Nome sem indicação interna",IF(AND(G232=1,F232=""),"Fechamento sem conversa",IF(OR(AND(E232&lt;&gt;"",E232&lt;B232),AND(F232&lt;&gt;"",F232&lt;B232)),"Evento anterior à entrada",IF(AND(F232&lt;&gt;"",E232=""),"Conversa sem agendamento",IF(OR(E232&gt;TODAY(),F232&gt;TODAY()),"Verificar evento futuro","OK"))))))))))</f>
        <v/>
      </c>
    </row>
    <row r="233" spans="12:15">
      <c r="L233" s="5">
        <f>IF(OR(A233="",B233=""),"",B233-WEEKDAY(B233,2)+1)</f>
        <v/>
      </c>
      <c r="M233" s="5">
        <f>IF(L233="","",L233+6)</f>
        <v/>
      </c>
      <c r="N233" s="6">
        <f>IF(OR(A233="",B233=""),"",DATE(YEAR(B233),MONTH(B233),1))</f>
        <v/>
      </c>
      <c r="O233" s="7">
        <f>IF(COUNTA(A233:K233)=0,"",IF(OR(A233="",B233=""),"Preencher CPF e entrada",IF(COUNTIFS($A$12:$A$5011,A233,$B$12:$B$5011,B233)&gt;1,"CPF + dia duplicado",IF(OR(AND(G233&lt;&gt;"",G233&lt;&gt;0,G233&lt;&gt;1),AND(H233&lt;&gt;"",H233&lt;&gt;0,H233&lt;&gt;1)),"Flags devem ser 0 ou 1",IF(AND(H233=1,LEN(TRIM(I233))=0),"Preencher nome do indicante",IF(AND(H233&lt;&gt;1,I233&lt;&gt;""),"Nome sem indicação interna",IF(AND(G233=1,F233=""),"Fechamento sem conversa",IF(OR(AND(E233&lt;&gt;"",E233&lt;B233),AND(F233&lt;&gt;"",F233&lt;B233)),"Evento anterior à entrada",IF(AND(F233&lt;&gt;"",E233=""),"Conversa sem agendamento",IF(OR(E233&gt;TODAY(),F233&gt;TODAY()),"Verificar evento futuro","OK"))))))))))</f>
        <v/>
      </c>
    </row>
    <row r="234" spans="12:15">
      <c r="L234" s="5">
        <f>IF(OR(A234="",B234=""),"",B234-WEEKDAY(B234,2)+1)</f>
        <v/>
      </c>
      <c r="M234" s="5">
        <f>IF(L234="","",L234+6)</f>
        <v/>
      </c>
      <c r="N234" s="6">
        <f>IF(OR(A234="",B234=""),"",DATE(YEAR(B234),MONTH(B234),1))</f>
        <v/>
      </c>
      <c r="O234" s="7">
        <f>IF(COUNTA(A234:K234)=0,"",IF(OR(A234="",B234=""),"Preencher CPF e entrada",IF(COUNTIFS($A$12:$A$5011,A234,$B$12:$B$5011,B234)&gt;1,"CPF + dia duplicado",IF(OR(AND(G234&lt;&gt;"",G234&lt;&gt;0,G234&lt;&gt;1),AND(H234&lt;&gt;"",H234&lt;&gt;0,H234&lt;&gt;1)),"Flags devem ser 0 ou 1",IF(AND(H234=1,LEN(TRIM(I234))=0),"Preencher nome do indicante",IF(AND(H234&lt;&gt;1,I234&lt;&gt;""),"Nome sem indicação interna",IF(AND(G234=1,F234=""),"Fechamento sem conversa",IF(OR(AND(E234&lt;&gt;"",E234&lt;B234),AND(F234&lt;&gt;"",F234&lt;B234)),"Evento anterior à entrada",IF(AND(F234&lt;&gt;"",E234=""),"Conversa sem agendamento",IF(OR(E234&gt;TODAY(),F234&gt;TODAY()),"Verificar evento futuro","OK"))))))))))</f>
        <v/>
      </c>
    </row>
    <row r="235" spans="12:15">
      <c r="L235" s="5">
        <f>IF(OR(A235="",B235=""),"",B235-WEEKDAY(B235,2)+1)</f>
        <v/>
      </c>
      <c r="M235" s="5">
        <f>IF(L235="","",L235+6)</f>
        <v/>
      </c>
      <c r="N235" s="6">
        <f>IF(OR(A235="",B235=""),"",DATE(YEAR(B235),MONTH(B235),1))</f>
        <v/>
      </c>
      <c r="O235" s="7">
        <f>IF(COUNTA(A235:K235)=0,"",IF(OR(A235="",B235=""),"Preencher CPF e entrada",IF(COUNTIFS($A$12:$A$5011,A235,$B$12:$B$5011,B235)&gt;1,"CPF + dia duplicado",IF(OR(AND(G235&lt;&gt;"",G235&lt;&gt;0,G235&lt;&gt;1),AND(H235&lt;&gt;"",H235&lt;&gt;0,H235&lt;&gt;1)),"Flags devem ser 0 ou 1",IF(AND(H235=1,LEN(TRIM(I235))=0),"Preencher nome do indicante",IF(AND(H235&lt;&gt;1,I235&lt;&gt;""),"Nome sem indicação interna",IF(AND(G235=1,F235=""),"Fechamento sem conversa",IF(OR(AND(E235&lt;&gt;"",E235&lt;B235),AND(F235&lt;&gt;"",F235&lt;B235)),"Evento anterior à entrada",IF(AND(F235&lt;&gt;"",E235=""),"Conversa sem agendamento",IF(OR(E235&gt;TODAY(),F235&gt;TODAY()),"Verificar evento futuro","OK"))))))))))</f>
        <v/>
      </c>
    </row>
    <row r="236" spans="12:15">
      <c r="L236" s="5">
        <f>IF(OR(A236="",B236=""),"",B236-WEEKDAY(B236,2)+1)</f>
        <v/>
      </c>
      <c r="M236" s="5">
        <f>IF(L236="","",L236+6)</f>
        <v/>
      </c>
      <c r="N236" s="6">
        <f>IF(OR(A236="",B236=""),"",DATE(YEAR(B236),MONTH(B236),1))</f>
        <v/>
      </c>
      <c r="O236" s="7">
        <f>IF(COUNTA(A236:K236)=0,"",IF(OR(A236="",B236=""),"Preencher CPF e entrada",IF(COUNTIFS($A$12:$A$5011,A236,$B$12:$B$5011,B236)&gt;1,"CPF + dia duplicado",IF(OR(AND(G236&lt;&gt;"",G236&lt;&gt;0,G236&lt;&gt;1),AND(H236&lt;&gt;"",H236&lt;&gt;0,H236&lt;&gt;1)),"Flags devem ser 0 ou 1",IF(AND(H236=1,LEN(TRIM(I236))=0),"Preencher nome do indicante",IF(AND(H236&lt;&gt;1,I236&lt;&gt;""),"Nome sem indicação interna",IF(AND(G236=1,F236=""),"Fechamento sem conversa",IF(OR(AND(E236&lt;&gt;"",E236&lt;B236),AND(F236&lt;&gt;"",F236&lt;B236)),"Evento anterior à entrada",IF(AND(F236&lt;&gt;"",E236=""),"Conversa sem agendamento",IF(OR(E236&gt;TODAY(),F236&gt;TODAY()),"Verificar evento futuro","OK"))))))))))</f>
        <v/>
      </c>
    </row>
    <row r="237" spans="12:15">
      <c r="L237" s="5">
        <f>IF(OR(A237="",B237=""),"",B237-WEEKDAY(B237,2)+1)</f>
        <v/>
      </c>
      <c r="M237" s="5">
        <f>IF(L237="","",L237+6)</f>
        <v/>
      </c>
      <c r="N237" s="6">
        <f>IF(OR(A237="",B237=""),"",DATE(YEAR(B237),MONTH(B237),1))</f>
        <v/>
      </c>
      <c r="O237" s="7">
        <f>IF(COUNTA(A237:K237)=0,"",IF(OR(A237="",B237=""),"Preencher CPF e entrada",IF(COUNTIFS($A$12:$A$5011,A237,$B$12:$B$5011,B237)&gt;1,"CPF + dia duplicado",IF(OR(AND(G237&lt;&gt;"",G237&lt;&gt;0,G237&lt;&gt;1),AND(H237&lt;&gt;"",H237&lt;&gt;0,H237&lt;&gt;1)),"Flags devem ser 0 ou 1",IF(AND(H237=1,LEN(TRIM(I237))=0),"Preencher nome do indicante",IF(AND(H237&lt;&gt;1,I237&lt;&gt;""),"Nome sem indicação interna",IF(AND(G237=1,F237=""),"Fechamento sem conversa",IF(OR(AND(E237&lt;&gt;"",E237&lt;B237),AND(F237&lt;&gt;"",F237&lt;B237)),"Evento anterior à entrada",IF(AND(F237&lt;&gt;"",E237=""),"Conversa sem agendamento",IF(OR(E237&gt;TODAY(),F237&gt;TODAY()),"Verificar evento futuro","OK"))))))))))</f>
        <v/>
      </c>
    </row>
    <row r="238" spans="12:15">
      <c r="L238" s="5">
        <f>IF(OR(A238="",B238=""),"",B238-WEEKDAY(B238,2)+1)</f>
        <v/>
      </c>
      <c r="M238" s="5">
        <f>IF(L238="","",L238+6)</f>
        <v/>
      </c>
      <c r="N238" s="6">
        <f>IF(OR(A238="",B238=""),"",DATE(YEAR(B238),MONTH(B238),1))</f>
        <v/>
      </c>
      <c r="O238" s="7">
        <f>IF(COUNTA(A238:K238)=0,"",IF(OR(A238="",B238=""),"Preencher CPF e entrada",IF(COUNTIFS($A$12:$A$5011,A238,$B$12:$B$5011,B238)&gt;1,"CPF + dia duplicado",IF(OR(AND(G238&lt;&gt;"",G238&lt;&gt;0,G238&lt;&gt;1),AND(H238&lt;&gt;"",H238&lt;&gt;0,H238&lt;&gt;1)),"Flags devem ser 0 ou 1",IF(AND(H238=1,LEN(TRIM(I238))=0),"Preencher nome do indicante",IF(AND(H238&lt;&gt;1,I238&lt;&gt;""),"Nome sem indicação interna",IF(AND(G238=1,F238=""),"Fechamento sem conversa",IF(OR(AND(E238&lt;&gt;"",E238&lt;B238),AND(F238&lt;&gt;"",F238&lt;B238)),"Evento anterior à entrada",IF(AND(F238&lt;&gt;"",E238=""),"Conversa sem agendamento",IF(OR(E238&gt;TODAY(),F238&gt;TODAY()),"Verificar evento futuro","OK"))))))))))</f>
        <v/>
      </c>
    </row>
    <row r="239" spans="12:15">
      <c r="L239" s="5">
        <f>IF(OR(A239="",B239=""),"",B239-WEEKDAY(B239,2)+1)</f>
        <v/>
      </c>
      <c r="M239" s="5">
        <f>IF(L239="","",L239+6)</f>
        <v/>
      </c>
      <c r="N239" s="6">
        <f>IF(OR(A239="",B239=""),"",DATE(YEAR(B239),MONTH(B239),1))</f>
        <v/>
      </c>
      <c r="O239" s="7">
        <f>IF(COUNTA(A239:K239)=0,"",IF(OR(A239="",B239=""),"Preencher CPF e entrada",IF(COUNTIFS($A$12:$A$5011,A239,$B$12:$B$5011,B239)&gt;1,"CPF + dia duplicado",IF(OR(AND(G239&lt;&gt;"",G239&lt;&gt;0,G239&lt;&gt;1),AND(H239&lt;&gt;"",H239&lt;&gt;0,H239&lt;&gt;1)),"Flags devem ser 0 ou 1",IF(AND(H239=1,LEN(TRIM(I239))=0),"Preencher nome do indicante",IF(AND(H239&lt;&gt;1,I239&lt;&gt;""),"Nome sem indicação interna",IF(AND(G239=1,F239=""),"Fechamento sem conversa",IF(OR(AND(E239&lt;&gt;"",E239&lt;B239),AND(F239&lt;&gt;"",F239&lt;B239)),"Evento anterior à entrada",IF(AND(F239&lt;&gt;"",E239=""),"Conversa sem agendamento",IF(OR(E239&gt;TODAY(),F239&gt;TODAY()),"Verificar evento futuro","OK"))))))))))</f>
        <v/>
      </c>
    </row>
    <row r="240" spans="12:15">
      <c r="L240" s="5">
        <f>IF(OR(A240="",B240=""),"",B240-WEEKDAY(B240,2)+1)</f>
        <v/>
      </c>
      <c r="M240" s="5">
        <f>IF(L240="","",L240+6)</f>
        <v/>
      </c>
      <c r="N240" s="6">
        <f>IF(OR(A240="",B240=""),"",DATE(YEAR(B240),MONTH(B240),1))</f>
        <v/>
      </c>
      <c r="O240" s="7">
        <f>IF(COUNTA(A240:K240)=0,"",IF(OR(A240="",B240=""),"Preencher CPF e entrada",IF(COUNTIFS($A$12:$A$5011,A240,$B$12:$B$5011,B240)&gt;1,"CPF + dia duplicado",IF(OR(AND(G240&lt;&gt;"",G240&lt;&gt;0,G240&lt;&gt;1),AND(H240&lt;&gt;"",H240&lt;&gt;0,H240&lt;&gt;1)),"Flags devem ser 0 ou 1",IF(AND(H240=1,LEN(TRIM(I240))=0),"Preencher nome do indicante",IF(AND(H240&lt;&gt;1,I240&lt;&gt;""),"Nome sem indicação interna",IF(AND(G240=1,F240=""),"Fechamento sem conversa",IF(OR(AND(E240&lt;&gt;"",E240&lt;B240),AND(F240&lt;&gt;"",F240&lt;B240)),"Evento anterior à entrada",IF(AND(F240&lt;&gt;"",E240=""),"Conversa sem agendamento",IF(OR(E240&gt;TODAY(),F240&gt;TODAY()),"Verificar evento futuro","OK"))))))))))</f>
        <v/>
      </c>
    </row>
    <row r="241" spans="12:15">
      <c r="L241" s="5">
        <f>IF(OR(A241="",B241=""),"",B241-WEEKDAY(B241,2)+1)</f>
        <v/>
      </c>
      <c r="M241" s="5">
        <f>IF(L241="","",L241+6)</f>
        <v/>
      </c>
      <c r="N241" s="6">
        <f>IF(OR(A241="",B241=""),"",DATE(YEAR(B241),MONTH(B241),1))</f>
        <v/>
      </c>
      <c r="O241" s="7">
        <f>IF(COUNTA(A241:K241)=0,"",IF(OR(A241="",B241=""),"Preencher CPF e entrada",IF(COUNTIFS($A$12:$A$5011,A241,$B$12:$B$5011,B241)&gt;1,"CPF + dia duplicado",IF(OR(AND(G241&lt;&gt;"",G241&lt;&gt;0,G241&lt;&gt;1),AND(H241&lt;&gt;"",H241&lt;&gt;0,H241&lt;&gt;1)),"Flags devem ser 0 ou 1",IF(AND(H241=1,LEN(TRIM(I241))=0),"Preencher nome do indicante",IF(AND(H241&lt;&gt;1,I241&lt;&gt;""),"Nome sem indicação interna",IF(AND(G241=1,F241=""),"Fechamento sem conversa",IF(OR(AND(E241&lt;&gt;"",E241&lt;B241),AND(F241&lt;&gt;"",F241&lt;B241)),"Evento anterior à entrada",IF(AND(F241&lt;&gt;"",E241=""),"Conversa sem agendamento",IF(OR(E241&gt;TODAY(),F241&gt;TODAY()),"Verificar evento futuro","OK"))))))))))</f>
        <v/>
      </c>
    </row>
    <row r="242" spans="12:15">
      <c r="L242" s="5">
        <f>IF(OR(A242="",B242=""),"",B242-WEEKDAY(B242,2)+1)</f>
        <v/>
      </c>
      <c r="M242" s="5">
        <f>IF(L242="","",L242+6)</f>
        <v/>
      </c>
      <c r="N242" s="6">
        <f>IF(OR(A242="",B242=""),"",DATE(YEAR(B242),MONTH(B242),1))</f>
        <v/>
      </c>
      <c r="O242" s="7">
        <f>IF(COUNTA(A242:K242)=0,"",IF(OR(A242="",B242=""),"Preencher CPF e entrada",IF(COUNTIFS($A$12:$A$5011,A242,$B$12:$B$5011,B242)&gt;1,"CPF + dia duplicado",IF(OR(AND(G242&lt;&gt;"",G242&lt;&gt;0,G242&lt;&gt;1),AND(H242&lt;&gt;"",H242&lt;&gt;0,H242&lt;&gt;1)),"Flags devem ser 0 ou 1",IF(AND(H242=1,LEN(TRIM(I242))=0),"Preencher nome do indicante",IF(AND(H242&lt;&gt;1,I242&lt;&gt;""),"Nome sem indicação interna",IF(AND(G242=1,F242=""),"Fechamento sem conversa",IF(OR(AND(E242&lt;&gt;"",E242&lt;B242),AND(F242&lt;&gt;"",F242&lt;B242)),"Evento anterior à entrada",IF(AND(F242&lt;&gt;"",E242=""),"Conversa sem agendamento",IF(OR(E242&gt;TODAY(),F242&gt;TODAY()),"Verificar evento futuro","OK"))))))))))</f>
        <v/>
      </c>
    </row>
    <row r="243" spans="12:15">
      <c r="L243" s="5">
        <f>IF(OR(A243="",B243=""),"",B243-WEEKDAY(B243,2)+1)</f>
        <v/>
      </c>
      <c r="M243" s="5">
        <f>IF(L243="","",L243+6)</f>
        <v/>
      </c>
      <c r="N243" s="6">
        <f>IF(OR(A243="",B243=""),"",DATE(YEAR(B243),MONTH(B243),1))</f>
        <v/>
      </c>
      <c r="O243" s="7">
        <f>IF(COUNTA(A243:K243)=0,"",IF(OR(A243="",B243=""),"Preencher CPF e entrada",IF(COUNTIFS($A$12:$A$5011,A243,$B$12:$B$5011,B243)&gt;1,"CPF + dia duplicado",IF(OR(AND(G243&lt;&gt;"",G243&lt;&gt;0,G243&lt;&gt;1),AND(H243&lt;&gt;"",H243&lt;&gt;0,H243&lt;&gt;1)),"Flags devem ser 0 ou 1",IF(AND(H243=1,LEN(TRIM(I243))=0),"Preencher nome do indicante",IF(AND(H243&lt;&gt;1,I243&lt;&gt;""),"Nome sem indicação interna",IF(AND(G243=1,F243=""),"Fechamento sem conversa",IF(OR(AND(E243&lt;&gt;"",E243&lt;B243),AND(F243&lt;&gt;"",F243&lt;B243)),"Evento anterior à entrada",IF(AND(F243&lt;&gt;"",E243=""),"Conversa sem agendamento",IF(OR(E243&gt;TODAY(),F243&gt;TODAY()),"Verificar evento futuro","OK"))))))))))</f>
        <v/>
      </c>
    </row>
    <row r="244" spans="12:15">
      <c r="L244" s="5">
        <f>IF(OR(A244="",B244=""),"",B244-WEEKDAY(B244,2)+1)</f>
        <v/>
      </c>
      <c r="M244" s="5">
        <f>IF(L244="","",L244+6)</f>
        <v/>
      </c>
      <c r="N244" s="6">
        <f>IF(OR(A244="",B244=""),"",DATE(YEAR(B244),MONTH(B244),1))</f>
        <v/>
      </c>
      <c r="O244" s="7">
        <f>IF(COUNTA(A244:K244)=0,"",IF(OR(A244="",B244=""),"Preencher CPF e entrada",IF(COUNTIFS($A$12:$A$5011,A244,$B$12:$B$5011,B244)&gt;1,"CPF + dia duplicado",IF(OR(AND(G244&lt;&gt;"",G244&lt;&gt;0,G244&lt;&gt;1),AND(H244&lt;&gt;"",H244&lt;&gt;0,H244&lt;&gt;1)),"Flags devem ser 0 ou 1",IF(AND(H244=1,LEN(TRIM(I244))=0),"Preencher nome do indicante",IF(AND(H244&lt;&gt;1,I244&lt;&gt;""),"Nome sem indicação interna",IF(AND(G244=1,F244=""),"Fechamento sem conversa",IF(OR(AND(E244&lt;&gt;"",E244&lt;B244),AND(F244&lt;&gt;"",F244&lt;B244)),"Evento anterior à entrada",IF(AND(F244&lt;&gt;"",E244=""),"Conversa sem agendamento",IF(OR(E244&gt;TODAY(),F244&gt;TODAY()),"Verificar evento futuro","OK"))))))))))</f>
        <v/>
      </c>
    </row>
    <row r="245" spans="12:15">
      <c r="L245" s="5">
        <f>IF(OR(A245="",B245=""),"",B245-WEEKDAY(B245,2)+1)</f>
        <v/>
      </c>
      <c r="M245" s="5">
        <f>IF(L245="","",L245+6)</f>
        <v/>
      </c>
      <c r="N245" s="6">
        <f>IF(OR(A245="",B245=""),"",DATE(YEAR(B245),MONTH(B245),1))</f>
        <v/>
      </c>
      <c r="O245" s="7">
        <f>IF(COUNTA(A245:K245)=0,"",IF(OR(A245="",B245=""),"Preencher CPF e entrada",IF(COUNTIFS($A$12:$A$5011,A245,$B$12:$B$5011,B245)&gt;1,"CPF + dia duplicado",IF(OR(AND(G245&lt;&gt;"",G245&lt;&gt;0,G245&lt;&gt;1),AND(H245&lt;&gt;"",H245&lt;&gt;0,H245&lt;&gt;1)),"Flags devem ser 0 ou 1",IF(AND(H245=1,LEN(TRIM(I245))=0),"Preencher nome do indicante",IF(AND(H245&lt;&gt;1,I245&lt;&gt;""),"Nome sem indicação interna",IF(AND(G245=1,F245=""),"Fechamento sem conversa",IF(OR(AND(E245&lt;&gt;"",E245&lt;B245),AND(F245&lt;&gt;"",F245&lt;B245)),"Evento anterior à entrada",IF(AND(F245&lt;&gt;"",E245=""),"Conversa sem agendamento",IF(OR(E245&gt;TODAY(),F245&gt;TODAY()),"Verificar evento futuro","OK"))))))))))</f>
        <v/>
      </c>
    </row>
    <row r="246" spans="12:15">
      <c r="L246" s="5">
        <f>IF(OR(A246="",B246=""),"",B246-WEEKDAY(B246,2)+1)</f>
        <v/>
      </c>
      <c r="M246" s="5">
        <f>IF(L246="","",L246+6)</f>
        <v/>
      </c>
      <c r="N246" s="6">
        <f>IF(OR(A246="",B246=""),"",DATE(YEAR(B246),MONTH(B246),1))</f>
        <v/>
      </c>
      <c r="O246" s="7">
        <f>IF(COUNTA(A246:K246)=0,"",IF(OR(A246="",B246=""),"Preencher CPF e entrada",IF(COUNTIFS($A$12:$A$5011,A246,$B$12:$B$5011,B246)&gt;1,"CPF + dia duplicado",IF(OR(AND(G246&lt;&gt;"",G246&lt;&gt;0,G246&lt;&gt;1),AND(H246&lt;&gt;"",H246&lt;&gt;0,H246&lt;&gt;1)),"Flags devem ser 0 ou 1",IF(AND(H246=1,LEN(TRIM(I246))=0),"Preencher nome do indicante",IF(AND(H246&lt;&gt;1,I246&lt;&gt;""),"Nome sem indicação interna",IF(AND(G246=1,F246=""),"Fechamento sem conversa",IF(OR(AND(E246&lt;&gt;"",E246&lt;B246),AND(F246&lt;&gt;"",F246&lt;B246)),"Evento anterior à entrada",IF(AND(F246&lt;&gt;"",E246=""),"Conversa sem agendamento",IF(OR(E246&gt;TODAY(),F246&gt;TODAY()),"Verificar evento futuro","OK"))))))))))</f>
        <v/>
      </c>
    </row>
    <row r="247" spans="12:15">
      <c r="L247" s="5">
        <f>IF(OR(A247="",B247=""),"",B247-WEEKDAY(B247,2)+1)</f>
        <v/>
      </c>
      <c r="M247" s="5">
        <f>IF(L247="","",L247+6)</f>
        <v/>
      </c>
      <c r="N247" s="6">
        <f>IF(OR(A247="",B247=""),"",DATE(YEAR(B247),MONTH(B247),1))</f>
        <v/>
      </c>
      <c r="O247" s="7">
        <f>IF(COUNTA(A247:K247)=0,"",IF(OR(A247="",B247=""),"Preencher CPF e entrada",IF(COUNTIFS($A$12:$A$5011,A247,$B$12:$B$5011,B247)&gt;1,"CPF + dia duplicado",IF(OR(AND(G247&lt;&gt;"",G247&lt;&gt;0,G247&lt;&gt;1),AND(H247&lt;&gt;"",H247&lt;&gt;0,H247&lt;&gt;1)),"Flags devem ser 0 ou 1",IF(AND(H247=1,LEN(TRIM(I247))=0),"Preencher nome do indicante",IF(AND(H247&lt;&gt;1,I247&lt;&gt;""),"Nome sem indicação interna",IF(AND(G247=1,F247=""),"Fechamento sem conversa",IF(OR(AND(E247&lt;&gt;"",E247&lt;B247),AND(F247&lt;&gt;"",F247&lt;B247)),"Evento anterior à entrada",IF(AND(F247&lt;&gt;"",E247=""),"Conversa sem agendamento",IF(OR(E247&gt;TODAY(),F247&gt;TODAY()),"Verificar evento futuro","OK"))))))))))</f>
        <v/>
      </c>
    </row>
    <row r="248" spans="12:15">
      <c r="L248" s="5">
        <f>IF(OR(A248="",B248=""),"",B248-WEEKDAY(B248,2)+1)</f>
        <v/>
      </c>
      <c r="M248" s="5">
        <f>IF(L248="","",L248+6)</f>
        <v/>
      </c>
      <c r="N248" s="6">
        <f>IF(OR(A248="",B248=""),"",DATE(YEAR(B248),MONTH(B248),1))</f>
        <v/>
      </c>
      <c r="O248" s="7">
        <f>IF(COUNTA(A248:K248)=0,"",IF(OR(A248="",B248=""),"Preencher CPF e entrada",IF(COUNTIFS($A$12:$A$5011,A248,$B$12:$B$5011,B248)&gt;1,"CPF + dia duplicado",IF(OR(AND(G248&lt;&gt;"",G248&lt;&gt;0,G248&lt;&gt;1),AND(H248&lt;&gt;"",H248&lt;&gt;0,H248&lt;&gt;1)),"Flags devem ser 0 ou 1",IF(AND(H248=1,LEN(TRIM(I248))=0),"Preencher nome do indicante",IF(AND(H248&lt;&gt;1,I248&lt;&gt;""),"Nome sem indicação interna",IF(AND(G248=1,F248=""),"Fechamento sem conversa",IF(OR(AND(E248&lt;&gt;"",E248&lt;B248),AND(F248&lt;&gt;"",F248&lt;B248)),"Evento anterior à entrada",IF(AND(F248&lt;&gt;"",E248=""),"Conversa sem agendamento",IF(OR(E248&gt;TODAY(),F248&gt;TODAY()),"Verificar evento futuro","OK"))))))))))</f>
        <v/>
      </c>
    </row>
    <row r="249" spans="12:15">
      <c r="L249" s="5">
        <f>IF(OR(A249="",B249=""),"",B249-WEEKDAY(B249,2)+1)</f>
        <v/>
      </c>
      <c r="M249" s="5">
        <f>IF(L249="","",L249+6)</f>
        <v/>
      </c>
      <c r="N249" s="6">
        <f>IF(OR(A249="",B249=""),"",DATE(YEAR(B249),MONTH(B249),1))</f>
        <v/>
      </c>
      <c r="O249" s="7">
        <f>IF(COUNTA(A249:K249)=0,"",IF(OR(A249="",B249=""),"Preencher CPF e entrada",IF(COUNTIFS($A$12:$A$5011,A249,$B$12:$B$5011,B249)&gt;1,"CPF + dia duplicado",IF(OR(AND(G249&lt;&gt;"",G249&lt;&gt;0,G249&lt;&gt;1),AND(H249&lt;&gt;"",H249&lt;&gt;0,H249&lt;&gt;1)),"Flags devem ser 0 ou 1",IF(AND(H249=1,LEN(TRIM(I249))=0),"Preencher nome do indicante",IF(AND(H249&lt;&gt;1,I249&lt;&gt;""),"Nome sem indicação interna",IF(AND(G249=1,F249=""),"Fechamento sem conversa",IF(OR(AND(E249&lt;&gt;"",E249&lt;B249),AND(F249&lt;&gt;"",F249&lt;B249)),"Evento anterior à entrada",IF(AND(F249&lt;&gt;"",E249=""),"Conversa sem agendamento",IF(OR(E249&gt;TODAY(),F249&gt;TODAY()),"Verificar evento futuro","OK"))))))))))</f>
        <v/>
      </c>
    </row>
    <row r="250" spans="12:15">
      <c r="L250" s="5">
        <f>IF(OR(A250="",B250=""),"",B250-WEEKDAY(B250,2)+1)</f>
        <v/>
      </c>
      <c r="M250" s="5">
        <f>IF(L250="","",L250+6)</f>
        <v/>
      </c>
      <c r="N250" s="6">
        <f>IF(OR(A250="",B250=""),"",DATE(YEAR(B250),MONTH(B250),1))</f>
        <v/>
      </c>
      <c r="O250" s="7">
        <f>IF(COUNTA(A250:K250)=0,"",IF(OR(A250="",B250=""),"Preencher CPF e entrada",IF(COUNTIFS($A$12:$A$5011,A250,$B$12:$B$5011,B250)&gt;1,"CPF + dia duplicado",IF(OR(AND(G250&lt;&gt;"",G250&lt;&gt;0,G250&lt;&gt;1),AND(H250&lt;&gt;"",H250&lt;&gt;0,H250&lt;&gt;1)),"Flags devem ser 0 ou 1",IF(AND(H250=1,LEN(TRIM(I250))=0),"Preencher nome do indicante",IF(AND(H250&lt;&gt;1,I250&lt;&gt;""),"Nome sem indicação interna",IF(AND(G250=1,F250=""),"Fechamento sem conversa",IF(OR(AND(E250&lt;&gt;"",E250&lt;B250),AND(F250&lt;&gt;"",F250&lt;B250)),"Evento anterior à entrada",IF(AND(F250&lt;&gt;"",E250=""),"Conversa sem agendamento",IF(OR(E250&gt;TODAY(),F250&gt;TODAY()),"Verificar evento futuro","OK"))))))))))</f>
        <v/>
      </c>
    </row>
    <row r="251" spans="12:15">
      <c r="L251" s="5">
        <f>IF(OR(A251="",B251=""),"",B251-WEEKDAY(B251,2)+1)</f>
        <v/>
      </c>
      <c r="M251" s="5">
        <f>IF(L251="","",L251+6)</f>
        <v/>
      </c>
      <c r="N251" s="6">
        <f>IF(OR(A251="",B251=""),"",DATE(YEAR(B251),MONTH(B251),1))</f>
        <v/>
      </c>
      <c r="O251" s="7">
        <f>IF(COUNTA(A251:K251)=0,"",IF(OR(A251="",B251=""),"Preencher CPF e entrada",IF(COUNTIFS($A$12:$A$5011,A251,$B$12:$B$5011,B251)&gt;1,"CPF + dia duplicado",IF(OR(AND(G251&lt;&gt;"",G251&lt;&gt;0,G251&lt;&gt;1),AND(H251&lt;&gt;"",H251&lt;&gt;0,H251&lt;&gt;1)),"Flags devem ser 0 ou 1",IF(AND(H251=1,LEN(TRIM(I251))=0),"Preencher nome do indicante",IF(AND(H251&lt;&gt;1,I251&lt;&gt;""),"Nome sem indicação interna",IF(AND(G251=1,F251=""),"Fechamento sem conversa",IF(OR(AND(E251&lt;&gt;"",E251&lt;B251),AND(F251&lt;&gt;"",F251&lt;B251)),"Evento anterior à entrada",IF(AND(F251&lt;&gt;"",E251=""),"Conversa sem agendamento",IF(OR(E251&gt;TODAY(),F251&gt;TODAY()),"Verificar evento futuro","OK"))))))))))</f>
        <v/>
      </c>
    </row>
    <row r="252" spans="12:15">
      <c r="L252" s="5">
        <f>IF(OR(A252="",B252=""),"",B252-WEEKDAY(B252,2)+1)</f>
        <v/>
      </c>
      <c r="M252" s="5">
        <f>IF(L252="","",L252+6)</f>
        <v/>
      </c>
      <c r="N252" s="6">
        <f>IF(OR(A252="",B252=""),"",DATE(YEAR(B252),MONTH(B252),1))</f>
        <v/>
      </c>
      <c r="O252" s="7">
        <f>IF(COUNTA(A252:K252)=0,"",IF(OR(A252="",B252=""),"Preencher CPF e entrada",IF(COUNTIFS($A$12:$A$5011,A252,$B$12:$B$5011,B252)&gt;1,"CPF + dia duplicado",IF(OR(AND(G252&lt;&gt;"",G252&lt;&gt;0,G252&lt;&gt;1),AND(H252&lt;&gt;"",H252&lt;&gt;0,H252&lt;&gt;1)),"Flags devem ser 0 ou 1",IF(AND(H252=1,LEN(TRIM(I252))=0),"Preencher nome do indicante",IF(AND(H252&lt;&gt;1,I252&lt;&gt;""),"Nome sem indicação interna",IF(AND(G252=1,F252=""),"Fechamento sem conversa",IF(OR(AND(E252&lt;&gt;"",E252&lt;B252),AND(F252&lt;&gt;"",F252&lt;B252)),"Evento anterior à entrada",IF(AND(F252&lt;&gt;"",E252=""),"Conversa sem agendamento",IF(OR(E252&gt;TODAY(),F252&gt;TODAY()),"Verificar evento futuro","OK"))))))))))</f>
        <v/>
      </c>
    </row>
    <row r="253" spans="12:15">
      <c r="L253" s="5">
        <f>IF(OR(A253="",B253=""),"",B253-WEEKDAY(B253,2)+1)</f>
        <v/>
      </c>
      <c r="M253" s="5">
        <f>IF(L253="","",L253+6)</f>
        <v/>
      </c>
      <c r="N253" s="6">
        <f>IF(OR(A253="",B253=""),"",DATE(YEAR(B253),MONTH(B253),1))</f>
        <v/>
      </c>
      <c r="O253" s="7">
        <f>IF(COUNTA(A253:K253)=0,"",IF(OR(A253="",B253=""),"Preencher CPF e entrada",IF(COUNTIFS($A$12:$A$5011,A253,$B$12:$B$5011,B253)&gt;1,"CPF + dia duplicado",IF(OR(AND(G253&lt;&gt;"",G253&lt;&gt;0,G253&lt;&gt;1),AND(H253&lt;&gt;"",H253&lt;&gt;0,H253&lt;&gt;1)),"Flags devem ser 0 ou 1",IF(AND(H253=1,LEN(TRIM(I253))=0),"Preencher nome do indicante",IF(AND(H253&lt;&gt;1,I253&lt;&gt;""),"Nome sem indicação interna",IF(AND(G253=1,F253=""),"Fechamento sem conversa",IF(OR(AND(E253&lt;&gt;"",E253&lt;B253),AND(F253&lt;&gt;"",F253&lt;B253)),"Evento anterior à entrada",IF(AND(F253&lt;&gt;"",E253=""),"Conversa sem agendamento",IF(OR(E253&gt;TODAY(),F253&gt;TODAY()),"Verificar evento futuro","OK"))))))))))</f>
        <v/>
      </c>
    </row>
    <row r="254" spans="12:15">
      <c r="L254" s="5">
        <f>IF(OR(A254="",B254=""),"",B254-WEEKDAY(B254,2)+1)</f>
        <v/>
      </c>
      <c r="M254" s="5">
        <f>IF(L254="","",L254+6)</f>
        <v/>
      </c>
      <c r="N254" s="6">
        <f>IF(OR(A254="",B254=""),"",DATE(YEAR(B254),MONTH(B254),1))</f>
        <v/>
      </c>
      <c r="O254" s="7">
        <f>IF(COUNTA(A254:K254)=0,"",IF(OR(A254="",B254=""),"Preencher CPF e entrada",IF(COUNTIFS($A$12:$A$5011,A254,$B$12:$B$5011,B254)&gt;1,"CPF + dia duplicado",IF(OR(AND(G254&lt;&gt;"",G254&lt;&gt;0,G254&lt;&gt;1),AND(H254&lt;&gt;"",H254&lt;&gt;0,H254&lt;&gt;1)),"Flags devem ser 0 ou 1",IF(AND(H254=1,LEN(TRIM(I254))=0),"Preencher nome do indicante",IF(AND(H254&lt;&gt;1,I254&lt;&gt;""),"Nome sem indicação interna",IF(AND(G254=1,F254=""),"Fechamento sem conversa",IF(OR(AND(E254&lt;&gt;"",E254&lt;B254),AND(F254&lt;&gt;"",F254&lt;B254)),"Evento anterior à entrada",IF(AND(F254&lt;&gt;"",E254=""),"Conversa sem agendamento",IF(OR(E254&gt;TODAY(),F254&gt;TODAY()),"Verificar evento futuro","OK"))))))))))</f>
        <v/>
      </c>
    </row>
    <row r="255" spans="12:15">
      <c r="L255" s="5">
        <f>IF(OR(A255="",B255=""),"",B255-WEEKDAY(B255,2)+1)</f>
        <v/>
      </c>
      <c r="M255" s="5">
        <f>IF(L255="","",L255+6)</f>
        <v/>
      </c>
      <c r="N255" s="6">
        <f>IF(OR(A255="",B255=""),"",DATE(YEAR(B255),MONTH(B255),1))</f>
        <v/>
      </c>
      <c r="O255" s="7">
        <f>IF(COUNTA(A255:K255)=0,"",IF(OR(A255="",B255=""),"Preencher CPF e entrada",IF(COUNTIFS($A$12:$A$5011,A255,$B$12:$B$5011,B255)&gt;1,"CPF + dia duplicado",IF(OR(AND(G255&lt;&gt;"",G255&lt;&gt;0,G255&lt;&gt;1),AND(H255&lt;&gt;"",H255&lt;&gt;0,H255&lt;&gt;1)),"Flags devem ser 0 ou 1",IF(AND(H255=1,LEN(TRIM(I255))=0),"Preencher nome do indicante",IF(AND(H255&lt;&gt;1,I255&lt;&gt;""),"Nome sem indicação interna",IF(AND(G255=1,F255=""),"Fechamento sem conversa",IF(OR(AND(E255&lt;&gt;"",E255&lt;B255),AND(F255&lt;&gt;"",F255&lt;B255)),"Evento anterior à entrada",IF(AND(F255&lt;&gt;"",E255=""),"Conversa sem agendamento",IF(OR(E255&gt;TODAY(),F255&gt;TODAY()),"Verificar evento futuro","OK"))))))))))</f>
        <v/>
      </c>
    </row>
    <row r="256" spans="12:15">
      <c r="L256" s="5">
        <f>IF(OR(A256="",B256=""),"",B256-WEEKDAY(B256,2)+1)</f>
        <v/>
      </c>
      <c r="M256" s="5">
        <f>IF(L256="","",L256+6)</f>
        <v/>
      </c>
      <c r="N256" s="6">
        <f>IF(OR(A256="",B256=""),"",DATE(YEAR(B256),MONTH(B256),1))</f>
        <v/>
      </c>
      <c r="O256" s="7">
        <f>IF(COUNTA(A256:K256)=0,"",IF(OR(A256="",B256=""),"Preencher CPF e entrada",IF(COUNTIFS($A$12:$A$5011,A256,$B$12:$B$5011,B256)&gt;1,"CPF + dia duplicado",IF(OR(AND(G256&lt;&gt;"",G256&lt;&gt;0,G256&lt;&gt;1),AND(H256&lt;&gt;"",H256&lt;&gt;0,H256&lt;&gt;1)),"Flags devem ser 0 ou 1",IF(AND(H256=1,LEN(TRIM(I256))=0),"Preencher nome do indicante",IF(AND(H256&lt;&gt;1,I256&lt;&gt;""),"Nome sem indicação interna",IF(AND(G256=1,F256=""),"Fechamento sem conversa",IF(OR(AND(E256&lt;&gt;"",E256&lt;B256),AND(F256&lt;&gt;"",F256&lt;B256)),"Evento anterior à entrada",IF(AND(F256&lt;&gt;"",E256=""),"Conversa sem agendamento",IF(OR(E256&gt;TODAY(),F256&gt;TODAY()),"Verificar evento futuro","OK"))))))))))</f>
        <v/>
      </c>
    </row>
    <row r="257" spans="12:15">
      <c r="L257" s="5">
        <f>IF(OR(A257="",B257=""),"",B257-WEEKDAY(B257,2)+1)</f>
        <v/>
      </c>
      <c r="M257" s="5">
        <f>IF(L257="","",L257+6)</f>
        <v/>
      </c>
      <c r="N257" s="6">
        <f>IF(OR(A257="",B257=""),"",DATE(YEAR(B257),MONTH(B257),1))</f>
        <v/>
      </c>
      <c r="O257" s="7">
        <f>IF(COUNTA(A257:K257)=0,"",IF(OR(A257="",B257=""),"Preencher CPF e entrada",IF(COUNTIFS($A$12:$A$5011,A257,$B$12:$B$5011,B257)&gt;1,"CPF + dia duplicado",IF(OR(AND(G257&lt;&gt;"",G257&lt;&gt;0,G257&lt;&gt;1),AND(H257&lt;&gt;"",H257&lt;&gt;0,H257&lt;&gt;1)),"Flags devem ser 0 ou 1",IF(AND(H257=1,LEN(TRIM(I257))=0),"Preencher nome do indicante",IF(AND(H257&lt;&gt;1,I257&lt;&gt;""),"Nome sem indicação interna",IF(AND(G257=1,F257=""),"Fechamento sem conversa",IF(OR(AND(E257&lt;&gt;"",E257&lt;B257),AND(F257&lt;&gt;"",F257&lt;B257)),"Evento anterior à entrada",IF(AND(F257&lt;&gt;"",E257=""),"Conversa sem agendamento",IF(OR(E257&gt;TODAY(),F257&gt;TODAY()),"Verificar evento futuro","OK"))))))))))</f>
        <v/>
      </c>
    </row>
    <row r="258" spans="12:15">
      <c r="L258" s="5">
        <f>IF(OR(A258="",B258=""),"",B258-WEEKDAY(B258,2)+1)</f>
        <v/>
      </c>
      <c r="M258" s="5">
        <f>IF(L258="","",L258+6)</f>
        <v/>
      </c>
      <c r="N258" s="6">
        <f>IF(OR(A258="",B258=""),"",DATE(YEAR(B258),MONTH(B258),1))</f>
        <v/>
      </c>
      <c r="O258" s="7">
        <f>IF(COUNTA(A258:K258)=0,"",IF(OR(A258="",B258=""),"Preencher CPF e entrada",IF(COUNTIFS($A$12:$A$5011,A258,$B$12:$B$5011,B258)&gt;1,"CPF + dia duplicado",IF(OR(AND(G258&lt;&gt;"",G258&lt;&gt;0,G258&lt;&gt;1),AND(H258&lt;&gt;"",H258&lt;&gt;0,H258&lt;&gt;1)),"Flags devem ser 0 ou 1",IF(AND(H258=1,LEN(TRIM(I258))=0),"Preencher nome do indicante",IF(AND(H258&lt;&gt;1,I258&lt;&gt;""),"Nome sem indicação interna",IF(AND(G258=1,F258=""),"Fechamento sem conversa",IF(OR(AND(E258&lt;&gt;"",E258&lt;B258),AND(F258&lt;&gt;"",F258&lt;B258)),"Evento anterior à entrada",IF(AND(F258&lt;&gt;"",E258=""),"Conversa sem agendamento",IF(OR(E258&gt;TODAY(),F258&gt;TODAY()),"Verificar evento futuro","OK"))))))))))</f>
        <v/>
      </c>
    </row>
    <row r="259" spans="12:15">
      <c r="L259" s="5">
        <f>IF(OR(A259="",B259=""),"",B259-WEEKDAY(B259,2)+1)</f>
        <v/>
      </c>
      <c r="M259" s="5">
        <f>IF(L259="","",L259+6)</f>
        <v/>
      </c>
      <c r="N259" s="6">
        <f>IF(OR(A259="",B259=""),"",DATE(YEAR(B259),MONTH(B259),1))</f>
        <v/>
      </c>
      <c r="O259" s="7">
        <f>IF(COUNTA(A259:K259)=0,"",IF(OR(A259="",B259=""),"Preencher CPF e entrada",IF(COUNTIFS($A$12:$A$5011,A259,$B$12:$B$5011,B259)&gt;1,"CPF + dia duplicado",IF(OR(AND(G259&lt;&gt;"",G259&lt;&gt;0,G259&lt;&gt;1),AND(H259&lt;&gt;"",H259&lt;&gt;0,H259&lt;&gt;1)),"Flags devem ser 0 ou 1",IF(AND(H259=1,LEN(TRIM(I259))=0),"Preencher nome do indicante",IF(AND(H259&lt;&gt;1,I259&lt;&gt;""),"Nome sem indicação interna",IF(AND(G259=1,F259=""),"Fechamento sem conversa",IF(OR(AND(E259&lt;&gt;"",E259&lt;B259),AND(F259&lt;&gt;"",F259&lt;B259)),"Evento anterior à entrada",IF(AND(F259&lt;&gt;"",E259=""),"Conversa sem agendamento",IF(OR(E259&gt;TODAY(),F259&gt;TODAY()),"Verificar evento futuro","OK"))))))))))</f>
        <v/>
      </c>
    </row>
    <row r="260" spans="12:15">
      <c r="L260" s="5">
        <f>IF(OR(A260="",B260=""),"",B260-WEEKDAY(B260,2)+1)</f>
        <v/>
      </c>
      <c r="M260" s="5">
        <f>IF(L260="","",L260+6)</f>
        <v/>
      </c>
      <c r="N260" s="6">
        <f>IF(OR(A260="",B260=""),"",DATE(YEAR(B260),MONTH(B260),1))</f>
        <v/>
      </c>
      <c r="O260" s="7">
        <f>IF(COUNTA(A260:K260)=0,"",IF(OR(A260="",B260=""),"Preencher CPF e entrada",IF(COUNTIFS($A$12:$A$5011,A260,$B$12:$B$5011,B260)&gt;1,"CPF + dia duplicado",IF(OR(AND(G260&lt;&gt;"",G260&lt;&gt;0,G260&lt;&gt;1),AND(H260&lt;&gt;"",H260&lt;&gt;0,H260&lt;&gt;1)),"Flags devem ser 0 ou 1",IF(AND(H260=1,LEN(TRIM(I260))=0),"Preencher nome do indicante",IF(AND(H260&lt;&gt;1,I260&lt;&gt;""),"Nome sem indicação interna",IF(AND(G260=1,F260=""),"Fechamento sem conversa",IF(OR(AND(E260&lt;&gt;"",E260&lt;B260),AND(F260&lt;&gt;"",F260&lt;B260)),"Evento anterior à entrada",IF(AND(F260&lt;&gt;"",E260=""),"Conversa sem agendamento",IF(OR(E260&gt;TODAY(),F260&gt;TODAY()),"Verificar evento futuro","OK"))))))))))</f>
        <v/>
      </c>
    </row>
    <row r="261" spans="12:15">
      <c r="L261" s="5">
        <f>IF(OR(A261="",B261=""),"",B261-WEEKDAY(B261,2)+1)</f>
        <v/>
      </c>
      <c r="M261" s="5">
        <f>IF(L261="","",L261+6)</f>
        <v/>
      </c>
      <c r="N261" s="6">
        <f>IF(OR(A261="",B261=""),"",DATE(YEAR(B261),MONTH(B261),1))</f>
        <v/>
      </c>
      <c r="O261" s="7">
        <f>IF(COUNTA(A261:K261)=0,"",IF(OR(A261="",B261=""),"Preencher CPF e entrada",IF(COUNTIFS($A$12:$A$5011,A261,$B$12:$B$5011,B261)&gt;1,"CPF + dia duplicado",IF(OR(AND(G261&lt;&gt;"",G261&lt;&gt;0,G261&lt;&gt;1),AND(H261&lt;&gt;"",H261&lt;&gt;0,H261&lt;&gt;1)),"Flags devem ser 0 ou 1",IF(AND(H261=1,LEN(TRIM(I261))=0),"Preencher nome do indicante",IF(AND(H261&lt;&gt;1,I261&lt;&gt;""),"Nome sem indicação interna",IF(AND(G261=1,F261=""),"Fechamento sem conversa",IF(OR(AND(E261&lt;&gt;"",E261&lt;B261),AND(F261&lt;&gt;"",F261&lt;B261)),"Evento anterior à entrada",IF(AND(F261&lt;&gt;"",E261=""),"Conversa sem agendamento",IF(OR(E261&gt;TODAY(),F261&gt;TODAY()),"Verificar evento futuro","OK"))))))))))</f>
        <v/>
      </c>
    </row>
    <row r="262" spans="12:15">
      <c r="L262" s="5">
        <f>IF(OR(A262="",B262=""),"",B262-WEEKDAY(B262,2)+1)</f>
        <v/>
      </c>
      <c r="M262" s="5">
        <f>IF(L262="","",L262+6)</f>
        <v/>
      </c>
      <c r="N262" s="6">
        <f>IF(OR(A262="",B262=""),"",DATE(YEAR(B262),MONTH(B262),1))</f>
        <v/>
      </c>
      <c r="O262" s="7">
        <f>IF(COUNTA(A262:K262)=0,"",IF(OR(A262="",B262=""),"Preencher CPF e entrada",IF(COUNTIFS($A$12:$A$5011,A262,$B$12:$B$5011,B262)&gt;1,"CPF + dia duplicado",IF(OR(AND(G262&lt;&gt;"",G262&lt;&gt;0,G262&lt;&gt;1),AND(H262&lt;&gt;"",H262&lt;&gt;0,H262&lt;&gt;1)),"Flags devem ser 0 ou 1",IF(AND(H262=1,LEN(TRIM(I262))=0),"Preencher nome do indicante",IF(AND(H262&lt;&gt;1,I262&lt;&gt;""),"Nome sem indicação interna",IF(AND(G262=1,F262=""),"Fechamento sem conversa",IF(OR(AND(E262&lt;&gt;"",E262&lt;B262),AND(F262&lt;&gt;"",F262&lt;B262)),"Evento anterior à entrada",IF(AND(F262&lt;&gt;"",E262=""),"Conversa sem agendamento",IF(OR(E262&gt;TODAY(),F262&gt;TODAY()),"Verificar evento futuro","OK"))))))))))</f>
        <v/>
      </c>
    </row>
    <row r="263" spans="12:15">
      <c r="L263" s="5">
        <f>IF(OR(A263="",B263=""),"",B263-WEEKDAY(B263,2)+1)</f>
        <v/>
      </c>
      <c r="M263" s="5">
        <f>IF(L263="","",L263+6)</f>
        <v/>
      </c>
      <c r="N263" s="6">
        <f>IF(OR(A263="",B263=""),"",DATE(YEAR(B263),MONTH(B263),1))</f>
        <v/>
      </c>
      <c r="O263" s="7">
        <f>IF(COUNTA(A263:K263)=0,"",IF(OR(A263="",B263=""),"Preencher CPF e entrada",IF(COUNTIFS($A$12:$A$5011,A263,$B$12:$B$5011,B263)&gt;1,"CPF + dia duplicado",IF(OR(AND(G263&lt;&gt;"",G263&lt;&gt;0,G263&lt;&gt;1),AND(H263&lt;&gt;"",H263&lt;&gt;0,H263&lt;&gt;1)),"Flags devem ser 0 ou 1",IF(AND(H263=1,LEN(TRIM(I263))=0),"Preencher nome do indicante",IF(AND(H263&lt;&gt;1,I263&lt;&gt;""),"Nome sem indicação interna",IF(AND(G263=1,F263=""),"Fechamento sem conversa",IF(OR(AND(E263&lt;&gt;"",E263&lt;B263),AND(F263&lt;&gt;"",F263&lt;B263)),"Evento anterior à entrada",IF(AND(F263&lt;&gt;"",E263=""),"Conversa sem agendamento",IF(OR(E263&gt;TODAY(),F263&gt;TODAY()),"Verificar evento futuro","OK"))))))))))</f>
        <v/>
      </c>
    </row>
    <row r="264" spans="12:15">
      <c r="L264" s="5">
        <f>IF(OR(A264="",B264=""),"",B264-WEEKDAY(B264,2)+1)</f>
        <v/>
      </c>
      <c r="M264" s="5">
        <f>IF(L264="","",L264+6)</f>
        <v/>
      </c>
      <c r="N264" s="6">
        <f>IF(OR(A264="",B264=""),"",DATE(YEAR(B264),MONTH(B264),1))</f>
        <v/>
      </c>
      <c r="O264" s="7">
        <f>IF(COUNTA(A264:K264)=0,"",IF(OR(A264="",B264=""),"Preencher CPF e entrada",IF(COUNTIFS($A$12:$A$5011,A264,$B$12:$B$5011,B264)&gt;1,"CPF + dia duplicado",IF(OR(AND(G264&lt;&gt;"",G264&lt;&gt;0,G264&lt;&gt;1),AND(H264&lt;&gt;"",H264&lt;&gt;0,H264&lt;&gt;1)),"Flags devem ser 0 ou 1",IF(AND(H264=1,LEN(TRIM(I264))=0),"Preencher nome do indicante",IF(AND(H264&lt;&gt;1,I264&lt;&gt;""),"Nome sem indicação interna",IF(AND(G264=1,F264=""),"Fechamento sem conversa",IF(OR(AND(E264&lt;&gt;"",E264&lt;B264),AND(F264&lt;&gt;"",F264&lt;B264)),"Evento anterior à entrada",IF(AND(F264&lt;&gt;"",E264=""),"Conversa sem agendamento",IF(OR(E264&gt;TODAY(),F264&gt;TODAY()),"Verificar evento futuro","OK"))))))))))</f>
        <v/>
      </c>
    </row>
    <row r="265" spans="12:15">
      <c r="L265" s="5">
        <f>IF(OR(A265="",B265=""),"",B265-WEEKDAY(B265,2)+1)</f>
        <v/>
      </c>
      <c r="M265" s="5">
        <f>IF(L265="","",L265+6)</f>
        <v/>
      </c>
      <c r="N265" s="6">
        <f>IF(OR(A265="",B265=""),"",DATE(YEAR(B265),MONTH(B265),1))</f>
        <v/>
      </c>
      <c r="O265" s="7">
        <f>IF(COUNTA(A265:K265)=0,"",IF(OR(A265="",B265=""),"Preencher CPF e entrada",IF(COUNTIFS($A$12:$A$5011,A265,$B$12:$B$5011,B265)&gt;1,"CPF + dia duplicado",IF(OR(AND(G265&lt;&gt;"",G265&lt;&gt;0,G265&lt;&gt;1),AND(H265&lt;&gt;"",H265&lt;&gt;0,H265&lt;&gt;1)),"Flags devem ser 0 ou 1",IF(AND(H265=1,LEN(TRIM(I265))=0),"Preencher nome do indicante",IF(AND(H265&lt;&gt;1,I265&lt;&gt;""),"Nome sem indicação interna",IF(AND(G265=1,F265=""),"Fechamento sem conversa",IF(OR(AND(E265&lt;&gt;"",E265&lt;B265),AND(F265&lt;&gt;"",F265&lt;B265)),"Evento anterior à entrada",IF(AND(F265&lt;&gt;"",E265=""),"Conversa sem agendamento",IF(OR(E265&gt;TODAY(),F265&gt;TODAY()),"Verificar evento futuro","OK"))))))))))</f>
        <v/>
      </c>
    </row>
    <row r="266" spans="12:15">
      <c r="L266" s="5">
        <f>IF(OR(A266="",B266=""),"",B266-WEEKDAY(B266,2)+1)</f>
        <v/>
      </c>
      <c r="M266" s="5">
        <f>IF(L266="","",L266+6)</f>
        <v/>
      </c>
      <c r="N266" s="6">
        <f>IF(OR(A266="",B266=""),"",DATE(YEAR(B266),MONTH(B266),1))</f>
        <v/>
      </c>
      <c r="O266" s="7">
        <f>IF(COUNTA(A266:K266)=0,"",IF(OR(A266="",B266=""),"Preencher CPF e entrada",IF(COUNTIFS($A$12:$A$5011,A266,$B$12:$B$5011,B266)&gt;1,"CPF + dia duplicado",IF(OR(AND(G266&lt;&gt;"",G266&lt;&gt;0,G266&lt;&gt;1),AND(H266&lt;&gt;"",H266&lt;&gt;0,H266&lt;&gt;1)),"Flags devem ser 0 ou 1",IF(AND(H266=1,LEN(TRIM(I266))=0),"Preencher nome do indicante",IF(AND(H266&lt;&gt;1,I266&lt;&gt;""),"Nome sem indicação interna",IF(AND(G266=1,F266=""),"Fechamento sem conversa",IF(OR(AND(E266&lt;&gt;"",E266&lt;B266),AND(F266&lt;&gt;"",F266&lt;B266)),"Evento anterior à entrada",IF(AND(F266&lt;&gt;"",E266=""),"Conversa sem agendamento",IF(OR(E266&gt;TODAY(),F266&gt;TODAY()),"Verificar evento futuro","OK"))))))))))</f>
        <v/>
      </c>
    </row>
    <row r="267" spans="12:15">
      <c r="L267" s="5">
        <f>IF(OR(A267="",B267=""),"",B267-WEEKDAY(B267,2)+1)</f>
        <v/>
      </c>
      <c r="M267" s="5">
        <f>IF(L267="","",L267+6)</f>
        <v/>
      </c>
      <c r="N267" s="6">
        <f>IF(OR(A267="",B267=""),"",DATE(YEAR(B267),MONTH(B267),1))</f>
        <v/>
      </c>
      <c r="O267" s="7">
        <f>IF(COUNTA(A267:K267)=0,"",IF(OR(A267="",B267=""),"Preencher CPF e entrada",IF(COUNTIFS($A$12:$A$5011,A267,$B$12:$B$5011,B267)&gt;1,"CPF + dia duplicado",IF(OR(AND(G267&lt;&gt;"",G267&lt;&gt;0,G267&lt;&gt;1),AND(H267&lt;&gt;"",H267&lt;&gt;0,H267&lt;&gt;1)),"Flags devem ser 0 ou 1",IF(AND(H267=1,LEN(TRIM(I267))=0),"Preencher nome do indicante",IF(AND(H267&lt;&gt;1,I267&lt;&gt;""),"Nome sem indicação interna",IF(AND(G267=1,F267=""),"Fechamento sem conversa",IF(OR(AND(E267&lt;&gt;"",E267&lt;B267),AND(F267&lt;&gt;"",F267&lt;B267)),"Evento anterior à entrada",IF(AND(F267&lt;&gt;"",E267=""),"Conversa sem agendamento",IF(OR(E267&gt;TODAY(),F267&gt;TODAY()),"Verificar evento futuro","OK"))))))))))</f>
        <v/>
      </c>
    </row>
    <row r="268" spans="12:15">
      <c r="L268" s="5">
        <f>IF(OR(A268="",B268=""),"",B268-WEEKDAY(B268,2)+1)</f>
        <v/>
      </c>
      <c r="M268" s="5">
        <f>IF(L268="","",L268+6)</f>
        <v/>
      </c>
      <c r="N268" s="6">
        <f>IF(OR(A268="",B268=""),"",DATE(YEAR(B268),MONTH(B268),1))</f>
        <v/>
      </c>
      <c r="O268" s="7">
        <f>IF(COUNTA(A268:K268)=0,"",IF(OR(A268="",B268=""),"Preencher CPF e entrada",IF(COUNTIFS($A$12:$A$5011,A268,$B$12:$B$5011,B268)&gt;1,"CPF + dia duplicado",IF(OR(AND(G268&lt;&gt;"",G268&lt;&gt;0,G268&lt;&gt;1),AND(H268&lt;&gt;"",H268&lt;&gt;0,H268&lt;&gt;1)),"Flags devem ser 0 ou 1",IF(AND(H268=1,LEN(TRIM(I268))=0),"Preencher nome do indicante",IF(AND(H268&lt;&gt;1,I268&lt;&gt;""),"Nome sem indicação interna",IF(AND(G268=1,F268=""),"Fechamento sem conversa",IF(OR(AND(E268&lt;&gt;"",E268&lt;B268),AND(F268&lt;&gt;"",F268&lt;B268)),"Evento anterior à entrada",IF(AND(F268&lt;&gt;"",E268=""),"Conversa sem agendamento",IF(OR(E268&gt;TODAY(),F268&gt;TODAY()),"Verificar evento futuro","OK"))))))))))</f>
        <v/>
      </c>
    </row>
    <row r="269" spans="12:15">
      <c r="L269" s="5">
        <f>IF(OR(A269="",B269=""),"",B269-WEEKDAY(B269,2)+1)</f>
        <v/>
      </c>
      <c r="M269" s="5">
        <f>IF(L269="","",L269+6)</f>
        <v/>
      </c>
      <c r="N269" s="6">
        <f>IF(OR(A269="",B269=""),"",DATE(YEAR(B269),MONTH(B269),1))</f>
        <v/>
      </c>
      <c r="O269" s="7">
        <f>IF(COUNTA(A269:K269)=0,"",IF(OR(A269="",B269=""),"Preencher CPF e entrada",IF(COUNTIFS($A$12:$A$5011,A269,$B$12:$B$5011,B269)&gt;1,"CPF + dia duplicado",IF(OR(AND(G269&lt;&gt;"",G269&lt;&gt;0,G269&lt;&gt;1),AND(H269&lt;&gt;"",H269&lt;&gt;0,H269&lt;&gt;1)),"Flags devem ser 0 ou 1",IF(AND(H269=1,LEN(TRIM(I269))=0),"Preencher nome do indicante",IF(AND(H269&lt;&gt;1,I269&lt;&gt;""),"Nome sem indicação interna",IF(AND(G269=1,F269=""),"Fechamento sem conversa",IF(OR(AND(E269&lt;&gt;"",E269&lt;B269),AND(F269&lt;&gt;"",F269&lt;B269)),"Evento anterior à entrada",IF(AND(F269&lt;&gt;"",E269=""),"Conversa sem agendamento",IF(OR(E269&gt;TODAY(),F269&gt;TODAY()),"Verificar evento futuro","OK"))))))))))</f>
        <v/>
      </c>
    </row>
    <row r="270" spans="12:15">
      <c r="L270" s="5">
        <f>IF(OR(A270="",B270=""),"",B270-WEEKDAY(B270,2)+1)</f>
        <v/>
      </c>
      <c r="M270" s="5">
        <f>IF(L270="","",L270+6)</f>
        <v/>
      </c>
      <c r="N270" s="6">
        <f>IF(OR(A270="",B270=""),"",DATE(YEAR(B270),MONTH(B270),1))</f>
        <v/>
      </c>
      <c r="O270" s="7">
        <f>IF(COUNTA(A270:K270)=0,"",IF(OR(A270="",B270=""),"Preencher CPF e entrada",IF(COUNTIFS($A$12:$A$5011,A270,$B$12:$B$5011,B270)&gt;1,"CPF + dia duplicado",IF(OR(AND(G270&lt;&gt;"",G270&lt;&gt;0,G270&lt;&gt;1),AND(H270&lt;&gt;"",H270&lt;&gt;0,H270&lt;&gt;1)),"Flags devem ser 0 ou 1",IF(AND(H270=1,LEN(TRIM(I270))=0),"Preencher nome do indicante",IF(AND(H270&lt;&gt;1,I270&lt;&gt;""),"Nome sem indicação interna",IF(AND(G270=1,F270=""),"Fechamento sem conversa",IF(OR(AND(E270&lt;&gt;"",E270&lt;B270),AND(F270&lt;&gt;"",F270&lt;B270)),"Evento anterior à entrada",IF(AND(F270&lt;&gt;"",E270=""),"Conversa sem agendamento",IF(OR(E270&gt;TODAY(),F270&gt;TODAY()),"Verificar evento futuro","OK"))))))))))</f>
        <v/>
      </c>
    </row>
    <row r="271" spans="12:15">
      <c r="L271" s="5">
        <f>IF(OR(A271="",B271=""),"",B271-WEEKDAY(B271,2)+1)</f>
        <v/>
      </c>
      <c r="M271" s="5">
        <f>IF(L271="","",L271+6)</f>
        <v/>
      </c>
      <c r="N271" s="6">
        <f>IF(OR(A271="",B271=""),"",DATE(YEAR(B271),MONTH(B271),1))</f>
        <v/>
      </c>
      <c r="O271" s="7">
        <f>IF(COUNTA(A271:K271)=0,"",IF(OR(A271="",B271=""),"Preencher CPF e entrada",IF(COUNTIFS($A$12:$A$5011,A271,$B$12:$B$5011,B271)&gt;1,"CPF + dia duplicado",IF(OR(AND(G271&lt;&gt;"",G271&lt;&gt;0,G271&lt;&gt;1),AND(H271&lt;&gt;"",H271&lt;&gt;0,H271&lt;&gt;1)),"Flags devem ser 0 ou 1",IF(AND(H271=1,LEN(TRIM(I271))=0),"Preencher nome do indicante",IF(AND(H271&lt;&gt;1,I271&lt;&gt;""),"Nome sem indicação interna",IF(AND(G271=1,F271=""),"Fechamento sem conversa",IF(OR(AND(E271&lt;&gt;"",E271&lt;B271),AND(F271&lt;&gt;"",F271&lt;B271)),"Evento anterior à entrada",IF(AND(F271&lt;&gt;"",E271=""),"Conversa sem agendamento",IF(OR(E271&gt;TODAY(),F271&gt;TODAY()),"Verificar evento futuro","OK"))))))))))</f>
        <v/>
      </c>
    </row>
    <row r="272" spans="12:15">
      <c r="L272" s="5">
        <f>IF(OR(A272="",B272=""),"",B272-WEEKDAY(B272,2)+1)</f>
        <v/>
      </c>
      <c r="M272" s="5">
        <f>IF(L272="","",L272+6)</f>
        <v/>
      </c>
      <c r="N272" s="6">
        <f>IF(OR(A272="",B272=""),"",DATE(YEAR(B272),MONTH(B272),1))</f>
        <v/>
      </c>
      <c r="O272" s="7">
        <f>IF(COUNTA(A272:K272)=0,"",IF(OR(A272="",B272=""),"Preencher CPF e entrada",IF(COUNTIFS($A$12:$A$5011,A272,$B$12:$B$5011,B272)&gt;1,"CPF + dia duplicado",IF(OR(AND(G272&lt;&gt;"",G272&lt;&gt;0,G272&lt;&gt;1),AND(H272&lt;&gt;"",H272&lt;&gt;0,H272&lt;&gt;1)),"Flags devem ser 0 ou 1",IF(AND(H272=1,LEN(TRIM(I272))=0),"Preencher nome do indicante",IF(AND(H272&lt;&gt;1,I272&lt;&gt;""),"Nome sem indicação interna",IF(AND(G272=1,F272=""),"Fechamento sem conversa",IF(OR(AND(E272&lt;&gt;"",E272&lt;B272),AND(F272&lt;&gt;"",F272&lt;B272)),"Evento anterior à entrada",IF(AND(F272&lt;&gt;"",E272=""),"Conversa sem agendamento",IF(OR(E272&gt;TODAY(),F272&gt;TODAY()),"Verificar evento futuro","OK"))))))))))</f>
        <v/>
      </c>
    </row>
    <row r="273" spans="12:15">
      <c r="L273" s="5">
        <f>IF(OR(A273="",B273=""),"",B273-WEEKDAY(B273,2)+1)</f>
        <v/>
      </c>
      <c r="M273" s="5">
        <f>IF(L273="","",L273+6)</f>
        <v/>
      </c>
      <c r="N273" s="6">
        <f>IF(OR(A273="",B273=""),"",DATE(YEAR(B273),MONTH(B273),1))</f>
        <v/>
      </c>
      <c r="O273" s="7">
        <f>IF(COUNTA(A273:K273)=0,"",IF(OR(A273="",B273=""),"Preencher CPF e entrada",IF(COUNTIFS($A$12:$A$5011,A273,$B$12:$B$5011,B273)&gt;1,"CPF + dia duplicado",IF(OR(AND(G273&lt;&gt;"",G273&lt;&gt;0,G273&lt;&gt;1),AND(H273&lt;&gt;"",H273&lt;&gt;0,H273&lt;&gt;1)),"Flags devem ser 0 ou 1",IF(AND(H273=1,LEN(TRIM(I273))=0),"Preencher nome do indicante",IF(AND(H273&lt;&gt;1,I273&lt;&gt;""),"Nome sem indicação interna",IF(AND(G273=1,F273=""),"Fechamento sem conversa",IF(OR(AND(E273&lt;&gt;"",E273&lt;B273),AND(F273&lt;&gt;"",F273&lt;B273)),"Evento anterior à entrada",IF(AND(F273&lt;&gt;"",E273=""),"Conversa sem agendamento",IF(OR(E273&gt;TODAY(),F273&gt;TODAY()),"Verificar evento futuro","OK"))))))))))</f>
        <v/>
      </c>
    </row>
    <row r="274" spans="12:15">
      <c r="L274" s="5">
        <f>IF(OR(A274="",B274=""),"",B274-WEEKDAY(B274,2)+1)</f>
        <v/>
      </c>
      <c r="M274" s="5">
        <f>IF(L274="","",L274+6)</f>
        <v/>
      </c>
      <c r="N274" s="6">
        <f>IF(OR(A274="",B274=""),"",DATE(YEAR(B274),MONTH(B274),1))</f>
        <v/>
      </c>
      <c r="O274" s="7">
        <f>IF(COUNTA(A274:K274)=0,"",IF(OR(A274="",B274=""),"Preencher CPF e entrada",IF(COUNTIFS($A$12:$A$5011,A274,$B$12:$B$5011,B274)&gt;1,"CPF + dia duplicado",IF(OR(AND(G274&lt;&gt;"",G274&lt;&gt;0,G274&lt;&gt;1),AND(H274&lt;&gt;"",H274&lt;&gt;0,H274&lt;&gt;1)),"Flags devem ser 0 ou 1",IF(AND(H274=1,LEN(TRIM(I274))=0),"Preencher nome do indicante",IF(AND(H274&lt;&gt;1,I274&lt;&gt;""),"Nome sem indicação interna",IF(AND(G274=1,F274=""),"Fechamento sem conversa",IF(OR(AND(E274&lt;&gt;"",E274&lt;B274),AND(F274&lt;&gt;"",F274&lt;B274)),"Evento anterior à entrada",IF(AND(F274&lt;&gt;"",E274=""),"Conversa sem agendamento",IF(OR(E274&gt;TODAY(),F274&gt;TODAY()),"Verificar evento futuro","OK"))))))))))</f>
        <v/>
      </c>
    </row>
    <row r="275" spans="12:15">
      <c r="L275" s="5">
        <f>IF(OR(A275="",B275=""),"",B275-WEEKDAY(B275,2)+1)</f>
        <v/>
      </c>
      <c r="M275" s="5">
        <f>IF(L275="","",L275+6)</f>
        <v/>
      </c>
      <c r="N275" s="6">
        <f>IF(OR(A275="",B275=""),"",DATE(YEAR(B275),MONTH(B275),1))</f>
        <v/>
      </c>
      <c r="O275" s="7">
        <f>IF(COUNTA(A275:K275)=0,"",IF(OR(A275="",B275=""),"Preencher CPF e entrada",IF(COUNTIFS($A$12:$A$5011,A275,$B$12:$B$5011,B275)&gt;1,"CPF + dia duplicado",IF(OR(AND(G275&lt;&gt;"",G275&lt;&gt;0,G275&lt;&gt;1),AND(H275&lt;&gt;"",H275&lt;&gt;0,H275&lt;&gt;1)),"Flags devem ser 0 ou 1",IF(AND(H275=1,LEN(TRIM(I275))=0),"Preencher nome do indicante",IF(AND(H275&lt;&gt;1,I275&lt;&gt;""),"Nome sem indicação interna",IF(AND(G275=1,F275=""),"Fechamento sem conversa",IF(OR(AND(E275&lt;&gt;"",E275&lt;B275),AND(F275&lt;&gt;"",F275&lt;B275)),"Evento anterior à entrada",IF(AND(F275&lt;&gt;"",E275=""),"Conversa sem agendamento",IF(OR(E275&gt;TODAY(),F275&gt;TODAY()),"Verificar evento futuro","OK"))))))))))</f>
        <v/>
      </c>
    </row>
    <row r="276" spans="12:15">
      <c r="L276" s="5">
        <f>IF(OR(A276="",B276=""),"",B276-WEEKDAY(B276,2)+1)</f>
        <v/>
      </c>
      <c r="M276" s="5">
        <f>IF(L276="","",L276+6)</f>
        <v/>
      </c>
      <c r="N276" s="6">
        <f>IF(OR(A276="",B276=""),"",DATE(YEAR(B276),MONTH(B276),1))</f>
        <v/>
      </c>
      <c r="O276" s="7">
        <f>IF(COUNTA(A276:K276)=0,"",IF(OR(A276="",B276=""),"Preencher CPF e entrada",IF(COUNTIFS($A$12:$A$5011,A276,$B$12:$B$5011,B276)&gt;1,"CPF + dia duplicado",IF(OR(AND(G276&lt;&gt;"",G276&lt;&gt;0,G276&lt;&gt;1),AND(H276&lt;&gt;"",H276&lt;&gt;0,H276&lt;&gt;1)),"Flags devem ser 0 ou 1",IF(AND(H276=1,LEN(TRIM(I276))=0),"Preencher nome do indicante",IF(AND(H276&lt;&gt;1,I276&lt;&gt;""),"Nome sem indicação interna",IF(AND(G276=1,F276=""),"Fechamento sem conversa",IF(OR(AND(E276&lt;&gt;"",E276&lt;B276),AND(F276&lt;&gt;"",F276&lt;B276)),"Evento anterior à entrada",IF(AND(F276&lt;&gt;"",E276=""),"Conversa sem agendamento",IF(OR(E276&gt;TODAY(),F276&gt;TODAY()),"Verificar evento futuro","OK"))))))))))</f>
        <v/>
      </c>
    </row>
    <row r="277" spans="12:15">
      <c r="L277" s="5">
        <f>IF(OR(A277="",B277=""),"",B277-WEEKDAY(B277,2)+1)</f>
        <v/>
      </c>
      <c r="M277" s="5">
        <f>IF(L277="","",L277+6)</f>
        <v/>
      </c>
      <c r="N277" s="6">
        <f>IF(OR(A277="",B277=""),"",DATE(YEAR(B277),MONTH(B277),1))</f>
        <v/>
      </c>
      <c r="O277" s="7">
        <f>IF(COUNTA(A277:K277)=0,"",IF(OR(A277="",B277=""),"Preencher CPF e entrada",IF(COUNTIFS($A$12:$A$5011,A277,$B$12:$B$5011,B277)&gt;1,"CPF + dia duplicado",IF(OR(AND(G277&lt;&gt;"",G277&lt;&gt;0,G277&lt;&gt;1),AND(H277&lt;&gt;"",H277&lt;&gt;0,H277&lt;&gt;1)),"Flags devem ser 0 ou 1",IF(AND(H277=1,LEN(TRIM(I277))=0),"Preencher nome do indicante",IF(AND(H277&lt;&gt;1,I277&lt;&gt;""),"Nome sem indicação interna",IF(AND(G277=1,F277=""),"Fechamento sem conversa",IF(OR(AND(E277&lt;&gt;"",E277&lt;B277),AND(F277&lt;&gt;"",F277&lt;B277)),"Evento anterior à entrada",IF(AND(F277&lt;&gt;"",E277=""),"Conversa sem agendamento",IF(OR(E277&gt;TODAY(),F277&gt;TODAY()),"Verificar evento futuro","OK"))))))))))</f>
        <v/>
      </c>
    </row>
    <row r="278" spans="12:15">
      <c r="L278" s="5">
        <f>IF(OR(A278="",B278=""),"",B278-WEEKDAY(B278,2)+1)</f>
        <v/>
      </c>
      <c r="M278" s="5">
        <f>IF(L278="","",L278+6)</f>
        <v/>
      </c>
      <c r="N278" s="6">
        <f>IF(OR(A278="",B278=""),"",DATE(YEAR(B278),MONTH(B278),1))</f>
        <v/>
      </c>
      <c r="O278" s="7">
        <f>IF(COUNTA(A278:K278)=0,"",IF(OR(A278="",B278=""),"Preencher CPF e entrada",IF(COUNTIFS($A$12:$A$5011,A278,$B$12:$B$5011,B278)&gt;1,"CPF + dia duplicado",IF(OR(AND(G278&lt;&gt;"",G278&lt;&gt;0,G278&lt;&gt;1),AND(H278&lt;&gt;"",H278&lt;&gt;0,H278&lt;&gt;1)),"Flags devem ser 0 ou 1",IF(AND(H278=1,LEN(TRIM(I278))=0),"Preencher nome do indicante",IF(AND(H278&lt;&gt;1,I278&lt;&gt;""),"Nome sem indicação interna",IF(AND(G278=1,F278=""),"Fechamento sem conversa",IF(OR(AND(E278&lt;&gt;"",E278&lt;B278),AND(F278&lt;&gt;"",F278&lt;B278)),"Evento anterior à entrada",IF(AND(F278&lt;&gt;"",E278=""),"Conversa sem agendamento",IF(OR(E278&gt;TODAY(),F278&gt;TODAY()),"Verificar evento futuro","OK"))))))))))</f>
        <v/>
      </c>
    </row>
    <row r="279" spans="12:15">
      <c r="L279" s="5">
        <f>IF(OR(A279="",B279=""),"",B279-WEEKDAY(B279,2)+1)</f>
        <v/>
      </c>
      <c r="M279" s="5">
        <f>IF(L279="","",L279+6)</f>
        <v/>
      </c>
      <c r="N279" s="6">
        <f>IF(OR(A279="",B279=""),"",DATE(YEAR(B279),MONTH(B279),1))</f>
        <v/>
      </c>
      <c r="O279" s="7">
        <f>IF(COUNTA(A279:K279)=0,"",IF(OR(A279="",B279=""),"Preencher CPF e entrada",IF(COUNTIFS($A$12:$A$5011,A279,$B$12:$B$5011,B279)&gt;1,"CPF + dia duplicado",IF(OR(AND(G279&lt;&gt;"",G279&lt;&gt;0,G279&lt;&gt;1),AND(H279&lt;&gt;"",H279&lt;&gt;0,H279&lt;&gt;1)),"Flags devem ser 0 ou 1",IF(AND(H279=1,LEN(TRIM(I279))=0),"Preencher nome do indicante",IF(AND(H279&lt;&gt;1,I279&lt;&gt;""),"Nome sem indicação interna",IF(AND(G279=1,F279=""),"Fechamento sem conversa",IF(OR(AND(E279&lt;&gt;"",E279&lt;B279),AND(F279&lt;&gt;"",F279&lt;B279)),"Evento anterior à entrada",IF(AND(F279&lt;&gt;"",E279=""),"Conversa sem agendamento",IF(OR(E279&gt;TODAY(),F279&gt;TODAY()),"Verificar evento futuro","OK"))))))))))</f>
        <v/>
      </c>
    </row>
    <row r="280" spans="12:15">
      <c r="L280" s="5">
        <f>IF(OR(A280="",B280=""),"",B280-WEEKDAY(B280,2)+1)</f>
        <v/>
      </c>
      <c r="M280" s="5">
        <f>IF(L280="","",L280+6)</f>
        <v/>
      </c>
      <c r="N280" s="6">
        <f>IF(OR(A280="",B280=""),"",DATE(YEAR(B280),MONTH(B280),1))</f>
        <v/>
      </c>
      <c r="O280" s="7">
        <f>IF(COUNTA(A280:K280)=0,"",IF(OR(A280="",B280=""),"Preencher CPF e entrada",IF(COUNTIFS($A$12:$A$5011,A280,$B$12:$B$5011,B280)&gt;1,"CPF + dia duplicado",IF(OR(AND(G280&lt;&gt;"",G280&lt;&gt;0,G280&lt;&gt;1),AND(H280&lt;&gt;"",H280&lt;&gt;0,H280&lt;&gt;1)),"Flags devem ser 0 ou 1",IF(AND(H280=1,LEN(TRIM(I280))=0),"Preencher nome do indicante",IF(AND(H280&lt;&gt;1,I280&lt;&gt;""),"Nome sem indicação interna",IF(AND(G280=1,F280=""),"Fechamento sem conversa",IF(OR(AND(E280&lt;&gt;"",E280&lt;B280),AND(F280&lt;&gt;"",F280&lt;B280)),"Evento anterior à entrada",IF(AND(F280&lt;&gt;"",E280=""),"Conversa sem agendamento",IF(OR(E280&gt;TODAY(),F280&gt;TODAY()),"Verificar evento futuro","OK"))))))))))</f>
        <v/>
      </c>
    </row>
    <row r="281" spans="12:15">
      <c r="L281" s="5">
        <f>IF(OR(A281="",B281=""),"",B281-WEEKDAY(B281,2)+1)</f>
        <v/>
      </c>
      <c r="M281" s="5">
        <f>IF(L281="","",L281+6)</f>
        <v/>
      </c>
      <c r="N281" s="6">
        <f>IF(OR(A281="",B281=""),"",DATE(YEAR(B281),MONTH(B281),1))</f>
        <v/>
      </c>
      <c r="O281" s="7">
        <f>IF(COUNTA(A281:K281)=0,"",IF(OR(A281="",B281=""),"Preencher CPF e entrada",IF(COUNTIFS($A$12:$A$5011,A281,$B$12:$B$5011,B281)&gt;1,"CPF + dia duplicado",IF(OR(AND(G281&lt;&gt;"",G281&lt;&gt;0,G281&lt;&gt;1),AND(H281&lt;&gt;"",H281&lt;&gt;0,H281&lt;&gt;1)),"Flags devem ser 0 ou 1",IF(AND(H281=1,LEN(TRIM(I281))=0),"Preencher nome do indicante",IF(AND(H281&lt;&gt;1,I281&lt;&gt;""),"Nome sem indicação interna",IF(AND(G281=1,F281=""),"Fechamento sem conversa",IF(OR(AND(E281&lt;&gt;"",E281&lt;B281),AND(F281&lt;&gt;"",F281&lt;B281)),"Evento anterior à entrada",IF(AND(F281&lt;&gt;"",E281=""),"Conversa sem agendamento",IF(OR(E281&gt;TODAY(),F281&gt;TODAY()),"Verificar evento futuro","OK"))))))))))</f>
        <v/>
      </c>
    </row>
    <row r="282" spans="12:15">
      <c r="L282" s="5">
        <f>IF(OR(A282="",B282=""),"",B282-WEEKDAY(B282,2)+1)</f>
        <v/>
      </c>
      <c r="M282" s="5">
        <f>IF(L282="","",L282+6)</f>
        <v/>
      </c>
      <c r="N282" s="6">
        <f>IF(OR(A282="",B282=""),"",DATE(YEAR(B282),MONTH(B282),1))</f>
        <v/>
      </c>
      <c r="O282" s="7">
        <f>IF(COUNTA(A282:K282)=0,"",IF(OR(A282="",B282=""),"Preencher CPF e entrada",IF(COUNTIFS($A$12:$A$5011,A282,$B$12:$B$5011,B282)&gt;1,"CPF + dia duplicado",IF(OR(AND(G282&lt;&gt;"",G282&lt;&gt;0,G282&lt;&gt;1),AND(H282&lt;&gt;"",H282&lt;&gt;0,H282&lt;&gt;1)),"Flags devem ser 0 ou 1",IF(AND(H282=1,LEN(TRIM(I282))=0),"Preencher nome do indicante",IF(AND(H282&lt;&gt;1,I282&lt;&gt;""),"Nome sem indicação interna",IF(AND(G282=1,F282=""),"Fechamento sem conversa",IF(OR(AND(E282&lt;&gt;"",E282&lt;B282),AND(F282&lt;&gt;"",F282&lt;B282)),"Evento anterior à entrada",IF(AND(F282&lt;&gt;"",E282=""),"Conversa sem agendamento",IF(OR(E282&gt;TODAY(),F282&gt;TODAY()),"Verificar evento futuro","OK"))))))))))</f>
        <v/>
      </c>
    </row>
    <row r="283" spans="12:15">
      <c r="L283" s="5">
        <f>IF(OR(A283="",B283=""),"",B283-WEEKDAY(B283,2)+1)</f>
        <v/>
      </c>
      <c r="M283" s="5">
        <f>IF(L283="","",L283+6)</f>
        <v/>
      </c>
      <c r="N283" s="6">
        <f>IF(OR(A283="",B283=""),"",DATE(YEAR(B283),MONTH(B283),1))</f>
        <v/>
      </c>
      <c r="O283" s="7">
        <f>IF(COUNTA(A283:K283)=0,"",IF(OR(A283="",B283=""),"Preencher CPF e entrada",IF(COUNTIFS($A$12:$A$5011,A283,$B$12:$B$5011,B283)&gt;1,"CPF + dia duplicado",IF(OR(AND(G283&lt;&gt;"",G283&lt;&gt;0,G283&lt;&gt;1),AND(H283&lt;&gt;"",H283&lt;&gt;0,H283&lt;&gt;1)),"Flags devem ser 0 ou 1",IF(AND(H283=1,LEN(TRIM(I283))=0),"Preencher nome do indicante",IF(AND(H283&lt;&gt;1,I283&lt;&gt;""),"Nome sem indicação interna",IF(AND(G283=1,F283=""),"Fechamento sem conversa",IF(OR(AND(E283&lt;&gt;"",E283&lt;B283),AND(F283&lt;&gt;"",F283&lt;B283)),"Evento anterior à entrada",IF(AND(F283&lt;&gt;"",E283=""),"Conversa sem agendamento",IF(OR(E283&gt;TODAY(),F283&gt;TODAY()),"Verificar evento futuro","OK"))))))))))</f>
        <v/>
      </c>
    </row>
    <row r="284" spans="12:15">
      <c r="L284" s="5">
        <f>IF(OR(A284="",B284=""),"",B284-WEEKDAY(B284,2)+1)</f>
        <v/>
      </c>
      <c r="M284" s="5">
        <f>IF(L284="","",L284+6)</f>
        <v/>
      </c>
      <c r="N284" s="6">
        <f>IF(OR(A284="",B284=""),"",DATE(YEAR(B284),MONTH(B284),1))</f>
        <v/>
      </c>
      <c r="O284" s="7">
        <f>IF(COUNTA(A284:K284)=0,"",IF(OR(A284="",B284=""),"Preencher CPF e entrada",IF(COUNTIFS($A$12:$A$5011,A284,$B$12:$B$5011,B284)&gt;1,"CPF + dia duplicado",IF(OR(AND(G284&lt;&gt;"",G284&lt;&gt;0,G284&lt;&gt;1),AND(H284&lt;&gt;"",H284&lt;&gt;0,H284&lt;&gt;1)),"Flags devem ser 0 ou 1",IF(AND(H284=1,LEN(TRIM(I284))=0),"Preencher nome do indicante",IF(AND(H284&lt;&gt;1,I284&lt;&gt;""),"Nome sem indicação interna",IF(AND(G284=1,F284=""),"Fechamento sem conversa",IF(OR(AND(E284&lt;&gt;"",E284&lt;B284),AND(F284&lt;&gt;"",F284&lt;B284)),"Evento anterior à entrada",IF(AND(F284&lt;&gt;"",E284=""),"Conversa sem agendamento",IF(OR(E284&gt;TODAY(),F284&gt;TODAY()),"Verificar evento futuro","OK"))))))))))</f>
        <v/>
      </c>
    </row>
    <row r="285" spans="12:15">
      <c r="L285" s="5">
        <f>IF(OR(A285="",B285=""),"",B285-WEEKDAY(B285,2)+1)</f>
        <v/>
      </c>
      <c r="M285" s="5">
        <f>IF(L285="","",L285+6)</f>
        <v/>
      </c>
      <c r="N285" s="6">
        <f>IF(OR(A285="",B285=""),"",DATE(YEAR(B285),MONTH(B285),1))</f>
        <v/>
      </c>
      <c r="O285" s="7">
        <f>IF(COUNTA(A285:K285)=0,"",IF(OR(A285="",B285=""),"Preencher CPF e entrada",IF(COUNTIFS($A$12:$A$5011,A285,$B$12:$B$5011,B285)&gt;1,"CPF + dia duplicado",IF(OR(AND(G285&lt;&gt;"",G285&lt;&gt;0,G285&lt;&gt;1),AND(H285&lt;&gt;"",H285&lt;&gt;0,H285&lt;&gt;1)),"Flags devem ser 0 ou 1",IF(AND(H285=1,LEN(TRIM(I285))=0),"Preencher nome do indicante",IF(AND(H285&lt;&gt;1,I285&lt;&gt;""),"Nome sem indicação interna",IF(AND(G285=1,F285=""),"Fechamento sem conversa",IF(OR(AND(E285&lt;&gt;"",E285&lt;B285),AND(F285&lt;&gt;"",F285&lt;B285)),"Evento anterior à entrada",IF(AND(F285&lt;&gt;"",E285=""),"Conversa sem agendamento",IF(OR(E285&gt;TODAY(),F285&gt;TODAY()),"Verificar evento futuro","OK"))))))))))</f>
        <v/>
      </c>
    </row>
    <row r="286" spans="12:15">
      <c r="L286" s="5">
        <f>IF(OR(A286="",B286=""),"",B286-WEEKDAY(B286,2)+1)</f>
        <v/>
      </c>
      <c r="M286" s="5">
        <f>IF(L286="","",L286+6)</f>
        <v/>
      </c>
      <c r="N286" s="6">
        <f>IF(OR(A286="",B286=""),"",DATE(YEAR(B286),MONTH(B286),1))</f>
        <v/>
      </c>
      <c r="O286" s="7">
        <f>IF(COUNTA(A286:K286)=0,"",IF(OR(A286="",B286=""),"Preencher CPF e entrada",IF(COUNTIFS($A$12:$A$5011,A286,$B$12:$B$5011,B286)&gt;1,"CPF + dia duplicado",IF(OR(AND(G286&lt;&gt;"",G286&lt;&gt;0,G286&lt;&gt;1),AND(H286&lt;&gt;"",H286&lt;&gt;0,H286&lt;&gt;1)),"Flags devem ser 0 ou 1",IF(AND(H286=1,LEN(TRIM(I286))=0),"Preencher nome do indicante",IF(AND(H286&lt;&gt;1,I286&lt;&gt;""),"Nome sem indicação interna",IF(AND(G286=1,F286=""),"Fechamento sem conversa",IF(OR(AND(E286&lt;&gt;"",E286&lt;B286),AND(F286&lt;&gt;"",F286&lt;B286)),"Evento anterior à entrada",IF(AND(F286&lt;&gt;"",E286=""),"Conversa sem agendamento",IF(OR(E286&gt;TODAY(),F286&gt;TODAY()),"Verificar evento futuro","OK"))))))))))</f>
        <v/>
      </c>
    </row>
    <row r="287" spans="12:15">
      <c r="L287" s="5">
        <f>IF(OR(A287="",B287=""),"",B287-WEEKDAY(B287,2)+1)</f>
        <v/>
      </c>
      <c r="M287" s="5">
        <f>IF(L287="","",L287+6)</f>
        <v/>
      </c>
      <c r="N287" s="6">
        <f>IF(OR(A287="",B287=""),"",DATE(YEAR(B287),MONTH(B287),1))</f>
        <v/>
      </c>
      <c r="O287" s="7">
        <f>IF(COUNTA(A287:K287)=0,"",IF(OR(A287="",B287=""),"Preencher CPF e entrada",IF(COUNTIFS($A$12:$A$5011,A287,$B$12:$B$5011,B287)&gt;1,"CPF + dia duplicado",IF(OR(AND(G287&lt;&gt;"",G287&lt;&gt;0,G287&lt;&gt;1),AND(H287&lt;&gt;"",H287&lt;&gt;0,H287&lt;&gt;1)),"Flags devem ser 0 ou 1",IF(AND(H287=1,LEN(TRIM(I287))=0),"Preencher nome do indicante",IF(AND(H287&lt;&gt;1,I287&lt;&gt;""),"Nome sem indicação interna",IF(AND(G287=1,F287=""),"Fechamento sem conversa",IF(OR(AND(E287&lt;&gt;"",E287&lt;B287),AND(F287&lt;&gt;"",F287&lt;B287)),"Evento anterior à entrada",IF(AND(F287&lt;&gt;"",E287=""),"Conversa sem agendamento",IF(OR(E287&gt;TODAY(),F287&gt;TODAY()),"Verificar evento futuro","OK"))))))))))</f>
        <v/>
      </c>
    </row>
    <row r="288" spans="12:15">
      <c r="L288" s="5">
        <f>IF(OR(A288="",B288=""),"",B288-WEEKDAY(B288,2)+1)</f>
        <v/>
      </c>
      <c r="M288" s="5">
        <f>IF(L288="","",L288+6)</f>
        <v/>
      </c>
      <c r="N288" s="6">
        <f>IF(OR(A288="",B288=""),"",DATE(YEAR(B288),MONTH(B288),1))</f>
        <v/>
      </c>
      <c r="O288" s="7">
        <f>IF(COUNTA(A288:K288)=0,"",IF(OR(A288="",B288=""),"Preencher CPF e entrada",IF(COUNTIFS($A$12:$A$5011,A288,$B$12:$B$5011,B288)&gt;1,"CPF + dia duplicado",IF(OR(AND(G288&lt;&gt;"",G288&lt;&gt;0,G288&lt;&gt;1),AND(H288&lt;&gt;"",H288&lt;&gt;0,H288&lt;&gt;1)),"Flags devem ser 0 ou 1",IF(AND(H288=1,LEN(TRIM(I288))=0),"Preencher nome do indicante",IF(AND(H288&lt;&gt;1,I288&lt;&gt;""),"Nome sem indicação interna",IF(AND(G288=1,F288=""),"Fechamento sem conversa",IF(OR(AND(E288&lt;&gt;"",E288&lt;B288),AND(F288&lt;&gt;"",F288&lt;B288)),"Evento anterior à entrada",IF(AND(F288&lt;&gt;"",E288=""),"Conversa sem agendamento",IF(OR(E288&gt;TODAY(),F288&gt;TODAY()),"Verificar evento futuro","OK"))))))))))</f>
        <v/>
      </c>
    </row>
    <row r="289" spans="12:15">
      <c r="L289" s="5">
        <f>IF(OR(A289="",B289=""),"",B289-WEEKDAY(B289,2)+1)</f>
        <v/>
      </c>
      <c r="M289" s="5">
        <f>IF(L289="","",L289+6)</f>
        <v/>
      </c>
      <c r="N289" s="6">
        <f>IF(OR(A289="",B289=""),"",DATE(YEAR(B289),MONTH(B289),1))</f>
        <v/>
      </c>
      <c r="O289" s="7">
        <f>IF(COUNTA(A289:K289)=0,"",IF(OR(A289="",B289=""),"Preencher CPF e entrada",IF(COUNTIFS($A$12:$A$5011,A289,$B$12:$B$5011,B289)&gt;1,"CPF + dia duplicado",IF(OR(AND(G289&lt;&gt;"",G289&lt;&gt;0,G289&lt;&gt;1),AND(H289&lt;&gt;"",H289&lt;&gt;0,H289&lt;&gt;1)),"Flags devem ser 0 ou 1",IF(AND(H289=1,LEN(TRIM(I289))=0),"Preencher nome do indicante",IF(AND(H289&lt;&gt;1,I289&lt;&gt;""),"Nome sem indicação interna",IF(AND(G289=1,F289=""),"Fechamento sem conversa",IF(OR(AND(E289&lt;&gt;"",E289&lt;B289),AND(F289&lt;&gt;"",F289&lt;B289)),"Evento anterior à entrada",IF(AND(F289&lt;&gt;"",E289=""),"Conversa sem agendamento",IF(OR(E289&gt;TODAY(),F289&gt;TODAY()),"Verificar evento futuro","OK"))))))))))</f>
        <v/>
      </c>
    </row>
    <row r="290" spans="12:15">
      <c r="L290" s="5">
        <f>IF(OR(A290="",B290=""),"",B290-WEEKDAY(B290,2)+1)</f>
        <v/>
      </c>
      <c r="M290" s="5">
        <f>IF(L290="","",L290+6)</f>
        <v/>
      </c>
      <c r="N290" s="6">
        <f>IF(OR(A290="",B290=""),"",DATE(YEAR(B290),MONTH(B290),1))</f>
        <v/>
      </c>
      <c r="O290" s="7">
        <f>IF(COUNTA(A290:K290)=0,"",IF(OR(A290="",B290=""),"Preencher CPF e entrada",IF(COUNTIFS($A$12:$A$5011,A290,$B$12:$B$5011,B290)&gt;1,"CPF + dia duplicado",IF(OR(AND(G290&lt;&gt;"",G290&lt;&gt;0,G290&lt;&gt;1),AND(H290&lt;&gt;"",H290&lt;&gt;0,H290&lt;&gt;1)),"Flags devem ser 0 ou 1",IF(AND(H290=1,LEN(TRIM(I290))=0),"Preencher nome do indicante",IF(AND(H290&lt;&gt;1,I290&lt;&gt;""),"Nome sem indicação interna",IF(AND(G290=1,F290=""),"Fechamento sem conversa",IF(OR(AND(E290&lt;&gt;"",E290&lt;B290),AND(F290&lt;&gt;"",F290&lt;B290)),"Evento anterior à entrada",IF(AND(F290&lt;&gt;"",E290=""),"Conversa sem agendamento",IF(OR(E290&gt;TODAY(),F290&gt;TODAY()),"Verificar evento futuro","OK"))))))))))</f>
        <v/>
      </c>
    </row>
    <row r="291" spans="12:15">
      <c r="L291" s="5">
        <f>IF(OR(A291="",B291=""),"",B291-WEEKDAY(B291,2)+1)</f>
        <v/>
      </c>
      <c r="M291" s="5">
        <f>IF(L291="","",L291+6)</f>
        <v/>
      </c>
      <c r="N291" s="6">
        <f>IF(OR(A291="",B291=""),"",DATE(YEAR(B291),MONTH(B291),1))</f>
        <v/>
      </c>
      <c r="O291" s="7">
        <f>IF(COUNTA(A291:K291)=0,"",IF(OR(A291="",B291=""),"Preencher CPF e entrada",IF(COUNTIFS($A$12:$A$5011,A291,$B$12:$B$5011,B291)&gt;1,"CPF + dia duplicado",IF(OR(AND(G291&lt;&gt;"",G291&lt;&gt;0,G291&lt;&gt;1),AND(H291&lt;&gt;"",H291&lt;&gt;0,H291&lt;&gt;1)),"Flags devem ser 0 ou 1",IF(AND(H291=1,LEN(TRIM(I291))=0),"Preencher nome do indicante",IF(AND(H291&lt;&gt;1,I291&lt;&gt;""),"Nome sem indicação interna",IF(AND(G291=1,F291=""),"Fechamento sem conversa",IF(OR(AND(E291&lt;&gt;"",E291&lt;B291),AND(F291&lt;&gt;"",F291&lt;B291)),"Evento anterior à entrada",IF(AND(F291&lt;&gt;"",E291=""),"Conversa sem agendamento",IF(OR(E291&gt;TODAY(),F291&gt;TODAY()),"Verificar evento futuro","OK"))))))))))</f>
        <v/>
      </c>
    </row>
    <row r="292" spans="12:15">
      <c r="L292" s="5">
        <f>IF(OR(A292="",B292=""),"",B292-WEEKDAY(B292,2)+1)</f>
        <v/>
      </c>
      <c r="M292" s="5">
        <f>IF(L292="","",L292+6)</f>
        <v/>
      </c>
      <c r="N292" s="6">
        <f>IF(OR(A292="",B292=""),"",DATE(YEAR(B292),MONTH(B292),1))</f>
        <v/>
      </c>
      <c r="O292" s="7">
        <f>IF(COUNTA(A292:K292)=0,"",IF(OR(A292="",B292=""),"Preencher CPF e entrada",IF(COUNTIFS($A$12:$A$5011,A292,$B$12:$B$5011,B292)&gt;1,"CPF + dia duplicado",IF(OR(AND(G292&lt;&gt;"",G292&lt;&gt;0,G292&lt;&gt;1),AND(H292&lt;&gt;"",H292&lt;&gt;0,H292&lt;&gt;1)),"Flags devem ser 0 ou 1",IF(AND(H292=1,LEN(TRIM(I292))=0),"Preencher nome do indicante",IF(AND(H292&lt;&gt;1,I292&lt;&gt;""),"Nome sem indicação interna",IF(AND(G292=1,F292=""),"Fechamento sem conversa",IF(OR(AND(E292&lt;&gt;"",E292&lt;B292),AND(F292&lt;&gt;"",F292&lt;B292)),"Evento anterior à entrada",IF(AND(F292&lt;&gt;"",E292=""),"Conversa sem agendamento",IF(OR(E292&gt;TODAY(),F292&gt;TODAY()),"Verificar evento futuro","OK"))))))))))</f>
        <v/>
      </c>
    </row>
    <row r="293" spans="12:15">
      <c r="L293" s="5">
        <f>IF(OR(A293="",B293=""),"",B293-WEEKDAY(B293,2)+1)</f>
        <v/>
      </c>
      <c r="M293" s="5">
        <f>IF(L293="","",L293+6)</f>
        <v/>
      </c>
      <c r="N293" s="6">
        <f>IF(OR(A293="",B293=""),"",DATE(YEAR(B293),MONTH(B293),1))</f>
        <v/>
      </c>
      <c r="O293" s="7">
        <f>IF(COUNTA(A293:K293)=0,"",IF(OR(A293="",B293=""),"Preencher CPF e entrada",IF(COUNTIFS($A$12:$A$5011,A293,$B$12:$B$5011,B293)&gt;1,"CPF + dia duplicado",IF(OR(AND(G293&lt;&gt;"",G293&lt;&gt;0,G293&lt;&gt;1),AND(H293&lt;&gt;"",H293&lt;&gt;0,H293&lt;&gt;1)),"Flags devem ser 0 ou 1",IF(AND(H293=1,LEN(TRIM(I293))=0),"Preencher nome do indicante",IF(AND(H293&lt;&gt;1,I293&lt;&gt;""),"Nome sem indicação interna",IF(AND(G293=1,F293=""),"Fechamento sem conversa",IF(OR(AND(E293&lt;&gt;"",E293&lt;B293),AND(F293&lt;&gt;"",F293&lt;B293)),"Evento anterior à entrada",IF(AND(F293&lt;&gt;"",E293=""),"Conversa sem agendamento",IF(OR(E293&gt;TODAY(),F293&gt;TODAY()),"Verificar evento futuro","OK"))))))))))</f>
        <v/>
      </c>
    </row>
    <row r="294" spans="12:15">
      <c r="L294" s="5">
        <f>IF(OR(A294="",B294=""),"",B294-WEEKDAY(B294,2)+1)</f>
        <v/>
      </c>
      <c r="M294" s="5">
        <f>IF(L294="","",L294+6)</f>
        <v/>
      </c>
      <c r="N294" s="6">
        <f>IF(OR(A294="",B294=""),"",DATE(YEAR(B294),MONTH(B294),1))</f>
        <v/>
      </c>
      <c r="O294" s="7">
        <f>IF(COUNTA(A294:K294)=0,"",IF(OR(A294="",B294=""),"Preencher CPF e entrada",IF(COUNTIFS($A$12:$A$5011,A294,$B$12:$B$5011,B294)&gt;1,"CPF + dia duplicado",IF(OR(AND(G294&lt;&gt;"",G294&lt;&gt;0,G294&lt;&gt;1),AND(H294&lt;&gt;"",H294&lt;&gt;0,H294&lt;&gt;1)),"Flags devem ser 0 ou 1",IF(AND(H294=1,LEN(TRIM(I294))=0),"Preencher nome do indicante",IF(AND(H294&lt;&gt;1,I294&lt;&gt;""),"Nome sem indicação interna",IF(AND(G294=1,F294=""),"Fechamento sem conversa",IF(OR(AND(E294&lt;&gt;"",E294&lt;B294),AND(F294&lt;&gt;"",F294&lt;B294)),"Evento anterior à entrada",IF(AND(F294&lt;&gt;"",E294=""),"Conversa sem agendamento",IF(OR(E294&gt;TODAY(),F294&gt;TODAY()),"Verificar evento futuro","OK"))))))))))</f>
        <v/>
      </c>
    </row>
    <row r="295" spans="12:15">
      <c r="L295" s="5">
        <f>IF(OR(A295="",B295=""),"",B295-WEEKDAY(B295,2)+1)</f>
        <v/>
      </c>
      <c r="M295" s="5">
        <f>IF(L295="","",L295+6)</f>
        <v/>
      </c>
      <c r="N295" s="6">
        <f>IF(OR(A295="",B295=""),"",DATE(YEAR(B295),MONTH(B295),1))</f>
        <v/>
      </c>
      <c r="O295" s="7">
        <f>IF(COUNTA(A295:K295)=0,"",IF(OR(A295="",B295=""),"Preencher CPF e entrada",IF(COUNTIFS($A$12:$A$5011,A295,$B$12:$B$5011,B295)&gt;1,"CPF + dia duplicado",IF(OR(AND(G295&lt;&gt;"",G295&lt;&gt;0,G295&lt;&gt;1),AND(H295&lt;&gt;"",H295&lt;&gt;0,H295&lt;&gt;1)),"Flags devem ser 0 ou 1",IF(AND(H295=1,LEN(TRIM(I295))=0),"Preencher nome do indicante",IF(AND(H295&lt;&gt;1,I295&lt;&gt;""),"Nome sem indicação interna",IF(AND(G295=1,F295=""),"Fechamento sem conversa",IF(OR(AND(E295&lt;&gt;"",E295&lt;B295),AND(F295&lt;&gt;"",F295&lt;B295)),"Evento anterior à entrada",IF(AND(F295&lt;&gt;"",E295=""),"Conversa sem agendamento",IF(OR(E295&gt;TODAY(),F295&gt;TODAY()),"Verificar evento futuro","OK"))))))))))</f>
        <v/>
      </c>
    </row>
    <row r="296" spans="12:15">
      <c r="L296" s="5">
        <f>IF(OR(A296="",B296=""),"",B296-WEEKDAY(B296,2)+1)</f>
        <v/>
      </c>
      <c r="M296" s="5">
        <f>IF(L296="","",L296+6)</f>
        <v/>
      </c>
      <c r="N296" s="6">
        <f>IF(OR(A296="",B296=""),"",DATE(YEAR(B296),MONTH(B296),1))</f>
        <v/>
      </c>
      <c r="O296" s="7">
        <f>IF(COUNTA(A296:K296)=0,"",IF(OR(A296="",B296=""),"Preencher CPF e entrada",IF(COUNTIFS($A$12:$A$5011,A296,$B$12:$B$5011,B296)&gt;1,"CPF + dia duplicado",IF(OR(AND(G296&lt;&gt;"",G296&lt;&gt;0,G296&lt;&gt;1),AND(H296&lt;&gt;"",H296&lt;&gt;0,H296&lt;&gt;1)),"Flags devem ser 0 ou 1",IF(AND(H296=1,LEN(TRIM(I296))=0),"Preencher nome do indicante",IF(AND(H296&lt;&gt;1,I296&lt;&gt;""),"Nome sem indicação interna",IF(AND(G296=1,F296=""),"Fechamento sem conversa",IF(OR(AND(E296&lt;&gt;"",E296&lt;B296),AND(F296&lt;&gt;"",F296&lt;B296)),"Evento anterior à entrada",IF(AND(F296&lt;&gt;"",E296=""),"Conversa sem agendamento",IF(OR(E296&gt;TODAY(),F296&gt;TODAY()),"Verificar evento futuro","OK"))))))))))</f>
        <v/>
      </c>
    </row>
    <row r="297" spans="12:15">
      <c r="L297" s="5">
        <f>IF(OR(A297="",B297=""),"",B297-WEEKDAY(B297,2)+1)</f>
        <v/>
      </c>
      <c r="M297" s="5">
        <f>IF(L297="","",L297+6)</f>
        <v/>
      </c>
      <c r="N297" s="6">
        <f>IF(OR(A297="",B297=""),"",DATE(YEAR(B297),MONTH(B297),1))</f>
        <v/>
      </c>
      <c r="O297" s="7">
        <f>IF(COUNTA(A297:K297)=0,"",IF(OR(A297="",B297=""),"Preencher CPF e entrada",IF(COUNTIFS($A$12:$A$5011,A297,$B$12:$B$5011,B297)&gt;1,"CPF + dia duplicado",IF(OR(AND(G297&lt;&gt;"",G297&lt;&gt;0,G297&lt;&gt;1),AND(H297&lt;&gt;"",H297&lt;&gt;0,H297&lt;&gt;1)),"Flags devem ser 0 ou 1",IF(AND(H297=1,LEN(TRIM(I297))=0),"Preencher nome do indicante",IF(AND(H297&lt;&gt;1,I297&lt;&gt;""),"Nome sem indicação interna",IF(AND(G297=1,F297=""),"Fechamento sem conversa",IF(OR(AND(E297&lt;&gt;"",E297&lt;B297),AND(F297&lt;&gt;"",F297&lt;B297)),"Evento anterior à entrada",IF(AND(F297&lt;&gt;"",E297=""),"Conversa sem agendamento",IF(OR(E297&gt;TODAY(),F297&gt;TODAY()),"Verificar evento futuro","OK"))))))))))</f>
        <v/>
      </c>
    </row>
    <row r="298" spans="12:15">
      <c r="L298" s="5">
        <f>IF(OR(A298="",B298=""),"",B298-WEEKDAY(B298,2)+1)</f>
        <v/>
      </c>
      <c r="M298" s="5">
        <f>IF(L298="","",L298+6)</f>
        <v/>
      </c>
      <c r="N298" s="6">
        <f>IF(OR(A298="",B298=""),"",DATE(YEAR(B298),MONTH(B298),1))</f>
        <v/>
      </c>
      <c r="O298" s="7">
        <f>IF(COUNTA(A298:K298)=0,"",IF(OR(A298="",B298=""),"Preencher CPF e entrada",IF(COUNTIFS($A$12:$A$5011,A298,$B$12:$B$5011,B298)&gt;1,"CPF + dia duplicado",IF(OR(AND(G298&lt;&gt;"",G298&lt;&gt;0,G298&lt;&gt;1),AND(H298&lt;&gt;"",H298&lt;&gt;0,H298&lt;&gt;1)),"Flags devem ser 0 ou 1",IF(AND(H298=1,LEN(TRIM(I298))=0),"Preencher nome do indicante",IF(AND(H298&lt;&gt;1,I298&lt;&gt;""),"Nome sem indicação interna",IF(AND(G298=1,F298=""),"Fechamento sem conversa",IF(OR(AND(E298&lt;&gt;"",E298&lt;B298),AND(F298&lt;&gt;"",F298&lt;B298)),"Evento anterior à entrada",IF(AND(F298&lt;&gt;"",E298=""),"Conversa sem agendamento",IF(OR(E298&gt;TODAY(),F298&gt;TODAY()),"Verificar evento futuro","OK"))))))))))</f>
        <v/>
      </c>
    </row>
    <row r="299" spans="12:15">
      <c r="L299" s="5">
        <f>IF(OR(A299="",B299=""),"",B299-WEEKDAY(B299,2)+1)</f>
        <v/>
      </c>
      <c r="M299" s="5">
        <f>IF(L299="","",L299+6)</f>
        <v/>
      </c>
      <c r="N299" s="6">
        <f>IF(OR(A299="",B299=""),"",DATE(YEAR(B299),MONTH(B299),1))</f>
        <v/>
      </c>
      <c r="O299" s="7">
        <f>IF(COUNTA(A299:K299)=0,"",IF(OR(A299="",B299=""),"Preencher CPF e entrada",IF(COUNTIFS($A$12:$A$5011,A299,$B$12:$B$5011,B299)&gt;1,"CPF + dia duplicado",IF(OR(AND(G299&lt;&gt;"",G299&lt;&gt;0,G299&lt;&gt;1),AND(H299&lt;&gt;"",H299&lt;&gt;0,H299&lt;&gt;1)),"Flags devem ser 0 ou 1",IF(AND(H299=1,LEN(TRIM(I299))=0),"Preencher nome do indicante",IF(AND(H299&lt;&gt;1,I299&lt;&gt;""),"Nome sem indicação interna",IF(AND(G299=1,F299=""),"Fechamento sem conversa",IF(OR(AND(E299&lt;&gt;"",E299&lt;B299),AND(F299&lt;&gt;"",F299&lt;B299)),"Evento anterior à entrada",IF(AND(F299&lt;&gt;"",E299=""),"Conversa sem agendamento",IF(OR(E299&gt;TODAY(),F299&gt;TODAY()),"Verificar evento futuro","OK"))))))))))</f>
        <v/>
      </c>
    </row>
    <row r="300" spans="12:15">
      <c r="L300" s="5">
        <f>IF(OR(A300="",B300=""),"",B300-WEEKDAY(B300,2)+1)</f>
        <v/>
      </c>
      <c r="M300" s="5">
        <f>IF(L300="","",L300+6)</f>
        <v/>
      </c>
      <c r="N300" s="6">
        <f>IF(OR(A300="",B300=""),"",DATE(YEAR(B300),MONTH(B300),1))</f>
        <v/>
      </c>
      <c r="O300" s="7">
        <f>IF(COUNTA(A300:K300)=0,"",IF(OR(A300="",B300=""),"Preencher CPF e entrada",IF(COUNTIFS($A$12:$A$5011,A300,$B$12:$B$5011,B300)&gt;1,"CPF + dia duplicado",IF(OR(AND(G300&lt;&gt;"",G300&lt;&gt;0,G300&lt;&gt;1),AND(H300&lt;&gt;"",H300&lt;&gt;0,H300&lt;&gt;1)),"Flags devem ser 0 ou 1",IF(AND(H300=1,LEN(TRIM(I300))=0),"Preencher nome do indicante",IF(AND(H300&lt;&gt;1,I300&lt;&gt;""),"Nome sem indicação interna",IF(AND(G300=1,F300=""),"Fechamento sem conversa",IF(OR(AND(E300&lt;&gt;"",E300&lt;B300),AND(F300&lt;&gt;"",F300&lt;B300)),"Evento anterior à entrada",IF(AND(F300&lt;&gt;"",E300=""),"Conversa sem agendamento",IF(OR(E300&gt;TODAY(),F300&gt;TODAY()),"Verificar evento futuro","OK"))))))))))</f>
        <v/>
      </c>
    </row>
    <row r="301" spans="12:15">
      <c r="L301" s="5">
        <f>IF(OR(A301="",B301=""),"",B301-WEEKDAY(B301,2)+1)</f>
        <v/>
      </c>
      <c r="M301" s="5">
        <f>IF(L301="","",L301+6)</f>
        <v/>
      </c>
      <c r="N301" s="6">
        <f>IF(OR(A301="",B301=""),"",DATE(YEAR(B301),MONTH(B301),1))</f>
        <v/>
      </c>
      <c r="O301" s="7">
        <f>IF(COUNTA(A301:K301)=0,"",IF(OR(A301="",B301=""),"Preencher CPF e entrada",IF(COUNTIFS($A$12:$A$5011,A301,$B$12:$B$5011,B301)&gt;1,"CPF + dia duplicado",IF(OR(AND(G301&lt;&gt;"",G301&lt;&gt;0,G301&lt;&gt;1),AND(H301&lt;&gt;"",H301&lt;&gt;0,H301&lt;&gt;1)),"Flags devem ser 0 ou 1",IF(AND(H301=1,LEN(TRIM(I301))=0),"Preencher nome do indicante",IF(AND(H301&lt;&gt;1,I301&lt;&gt;""),"Nome sem indicação interna",IF(AND(G301=1,F301=""),"Fechamento sem conversa",IF(OR(AND(E301&lt;&gt;"",E301&lt;B301),AND(F301&lt;&gt;"",F301&lt;B301)),"Evento anterior à entrada",IF(AND(F301&lt;&gt;"",E301=""),"Conversa sem agendamento",IF(OR(E301&gt;TODAY(),F301&gt;TODAY()),"Verificar evento futuro","OK"))))))))))</f>
        <v/>
      </c>
    </row>
    <row r="302" spans="12:15">
      <c r="L302" s="5">
        <f>IF(OR(A302="",B302=""),"",B302-WEEKDAY(B302,2)+1)</f>
        <v/>
      </c>
      <c r="M302" s="5">
        <f>IF(L302="","",L302+6)</f>
        <v/>
      </c>
      <c r="N302" s="6">
        <f>IF(OR(A302="",B302=""),"",DATE(YEAR(B302),MONTH(B302),1))</f>
        <v/>
      </c>
      <c r="O302" s="7">
        <f>IF(COUNTA(A302:K302)=0,"",IF(OR(A302="",B302=""),"Preencher CPF e entrada",IF(COUNTIFS($A$12:$A$5011,A302,$B$12:$B$5011,B302)&gt;1,"CPF + dia duplicado",IF(OR(AND(G302&lt;&gt;"",G302&lt;&gt;0,G302&lt;&gt;1),AND(H302&lt;&gt;"",H302&lt;&gt;0,H302&lt;&gt;1)),"Flags devem ser 0 ou 1",IF(AND(H302=1,LEN(TRIM(I302))=0),"Preencher nome do indicante",IF(AND(H302&lt;&gt;1,I302&lt;&gt;""),"Nome sem indicação interna",IF(AND(G302=1,F302=""),"Fechamento sem conversa",IF(OR(AND(E302&lt;&gt;"",E302&lt;B302),AND(F302&lt;&gt;"",F302&lt;B302)),"Evento anterior à entrada",IF(AND(F302&lt;&gt;"",E302=""),"Conversa sem agendamento",IF(OR(E302&gt;TODAY(),F302&gt;TODAY()),"Verificar evento futuro","OK"))))))))))</f>
        <v/>
      </c>
    </row>
    <row r="303" spans="12:15">
      <c r="L303" s="5">
        <f>IF(OR(A303="",B303=""),"",B303-WEEKDAY(B303,2)+1)</f>
        <v/>
      </c>
      <c r="M303" s="5">
        <f>IF(L303="","",L303+6)</f>
        <v/>
      </c>
      <c r="N303" s="6">
        <f>IF(OR(A303="",B303=""),"",DATE(YEAR(B303),MONTH(B303),1))</f>
        <v/>
      </c>
      <c r="O303" s="7">
        <f>IF(COUNTA(A303:K303)=0,"",IF(OR(A303="",B303=""),"Preencher CPF e entrada",IF(COUNTIFS($A$12:$A$5011,A303,$B$12:$B$5011,B303)&gt;1,"CPF + dia duplicado",IF(OR(AND(G303&lt;&gt;"",G303&lt;&gt;0,G303&lt;&gt;1),AND(H303&lt;&gt;"",H303&lt;&gt;0,H303&lt;&gt;1)),"Flags devem ser 0 ou 1",IF(AND(H303=1,LEN(TRIM(I303))=0),"Preencher nome do indicante",IF(AND(H303&lt;&gt;1,I303&lt;&gt;""),"Nome sem indicação interna",IF(AND(G303=1,F303=""),"Fechamento sem conversa",IF(OR(AND(E303&lt;&gt;"",E303&lt;B303),AND(F303&lt;&gt;"",F303&lt;B303)),"Evento anterior à entrada",IF(AND(F303&lt;&gt;"",E303=""),"Conversa sem agendamento",IF(OR(E303&gt;TODAY(),F303&gt;TODAY()),"Verificar evento futuro","OK"))))))))))</f>
        <v/>
      </c>
    </row>
    <row r="304" spans="12:15">
      <c r="L304" s="5">
        <f>IF(OR(A304="",B304=""),"",B304-WEEKDAY(B304,2)+1)</f>
        <v/>
      </c>
      <c r="M304" s="5">
        <f>IF(L304="","",L304+6)</f>
        <v/>
      </c>
      <c r="N304" s="6">
        <f>IF(OR(A304="",B304=""),"",DATE(YEAR(B304),MONTH(B304),1))</f>
        <v/>
      </c>
      <c r="O304" s="7">
        <f>IF(COUNTA(A304:K304)=0,"",IF(OR(A304="",B304=""),"Preencher CPF e entrada",IF(COUNTIFS($A$12:$A$5011,A304,$B$12:$B$5011,B304)&gt;1,"CPF + dia duplicado",IF(OR(AND(G304&lt;&gt;"",G304&lt;&gt;0,G304&lt;&gt;1),AND(H304&lt;&gt;"",H304&lt;&gt;0,H304&lt;&gt;1)),"Flags devem ser 0 ou 1",IF(AND(H304=1,LEN(TRIM(I304))=0),"Preencher nome do indicante",IF(AND(H304&lt;&gt;1,I304&lt;&gt;""),"Nome sem indicação interna",IF(AND(G304=1,F304=""),"Fechamento sem conversa",IF(OR(AND(E304&lt;&gt;"",E304&lt;B304),AND(F304&lt;&gt;"",F304&lt;B304)),"Evento anterior à entrada",IF(AND(F304&lt;&gt;"",E304=""),"Conversa sem agendamento",IF(OR(E304&gt;TODAY(),F304&gt;TODAY()),"Verificar evento futuro","OK"))))))))))</f>
        <v/>
      </c>
    </row>
    <row r="305" spans="12:15">
      <c r="L305" s="5">
        <f>IF(OR(A305="",B305=""),"",B305-WEEKDAY(B305,2)+1)</f>
        <v/>
      </c>
      <c r="M305" s="5">
        <f>IF(L305="","",L305+6)</f>
        <v/>
      </c>
      <c r="N305" s="6">
        <f>IF(OR(A305="",B305=""),"",DATE(YEAR(B305),MONTH(B305),1))</f>
        <v/>
      </c>
      <c r="O305" s="7">
        <f>IF(COUNTA(A305:K305)=0,"",IF(OR(A305="",B305=""),"Preencher CPF e entrada",IF(COUNTIFS($A$12:$A$5011,A305,$B$12:$B$5011,B305)&gt;1,"CPF + dia duplicado",IF(OR(AND(G305&lt;&gt;"",G305&lt;&gt;0,G305&lt;&gt;1),AND(H305&lt;&gt;"",H305&lt;&gt;0,H305&lt;&gt;1)),"Flags devem ser 0 ou 1",IF(AND(H305=1,LEN(TRIM(I305))=0),"Preencher nome do indicante",IF(AND(H305&lt;&gt;1,I305&lt;&gt;""),"Nome sem indicação interna",IF(AND(G305=1,F305=""),"Fechamento sem conversa",IF(OR(AND(E305&lt;&gt;"",E305&lt;B305),AND(F305&lt;&gt;"",F305&lt;B305)),"Evento anterior à entrada",IF(AND(F305&lt;&gt;"",E305=""),"Conversa sem agendamento",IF(OR(E305&gt;TODAY(),F305&gt;TODAY()),"Verificar evento futuro","OK"))))))))))</f>
        <v/>
      </c>
    </row>
    <row r="306" spans="12:15">
      <c r="L306" s="5">
        <f>IF(OR(A306="",B306=""),"",B306-WEEKDAY(B306,2)+1)</f>
        <v/>
      </c>
      <c r="M306" s="5">
        <f>IF(L306="","",L306+6)</f>
        <v/>
      </c>
      <c r="N306" s="6">
        <f>IF(OR(A306="",B306=""),"",DATE(YEAR(B306),MONTH(B306),1))</f>
        <v/>
      </c>
      <c r="O306" s="7">
        <f>IF(COUNTA(A306:K306)=0,"",IF(OR(A306="",B306=""),"Preencher CPF e entrada",IF(COUNTIFS($A$12:$A$5011,A306,$B$12:$B$5011,B306)&gt;1,"CPF + dia duplicado",IF(OR(AND(G306&lt;&gt;"",G306&lt;&gt;0,G306&lt;&gt;1),AND(H306&lt;&gt;"",H306&lt;&gt;0,H306&lt;&gt;1)),"Flags devem ser 0 ou 1",IF(AND(H306=1,LEN(TRIM(I306))=0),"Preencher nome do indicante",IF(AND(H306&lt;&gt;1,I306&lt;&gt;""),"Nome sem indicação interna",IF(AND(G306=1,F306=""),"Fechamento sem conversa",IF(OR(AND(E306&lt;&gt;"",E306&lt;B306),AND(F306&lt;&gt;"",F306&lt;B306)),"Evento anterior à entrada",IF(AND(F306&lt;&gt;"",E306=""),"Conversa sem agendamento",IF(OR(E306&gt;TODAY(),F306&gt;TODAY()),"Verificar evento futuro","OK"))))))))))</f>
        <v/>
      </c>
    </row>
    <row r="307" spans="12:15">
      <c r="L307" s="5">
        <f>IF(OR(A307="",B307=""),"",B307-WEEKDAY(B307,2)+1)</f>
        <v/>
      </c>
      <c r="M307" s="5">
        <f>IF(L307="","",L307+6)</f>
        <v/>
      </c>
      <c r="N307" s="6">
        <f>IF(OR(A307="",B307=""),"",DATE(YEAR(B307),MONTH(B307),1))</f>
        <v/>
      </c>
      <c r="O307" s="7">
        <f>IF(COUNTA(A307:K307)=0,"",IF(OR(A307="",B307=""),"Preencher CPF e entrada",IF(COUNTIFS($A$12:$A$5011,A307,$B$12:$B$5011,B307)&gt;1,"CPF + dia duplicado",IF(OR(AND(G307&lt;&gt;"",G307&lt;&gt;0,G307&lt;&gt;1),AND(H307&lt;&gt;"",H307&lt;&gt;0,H307&lt;&gt;1)),"Flags devem ser 0 ou 1",IF(AND(H307=1,LEN(TRIM(I307))=0),"Preencher nome do indicante",IF(AND(H307&lt;&gt;1,I307&lt;&gt;""),"Nome sem indicação interna",IF(AND(G307=1,F307=""),"Fechamento sem conversa",IF(OR(AND(E307&lt;&gt;"",E307&lt;B307),AND(F307&lt;&gt;"",F307&lt;B307)),"Evento anterior à entrada",IF(AND(F307&lt;&gt;"",E307=""),"Conversa sem agendamento",IF(OR(E307&gt;TODAY(),F307&gt;TODAY()),"Verificar evento futuro","OK"))))))))))</f>
        <v/>
      </c>
    </row>
    <row r="308" spans="12:15">
      <c r="L308" s="5">
        <f>IF(OR(A308="",B308=""),"",B308-WEEKDAY(B308,2)+1)</f>
        <v/>
      </c>
      <c r="M308" s="5">
        <f>IF(L308="","",L308+6)</f>
        <v/>
      </c>
      <c r="N308" s="6">
        <f>IF(OR(A308="",B308=""),"",DATE(YEAR(B308),MONTH(B308),1))</f>
        <v/>
      </c>
      <c r="O308" s="7">
        <f>IF(COUNTA(A308:K308)=0,"",IF(OR(A308="",B308=""),"Preencher CPF e entrada",IF(COUNTIFS($A$12:$A$5011,A308,$B$12:$B$5011,B308)&gt;1,"CPF + dia duplicado",IF(OR(AND(G308&lt;&gt;"",G308&lt;&gt;0,G308&lt;&gt;1),AND(H308&lt;&gt;"",H308&lt;&gt;0,H308&lt;&gt;1)),"Flags devem ser 0 ou 1",IF(AND(H308=1,LEN(TRIM(I308))=0),"Preencher nome do indicante",IF(AND(H308&lt;&gt;1,I308&lt;&gt;""),"Nome sem indicação interna",IF(AND(G308=1,F308=""),"Fechamento sem conversa",IF(OR(AND(E308&lt;&gt;"",E308&lt;B308),AND(F308&lt;&gt;"",F308&lt;B308)),"Evento anterior à entrada",IF(AND(F308&lt;&gt;"",E308=""),"Conversa sem agendamento",IF(OR(E308&gt;TODAY(),F308&gt;TODAY()),"Verificar evento futuro","OK"))))))))))</f>
        <v/>
      </c>
    </row>
    <row r="309" spans="12:15">
      <c r="L309" s="5">
        <f>IF(OR(A309="",B309=""),"",B309-WEEKDAY(B309,2)+1)</f>
        <v/>
      </c>
      <c r="M309" s="5">
        <f>IF(L309="","",L309+6)</f>
        <v/>
      </c>
      <c r="N309" s="6">
        <f>IF(OR(A309="",B309=""),"",DATE(YEAR(B309),MONTH(B309),1))</f>
        <v/>
      </c>
      <c r="O309" s="7">
        <f>IF(COUNTA(A309:K309)=0,"",IF(OR(A309="",B309=""),"Preencher CPF e entrada",IF(COUNTIFS($A$12:$A$5011,A309,$B$12:$B$5011,B309)&gt;1,"CPF + dia duplicado",IF(OR(AND(G309&lt;&gt;"",G309&lt;&gt;0,G309&lt;&gt;1),AND(H309&lt;&gt;"",H309&lt;&gt;0,H309&lt;&gt;1)),"Flags devem ser 0 ou 1",IF(AND(H309=1,LEN(TRIM(I309))=0),"Preencher nome do indicante",IF(AND(H309&lt;&gt;1,I309&lt;&gt;""),"Nome sem indicação interna",IF(AND(G309=1,F309=""),"Fechamento sem conversa",IF(OR(AND(E309&lt;&gt;"",E309&lt;B309),AND(F309&lt;&gt;"",F309&lt;B309)),"Evento anterior à entrada",IF(AND(F309&lt;&gt;"",E309=""),"Conversa sem agendamento",IF(OR(E309&gt;TODAY(),F309&gt;TODAY()),"Verificar evento futuro","OK"))))))))))</f>
        <v/>
      </c>
    </row>
    <row r="310" spans="12:15">
      <c r="L310" s="5">
        <f>IF(OR(A310="",B310=""),"",B310-WEEKDAY(B310,2)+1)</f>
        <v/>
      </c>
      <c r="M310" s="5">
        <f>IF(L310="","",L310+6)</f>
        <v/>
      </c>
      <c r="N310" s="6">
        <f>IF(OR(A310="",B310=""),"",DATE(YEAR(B310),MONTH(B310),1))</f>
        <v/>
      </c>
      <c r="O310" s="7">
        <f>IF(COUNTA(A310:K310)=0,"",IF(OR(A310="",B310=""),"Preencher CPF e entrada",IF(COUNTIFS($A$12:$A$5011,A310,$B$12:$B$5011,B310)&gt;1,"CPF + dia duplicado",IF(OR(AND(G310&lt;&gt;"",G310&lt;&gt;0,G310&lt;&gt;1),AND(H310&lt;&gt;"",H310&lt;&gt;0,H310&lt;&gt;1)),"Flags devem ser 0 ou 1",IF(AND(H310=1,LEN(TRIM(I310))=0),"Preencher nome do indicante",IF(AND(H310&lt;&gt;1,I310&lt;&gt;""),"Nome sem indicação interna",IF(AND(G310=1,F310=""),"Fechamento sem conversa",IF(OR(AND(E310&lt;&gt;"",E310&lt;B310),AND(F310&lt;&gt;"",F310&lt;B310)),"Evento anterior à entrada",IF(AND(F310&lt;&gt;"",E310=""),"Conversa sem agendamento",IF(OR(E310&gt;TODAY(),F310&gt;TODAY()),"Verificar evento futuro","OK"))))))))))</f>
        <v/>
      </c>
    </row>
    <row r="311" spans="12:15">
      <c r="L311" s="5">
        <f>IF(OR(A311="",B311=""),"",B311-WEEKDAY(B311,2)+1)</f>
        <v/>
      </c>
      <c r="M311" s="5">
        <f>IF(L311="","",L311+6)</f>
        <v/>
      </c>
      <c r="N311" s="6">
        <f>IF(OR(A311="",B311=""),"",DATE(YEAR(B311),MONTH(B311),1))</f>
        <v/>
      </c>
      <c r="O311" s="7">
        <f>IF(COUNTA(A311:K311)=0,"",IF(OR(A311="",B311=""),"Preencher CPF e entrada",IF(COUNTIFS($A$12:$A$5011,A311,$B$12:$B$5011,B311)&gt;1,"CPF + dia duplicado",IF(OR(AND(G311&lt;&gt;"",G311&lt;&gt;0,G311&lt;&gt;1),AND(H311&lt;&gt;"",H311&lt;&gt;0,H311&lt;&gt;1)),"Flags devem ser 0 ou 1",IF(AND(H311=1,LEN(TRIM(I311))=0),"Preencher nome do indicante",IF(AND(H311&lt;&gt;1,I311&lt;&gt;""),"Nome sem indicação interna",IF(AND(G311=1,F311=""),"Fechamento sem conversa",IF(OR(AND(E311&lt;&gt;"",E311&lt;B311),AND(F311&lt;&gt;"",F311&lt;B311)),"Evento anterior à entrada",IF(AND(F311&lt;&gt;"",E311=""),"Conversa sem agendamento",IF(OR(E311&gt;TODAY(),F311&gt;TODAY()),"Verificar evento futuro","OK"))))))))))</f>
        <v/>
      </c>
    </row>
    <row r="312" spans="12:15">
      <c r="L312" s="5">
        <f>IF(OR(A312="",B312=""),"",B312-WEEKDAY(B312,2)+1)</f>
        <v/>
      </c>
      <c r="M312" s="5">
        <f>IF(L312="","",L312+6)</f>
        <v/>
      </c>
      <c r="N312" s="6">
        <f>IF(OR(A312="",B312=""),"",DATE(YEAR(B312),MONTH(B312),1))</f>
        <v/>
      </c>
      <c r="O312" s="7">
        <f>IF(COUNTA(A312:K312)=0,"",IF(OR(A312="",B312=""),"Preencher CPF e entrada",IF(COUNTIFS($A$12:$A$5011,A312,$B$12:$B$5011,B312)&gt;1,"CPF + dia duplicado",IF(OR(AND(G312&lt;&gt;"",G312&lt;&gt;0,G312&lt;&gt;1),AND(H312&lt;&gt;"",H312&lt;&gt;0,H312&lt;&gt;1)),"Flags devem ser 0 ou 1",IF(AND(H312=1,LEN(TRIM(I312))=0),"Preencher nome do indicante",IF(AND(H312&lt;&gt;1,I312&lt;&gt;""),"Nome sem indicação interna",IF(AND(G312=1,F312=""),"Fechamento sem conversa",IF(OR(AND(E312&lt;&gt;"",E312&lt;B312),AND(F312&lt;&gt;"",F312&lt;B312)),"Evento anterior à entrada",IF(AND(F312&lt;&gt;"",E312=""),"Conversa sem agendamento",IF(OR(E312&gt;TODAY(),F312&gt;TODAY()),"Verificar evento futuro","OK"))))))))))</f>
        <v/>
      </c>
    </row>
    <row r="313" spans="12:15">
      <c r="L313" s="5">
        <f>IF(OR(A313="",B313=""),"",B313-WEEKDAY(B313,2)+1)</f>
        <v/>
      </c>
      <c r="M313" s="5">
        <f>IF(L313="","",L313+6)</f>
        <v/>
      </c>
      <c r="N313" s="6">
        <f>IF(OR(A313="",B313=""),"",DATE(YEAR(B313),MONTH(B313),1))</f>
        <v/>
      </c>
      <c r="O313" s="7">
        <f>IF(COUNTA(A313:K313)=0,"",IF(OR(A313="",B313=""),"Preencher CPF e entrada",IF(COUNTIFS($A$12:$A$5011,A313,$B$12:$B$5011,B313)&gt;1,"CPF + dia duplicado",IF(OR(AND(G313&lt;&gt;"",G313&lt;&gt;0,G313&lt;&gt;1),AND(H313&lt;&gt;"",H313&lt;&gt;0,H313&lt;&gt;1)),"Flags devem ser 0 ou 1",IF(AND(H313=1,LEN(TRIM(I313))=0),"Preencher nome do indicante",IF(AND(H313&lt;&gt;1,I313&lt;&gt;""),"Nome sem indicação interna",IF(AND(G313=1,F313=""),"Fechamento sem conversa",IF(OR(AND(E313&lt;&gt;"",E313&lt;B313),AND(F313&lt;&gt;"",F313&lt;B313)),"Evento anterior à entrada",IF(AND(F313&lt;&gt;"",E313=""),"Conversa sem agendamento",IF(OR(E313&gt;TODAY(),F313&gt;TODAY()),"Verificar evento futuro","OK"))))))))))</f>
        <v/>
      </c>
    </row>
    <row r="314" spans="12:15">
      <c r="L314" s="5">
        <f>IF(OR(A314="",B314=""),"",B314-WEEKDAY(B314,2)+1)</f>
        <v/>
      </c>
      <c r="M314" s="5">
        <f>IF(L314="","",L314+6)</f>
        <v/>
      </c>
      <c r="N314" s="6">
        <f>IF(OR(A314="",B314=""),"",DATE(YEAR(B314),MONTH(B314),1))</f>
        <v/>
      </c>
      <c r="O314" s="7">
        <f>IF(COUNTA(A314:K314)=0,"",IF(OR(A314="",B314=""),"Preencher CPF e entrada",IF(COUNTIFS($A$12:$A$5011,A314,$B$12:$B$5011,B314)&gt;1,"CPF + dia duplicado",IF(OR(AND(G314&lt;&gt;"",G314&lt;&gt;0,G314&lt;&gt;1),AND(H314&lt;&gt;"",H314&lt;&gt;0,H314&lt;&gt;1)),"Flags devem ser 0 ou 1",IF(AND(H314=1,LEN(TRIM(I314))=0),"Preencher nome do indicante",IF(AND(H314&lt;&gt;1,I314&lt;&gt;""),"Nome sem indicação interna",IF(AND(G314=1,F314=""),"Fechamento sem conversa",IF(OR(AND(E314&lt;&gt;"",E314&lt;B314),AND(F314&lt;&gt;"",F314&lt;B314)),"Evento anterior à entrada",IF(AND(F314&lt;&gt;"",E314=""),"Conversa sem agendamento",IF(OR(E314&gt;TODAY(),F314&gt;TODAY()),"Verificar evento futuro","OK"))))))))))</f>
        <v/>
      </c>
    </row>
    <row r="315" spans="12:15">
      <c r="L315" s="5">
        <f>IF(OR(A315="",B315=""),"",B315-WEEKDAY(B315,2)+1)</f>
        <v/>
      </c>
      <c r="M315" s="5">
        <f>IF(L315="","",L315+6)</f>
        <v/>
      </c>
      <c r="N315" s="6">
        <f>IF(OR(A315="",B315=""),"",DATE(YEAR(B315),MONTH(B315),1))</f>
        <v/>
      </c>
      <c r="O315" s="7">
        <f>IF(COUNTA(A315:K315)=0,"",IF(OR(A315="",B315=""),"Preencher CPF e entrada",IF(COUNTIFS($A$12:$A$5011,A315,$B$12:$B$5011,B315)&gt;1,"CPF + dia duplicado",IF(OR(AND(G315&lt;&gt;"",G315&lt;&gt;0,G315&lt;&gt;1),AND(H315&lt;&gt;"",H315&lt;&gt;0,H315&lt;&gt;1)),"Flags devem ser 0 ou 1",IF(AND(H315=1,LEN(TRIM(I315))=0),"Preencher nome do indicante",IF(AND(H315&lt;&gt;1,I315&lt;&gt;""),"Nome sem indicação interna",IF(AND(G315=1,F315=""),"Fechamento sem conversa",IF(OR(AND(E315&lt;&gt;"",E315&lt;B315),AND(F315&lt;&gt;"",F315&lt;B315)),"Evento anterior à entrada",IF(AND(F315&lt;&gt;"",E315=""),"Conversa sem agendamento",IF(OR(E315&gt;TODAY(),F315&gt;TODAY()),"Verificar evento futuro","OK"))))))))))</f>
        <v/>
      </c>
    </row>
    <row r="316" spans="12:15">
      <c r="L316" s="5">
        <f>IF(OR(A316="",B316=""),"",B316-WEEKDAY(B316,2)+1)</f>
        <v/>
      </c>
      <c r="M316" s="5">
        <f>IF(L316="","",L316+6)</f>
        <v/>
      </c>
      <c r="N316" s="6">
        <f>IF(OR(A316="",B316=""),"",DATE(YEAR(B316),MONTH(B316),1))</f>
        <v/>
      </c>
      <c r="O316" s="7">
        <f>IF(COUNTA(A316:K316)=0,"",IF(OR(A316="",B316=""),"Preencher CPF e entrada",IF(COUNTIFS($A$12:$A$5011,A316,$B$12:$B$5011,B316)&gt;1,"CPF + dia duplicado",IF(OR(AND(G316&lt;&gt;"",G316&lt;&gt;0,G316&lt;&gt;1),AND(H316&lt;&gt;"",H316&lt;&gt;0,H316&lt;&gt;1)),"Flags devem ser 0 ou 1",IF(AND(H316=1,LEN(TRIM(I316))=0),"Preencher nome do indicante",IF(AND(H316&lt;&gt;1,I316&lt;&gt;""),"Nome sem indicação interna",IF(AND(G316=1,F316=""),"Fechamento sem conversa",IF(OR(AND(E316&lt;&gt;"",E316&lt;B316),AND(F316&lt;&gt;"",F316&lt;B316)),"Evento anterior à entrada",IF(AND(F316&lt;&gt;"",E316=""),"Conversa sem agendamento",IF(OR(E316&gt;TODAY(),F316&gt;TODAY()),"Verificar evento futuro","OK"))))))))))</f>
        <v/>
      </c>
    </row>
    <row r="317" spans="12:15">
      <c r="L317" s="5">
        <f>IF(OR(A317="",B317=""),"",B317-WEEKDAY(B317,2)+1)</f>
        <v/>
      </c>
      <c r="M317" s="5">
        <f>IF(L317="","",L317+6)</f>
        <v/>
      </c>
      <c r="N317" s="6">
        <f>IF(OR(A317="",B317=""),"",DATE(YEAR(B317),MONTH(B317),1))</f>
        <v/>
      </c>
      <c r="O317" s="7">
        <f>IF(COUNTA(A317:K317)=0,"",IF(OR(A317="",B317=""),"Preencher CPF e entrada",IF(COUNTIFS($A$12:$A$5011,A317,$B$12:$B$5011,B317)&gt;1,"CPF + dia duplicado",IF(OR(AND(G317&lt;&gt;"",G317&lt;&gt;0,G317&lt;&gt;1),AND(H317&lt;&gt;"",H317&lt;&gt;0,H317&lt;&gt;1)),"Flags devem ser 0 ou 1",IF(AND(H317=1,LEN(TRIM(I317))=0),"Preencher nome do indicante",IF(AND(H317&lt;&gt;1,I317&lt;&gt;""),"Nome sem indicação interna",IF(AND(G317=1,F317=""),"Fechamento sem conversa",IF(OR(AND(E317&lt;&gt;"",E317&lt;B317),AND(F317&lt;&gt;"",F317&lt;B317)),"Evento anterior à entrada",IF(AND(F317&lt;&gt;"",E317=""),"Conversa sem agendamento",IF(OR(E317&gt;TODAY(),F317&gt;TODAY()),"Verificar evento futuro","OK"))))))))))</f>
        <v/>
      </c>
    </row>
    <row r="318" spans="12:15">
      <c r="L318" s="5">
        <f>IF(OR(A318="",B318=""),"",B318-WEEKDAY(B318,2)+1)</f>
        <v/>
      </c>
      <c r="M318" s="5">
        <f>IF(L318="","",L318+6)</f>
        <v/>
      </c>
      <c r="N318" s="6">
        <f>IF(OR(A318="",B318=""),"",DATE(YEAR(B318),MONTH(B318),1))</f>
        <v/>
      </c>
      <c r="O318" s="7">
        <f>IF(COUNTA(A318:K318)=0,"",IF(OR(A318="",B318=""),"Preencher CPF e entrada",IF(COUNTIFS($A$12:$A$5011,A318,$B$12:$B$5011,B318)&gt;1,"CPF + dia duplicado",IF(OR(AND(G318&lt;&gt;"",G318&lt;&gt;0,G318&lt;&gt;1),AND(H318&lt;&gt;"",H318&lt;&gt;0,H318&lt;&gt;1)),"Flags devem ser 0 ou 1",IF(AND(H318=1,LEN(TRIM(I318))=0),"Preencher nome do indicante",IF(AND(H318&lt;&gt;1,I318&lt;&gt;""),"Nome sem indicação interna",IF(AND(G318=1,F318=""),"Fechamento sem conversa",IF(OR(AND(E318&lt;&gt;"",E318&lt;B318),AND(F318&lt;&gt;"",F318&lt;B318)),"Evento anterior à entrada",IF(AND(F318&lt;&gt;"",E318=""),"Conversa sem agendamento",IF(OR(E318&gt;TODAY(),F318&gt;TODAY()),"Verificar evento futuro","OK"))))))))))</f>
        <v/>
      </c>
    </row>
    <row r="319" spans="12:15">
      <c r="L319" s="5">
        <f>IF(OR(A319="",B319=""),"",B319-WEEKDAY(B319,2)+1)</f>
        <v/>
      </c>
      <c r="M319" s="5">
        <f>IF(L319="","",L319+6)</f>
        <v/>
      </c>
      <c r="N319" s="6">
        <f>IF(OR(A319="",B319=""),"",DATE(YEAR(B319),MONTH(B319),1))</f>
        <v/>
      </c>
      <c r="O319" s="7">
        <f>IF(COUNTA(A319:K319)=0,"",IF(OR(A319="",B319=""),"Preencher CPF e entrada",IF(COUNTIFS($A$12:$A$5011,A319,$B$12:$B$5011,B319)&gt;1,"CPF + dia duplicado",IF(OR(AND(G319&lt;&gt;"",G319&lt;&gt;0,G319&lt;&gt;1),AND(H319&lt;&gt;"",H319&lt;&gt;0,H319&lt;&gt;1)),"Flags devem ser 0 ou 1",IF(AND(H319=1,LEN(TRIM(I319))=0),"Preencher nome do indicante",IF(AND(H319&lt;&gt;1,I319&lt;&gt;""),"Nome sem indicação interna",IF(AND(G319=1,F319=""),"Fechamento sem conversa",IF(OR(AND(E319&lt;&gt;"",E319&lt;B319),AND(F319&lt;&gt;"",F319&lt;B319)),"Evento anterior à entrada",IF(AND(F319&lt;&gt;"",E319=""),"Conversa sem agendamento",IF(OR(E319&gt;TODAY(),F319&gt;TODAY()),"Verificar evento futuro","OK"))))))))))</f>
        <v/>
      </c>
    </row>
    <row r="320" spans="12:15">
      <c r="L320" s="5">
        <f>IF(OR(A320="",B320=""),"",B320-WEEKDAY(B320,2)+1)</f>
        <v/>
      </c>
      <c r="M320" s="5">
        <f>IF(L320="","",L320+6)</f>
        <v/>
      </c>
      <c r="N320" s="6">
        <f>IF(OR(A320="",B320=""),"",DATE(YEAR(B320),MONTH(B320),1))</f>
        <v/>
      </c>
      <c r="O320" s="7">
        <f>IF(COUNTA(A320:K320)=0,"",IF(OR(A320="",B320=""),"Preencher CPF e entrada",IF(COUNTIFS($A$12:$A$5011,A320,$B$12:$B$5011,B320)&gt;1,"CPF + dia duplicado",IF(OR(AND(G320&lt;&gt;"",G320&lt;&gt;0,G320&lt;&gt;1),AND(H320&lt;&gt;"",H320&lt;&gt;0,H320&lt;&gt;1)),"Flags devem ser 0 ou 1",IF(AND(H320=1,LEN(TRIM(I320))=0),"Preencher nome do indicante",IF(AND(H320&lt;&gt;1,I320&lt;&gt;""),"Nome sem indicação interna",IF(AND(G320=1,F320=""),"Fechamento sem conversa",IF(OR(AND(E320&lt;&gt;"",E320&lt;B320),AND(F320&lt;&gt;"",F320&lt;B320)),"Evento anterior à entrada",IF(AND(F320&lt;&gt;"",E320=""),"Conversa sem agendamento",IF(OR(E320&gt;TODAY(),F320&gt;TODAY()),"Verificar evento futuro","OK"))))))))))</f>
        <v/>
      </c>
    </row>
    <row r="321" spans="12:15">
      <c r="L321" s="5">
        <f>IF(OR(A321="",B321=""),"",B321-WEEKDAY(B321,2)+1)</f>
        <v/>
      </c>
      <c r="M321" s="5">
        <f>IF(L321="","",L321+6)</f>
        <v/>
      </c>
      <c r="N321" s="6">
        <f>IF(OR(A321="",B321=""),"",DATE(YEAR(B321),MONTH(B321),1))</f>
        <v/>
      </c>
      <c r="O321" s="7">
        <f>IF(COUNTA(A321:K321)=0,"",IF(OR(A321="",B321=""),"Preencher CPF e entrada",IF(COUNTIFS($A$12:$A$5011,A321,$B$12:$B$5011,B321)&gt;1,"CPF + dia duplicado",IF(OR(AND(G321&lt;&gt;"",G321&lt;&gt;0,G321&lt;&gt;1),AND(H321&lt;&gt;"",H321&lt;&gt;0,H321&lt;&gt;1)),"Flags devem ser 0 ou 1",IF(AND(H321=1,LEN(TRIM(I321))=0),"Preencher nome do indicante",IF(AND(H321&lt;&gt;1,I321&lt;&gt;""),"Nome sem indicação interna",IF(AND(G321=1,F321=""),"Fechamento sem conversa",IF(OR(AND(E321&lt;&gt;"",E321&lt;B321),AND(F321&lt;&gt;"",F321&lt;B321)),"Evento anterior à entrada",IF(AND(F321&lt;&gt;"",E321=""),"Conversa sem agendamento",IF(OR(E321&gt;TODAY(),F321&gt;TODAY()),"Verificar evento futuro","OK"))))))))))</f>
        <v/>
      </c>
    </row>
    <row r="322" spans="12:15">
      <c r="L322" s="5">
        <f>IF(OR(A322="",B322=""),"",B322-WEEKDAY(B322,2)+1)</f>
        <v/>
      </c>
      <c r="M322" s="5">
        <f>IF(L322="","",L322+6)</f>
        <v/>
      </c>
      <c r="N322" s="6">
        <f>IF(OR(A322="",B322=""),"",DATE(YEAR(B322),MONTH(B322),1))</f>
        <v/>
      </c>
      <c r="O322" s="7">
        <f>IF(COUNTA(A322:K322)=0,"",IF(OR(A322="",B322=""),"Preencher CPF e entrada",IF(COUNTIFS($A$12:$A$5011,A322,$B$12:$B$5011,B322)&gt;1,"CPF + dia duplicado",IF(OR(AND(G322&lt;&gt;"",G322&lt;&gt;0,G322&lt;&gt;1),AND(H322&lt;&gt;"",H322&lt;&gt;0,H322&lt;&gt;1)),"Flags devem ser 0 ou 1",IF(AND(H322=1,LEN(TRIM(I322))=0),"Preencher nome do indicante",IF(AND(H322&lt;&gt;1,I322&lt;&gt;""),"Nome sem indicação interna",IF(AND(G322=1,F322=""),"Fechamento sem conversa",IF(OR(AND(E322&lt;&gt;"",E322&lt;B322),AND(F322&lt;&gt;"",F322&lt;B322)),"Evento anterior à entrada",IF(AND(F322&lt;&gt;"",E322=""),"Conversa sem agendamento",IF(OR(E322&gt;TODAY(),F322&gt;TODAY()),"Verificar evento futuro","OK"))))))))))</f>
        <v/>
      </c>
    </row>
    <row r="323" spans="12:15">
      <c r="L323" s="5">
        <f>IF(OR(A323="",B323=""),"",B323-WEEKDAY(B323,2)+1)</f>
        <v/>
      </c>
      <c r="M323" s="5">
        <f>IF(L323="","",L323+6)</f>
        <v/>
      </c>
      <c r="N323" s="6">
        <f>IF(OR(A323="",B323=""),"",DATE(YEAR(B323),MONTH(B323),1))</f>
        <v/>
      </c>
      <c r="O323" s="7">
        <f>IF(COUNTA(A323:K323)=0,"",IF(OR(A323="",B323=""),"Preencher CPF e entrada",IF(COUNTIFS($A$12:$A$5011,A323,$B$12:$B$5011,B323)&gt;1,"CPF + dia duplicado",IF(OR(AND(G323&lt;&gt;"",G323&lt;&gt;0,G323&lt;&gt;1),AND(H323&lt;&gt;"",H323&lt;&gt;0,H323&lt;&gt;1)),"Flags devem ser 0 ou 1",IF(AND(H323=1,LEN(TRIM(I323))=0),"Preencher nome do indicante",IF(AND(H323&lt;&gt;1,I323&lt;&gt;""),"Nome sem indicação interna",IF(AND(G323=1,F323=""),"Fechamento sem conversa",IF(OR(AND(E323&lt;&gt;"",E323&lt;B323),AND(F323&lt;&gt;"",F323&lt;B323)),"Evento anterior à entrada",IF(AND(F323&lt;&gt;"",E323=""),"Conversa sem agendamento",IF(OR(E323&gt;TODAY(),F323&gt;TODAY()),"Verificar evento futuro","OK"))))))))))</f>
        <v/>
      </c>
    </row>
    <row r="324" spans="12:15">
      <c r="L324" s="5">
        <f>IF(OR(A324="",B324=""),"",B324-WEEKDAY(B324,2)+1)</f>
        <v/>
      </c>
      <c r="M324" s="5">
        <f>IF(L324="","",L324+6)</f>
        <v/>
      </c>
      <c r="N324" s="6">
        <f>IF(OR(A324="",B324=""),"",DATE(YEAR(B324),MONTH(B324),1))</f>
        <v/>
      </c>
      <c r="O324" s="7">
        <f>IF(COUNTA(A324:K324)=0,"",IF(OR(A324="",B324=""),"Preencher CPF e entrada",IF(COUNTIFS($A$12:$A$5011,A324,$B$12:$B$5011,B324)&gt;1,"CPF + dia duplicado",IF(OR(AND(G324&lt;&gt;"",G324&lt;&gt;0,G324&lt;&gt;1),AND(H324&lt;&gt;"",H324&lt;&gt;0,H324&lt;&gt;1)),"Flags devem ser 0 ou 1",IF(AND(H324=1,LEN(TRIM(I324))=0),"Preencher nome do indicante",IF(AND(H324&lt;&gt;1,I324&lt;&gt;""),"Nome sem indicação interna",IF(AND(G324=1,F324=""),"Fechamento sem conversa",IF(OR(AND(E324&lt;&gt;"",E324&lt;B324),AND(F324&lt;&gt;"",F324&lt;B324)),"Evento anterior à entrada",IF(AND(F324&lt;&gt;"",E324=""),"Conversa sem agendamento",IF(OR(E324&gt;TODAY(),F324&gt;TODAY()),"Verificar evento futuro","OK"))))))))))</f>
        <v/>
      </c>
    </row>
    <row r="325" spans="12:15">
      <c r="L325" s="5">
        <f>IF(OR(A325="",B325=""),"",B325-WEEKDAY(B325,2)+1)</f>
        <v/>
      </c>
      <c r="M325" s="5">
        <f>IF(L325="","",L325+6)</f>
        <v/>
      </c>
      <c r="N325" s="6">
        <f>IF(OR(A325="",B325=""),"",DATE(YEAR(B325),MONTH(B325),1))</f>
        <v/>
      </c>
      <c r="O325" s="7">
        <f>IF(COUNTA(A325:K325)=0,"",IF(OR(A325="",B325=""),"Preencher CPF e entrada",IF(COUNTIFS($A$12:$A$5011,A325,$B$12:$B$5011,B325)&gt;1,"CPF + dia duplicado",IF(OR(AND(G325&lt;&gt;"",G325&lt;&gt;0,G325&lt;&gt;1),AND(H325&lt;&gt;"",H325&lt;&gt;0,H325&lt;&gt;1)),"Flags devem ser 0 ou 1",IF(AND(H325=1,LEN(TRIM(I325))=0),"Preencher nome do indicante",IF(AND(H325&lt;&gt;1,I325&lt;&gt;""),"Nome sem indicação interna",IF(AND(G325=1,F325=""),"Fechamento sem conversa",IF(OR(AND(E325&lt;&gt;"",E325&lt;B325),AND(F325&lt;&gt;"",F325&lt;B325)),"Evento anterior à entrada",IF(AND(F325&lt;&gt;"",E325=""),"Conversa sem agendamento",IF(OR(E325&gt;TODAY(),F325&gt;TODAY()),"Verificar evento futuro","OK"))))))))))</f>
        <v/>
      </c>
    </row>
    <row r="326" spans="12:15">
      <c r="L326" s="5">
        <f>IF(OR(A326="",B326=""),"",B326-WEEKDAY(B326,2)+1)</f>
        <v/>
      </c>
      <c r="M326" s="5">
        <f>IF(L326="","",L326+6)</f>
        <v/>
      </c>
      <c r="N326" s="6">
        <f>IF(OR(A326="",B326=""),"",DATE(YEAR(B326),MONTH(B326),1))</f>
        <v/>
      </c>
      <c r="O326" s="7">
        <f>IF(COUNTA(A326:K326)=0,"",IF(OR(A326="",B326=""),"Preencher CPF e entrada",IF(COUNTIFS($A$12:$A$5011,A326,$B$12:$B$5011,B326)&gt;1,"CPF + dia duplicado",IF(OR(AND(G326&lt;&gt;"",G326&lt;&gt;0,G326&lt;&gt;1),AND(H326&lt;&gt;"",H326&lt;&gt;0,H326&lt;&gt;1)),"Flags devem ser 0 ou 1",IF(AND(H326=1,LEN(TRIM(I326))=0),"Preencher nome do indicante",IF(AND(H326&lt;&gt;1,I326&lt;&gt;""),"Nome sem indicação interna",IF(AND(G326=1,F326=""),"Fechamento sem conversa",IF(OR(AND(E326&lt;&gt;"",E326&lt;B326),AND(F326&lt;&gt;"",F326&lt;B326)),"Evento anterior à entrada",IF(AND(F326&lt;&gt;"",E326=""),"Conversa sem agendamento",IF(OR(E326&gt;TODAY(),F326&gt;TODAY()),"Verificar evento futuro","OK"))))))))))</f>
        <v/>
      </c>
    </row>
    <row r="327" spans="12:15">
      <c r="L327" s="5">
        <f>IF(OR(A327="",B327=""),"",B327-WEEKDAY(B327,2)+1)</f>
        <v/>
      </c>
      <c r="M327" s="5">
        <f>IF(L327="","",L327+6)</f>
        <v/>
      </c>
      <c r="N327" s="6">
        <f>IF(OR(A327="",B327=""),"",DATE(YEAR(B327),MONTH(B327),1))</f>
        <v/>
      </c>
      <c r="O327" s="7">
        <f>IF(COUNTA(A327:K327)=0,"",IF(OR(A327="",B327=""),"Preencher CPF e entrada",IF(COUNTIFS($A$12:$A$5011,A327,$B$12:$B$5011,B327)&gt;1,"CPF + dia duplicado",IF(OR(AND(G327&lt;&gt;"",G327&lt;&gt;0,G327&lt;&gt;1),AND(H327&lt;&gt;"",H327&lt;&gt;0,H327&lt;&gt;1)),"Flags devem ser 0 ou 1",IF(AND(H327=1,LEN(TRIM(I327))=0),"Preencher nome do indicante",IF(AND(H327&lt;&gt;1,I327&lt;&gt;""),"Nome sem indicação interna",IF(AND(G327=1,F327=""),"Fechamento sem conversa",IF(OR(AND(E327&lt;&gt;"",E327&lt;B327),AND(F327&lt;&gt;"",F327&lt;B327)),"Evento anterior à entrada",IF(AND(F327&lt;&gt;"",E327=""),"Conversa sem agendamento",IF(OR(E327&gt;TODAY(),F327&gt;TODAY()),"Verificar evento futuro","OK"))))))))))</f>
        <v/>
      </c>
    </row>
    <row r="328" spans="12:15">
      <c r="L328" s="5">
        <f>IF(OR(A328="",B328=""),"",B328-WEEKDAY(B328,2)+1)</f>
        <v/>
      </c>
      <c r="M328" s="5">
        <f>IF(L328="","",L328+6)</f>
        <v/>
      </c>
      <c r="N328" s="6">
        <f>IF(OR(A328="",B328=""),"",DATE(YEAR(B328),MONTH(B328),1))</f>
        <v/>
      </c>
      <c r="O328" s="7">
        <f>IF(COUNTA(A328:K328)=0,"",IF(OR(A328="",B328=""),"Preencher CPF e entrada",IF(COUNTIFS($A$12:$A$5011,A328,$B$12:$B$5011,B328)&gt;1,"CPF + dia duplicado",IF(OR(AND(G328&lt;&gt;"",G328&lt;&gt;0,G328&lt;&gt;1),AND(H328&lt;&gt;"",H328&lt;&gt;0,H328&lt;&gt;1)),"Flags devem ser 0 ou 1",IF(AND(H328=1,LEN(TRIM(I328))=0),"Preencher nome do indicante",IF(AND(H328&lt;&gt;1,I328&lt;&gt;""),"Nome sem indicação interna",IF(AND(G328=1,F328=""),"Fechamento sem conversa",IF(OR(AND(E328&lt;&gt;"",E328&lt;B328),AND(F328&lt;&gt;"",F328&lt;B328)),"Evento anterior à entrada",IF(AND(F328&lt;&gt;"",E328=""),"Conversa sem agendamento",IF(OR(E328&gt;TODAY(),F328&gt;TODAY()),"Verificar evento futuro","OK"))))))))))</f>
        <v/>
      </c>
    </row>
    <row r="329" spans="12:15">
      <c r="L329" s="5">
        <f>IF(OR(A329="",B329=""),"",B329-WEEKDAY(B329,2)+1)</f>
        <v/>
      </c>
      <c r="M329" s="5">
        <f>IF(L329="","",L329+6)</f>
        <v/>
      </c>
      <c r="N329" s="6">
        <f>IF(OR(A329="",B329=""),"",DATE(YEAR(B329),MONTH(B329),1))</f>
        <v/>
      </c>
      <c r="O329" s="7">
        <f>IF(COUNTA(A329:K329)=0,"",IF(OR(A329="",B329=""),"Preencher CPF e entrada",IF(COUNTIFS($A$12:$A$5011,A329,$B$12:$B$5011,B329)&gt;1,"CPF + dia duplicado",IF(OR(AND(G329&lt;&gt;"",G329&lt;&gt;0,G329&lt;&gt;1),AND(H329&lt;&gt;"",H329&lt;&gt;0,H329&lt;&gt;1)),"Flags devem ser 0 ou 1",IF(AND(H329=1,LEN(TRIM(I329))=0),"Preencher nome do indicante",IF(AND(H329&lt;&gt;1,I329&lt;&gt;""),"Nome sem indicação interna",IF(AND(G329=1,F329=""),"Fechamento sem conversa",IF(OR(AND(E329&lt;&gt;"",E329&lt;B329),AND(F329&lt;&gt;"",F329&lt;B329)),"Evento anterior à entrada",IF(AND(F329&lt;&gt;"",E329=""),"Conversa sem agendamento",IF(OR(E329&gt;TODAY(),F329&gt;TODAY()),"Verificar evento futuro","OK"))))))))))</f>
        <v/>
      </c>
    </row>
    <row r="330" spans="12:15">
      <c r="L330" s="5">
        <f>IF(OR(A330="",B330=""),"",B330-WEEKDAY(B330,2)+1)</f>
        <v/>
      </c>
      <c r="M330" s="5">
        <f>IF(L330="","",L330+6)</f>
        <v/>
      </c>
      <c r="N330" s="6">
        <f>IF(OR(A330="",B330=""),"",DATE(YEAR(B330),MONTH(B330),1))</f>
        <v/>
      </c>
      <c r="O330" s="7">
        <f>IF(COUNTA(A330:K330)=0,"",IF(OR(A330="",B330=""),"Preencher CPF e entrada",IF(COUNTIFS($A$12:$A$5011,A330,$B$12:$B$5011,B330)&gt;1,"CPF + dia duplicado",IF(OR(AND(G330&lt;&gt;"",G330&lt;&gt;0,G330&lt;&gt;1),AND(H330&lt;&gt;"",H330&lt;&gt;0,H330&lt;&gt;1)),"Flags devem ser 0 ou 1",IF(AND(H330=1,LEN(TRIM(I330))=0),"Preencher nome do indicante",IF(AND(H330&lt;&gt;1,I330&lt;&gt;""),"Nome sem indicação interna",IF(AND(G330=1,F330=""),"Fechamento sem conversa",IF(OR(AND(E330&lt;&gt;"",E330&lt;B330),AND(F330&lt;&gt;"",F330&lt;B330)),"Evento anterior à entrada",IF(AND(F330&lt;&gt;"",E330=""),"Conversa sem agendamento",IF(OR(E330&gt;TODAY(),F330&gt;TODAY()),"Verificar evento futuro","OK"))))))))))</f>
        <v/>
      </c>
    </row>
    <row r="331" spans="12:15">
      <c r="L331" s="5">
        <f>IF(OR(A331="",B331=""),"",B331-WEEKDAY(B331,2)+1)</f>
        <v/>
      </c>
      <c r="M331" s="5">
        <f>IF(L331="","",L331+6)</f>
        <v/>
      </c>
      <c r="N331" s="6">
        <f>IF(OR(A331="",B331=""),"",DATE(YEAR(B331),MONTH(B331),1))</f>
        <v/>
      </c>
      <c r="O331" s="7">
        <f>IF(COUNTA(A331:K331)=0,"",IF(OR(A331="",B331=""),"Preencher CPF e entrada",IF(COUNTIFS($A$12:$A$5011,A331,$B$12:$B$5011,B331)&gt;1,"CPF + dia duplicado",IF(OR(AND(G331&lt;&gt;"",G331&lt;&gt;0,G331&lt;&gt;1),AND(H331&lt;&gt;"",H331&lt;&gt;0,H331&lt;&gt;1)),"Flags devem ser 0 ou 1",IF(AND(H331=1,LEN(TRIM(I331))=0),"Preencher nome do indicante",IF(AND(H331&lt;&gt;1,I331&lt;&gt;""),"Nome sem indicação interna",IF(AND(G331=1,F331=""),"Fechamento sem conversa",IF(OR(AND(E331&lt;&gt;"",E331&lt;B331),AND(F331&lt;&gt;"",F331&lt;B331)),"Evento anterior à entrada",IF(AND(F331&lt;&gt;"",E331=""),"Conversa sem agendamento",IF(OR(E331&gt;TODAY(),F331&gt;TODAY()),"Verificar evento futuro","OK"))))))))))</f>
        <v/>
      </c>
    </row>
    <row r="332" spans="12:15">
      <c r="L332" s="5">
        <f>IF(OR(A332="",B332=""),"",B332-WEEKDAY(B332,2)+1)</f>
        <v/>
      </c>
      <c r="M332" s="5">
        <f>IF(L332="","",L332+6)</f>
        <v/>
      </c>
      <c r="N332" s="6">
        <f>IF(OR(A332="",B332=""),"",DATE(YEAR(B332),MONTH(B332),1))</f>
        <v/>
      </c>
      <c r="O332" s="7">
        <f>IF(COUNTA(A332:K332)=0,"",IF(OR(A332="",B332=""),"Preencher CPF e entrada",IF(COUNTIFS($A$12:$A$5011,A332,$B$12:$B$5011,B332)&gt;1,"CPF + dia duplicado",IF(OR(AND(G332&lt;&gt;"",G332&lt;&gt;0,G332&lt;&gt;1),AND(H332&lt;&gt;"",H332&lt;&gt;0,H332&lt;&gt;1)),"Flags devem ser 0 ou 1",IF(AND(H332=1,LEN(TRIM(I332))=0),"Preencher nome do indicante",IF(AND(H332&lt;&gt;1,I332&lt;&gt;""),"Nome sem indicação interna",IF(AND(G332=1,F332=""),"Fechamento sem conversa",IF(OR(AND(E332&lt;&gt;"",E332&lt;B332),AND(F332&lt;&gt;"",F332&lt;B332)),"Evento anterior à entrada",IF(AND(F332&lt;&gt;"",E332=""),"Conversa sem agendamento",IF(OR(E332&gt;TODAY(),F332&gt;TODAY()),"Verificar evento futuro","OK"))))))))))</f>
        <v/>
      </c>
    </row>
    <row r="333" spans="12:15">
      <c r="L333" s="5">
        <f>IF(OR(A333="",B333=""),"",B333-WEEKDAY(B333,2)+1)</f>
        <v/>
      </c>
      <c r="M333" s="5">
        <f>IF(L333="","",L333+6)</f>
        <v/>
      </c>
      <c r="N333" s="6">
        <f>IF(OR(A333="",B333=""),"",DATE(YEAR(B333),MONTH(B333),1))</f>
        <v/>
      </c>
      <c r="O333" s="7">
        <f>IF(COUNTA(A333:K333)=0,"",IF(OR(A333="",B333=""),"Preencher CPF e entrada",IF(COUNTIFS($A$12:$A$5011,A333,$B$12:$B$5011,B333)&gt;1,"CPF + dia duplicado",IF(OR(AND(G333&lt;&gt;"",G333&lt;&gt;0,G333&lt;&gt;1),AND(H333&lt;&gt;"",H333&lt;&gt;0,H333&lt;&gt;1)),"Flags devem ser 0 ou 1",IF(AND(H333=1,LEN(TRIM(I333))=0),"Preencher nome do indicante",IF(AND(H333&lt;&gt;1,I333&lt;&gt;""),"Nome sem indicação interna",IF(AND(G333=1,F333=""),"Fechamento sem conversa",IF(OR(AND(E333&lt;&gt;"",E333&lt;B333),AND(F333&lt;&gt;"",F333&lt;B333)),"Evento anterior à entrada",IF(AND(F333&lt;&gt;"",E333=""),"Conversa sem agendamento",IF(OR(E333&gt;TODAY(),F333&gt;TODAY()),"Verificar evento futuro","OK"))))))))))</f>
        <v/>
      </c>
    </row>
    <row r="334" spans="12:15">
      <c r="L334" s="5">
        <f>IF(OR(A334="",B334=""),"",B334-WEEKDAY(B334,2)+1)</f>
        <v/>
      </c>
      <c r="M334" s="5">
        <f>IF(L334="","",L334+6)</f>
        <v/>
      </c>
      <c r="N334" s="6">
        <f>IF(OR(A334="",B334=""),"",DATE(YEAR(B334),MONTH(B334),1))</f>
        <v/>
      </c>
      <c r="O334" s="7">
        <f>IF(COUNTA(A334:K334)=0,"",IF(OR(A334="",B334=""),"Preencher CPF e entrada",IF(COUNTIFS($A$12:$A$5011,A334,$B$12:$B$5011,B334)&gt;1,"CPF + dia duplicado",IF(OR(AND(G334&lt;&gt;"",G334&lt;&gt;0,G334&lt;&gt;1),AND(H334&lt;&gt;"",H334&lt;&gt;0,H334&lt;&gt;1)),"Flags devem ser 0 ou 1",IF(AND(H334=1,LEN(TRIM(I334))=0),"Preencher nome do indicante",IF(AND(H334&lt;&gt;1,I334&lt;&gt;""),"Nome sem indicação interna",IF(AND(G334=1,F334=""),"Fechamento sem conversa",IF(OR(AND(E334&lt;&gt;"",E334&lt;B334),AND(F334&lt;&gt;"",F334&lt;B334)),"Evento anterior à entrada",IF(AND(F334&lt;&gt;"",E334=""),"Conversa sem agendamento",IF(OR(E334&gt;TODAY(),F334&gt;TODAY()),"Verificar evento futuro","OK"))))))))))</f>
        <v/>
      </c>
    </row>
    <row r="335" spans="12:15">
      <c r="L335" s="5">
        <f>IF(OR(A335="",B335=""),"",B335-WEEKDAY(B335,2)+1)</f>
        <v/>
      </c>
      <c r="M335" s="5">
        <f>IF(L335="","",L335+6)</f>
        <v/>
      </c>
      <c r="N335" s="6">
        <f>IF(OR(A335="",B335=""),"",DATE(YEAR(B335),MONTH(B335),1))</f>
        <v/>
      </c>
      <c r="O335" s="7">
        <f>IF(COUNTA(A335:K335)=0,"",IF(OR(A335="",B335=""),"Preencher CPF e entrada",IF(COUNTIFS($A$12:$A$5011,A335,$B$12:$B$5011,B335)&gt;1,"CPF + dia duplicado",IF(OR(AND(G335&lt;&gt;"",G335&lt;&gt;0,G335&lt;&gt;1),AND(H335&lt;&gt;"",H335&lt;&gt;0,H335&lt;&gt;1)),"Flags devem ser 0 ou 1",IF(AND(H335=1,LEN(TRIM(I335))=0),"Preencher nome do indicante",IF(AND(H335&lt;&gt;1,I335&lt;&gt;""),"Nome sem indicação interna",IF(AND(G335=1,F335=""),"Fechamento sem conversa",IF(OR(AND(E335&lt;&gt;"",E335&lt;B335),AND(F335&lt;&gt;"",F335&lt;B335)),"Evento anterior à entrada",IF(AND(F335&lt;&gt;"",E335=""),"Conversa sem agendamento",IF(OR(E335&gt;TODAY(),F335&gt;TODAY()),"Verificar evento futuro","OK"))))))))))</f>
        <v/>
      </c>
    </row>
    <row r="336" spans="12:15">
      <c r="L336" s="5">
        <f>IF(OR(A336="",B336=""),"",B336-WEEKDAY(B336,2)+1)</f>
        <v/>
      </c>
      <c r="M336" s="5">
        <f>IF(L336="","",L336+6)</f>
        <v/>
      </c>
      <c r="N336" s="6">
        <f>IF(OR(A336="",B336=""),"",DATE(YEAR(B336),MONTH(B336),1))</f>
        <v/>
      </c>
      <c r="O336" s="7">
        <f>IF(COUNTA(A336:K336)=0,"",IF(OR(A336="",B336=""),"Preencher CPF e entrada",IF(COUNTIFS($A$12:$A$5011,A336,$B$12:$B$5011,B336)&gt;1,"CPF + dia duplicado",IF(OR(AND(G336&lt;&gt;"",G336&lt;&gt;0,G336&lt;&gt;1),AND(H336&lt;&gt;"",H336&lt;&gt;0,H336&lt;&gt;1)),"Flags devem ser 0 ou 1",IF(AND(H336=1,LEN(TRIM(I336))=0),"Preencher nome do indicante",IF(AND(H336&lt;&gt;1,I336&lt;&gt;""),"Nome sem indicação interna",IF(AND(G336=1,F336=""),"Fechamento sem conversa",IF(OR(AND(E336&lt;&gt;"",E336&lt;B336),AND(F336&lt;&gt;"",F336&lt;B336)),"Evento anterior à entrada",IF(AND(F336&lt;&gt;"",E336=""),"Conversa sem agendamento",IF(OR(E336&gt;TODAY(),F336&gt;TODAY()),"Verificar evento futuro","OK"))))))))))</f>
        <v/>
      </c>
    </row>
    <row r="337" spans="12:15">
      <c r="L337" s="5">
        <f>IF(OR(A337="",B337=""),"",B337-WEEKDAY(B337,2)+1)</f>
        <v/>
      </c>
      <c r="M337" s="5">
        <f>IF(L337="","",L337+6)</f>
        <v/>
      </c>
      <c r="N337" s="6">
        <f>IF(OR(A337="",B337=""),"",DATE(YEAR(B337),MONTH(B337),1))</f>
        <v/>
      </c>
      <c r="O337" s="7">
        <f>IF(COUNTA(A337:K337)=0,"",IF(OR(A337="",B337=""),"Preencher CPF e entrada",IF(COUNTIFS($A$12:$A$5011,A337,$B$12:$B$5011,B337)&gt;1,"CPF + dia duplicado",IF(OR(AND(G337&lt;&gt;"",G337&lt;&gt;0,G337&lt;&gt;1),AND(H337&lt;&gt;"",H337&lt;&gt;0,H337&lt;&gt;1)),"Flags devem ser 0 ou 1",IF(AND(H337=1,LEN(TRIM(I337))=0),"Preencher nome do indicante",IF(AND(H337&lt;&gt;1,I337&lt;&gt;""),"Nome sem indicação interna",IF(AND(G337=1,F337=""),"Fechamento sem conversa",IF(OR(AND(E337&lt;&gt;"",E337&lt;B337),AND(F337&lt;&gt;"",F337&lt;B337)),"Evento anterior à entrada",IF(AND(F337&lt;&gt;"",E337=""),"Conversa sem agendamento",IF(OR(E337&gt;TODAY(),F337&gt;TODAY()),"Verificar evento futuro","OK"))))))))))</f>
        <v/>
      </c>
    </row>
    <row r="338" spans="12:15">
      <c r="L338" s="5">
        <f>IF(OR(A338="",B338=""),"",B338-WEEKDAY(B338,2)+1)</f>
        <v/>
      </c>
      <c r="M338" s="5">
        <f>IF(L338="","",L338+6)</f>
        <v/>
      </c>
      <c r="N338" s="6">
        <f>IF(OR(A338="",B338=""),"",DATE(YEAR(B338),MONTH(B338),1))</f>
        <v/>
      </c>
      <c r="O338" s="7">
        <f>IF(COUNTA(A338:K338)=0,"",IF(OR(A338="",B338=""),"Preencher CPF e entrada",IF(COUNTIFS($A$12:$A$5011,A338,$B$12:$B$5011,B338)&gt;1,"CPF + dia duplicado",IF(OR(AND(G338&lt;&gt;"",G338&lt;&gt;0,G338&lt;&gt;1),AND(H338&lt;&gt;"",H338&lt;&gt;0,H338&lt;&gt;1)),"Flags devem ser 0 ou 1",IF(AND(H338=1,LEN(TRIM(I338))=0),"Preencher nome do indicante",IF(AND(H338&lt;&gt;1,I338&lt;&gt;""),"Nome sem indicação interna",IF(AND(G338=1,F338=""),"Fechamento sem conversa",IF(OR(AND(E338&lt;&gt;"",E338&lt;B338),AND(F338&lt;&gt;"",F338&lt;B338)),"Evento anterior à entrada",IF(AND(F338&lt;&gt;"",E338=""),"Conversa sem agendamento",IF(OR(E338&gt;TODAY(),F338&gt;TODAY()),"Verificar evento futuro","OK"))))))))))</f>
        <v/>
      </c>
    </row>
    <row r="339" spans="12:15">
      <c r="L339" s="5">
        <f>IF(OR(A339="",B339=""),"",B339-WEEKDAY(B339,2)+1)</f>
        <v/>
      </c>
      <c r="M339" s="5">
        <f>IF(L339="","",L339+6)</f>
        <v/>
      </c>
      <c r="N339" s="6">
        <f>IF(OR(A339="",B339=""),"",DATE(YEAR(B339),MONTH(B339),1))</f>
        <v/>
      </c>
      <c r="O339" s="7">
        <f>IF(COUNTA(A339:K339)=0,"",IF(OR(A339="",B339=""),"Preencher CPF e entrada",IF(COUNTIFS($A$12:$A$5011,A339,$B$12:$B$5011,B339)&gt;1,"CPF + dia duplicado",IF(OR(AND(G339&lt;&gt;"",G339&lt;&gt;0,G339&lt;&gt;1),AND(H339&lt;&gt;"",H339&lt;&gt;0,H339&lt;&gt;1)),"Flags devem ser 0 ou 1",IF(AND(H339=1,LEN(TRIM(I339))=0),"Preencher nome do indicante",IF(AND(H339&lt;&gt;1,I339&lt;&gt;""),"Nome sem indicação interna",IF(AND(G339=1,F339=""),"Fechamento sem conversa",IF(OR(AND(E339&lt;&gt;"",E339&lt;B339),AND(F339&lt;&gt;"",F339&lt;B339)),"Evento anterior à entrada",IF(AND(F339&lt;&gt;"",E339=""),"Conversa sem agendamento",IF(OR(E339&gt;TODAY(),F339&gt;TODAY()),"Verificar evento futuro","OK"))))))))))</f>
        <v/>
      </c>
    </row>
    <row r="340" spans="12:15">
      <c r="L340" s="5">
        <f>IF(OR(A340="",B340=""),"",B340-WEEKDAY(B340,2)+1)</f>
        <v/>
      </c>
      <c r="M340" s="5">
        <f>IF(L340="","",L340+6)</f>
        <v/>
      </c>
      <c r="N340" s="6">
        <f>IF(OR(A340="",B340=""),"",DATE(YEAR(B340),MONTH(B340),1))</f>
        <v/>
      </c>
      <c r="O340" s="7">
        <f>IF(COUNTA(A340:K340)=0,"",IF(OR(A340="",B340=""),"Preencher CPF e entrada",IF(COUNTIFS($A$12:$A$5011,A340,$B$12:$B$5011,B340)&gt;1,"CPF + dia duplicado",IF(OR(AND(G340&lt;&gt;"",G340&lt;&gt;0,G340&lt;&gt;1),AND(H340&lt;&gt;"",H340&lt;&gt;0,H340&lt;&gt;1)),"Flags devem ser 0 ou 1",IF(AND(H340=1,LEN(TRIM(I340))=0),"Preencher nome do indicante",IF(AND(H340&lt;&gt;1,I340&lt;&gt;""),"Nome sem indicação interna",IF(AND(G340=1,F340=""),"Fechamento sem conversa",IF(OR(AND(E340&lt;&gt;"",E340&lt;B340),AND(F340&lt;&gt;"",F340&lt;B340)),"Evento anterior à entrada",IF(AND(F340&lt;&gt;"",E340=""),"Conversa sem agendamento",IF(OR(E340&gt;TODAY(),F340&gt;TODAY()),"Verificar evento futuro","OK"))))))))))</f>
        <v/>
      </c>
    </row>
    <row r="341" spans="12:15">
      <c r="L341" s="5">
        <f>IF(OR(A341="",B341=""),"",B341-WEEKDAY(B341,2)+1)</f>
        <v/>
      </c>
      <c r="M341" s="5">
        <f>IF(L341="","",L341+6)</f>
        <v/>
      </c>
      <c r="N341" s="6">
        <f>IF(OR(A341="",B341=""),"",DATE(YEAR(B341),MONTH(B341),1))</f>
        <v/>
      </c>
      <c r="O341" s="7">
        <f>IF(COUNTA(A341:K341)=0,"",IF(OR(A341="",B341=""),"Preencher CPF e entrada",IF(COUNTIFS($A$12:$A$5011,A341,$B$12:$B$5011,B341)&gt;1,"CPF + dia duplicado",IF(OR(AND(G341&lt;&gt;"",G341&lt;&gt;0,G341&lt;&gt;1),AND(H341&lt;&gt;"",H341&lt;&gt;0,H341&lt;&gt;1)),"Flags devem ser 0 ou 1",IF(AND(H341=1,LEN(TRIM(I341))=0),"Preencher nome do indicante",IF(AND(H341&lt;&gt;1,I341&lt;&gt;""),"Nome sem indicação interna",IF(AND(G341=1,F341=""),"Fechamento sem conversa",IF(OR(AND(E341&lt;&gt;"",E341&lt;B341),AND(F341&lt;&gt;"",F341&lt;B341)),"Evento anterior à entrada",IF(AND(F341&lt;&gt;"",E341=""),"Conversa sem agendamento",IF(OR(E341&gt;TODAY(),F341&gt;TODAY()),"Verificar evento futuro","OK"))))))))))</f>
        <v/>
      </c>
    </row>
    <row r="342" spans="12:15">
      <c r="L342" s="5">
        <f>IF(OR(A342="",B342=""),"",B342-WEEKDAY(B342,2)+1)</f>
        <v/>
      </c>
      <c r="M342" s="5">
        <f>IF(L342="","",L342+6)</f>
        <v/>
      </c>
      <c r="N342" s="6">
        <f>IF(OR(A342="",B342=""),"",DATE(YEAR(B342),MONTH(B342),1))</f>
        <v/>
      </c>
      <c r="O342" s="7">
        <f>IF(COUNTA(A342:K342)=0,"",IF(OR(A342="",B342=""),"Preencher CPF e entrada",IF(COUNTIFS($A$12:$A$5011,A342,$B$12:$B$5011,B342)&gt;1,"CPF + dia duplicado",IF(OR(AND(G342&lt;&gt;"",G342&lt;&gt;0,G342&lt;&gt;1),AND(H342&lt;&gt;"",H342&lt;&gt;0,H342&lt;&gt;1)),"Flags devem ser 0 ou 1",IF(AND(H342=1,LEN(TRIM(I342))=0),"Preencher nome do indicante",IF(AND(H342&lt;&gt;1,I342&lt;&gt;""),"Nome sem indicação interna",IF(AND(G342=1,F342=""),"Fechamento sem conversa",IF(OR(AND(E342&lt;&gt;"",E342&lt;B342),AND(F342&lt;&gt;"",F342&lt;B342)),"Evento anterior à entrada",IF(AND(F342&lt;&gt;"",E342=""),"Conversa sem agendamento",IF(OR(E342&gt;TODAY(),F342&gt;TODAY()),"Verificar evento futuro","OK"))))))))))</f>
        <v/>
      </c>
    </row>
    <row r="343" spans="12:15">
      <c r="L343" s="5">
        <f>IF(OR(A343="",B343=""),"",B343-WEEKDAY(B343,2)+1)</f>
        <v/>
      </c>
      <c r="M343" s="5">
        <f>IF(L343="","",L343+6)</f>
        <v/>
      </c>
      <c r="N343" s="6">
        <f>IF(OR(A343="",B343=""),"",DATE(YEAR(B343),MONTH(B343),1))</f>
        <v/>
      </c>
      <c r="O343" s="7">
        <f>IF(COUNTA(A343:K343)=0,"",IF(OR(A343="",B343=""),"Preencher CPF e entrada",IF(COUNTIFS($A$12:$A$5011,A343,$B$12:$B$5011,B343)&gt;1,"CPF + dia duplicado",IF(OR(AND(G343&lt;&gt;"",G343&lt;&gt;0,G343&lt;&gt;1),AND(H343&lt;&gt;"",H343&lt;&gt;0,H343&lt;&gt;1)),"Flags devem ser 0 ou 1",IF(AND(H343=1,LEN(TRIM(I343))=0),"Preencher nome do indicante",IF(AND(H343&lt;&gt;1,I343&lt;&gt;""),"Nome sem indicação interna",IF(AND(G343=1,F343=""),"Fechamento sem conversa",IF(OR(AND(E343&lt;&gt;"",E343&lt;B343),AND(F343&lt;&gt;"",F343&lt;B343)),"Evento anterior à entrada",IF(AND(F343&lt;&gt;"",E343=""),"Conversa sem agendamento",IF(OR(E343&gt;TODAY(),F343&gt;TODAY()),"Verificar evento futuro","OK"))))))))))</f>
        <v/>
      </c>
    </row>
    <row r="344" spans="12:15">
      <c r="L344" s="5">
        <f>IF(OR(A344="",B344=""),"",B344-WEEKDAY(B344,2)+1)</f>
        <v/>
      </c>
      <c r="M344" s="5">
        <f>IF(L344="","",L344+6)</f>
        <v/>
      </c>
      <c r="N344" s="6">
        <f>IF(OR(A344="",B344=""),"",DATE(YEAR(B344),MONTH(B344),1))</f>
        <v/>
      </c>
      <c r="O344" s="7">
        <f>IF(COUNTA(A344:K344)=0,"",IF(OR(A344="",B344=""),"Preencher CPF e entrada",IF(COUNTIFS($A$12:$A$5011,A344,$B$12:$B$5011,B344)&gt;1,"CPF + dia duplicado",IF(OR(AND(G344&lt;&gt;"",G344&lt;&gt;0,G344&lt;&gt;1),AND(H344&lt;&gt;"",H344&lt;&gt;0,H344&lt;&gt;1)),"Flags devem ser 0 ou 1",IF(AND(H344=1,LEN(TRIM(I344))=0),"Preencher nome do indicante",IF(AND(H344&lt;&gt;1,I344&lt;&gt;""),"Nome sem indicação interna",IF(AND(G344=1,F344=""),"Fechamento sem conversa",IF(OR(AND(E344&lt;&gt;"",E344&lt;B344),AND(F344&lt;&gt;"",F344&lt;B344)),"Evento anterior à entrada",IF(AND(F344&lt;&gt;"",E344=""),"Conversa sem agendamento",IF(OR(E344&gt;TODAY(),F344&gt;TODAY()),"Verificar evento futuro","OK"))))))))))</f>
        <v/>
      </c>
    </row>
    <row r="345" spans="12:15">
      <c r="L345" s="5">
        <f>IF(OR(A345="",B345=""),"",B345-WEEKDAY(B345,2)+1)</f>
        <v/>
      </c>
      <c r="M345" s="5">
        <f>IF(L345="","",L345+6)</f>
        <v/>
      </c>
      <c r="N345" s="6">
        <f>IF(OR(A345="",B345=""),"",DATE(YEAR(B345),MONTH(B345),1))</f>
        <v/>
      </c>
      <c r="O345" s="7">
        <f>IF(COUNTA(A345:K345)=0,"",IF(OR(A345="",B345=""),"Preencher CPF e entrada",IF(COUNTIFS($A$12:$A$5011,A345,$B$12:$B$5011,B345)&gt;1,"CPF + dia duplicado",IF(OR(AND(G345&lt;&gt;"",G345&lt;&gt;0,G345&lt;&gt;1),AND(H345&lt;&gt;"",H345&lt;&gt;0,H345&lt;&gt;1)),"Flags devem ser 0 ou 1",IF(AND(H345=1,LEN(TRIM(I345))=0),"Preencher nome do indicante",IF(AND(H345&lt;&gt;1,I345&lt;&gt;""),"Nome sem indicação interna",IF(AND(G345=1,F345=""),"Fechamento sem conversa",IF(OR(AND(E345&lt;&gt;"",E345&lt;B345),AND(F345&lt;&gt;"",F345&lt;B345)),"Evento anterior à entrada",IF(AND(F345&lt;&gt;"",E345=""),"Conversa sem agendamento",IF(OR(E345&gt;TODAY(),F345&gt;TODAY()),"Verificar evento futuro","OK"))))))))))</f>
        <v/>
      </c>
    </row>
    <row r="346" spans="12:15">
      <c r="L346" s="5">
        <f>IF(OR(A346="",B346=""),"",B346-WEEKDAY(B346,2)+1)</f>
        <v/>
      </c>
      <c r="M346" s="5">
        <f>IF(L346="","",L346+6)</f>
        <v/>
      </c>
      <c r="N346" s="6">
        <f>IF(OR(A346="",B346=""),"",DATE(YEAR(B346),MONTH(B346),1))</f>
        <v/>
      </c>
      <c r="O346" s="7">
        <f>IF(COUNTA(A346:K346)=0,"",IF(OR(A346="",B346=""),"Preencher CPF e entrada",IF(COUNTIFS($A$12:$A$5011,A346,$B$12:$B$5011,B346)&gt;1,"CPF + dia duplicado",IF(OR(AND(G346&lt;&gt;"",G346&lt;&gt;0,G346&lt;&gt;1),AND(H346&lt;&gt;"",H346&lt;&gt;0,H346&lt;&gt;1)),"Flags devem ser 0 ou 1",IF(AND(H346=1,LEN(TRIM(I346))=0),"Preencher nome do indicante",IF(AND(H346&lt;&gt;1,I346&lt;&gt;""),"Nome sem indicação interna",IF(AND(G346=1,F346=""),"Fechamento sem conversa",IF(OR(AND(E346&lt;&gt;"",E346&lt;B346),AND(F346&lt;&gt;"",F346&lt;B346)),"Evento anterior à entrada",IF(AND(F346&lt;&gt;"",E346=""),"Conversa sem agendamento",IF(OR(E346&gt;TODAY(),F346&gt;TODAY()),"Verificar evento futuro","OK"))))))))))</f>
        <v/>
      </c>
    </row>
    <row r="347" spans="12:15">
      <c r="L347" s="5">
        <f>IF(OR(A347="",B347=""),"",B347-WEEKDAY(B347,2)+1)</f>
        <v/>
      </c>
      <c r="M347" s="5">
        <f>IF(L347="","",L347+6)</f>
        <v/>
      </c>
      <c r="N347" s="6">
        <f>IF(OR(A347="",B347=""),"",DATE(YEAR(B347),MONTH(B347),1))</f>
        <v/>
      </c>
      <c r="O347" s="7">
        <f>IF(COUNTA(A347:K347)=0,"",IF(OR(A347="",B347=""),"Preencher CPF e entrada",IF(COUNTIFS($A$12:$A$5011,A347,$B$12:$B$5011,B347)&gt;1,"CPF + dia duplicado",IF(OR(AND(G347&lt;&gt;"",G347&lt;&gt;0,G347&lt;&gt;1),AND(H347&lt;&gt;"",H347&lt;&gt;0,H347&lt;&gt;1)),"Flags devem ser 0 ou 1",IF(AND(H347=1,LEN(TRIM(I347))=0),"Preencher nome do indicante",IF(AND(H347&lt;&gt;1,I347&lt;&gt;""),"Nome sem indicação interna",IF(AND(G347=1,F347=""),"Fechamento sem conversa",IF(OR(AND(E347&lt;&gt;"",E347&lt;B347),AND(F347&lt;&gt;"",F347&lt;B347)),"Evento anterior à entrada",IF(AND(F347&lt;&gt;"",E347=""),"Conversa sem agendamento",IF(OR(E347&gt;TODAY(),F347&gt;TODAY()),"Verificar evento futuro","OK"))))))))))</f>
        <v/>
      </c>
    </row>
    <row r="348" spans="12:15">
      <c r="L348" s="5">
        <f>IF(OR(A348="",B348=""),"",B348-WEEKDAY(B348,2)+1)</f>
        <v/>
      </c>
      <c r="M348" s="5">
        <f>IF(L348="","",L348+6)</f>
        <v/>
      </c>
      <c r="N348" s="6">
        <f>IF(OR(A348="",B348=""),"",DATE(YEAR(B348),MONTH(B348),1))</f>
        <v/>
      </c>
      <c r="O348" s="7">
        <f>IF(COUNTA(A348:K348)=0,"",IF(OR(A348="",B348=""),"Preencher CPF e entrada",IF(COUNTIFS($A$12:$A$5011,A348,$B$12:$B$5011,B348)&gt;1,"CPF + dia duplicado",IF(OR(AND(G348&lt;&gt;"",G348&lt;&gt;0,G348&lt;&gt;1),AND(H348&lt;&gt;"",H348&lt;&gt;0,H348&lt;&gt;1)),"Flags devem ser 0 ou 1",IF(AND(H348=1,LEN(TRIM(I348))=0),"Preencher nome do indicante",IF(AND(H348&lt;&gt;1,I348&lt;&gt;""),"Nome sem indicação interna",IF(AND(G348=1,F348=""),"Fechamento sem conversa",IF(OR(AND(E348&lt;&gt;"",E348&lt;B348),AND(F348&lt;&gt;"",F348&lt;B348)),"Evento anterior à entrada",IF(AND(F348&lt;&gt;"",E348=""),"Conversa sem agendamento",IF(OR(E348&gt;TODAY(),F348&gt;TODAY()),"Verificar evento futuro","OK"))))))))))</f>
        <v/>
      </c>
    </row>
    <row r="349" spans="12:15">
      <c r="L349" s="5">
        <f>IF(OR(A349="",B349=""),"",B349-WEEKDAY(B349,2)+1)</f>
        <v/>
      </c>
      <c r="M349" s="5">
        <f>IF(L349="","",L349+6)</f>
        <v/>
      </c>
      <c r="N349" s="6">
        <f>IF(OR(A349="",B349=""),"",DATE(YEAR(B349),MONTH(B349),1))</f>
        <v/>
      </c>
      <c r="O349" s="7">
        <f>IF(COUNTA(A349:K349)=0,"",IF(OR(A349="",B349=""),"Preencher CPF e entrada",IF(COUNTIFS($A$12:$A$5011,A349,$B$12:$B$5011,B349)&gt;1,"CPF + dia duplicado",IF(OR(AND(G349&lt;&gt;"",G349&lt;&gt;0,G349&lt;&gt;1),AND(H349&lt;&gt;"",H349&lt;&gt;0,H349&lt;&gt;1)),"Flags devem ser 0 ou 1",IF(AND(H349=1,LEN(TRIM(I349))=0),"Preencher nome do indicante",IF(AND(H349&lt;&gt;1,I349&lt;&gt;""),"Nome sem indicação interna",IF(AND(G349=1,F349=""),"Fechamento sem conversa",IF(OR(AND(E349&lt;&gt;"",E349&lt;B349),AND(F349&lt;&gt;"",F349&lt;B349)),"Evento anterior à entrada",IF(AND(F349&lt;&gt;"",E349=""),"Conversa sem agendamento",IF(OR(E349&gt;TODAY(),F349&gt;TODAY()),"Verificar evento futuro","OK"))))))))))</f>
        <v/>
      </c>
    </row>
    <row r="350" spans="12:15">
      <c r="L350" s="5">
        <f>IF(OR(A350="",B350=""),"",B350-WEEKDAY(B350,2)+1)</f>
        <v/>
      </c>
      <c r="M350" s="5">
        <f>IF(L350="","",L350+6)</f>
        <v/>
      </c>
      <c r="N350" s="6">
        <f>IF(OR(A350="",B350=""),"",DATE(YEAR(B350),MONTH(B350),1))</f>
        <v/>
      </c>
      <c r="O350" s="7">
        <f>IF(COUNTA(A350:K350)=0,"",IF(OR(A350="",B350=""),"Preencher CPF e entrada",IF(COUNTIFS($A$12:$A$5011,A350,$B$12:$B$5011,B350)&gt;1,"CPF + dia duplicado",IF(OR(AND(G350&lt;&gt;"",G350&lt;&gt;0,G350&lt;&gt;1),AND(H350&lt;&gt;"",H350&lt;&gt;0,H350&lt;&gt;1)),"Flags devem ser 0 ou 1",IF(AND(H350=1,LEN(TRIM(I350))=0),"Preencher nome do indicante",IF(AND(H350&lt;&gt;1,I350&lt;&gt;""),"Nome sem indicação interna",IF(AND(G350=1,F350=""),"Fechamento sem conversa",IF(OR(AND(E350&lt;&gt;"",E350&lt;B350),AND(F350&lt;&gt;"",F350&lt;B350)),"Evento anterior à entrada",IF(AND(F350&lt;&gt;"",E350=""),"Conversa sem agendamento",IF(OR(E350&gt;TODAY(),F350&gt;TODAY()),"Verificar evento futuro","OK"))))))))))</f>
        <v/>
      </c>
    </row>
    <row r="351" spans="12:15">
      <c r="L351" s="5">
        <f>IF(OR(A351="",B351=""),"",B351-WEEKDAY(B351,2)+1)</f>
        <v/>
      </c>
      <c r="M351" s="5">
        <f>IF(L351="","",L351+6)</f>
        <v/>
      </c>
      <c r="N351" s="6">
        <f>IF(OR(A351="",B351=""),"",DATE(YEAR(B351),MONTH(B351),1))</f>
        <v/>
      </c>
      <c r="O351" s="7">
        <f>IF(COUNTA(A351:K351)=0,"",IF(OR(A351="",B351=""),"Preencher CPF e entrada",IF(COUNTIFS($A$12:$A$5011,A351,$B$12:$B$5011,B351)&gt;1,"CPF + dia duplicado",IF(OR(AND(G351&lt;&gt;"",G351&lt;&gt;0,G351&lt;&gt;1),AND(H351&lt;&gt;"",H351&lt;&gt;0,H351&lt;&gt;1)),"Flags devem ser 0 ou 1",IF(AND(H351=1,LEN(TRIM(I351))=0),"Preencher nome do indicante",IF(AND(H351&lt;&gt;1,I351&lt;&gt;""),"Nome sem indicação interna",IF(AND(G351=1,F351=""),"Fechamento sem conversa",IF(OR(AND(E351&lt;&gt;"",E351&lt;B351),AND(F351&lt;&gt;"",F351&lt;B351)),"Evento anterior à entrada",IF(AND(F351&lt;&gt;"",E351=""),"Conversa sem agendamento",IF(OR(E351&gt;TODAY(),F351&gt;TODAY()),"Verificar evento futuro","OK"))))))))))</f>
        <v/>
      </c>
    </row>
    <row r="352" spans="12:15">
      <c r="L352" s="5">
        <f>IF(OR(A352="",B352=""),"",B352-WEEKDAY(B352,2)+1)</f>
        <v/>
      </c>
      <c r="M352" s="5">
        <f>IF(L352="","",L352+6)</f>
        <v/>
      </c>
      <c r="N352" s="6">
        <f>IF(OR(A352="",B352=""),"",DATE(YEAR(B352),MONTH(B352),1))</f>
        <v/>
      </c>
      <c r="O352" s="7">
        <f>IF(COUNTA(A352:K352)=0,"",IF(OR(A352="",B352=""),"Preencher CPF e entrada",IF(COUNTIFS($A$12:$A$5011,A352,$B$12:$B$5011,B352)&gt;1,"CPF + dia duplicado",IF(OR(AND(G352&lt;&gt;"",G352&lt;&gt;0,G352&lt;&gt;1),AND(H352&lt;&gt;"",H352&lt;&gt;0,H352&lt;&gt;1)),"Flags devem ser 0 ou 1",IF(AND(H352=1,LEN(TRIM(I352))=0),"Preencher nome do indicante",IF(AND(H352&lt;&gt;1,I352&lt;&gt;""),"Nome sem indicação interna",IF(AND(G352=1,F352=""),"Fechamento sem conversa",IF(OR(AND(E352&lt;&gt;"",E352&lt;B352),AND(F352&lt;&gt;"",F352&lt;B352)),"Evento anterior à entrada",IF(AND(F352&lt;&gt;"",E352=""),"Conversa sem agendamento",IF(OR(E352&gt;TODAY(),F352&gt;TODAY()),"Verificar evento futuro","OK"))))))))))</f>
        <v/>
      </c>
    </row>
    <row r="353" spans="12:15">
      <c r="L353" s="5">
        <f>IF(OR(A353="",B353=""),"",B353-WEEKDAY(B353,2)+1)</f>
        <v/>
      </c>
      <c r="M353" s="5">
        <f>IF(L353="","",L353+6)</f>
        <v/>
      </c>
      <c r="N353" s="6">
        <f>IF(OR(A353="",B353=""),"",DATE(YEAR(B353),MONTH(B353),1))</f>
        <v/>
      </c>
      <c r="O353" s="7">
        <f>IF(COUNTA(A353:K353)=0,"",IF(OR(A353="",B353=""),"Preencher CPF e entrada",IF(COUNTIFS($A$12:$A$5011,A353,$B$12:$B$5011,B353)&gt;1,"CPF + dia duplicado",IF(OR(AND(G353&lt;&gt;"",G353&lt;&gt;0,G353&lt;&gt;1),AND(H353&lt;&gt;"",H353&lt;&gt;0,H353&lt;&gt;1)),"Flags devem ser 0 ou 1",IF(AND(H353=1,LEN(TRIM(I353))=0),"Preencher nome do indicante",IF(AND(H353&lt;&gt;1,I353&lt;&gt;""),"Nome sem indicação interna",IF(AND(G353=1,F353=""),"Fechamento sem conversa",IF(OR(AND(E353&lt;&gt;"",E353&lt;B353),AND(F353&lt;&gt;"",F353&lt;B353)),"Evento anterior à entrada",IF(AND(F353&lt;&gt;"",E353=""),"Conversa sem agendamento",IF(OR(E353&gt;TODAY(),F353&gt;TODAY()),"Verificar evento futuro","OK"))))))))))</f>
        <v/>
      </c>
    </row>
    <row r="354" spans="12:15">
      <c r="L354" s="5">
        <f>IF(OR(A354="",B354=""),"",B354-WEEKDAY(B354,2)+1)</f>
        <v/>
      </c>
      <c r="M354" s="5">
        <f>IF(L354="","",L354+6)</f>
        <v/>
      </c>
      <c r="N354" s="6">
        <f>IF(OR(A354="",B354=""),"",DATE(YEAR(B354),MONTH(B354),1))</f>
        <v/>
      </c>
      <c r="O354" s="7">
        <f>IF(COUNTA(A354:K354)=0,"",IF(OR(A354="",B354=""),"Preencher CPF e entrada",IF(COUNTIFS($A$12:$A$5011,A354,$B$12:$B$5011,B354)&gt;1,"CPF + dia duplicado",IF(OR(AND(G354&lt;&gt;"",G354&lt;&gt;0,G354&lt;&gt;1),AND(H354&lt;&gt;"",H354&lt;&gt;0,H354&lt;&gt;1)),"Flags devem ser 0 ou 1",IF(AND(H354=1,LEN(TRIM(I354))=0),"Preencher nome do indicante",IF(AND(H354&lt;&gt;1,I354&lt;&gt;""),"Nome sem indicação interna",IF(AND(G354=1,F354=""),"Fechamento sem conversa",IF(OR(AND(E354&lt;&gt;"",E354&lt;B354),AND(F354&lt;&gt;"",F354&lt;B354)),"Evento anterior à entrada",IF(AND(F354&lt;&gt;"",E354=""),"Conversa sem agendamento",IF(OR(E354&gt;TODAY(),F354&gt;TODAY()),"Verificar evento futuro","OK"))))))))))</f>
        <v/>
      </c>
    </row>
    <row r="355" spans="12:15">
      <c r="L355" s="5">
        <f>IF(OR(A355="",B355=""),"",B355-WEEKDAY(B355,2)+1)</f>
        <v/>
      </c>
      <c r="M355" s="5">
        <f>IF(L355="","",L355+6)</f>
        <v/>
      </c>
      <c r="N355" s="6">
        <f>IF(OR(A355="",B355=""),"",DATE(YEAR(B355),MONTH(B355),1))</f>
        <v/>
      </c>
      <c r="O355" s="7">
        <f>IF(COUNTA(A355:K355)=0,"",IF(OR(A355="",B355=""),"Preencher CPF e entrada",IF(COUNTIFS($A$12:$A$5011,A355,$B$12:$B$5011,B355)&gt;1,"CPF + dia duplicado",IF(OR(AND(G355&lt;&gt;"",G355&lt;&gt;0,G355&lt;&gt;1),AND(H355&lt;&gt;"",H355&lt;&gt;0,H355&lt;&gt;1)),"Flags devem ser 0 ou 1",IF(AND(H355=1,LEN(TRIM(I355))=0),"Preencher nome do indicante",IF(AND(H355&lt;&gt;1,I355&lt;&gt;""),"Nome sem indicação interna",IF(AND(G355=1,F355=""),"Fechamento sem conversa",IF(OR(AND(E355&lt;&gt;"",E355&lt;B355),AND(F355&lt;&gt;"",F355&lt;B355)),"Evento anterior à entrada",IF(AND(F355&lt;&gt;"",E355=""),"Conversa sem agendamento",IF(OR(E355&gt;TODAY(),F355&gt;TODAY()),"Verificar evento futuro","OK"))))))))))</f>
        <v/>
      </c>
    </row>
    <row r="356" spans="12:15">
      <c r="L356" s="5">
        <f>IF(OR(A356="",B356=""),"",B356-WEEKDAY(B356,2)+1)</f>
        <v/>
      </c>
      <c r="M356" s="5">
        <f>IF(L356="","",L356+6)</f>
        <v/>
      </c>
      <c r="N356" s="6">
        <f>IF(OR(A356="",B356=""),"",DATE(YEAR(B356),MONTH(B356),1))</f>
        <v/>
      </c>
      <c r="O356" s="7">
        <f>IF(COUNTA(A356:K356)=0,"",IF(OR(A356="",B356=""),"Preencher CPF e entrada",IF(COUNTIFS($A$12:$A$5011,A356,$B$12:$B$5011,B356)&gt;1,"CPF + dia duplicado",IF(OR(AND(G356&lt;&gt;"",G356&lt;&gt;0,G356&lt;&gt;1),AND(H356&lt;&gt;"",H356&lt;&gt;0,H356&lt;&gt;1)),"Flags devem ser 0 ou 1",IF(AND(H356=1,LEN(TRIM(I356))=0),"Preencher nome do indicante",IF(AND(H356&lt;&gt;1,I356&lt;&gt;""),"Nome sem indicação interna",IF(AND(G356=1,F356=""),"Fechamento sem conversa",IF(OR(AND(E356&lt;&gt;"",E356&lt;B356),AND(F356&lt;&gt;"",F356&lt;B356)),"Evento anterior à entrada",IF(AND(F356&lt;&gt;"",E356=""),"Conversa sem agendamento",IF(OR(E356&gt;TODAY(),F356&gt;TODAY()),"Verificar evento futuro","OK"))))))))))</f>
        <v/>
      </c>
    </row>
    <row r="357" spans="12:15">
      <c r="L357" s="5">
        <f>IF(OR(A357="",B357=""),"",B357-WEEKDAY(B357,2)+1)</f>
        <v/>
      </c>
      <c r="M357" s="5">
        <f>IF(L357="","",L357+6)</f>
        <v/>
      </c>
      <c r="N357" s="6">
        <f>IF(OR(A357="",B357=""),"",DATE(YEAR(B357),MONTH(B357),1))</f>
        <v/>
      </c>
      <c r="O357" s="7">
        <f>IF(COUNTA(A357:K357)=0,"",IF(OR(A357="",B357=""),"Preencher CPF e entrada",IF(COUNTIFS($A$12:$A$5011,A357,$B$12:$B$5011,B357)&gt;1,"CPF + dia duplicado",IF(OR(AND(G357&lt;&gt;"",G357&lt;&gt;0,G357&lt;&gt;1),AND(H357&lt;&gt;"",H357&lt;&gt;0,H357&lt;&gt;1)),"Flags devem ser 0 ou 1",IF(AND(H357=1,LEN(TRIM(I357))=0),"Preencher nome do indicante",IF(AND(H357&lt;&gt;1,I357&lt;&gt;""),"Nome sem indicação interna",IF(AND(G357=1,F357=""),"Fechamento sem conversa",IF(OR(AND(E357&lt;&gt;"",E357&lt;B357),AND(F357&lt;&gt;"",F357&lt;B357)),"Evento anterior à entrada",IF(AND(F357&lt;&gt;"",E357=""),"Conversa sem agendamento",IF(OR(E357&gt;TODAY(),F357&gt;TODAY()),"Verificar evento futuro","OK"))))))))))</f>
        <v/>
      </c>
    </row>
    <row r="358" spans="12:15">
      <c r="L358" s="5">
        <f>IF(OR(A358="",B358=""),"",B358-WEEKDAY(B358,2)+1)</f>
        <v/>
      </c>
      <c r="M358" s="5">
        <f>IF(L358="","",L358+6)</f>
        <v/>
      </c>
      <c r="N358" s="6">
        <f>IF(OR(A358="",B358=""),"",DATE(YEAR(B358),MONTH(B358),1))</f>
        <v/>
      </c>
      <c r="O358" s="7">
        <f>IF(COUNTA(A358:K358)=0,"",IF(OR(A358="",B358=""),"Preencher CPF e entrada",IF(COUNTIFS($A$12:$A$5011,A358,$B$12:$B$5011,B358)&gt;1,"CPF + dia duplicado",IF(OR(AND(G358&lt;&gt;"",G358&lt;&gt;0,G358&lt;&gt;1),AND(H358&lt;&gt;"",H358&lt;&gt;0,H358&lt;&gt;1)),"Flags devem ser 0 ou 1",IF(AND(H358=1,LEN(TRIM(I358))=0),"Preencher nome do indicante",IF(AND(H358&lt;&gt;1,I358&lt;&gt;""),"Nome sem indicação interna",IF(AND(G358=1,F358=""),"Fechamento sem conversa",IF(OR(AND(E358&lt;&gt;"",E358&lt;B358),AND(F358&lt;&gt;"",F358&lt;B358)),"Evento anterior à entrada",IF(AND(F358&lt;&gt;"",E358=""),"Conversa sem agendamento",IF(OR(E358&gt;TODAY(),F358&gt;TODAY()),"Verificar evento futuro","OK"))))))))))</f>
        <v/>
      </c>
    </row>
    <row r="359" spans="12:15">
      <c r="L359" s="5">
        <f>IF(OR(A359="",B359=""),"",B359-WEEKDAY(B359,2)+1)</f>
        <v/>
      </c>
      <c r="M359" s="5">
        <f>IF(L359="","",L359+6)</f>
        <v/>
      </c>
      <c r="N359" s="6">
        <f>IF(OR(A359="",B359=""),"",DATE(YEAR(B359),MONTH(B359),1))</f>
        <v/>
      </c>
      <c r="O359" s="7">
        <f>IF(COUNTA(A359:K359)=0,"",IF(OR(A359="",B359=""),"Preencher CPF e entrada",IF(COUNTIFS($A$12:$A$5011,A359,$B$12:$B$5011,B359)&gt;1,"CPF + dia duplicado",IF(OR(AND(G359&lt;&gt;"",G359&lt;&gt;0,G359&lt;&gt;1),AND(H359&lt;&gt;"",H359&lt;&gt;0,H359&lt;&gt;1)),"Flags devem ser 0 ou 1",IF(AND(H359=1,LEN(TRIM(I359))=0),"Preencher nome do indicante",IF(AND(H359&lt;&gt;1,I359&lt;&gt;""),"Nome sem indicação interna",IF(AND(G359=1,F359=""),"Fechamento sem conversa",IF(OR(AND(E359&lt;&gt;"",E359&lt;B359),AND(F359&lt;&gt;"",F359&lt;B359)),"Evento anterior à entrada",IF(AND(F359&lt;&gt;"",E359=""),"Conversa sem agendamento",IF(OR(E359&gt;TODAY(),F359&gt;TODAY()),"Verificar evento futuro","OK"))))))))))</f>
        <v/>
      </c>
    </row>
    <row r="360" spans="12:15">
      <c r="L360" s="5">
        <f>IF(OR(A360="",B360=""),"",B360-WEEKDAY(B360,2)+1)</f>
        <v/>
      </c>
      <c r="M360" s="5">
        <f>IF(L360="","",L360+6)</f>
        <v/>
      </c>
      <c r="N360" s="6">
        <f>IF(OR(A360="",B360=""),"",DATE(YEAR(B360),MONTH(B360),1))</f>
        <v/>
      </c>
      <c r="O360" s="7">
        <f>IF(COUNTA(A360:K360)=0,"",IF(OR(A360="",B360=""),"Preencher CPF e entrada",IF(COUNTIFS($A$12:$A$5011,A360,$B$12:$B$5011,B360)&gt;1,"CPF + dia duplicado",IF(OR(AND(G360&lt;&gt;"",G360&lt;&gt;0,G360&lt;&gt;1),AND(H360&lt;&gt;"",H360&lt;&gt;0,H360&lt;&gt;1)),"Flags devem ser 0 ou 1",IF(AND(H360=1,LEN(TRIM(I360))=0),"Preencher nome do indicante",IF(AND(H360&lt;&gt;1,I360&lt;&gt;""),"Nome sem indicação interna",IF(AND(G360=1,F360=""),"Fechamento sem conversa",IF(OR(AND(E360&lt;&gt;"",E360&lt;B360),AND(F360&lt;&gt;"",F360&lt;B360)),"Evento anterior à entrada",IF(AND(F360&lt;&gt;"",E360=""),"Conversa sem agendamento",IF(OR(E360&gt;TODAY(),F360&gt;TODAY()),"Verificar evento futuro","OK"))))))))))</f>
        <v/>
      </c>
    </row>
    <row r="361" spans="12:15">
      <c r="L361" s="5">
        <f>IF(OR(A361="",B361=""),"",B361-WEEKDAY(B361,2)+1)</f>
        <v/>
      </c>
      <c r="M361" s="5">
        <f>IF(L361="","",L361+6)</f>
        <v/>
      </c>
      <c r="N361" s="6">
        <f>IF(OR(A361="",B361=""),"",DATE(YEAR(B361),MONTH(B361),1))</f>
        <v/>
      </c>
      <c r="O361" s="7">
        <f>IF(COUNTA(A361:K361)=0,"",IF(OR(A361="",B361=""),"Preencher CPF e entrada",IF(COUNTIFS($A$12:$A$5011,A361,$B$12:$B$5011,B361)&gt;1,"CPF + dia duplicado",IF(OR(AND(G361&lt;&gt;"",G361&lt;&gt;0,G361&lt;&gt;1),AND(H361&lt;&gt;"",H361&lt;&gt;0,H361&lt;&gt;1)),"Flags devem ser 0 ou 1",IF(AND(H361=1,LEN(TRIM(I361))=0),"Preencher nome do indicante",IF(AND(H361&lt;&gt;1,I361&lt;&gt;""),"Nome sem indicação interna",IF(AND(G361=1,F361=""),"Fechamento sem conversa",IF(OR(AND(E361&lt;&gt;"",E361&lt;B361),AND(F361&lt;&gt;"",F361&lt;B361)),"Evento anterior à entrada",IF(AND(F361&lt;&gt;"",E361=""),"Conversa sem agendamento",IF(OR(E361&gt;TODAY(),F361&gt;TODAY()),"Verificar evento futuro","OK"))))))))))</f>
        <v/>
      </c>
    </row>
    <row r="362" spans="12:15">
      <c r="L362" s="5">
        <f>IF(OR(A362="",B362=""),"",B362-WEEKDAY(B362,2)+1)</f>
        <v/>
      </c>
      <c r="M362" s="5">
        <f>IF(L362="","",L362+6)</f>
        <v/>
      </c>
      <c r="N362" s="6">
        <f>IF(OR(A362="",B362=""),"",DATE(YEAR(B362),MONTH(B362),1))</f>
        <v/>
      </c>
      <c r="O362" s="7">
        <f>IF(COUNTA(A362:K362)=0,"",IF(OR(A362="",B362=""),"Preencher CPF e entrada",IF(COUNTIFS($A$12:$A$5011,A362,$B$12:$B$5011,B362)&gt;1,"CPF + dia duplicado",IF(OR(AND(G362&lt;&gt;"",G362&lt;&gt;0,G362&lt;&gt;1),AND(H362&lt;&gt;"",H362&lt;&gt;0,H362&lt;&gt;1)),"Flags devem ser 0 ou 1",IF(AND(H362=1,LEN(TRIM(I362))=0),"Preencher nome do indicante",IF(AND(H362&lt;&gt;1,I362&lt;&gt;""),"Nome sem indicação interna",IF(AND(G362=1,F362=""),"Fechamento sem conversa",IF(OR(AND(E362&lt;&gt;"",E362&lt;B362),AND(F362&lt;&gt;"",F362&lt;B362)),"Evento anterior à entrada",IF(AND(F362&lt;&gt;"",E362=""),"Conversa sem agendamento",IF(OR(E362&gt;TODAY(),F362&gt;TODAY()),"Verificar evento futuro","OK"))))))))))</f>
        <v/>
      </c>
    </row>
    <row r="363" spans="12:15">
      <c r="L363" s="5">
        <f>IF(OR(A363="",B363=""),"",B363-WEEKDAY(B363,2)+1)</f>
        <v/>
      </c>
      <c r="M363" s="5">
        <f>IF(L363="","",L363+6)</f>
        <v/>
      </c>
      <c r="N363" s="6">
        <f>IF(OR(A363="",B363=""),"",DATE(YEAR(B363),MONTH(B363),1))</f>
        <v/>
      </c>
      <c r="O363" s="7">
        <f>IF(COUNTA(A363:K363)=0,"",IF(OR(A363="",B363=""),"Preencher CPF e entrada",IF(COUNTIFS($A$12:$A$5011,A363,$B$12:$B$5011,B363)&gt;1,"CPF + dia duplicado",IF(OR(AND(G363&lt;&gt;"",G363&lt;&gt;0,G363&lt;&gt;1),AND(H363&lt;&gt;"",H363&lt;&gt;0,H363&lt;&gt;1)),"Flags devem ser 0 ou 1",IF(AND(H363=1,LEN(TRIM(I363))=0),"Preencher nome do indicante",IF(AND(H363&lt;&gt;1,I363&lt;&gt;""),"Nome sem indicação interna",IF(AND(G363=1,F363=""),"Fechamento sem conversa",IF(OR(AND(E363&lt;&gt;"",E363&lt;B363),AND(F363&lt;&gt;"",F363&lt;B363)),"Evento anterior à entrada",IF(AND(F363&lt;&gt;"",E363=""),"Conversa sem agendamento",IF(OR(E363&gt;TODAY(),F363&gt;TODAY()),"Verificar evento futuro","OK"))))))))))</f>
        <v/>
      </c>
    </row>
    <row r="364" spans="12:15">
      <c r="L364" s="5">
        <f>IF(OR(A364="",B364=""),"",B364-WEEKDAY(B364,2)+1)</f>
        <v/>
      </c>
      <c r="M364" s="5">
        <f>IF(L364="","",L364+6)</f>
        <v/>
      </c>
      <c r="N364" s="6">
        <f>IF(OR(A364="",B364=""),"",DATE(YEAR(B364),MONTH(B364),1))</f>
        <v/>
      </c>
      <c r="O364" s="7">
        <f>IF(COUNTA(A364:K364)=0,"",IF(OR(A364="",B364=""),"Preencher CPF e entrada",IF(COUNTIFS($A$12:$A$5011,A364,$B$12:$B$5011,B364)&gt;1,"CPF + dia duplicado",IF(OR(AND(G364&lt;&gt;"",G364&lt;&gt;0,G364&lt;&gt;1),AND(H364&lt;&gt;"",H364&lt;&gt;0,H364&lt;&gt;1)),"Flags devem ser 0 ou 1",IF(AND(H364=1,LEN(TRIM(I364))=0),"Preencher nome do indicante",IF(AND(H364&lt;&gt;1,I364&lt;&gt;""),"Nome sem indicação interna",IF(AND(G364=1,F364=""),"Fechamento sem conversa",IF(OR(AND(E364&lt;&gt;"",E364&lt;B364),AND(F364&lt;&gt;"",F364&lt;B364)),"Evento anterior à entrada",IF(AND(F364&lt;&gt;"",E364=""),"Conversa sem agendamento",IF(OR(E364&gt;TODAY(),F364&gt;TODAY()),"Verificar evento futuro","OK"))))))))))</f>
        <v/>
      </c>
    </row>
    <row r="365" spans="12:15">
      <c r="L365" s="5">
        <f>IF(OR(A365="",B365=""),"",B365-WEEKDAY(B365,2)+1)</f>
        <v/>
      </c>
      <c r="M365" s="5">
        <f>IF(L365="","",L365+6)</f>
        <v/>
      </c>
      <c r="N365" s="6">
        <f>IF(OR(A365="",B365=""),"",DATE(YEAR(B365),MONTH(B365),1))</f>
        <v/>
      </c>
      <c r="O365" s="7">
        <f>IF(COUNTA(A365:K365)=0,"",IF(OR(A365="",B365=""),"Preencher CPF e entrada",IF(COUNTIFS($A$12:$A$5011,A365,$B$12:$B$5011,B365)&gt;1,"CPF + dia duplicado",IF(OR(AND(G365&lt;&gt;"",G365&lt;&gt;0,G365&lt;&gt;1),AND(H365&lt;&gt;"",H365&lt;&gt;0,H365&lt;&gt;1)),"Flags devem ser 0 ou 1",IF(AND(H365=1,LEN(TRIM(I365))=0),"Preencher nome do indicante",IF(AND(H365&lt;&gt;1,I365&lt;&gt;""),"Nome sem indicação interna",IF(AND(G365=1,F365=""),"Fechamento sem conversa",IF(OR(AND(E365&lt;&gt;"",E365&lt;B365),AND(F365&lt;&gt;"",F365&lt;B365)),"Evento anterior à entrada",IF(AND(F365&lt;&gt;"",E365=""),"Conversa sem agendamento",IF(OR(E365&gt;TODAY(),F365&gt;TODAY()),"Verificar evento futuro","OK"))))))))))</f>
        <v/>
      </c>
    </row>
    <row r="366" spans="12:15">
      <c r="L366" s="5">
        <f>IF(OR(A366="",B366=""),"",B366-WEEKDAY(B366,2)+1)</f>
        <v/>
      </c>
      <c r="M366" s="5">
        <f>IF(L366="","",L366+6)</f>
        <v/>
      </c>
      <c r="N366" s="6">
        <f>IF(OR(A366="",B366=""),"",DATE(YEAR(B366),MONTH(B366),1))</f>
        <v/>
      </c>
      <c r="O366" s="7">
        <f>IF(COUNTA(A366:K366)=0,"",IF(OR(A366="",B366=""),"Preencher CPF e entrada",IF(COUNTIFS($A$12:$A$5011,A366,$B$12:$B$5011,B366)&gt;1,"CPF + dia duplicado",IF(OR(AND(G366&lt;&gt;"",G366&lt;&gt;0,G366&lt;&gt;1),AND(H366&lt;&gt;"",H366&lt;&gt;0,H366&lt;&gt;1)),"Flags devem ser 0 ou 1",IF(AND(H366=1,LEN(TRIM(I366))=0),"Preencher nome do indicante",IF(AND(H366&lt;&gt;1,I366&lt;&gt;""),"Nome sem indicação interna",IF(AND(G366=1,F366=""),"Fechamento sem conversa",IF(OR(AND(E366&lt;&gt;"",E366&lt;B366),AND(F366&lt;&gt;"",F366&lt;B366)),"Evento anterior à entrada",IF(AND(F366&lt;&gt;"",E366=""),"Conversa sem agendamento",IF(OR(E366&gt;TODAY(),F366&gt;TODAY()),"Verificar evento futuro","OK"))))))))))</f>
        <v/>
      </c>
    </row>
    <row r="367" spans="12:15">
      <c r="L367" s="5">
        <f>IF(OR(A367="",B367=""),"",B367-WEEKDAY(B367,2)+1)</f>
        <v/>
      </c>
      <c r="M367" s="5">
        <f>IF(L367="","",L367+6)</f>
        <v/>
      </c>
      <c r="N367" s="6">
        <f>IF(OR(A367="",B367=""),"",DATE(YEAR(B367),MONTH(B367),1))</f>
        <v/>
      </c>
      <c r="O367" s="7">
        <f>IF(COUNTA(A367:K367)=0,"",IF(OR(A367="",B367=""),"Preencher CPF e entrada",IF(COUNTIFS($A$12:$A$5011,A367,$B$12:$B$5011,B367)&gt;1,"CPF + dia duplicado",IF(OR(AND(G367&lt;&gt;"",G367&lt;&gt;0,G367&lt;&gt;1),AND(H367&lt;&gt;"",H367&lt;&gt;0,H367&lt;&gt;1)),"Flags devem ser 0 ou 1",IF(AND(H367=1,LEN(TRIM(I367))=0),"Preencher nome do indicante",IF(AND(H367&lt;&gt;1,I367&lt;&gt;""),"Nome sem indicação interna",IF(AND(G367=1,F367=""),"Fechamento sem conversa",IF(OR(AND(E367&lt;&gt;"",E367&lt;B367),AND(F367&lt;&gt;"",F367&lt;B367)),"Evento anterior à entrada",IF(AND(F367&lt;&gt;"",E367=""),"Conversa sem agendamento",IF(OR(E367&gt;TODAY(),F367&gt;TODAY()),"Verificar evento futuro","OK"))))))))))</f>
        <v/>
      </c>
    </row>
    <row r="368" spans="12:15">
      <c r="L368" s="5">
        <f>IF(OR(A368="",B368=""),"",B368-WEEKDAY(B368,2)+1)</f>
        <v/>
      </c>
      <c r="M368" s="5">
        <f>IF(L368="","",L368+6)</f>
        <v/>
      </c>
      <c r="N368" s="6">
        <f>IF(OR(A368="",B368=""),"",DATE(YEAR(B368),MONTH(B368),1))</f>
        <v/>
      </c>
      <c r="O368" s="7">
        <f>IF(COUNTA(A368:K368)=0,"",IF(OR(A368="",B368=""),"Preencher CPF e entrada",IF(COUNTIFS($A$12:$A$5011,A368,$B$12:$B$5011,B368)&gt;1,"CPF + dia duplicado",IF(OR(AND(G368&lt;&gt;"",G368&lt;&gt;0,G368&lt;&gt;1),AND(H368&lt;&gt;"",H368&lt;&gt;0,H368&lt;&gt;1)),"Flags devem ser 0 ou 1",IF(AND(H368=1,LEN(TRIM(I368))=0),"Preencher nome do indicante",IF(AND(H368&lt;&gt;1,I368&lt;&gt;""),"Nome sem indicação interna",IF(AND(G368=1,F368=""),"Fechamento sem conversa",IF(OR(AND(E368&lt;&gt;"",E368&lt;B368),AND(F368&lt;&gt;"",F368&lt;B368)),"Evento anterior à entrada",IF(AND(F368&lt;&gt;"",E368=""),"Conversa sem agendamento",IF(OR(E368&gt;TODAY(),F368&gt;TODAY()),"Verificar evento futuro","OK"))))))))))</f>
        <v/>
      </c>
    </row>
    <row r="369" spans="12:15">
      <c r="L369" s="5">
        <f>IF(OR(A369="",B369=""),"",B369-WEEKDAY(B369,2)+1)</f>
        <v/>
      </c>
      <c r="M369" s="5">
        <f>IF(L369="","",L369+6)</f>
        <v/>
      </c>
      <c r="N369" s="6">
        <f>IF(OR(A369="",B369=""),"",DATE(YEAR(B369),MONTH(B369),1))</f>
        <v/>
      </c>
      <c r="O369" s="7">
        <f>IF(COUNTA(A369:K369)=0,"",IF(OR(A369="",B369=""),"Preencher CPF e entrada",IF(COUNTIFS($A$12:$A$5011,A369,$B$12:$B$5011,B369)&gt;1,"CPF + dia duplicado",IF(OR(AND(G369&lt;&gt;"",G369&lt;&gt;0,G369&lt;&gt;1),AND(H369&lt;&gt;"",H369&lt;&gt;0,H369&lt;&gt;1)),"Flags devem ser 0 ou 1",IF(AND(H369=1,LEN(TRIM(I369))=0),"Preencher nome do indicante",IF(AND(H369&lt;&gt;1,I369&lt;&gt;""),"Nome sem indicação interna",IF(AND(G369=1,F369=""),"Fechamento sem conversa",IF(OR(AND(E369&lt;&gt;"",E369&lt;B369),AND(F369&lt;&gt;"",F369&lt;B369)),"Evento anterior à entrada",IF(AND(F369&lt;&gt;"",E369=""),"Conversa sem agendamento",IF(OR(E369&gt;TODAY(),F369&gt;TODAY()),"Verificar evento futuro","OK"))))))))))</f>
        <v/>
      </c>
    </row>
    <row r="370" spans="12:15">
      <c r="L370" s="5">
        <f>IF(OR(A370="",B370=""),"",B370-WEEKDAY(B370,2)+1)</f>
        <v/>
      </c>
      <c r="M370" s="5">
        <f>IF(L370="","",L370+6)</f>
        <v/>
      </c>
      <c r="N370" s="6">
        <f>IF(OR(A370="",B370=""),"",DATE(YEAR(B370),MONTH(B370),1))</f>
        <v/>
      </c>
      <c r="O370" s="7">
        <f>IF(COUNTA(A370:K370)=0,"",IF(OR(A370="",B370=""),"Preencher CPF e entrada",IF(COUNTIFS($A$12:$A$5011,A370,$B$12:$B$5011,B370)&gt;1,"CPF + dia duplicado",IF(OR(AND(G370&lt;&gt;"",G370&lt;&gt;0,G370&lt;&gt;1),AND(H370&lt;&gt;"",H370&lt;&gt;0,H370&lt;&gt;1)),"Flags devem ser 0 ou 1",IF(AND(H370=1,LEN(TRIM(I370))=0),"Preencher nome do indicante",IF(AND(H370&lt;&gt;1,I370&lt;&gt;""),"Nome sem indicação interna",IF(AND(G370=1,F370=""),"Fechamento sem conversa",IF(OR(AND(E370&lt;&gt;"",E370&lt;B370),AND(F370&lt;&gt;"",F370&lt;B370)),"Evento anterior à entrada",IF(AND(F370&lt;&gt;"",E370=""),"Conversa sem agendamento",IF(OR(E370&gt;TODAY(),F370&gt;TODAY()),"Verificar evento futuro","OK"))))))))))</f>
        <v/>
      </c>
    </row>
    <row r="371" spans="12:15">
      <c r="L371" s="5">
        <f>IF(OR(A371="",B371=""),"",B371-WEEKDAY(B371,2)+1)</f>
        <v/>
      </c>
      <c r="M371" s="5">
        <f>IF(L371="","",L371+6)</f>
        <v/>
      </c>
      <c r="N371" s="6">
        <f>IF(OR(A371="",B371=""),"",DATE(YEAR(B371),MONTH(B371),1))</f>
        <v/>
      </c>
      <c r="O371" s="7">
        <f>IF(COUNTA(A371:K371)=0,"",IF(OR(A371="",B371=""),"Preencher CPF e entrada",IF(COUNTIFS($A$12:$A$5011,A371,$B$12:$B$5011,B371)&gt;1,"CPF + dia duplicado",IF(OR(AND(G371&lt;&gt;"",G371&lt;&gt;0,G371&lt;&gt;1),AND(H371&lt;&gt;"",H371&lt;&gt;0,H371&lt;&gt;1)),"Flags devem ser 0 ou 1",IF(AND(H371=1,LEN(TRIM(I371))=0),"Preencher nome do indicante",IF(AND(H371&lt;&gt;1,I371&lt;&gt;""),"Nome sem indicação interna",IF(AND(G371=1,F371=""),"Fechamento sem conversa",IF(OR(AND(E371&lt;&gt;"",E371&lt;B371),AND(F371&lt;&gt;"",F371&lt;B371)),"Evento anterior à entrada",IF(AND(F371&lt;&gt;"",E371=""),"Conversa sem agendamento",IF(OR(E371&gt;TODAY(),F371&gt;TODAY()),"Verificar evento futuro","OK"))))))))))</f>
        <v/>
      </c>
    </row>
    <row r="372" spans="12:15">
      <c r="L372" s="5">
        <f>IF(OR(A372="",B372=""),"",B372-WEEKDAY(B372,2)+1)</f>
        <v/>
      </c>
      <c r="M372" s="5">
        <f>IF(L372="","",L372+6)</f>
        <v/>
      </c>
      <c r="N372" s="6">
        <f>IF(OR(A372="",B372=""),"",DATE(YEAR(B372),MONTH(B372),1))</f>
        <v/>
      </c>
      <c r="O372" s="7">
        <f>IF(COUNTA(A372:K372)=0,"",IF(OR(A372="",B372=""),"Preencher CPF e entrada",IF(COUNTIFS($A$12:$A$5011,A372,$B$12:$B$5011,B372)&gt;1,"CPF + dia duplicado",IF(OR(AND(G372&lt;&gt;"",G372&lt;&gt;0,G372&lt;&gt;1),AND(H372&lt;&gt;"",H372&lt;&gt;0,H372&lt;&gt;1)),"Flags devem ser 0 ou 1",IF(AND(H372=1,LEN(TRIM(I372))=0),"Preencher nome do indicante",IF(AND(H372&lt;&gt;1,I372&lt;&gt;""),"Nome sem indicação interna",IF(AND(G372=1,F372=""),"Fechamento sem conversa",IF(OR(AND(E372&lt;&gt;"",E372&lt;B372),AND(F372&lt;&gt;"",F372&lt;B372)),"Evento anterior à entrada",IF(AND(F372&lt;&gt;"",E372=""),"Conversa sem agendamento",IF(OR(E372&gt;TODAY(),F372&gt;TODAY()),"Verificar evento futuro","OK"))))))))))</f>
        <v/>
      </c>
    </row>
    <row r="373" spans="12:15">
      <c r="L373" s="5">
        <f>IF(OR(A373="",B373=""),"",B373-WEEKDAY(B373,2)+1)</f>
        <v/>
      </c>
      <c r="M373" s="5">
        <f>IF(L373="","",L373+6)</f>
        <v/>
      </c>
      <c r="N373" s="6">
        <f>IF(OR(A373="",B373=""),"",DATE(YEAR(B373),MONTH(B373),1))</f>
        <v/>
      </c>
      <c r="O373" s="7">
        <f>IF(COUNTA(A373:K373)=0,"",IF(OR(A373="",B373=""),"Preencher CPF e entrada",IF(COUNTIFS($A$12:$A$5011,A373,$B$12:$B$5011,B373)&gt;1,"CPF + dia duplicado",IF(OR(AND(G373&lt;&gt;"",G373&lt;&gt;0,G373&lt;&gt;1),AND(H373&lt;&gt;"",H373&lt;&gt;0,H373&lt;&gt;1)),"Flags devem ser 0 ou 1",IF(AND(H373=1,LEN(TRIM(I373))=0),"Preencher nome do indicante",IF(AND(H373&lt;&gt;1,I373&lt;&gt;""),"Nome sem indicação interna",IF(AND(G373=1,F373=""),"Fechamento sem conversa",IF(OR(AND(E373&lt;&gt;"",E373&lt;B373),AND(F373&lt;&gt;"",F373&lt;B373)),"Evento anterior à entrada",IF(AND(F373&lt;&gt;"",E373=""),"Conversa sem agendamento",IF(OR(E373&gt;TODAY(),F373&gt;TODAY()),"Verificar evento futuro","OK"))))))))))</f>
        <v/>
      </c>
    </row>
    <row r="374" spans="12:15">
      <c r="L374" s="5">
        <f>IF(OR(A374="",B374=""),"",B374-WEEKDAY(B374,2)+1)</f>
        <v/>
      </c>
      <c r="M374" s="5">
        <f>IF(L374="","",L374+6)</f>
        <v/>
      </c>
      <c r="N374" s="6">
        <f>IF(OR(A374="",B374=""),"",DATE(YEAR(B374),MONTH(B374),1))</f>
        <v/>
      </c>
      <c r="O374" s="7">
        <f>IF(COUNTA(A374:K374)=0,"",IF(OR(A374="",B374=""),"Preencher CPF e entrada",IF(COUNTIFS($A$12:$A$5011,A374,$B$12:$B$5011,B374)&gt;1,"CPF + dia duplicado",IF(OR(AND(G374&lt;&gt;"",G374&lt;&gt;0,G374&lt;&gt;1),AND(H374&lt;&gt;"",H374&lt;&gt;0,H374&lt;&gt;1)),"Flags devem ser 0 ou 1",IF(AND(H374=1,LEN(TRIM(I374))=0),"Preencher nome do indicante",IF(AND(H374&lt;&gt;1,I374&lt;&gt;""),"Nome sem indicação interna",IF(AND(G374=1,F374=""),"Fechamento sem conversa",IF(OR(AND(E374&lt;&gt;"",E374&lt;B374),AND(F374&lt;&gt;"",F374&lt;B374)),"Evento anterior à entrada",IF(AND(F374&lt;&gt;"",E374=""),"Conversa sem agendamento",IF(OR(E374&gt;TODAY(),F374&gt;TODAY()),"Verificar evento futuro","OK"))))))))))</f>
        <v/>
      </c>
    </row>
    <row r="375" spans="12:15">
      <c r="L375" s="5">
        <f>IF(OR(A375="",B375=""),"",B375-WEEKDAY(B375,2)+1)</f>
        <v/>
      </c>
      <c r="M375" s="5">
        <f>IF(L375="","",L375+6)</f>
        <v/>
      </c>
      <c r="N375" s="6">
        <f>IF(OR(A375="",B375=""),"",DATE(YEAR(B375),MONTH(B375),1))</f>
        <v/>
      </c>
      <c r="O375" s="7">
        <f>IF(COUNTA(A375:K375)=0,"",IF(OR(A375="",B375=""),"Preencher CPF e entrada",IF(COUNTIFS($A$12:$A$5011,A375,$B$12:$B$5011,B375)&gt;1,"CPF + dia duplicado",IF(OR(AND(G375&lt;&gt;"",G375&lt;&gt;0,G375&lt;&gt;1),AND(H375&lt;&gt;"",H375&lt;&gt;0,H375&lt;&gt;1)),"Flags devem ser 0 ou 1",IF(AND(H375=1,LEN(TRIM(I375))=0),"Preencher nome do indicante",IF(AND(H375&lt;&gt;1,I375&lt;&gt;""),"Nome sem indicação interna",IF(AND(G375=1,F375=""),"Fechamento sem conversa",IF(OR(AND(E375&lt;&gt;"",E375&lt;B375),AND(F375&lt;&gt;"",F375&lt;B375)),"Evento anterior à entrada",IF(AND(F375&lt;&gt;"",E375=""),"Conversa sem agendamento",IF(OR(E375&gt;TODAY(),F375&gt;TODAY()),"Verificar evento futuro","OK"))))))))))</f>
        <v/>
      </c>
    </row>
    <row r="376" spans="12:15">
      <c r="L376" s="5">
        <f>IF(OR(A376="",B376=""),"",B376-WEEKDAY(B376,2)+1)</f>
        <v/>
      </c>
      <c r="M376" s="5">
        <f>IF(L376="","",L376+6)</f>
        <v/>
      </c>
      <c r="N376" s="6">
        <f>IF(OR(A376="",B376=""),"",DATE(YEAR(B376),MONTH(B376),1))</f>
        <v/>
      </c>
      <c r="O376" s="7">
        <f>IF(COUNTA(A376:K376)=0,"",IF(OR(A376="",B376=""),"Preencher CPF e entrada",IF(COUNTIFS($A$12:$A$5011,A376,$B$12:$B$5011,B376)&gt;1,"CPF + dia duplicado",IF(OR(AND(G376&lt;&gt;"",G376&lt;&gt;0,G376&lt;&gt;1),AND(H376&lt;&gt;"",H376&lt;&gt;0,H376&lt;&gt;1)),"Flags devem ser 0 ou 1",IF(AND(H376=1,LEN(TRIM(I376))=0),"Preencher nome do indicante",IF(AND(H376&lt;&gt;1,I376&lt;&gt;""),"Nome sem indicação interna",IF(AND(G376=1,F376=""),"Fechamento sem conversa",IF(OR(AND(E376&lt;&gt;"",E376&lt;B376),AND(F376&lt;&gt;"",F376&lt;B376)),"Evento anterior à entrada",IF(AND(F376&lt;&gt;"",E376=""),"Conversa sem agendamento",IF(OR(E376&gt;TODAY(),F376&gt;TODAY()),"Verificar evento futuro","OK"))))))))))</f>
        <v/>
      </c>
    </row>
    <row r="377" spans="12:15">
      <c r="L377" s="5">
        <f>IF(OR(A377="",B377=""),"",B377-WEEKDAY(B377,2)+1)</f>
        <v/>
      </c>
      <c r="M377" s="5">
        <f>IF(L377="","",L377+6)</f>
        <v/>
      </c>
      <c r="N377" s="6">
        <f>IF(OR(A377="",B377=""),"",DATE(YEAR(B377),MONTH(B377),1))</f>
        <v/>
      </c>
      <c r="O377" s="7">
        <f>IF(COUNTA(A377:K377)=0,"",IF(OR(A377="",B377=""),"Preencher CPF e entrada",IF(COUNTIFS($A$12:$A$5011,A377,$B$12:$B$5011,B377)&gt;1,"CPF + dia duplicado",IF(OR(AND(G377&lt;&gt;"",G377&lt;&gt;0,G377&lt;&gt;1),AND(H377&lt;&gt;"",H377&lt;&gt;0,H377&lt;&gt;1)),"Flags devem ser 0 ou 1",IF(AND(H377=1,LEN(TRIM(I377))=0),"Preencher nome do indicante",IF(AND(H377&lt;&gt;1,I377&lt;&gt;""),"Nome sem indicação interna",IF(AND(G377=1,F377=""),"Fechamento sem conversa",IF(OR(AND(E377&lt;&gt;"",E377&lt;B377),AND(F377&lt;&gt;"",F377&lt;B377)),"Evento anterior à entrada",IF(AND(F377&lt;&gt;"",E377=""),"Conversa sem agendamento",IF(OR(E377&gt;TODAY(),F377&gt;TODAY()),"Verificar evento futuro","OK"))))))))))</f>
        <v/>
      </c>
    </row>
    <row r="378" spans="12:15">
      <c r="L378" s="5">
        <f>IF(OR(A378="",B378=""),"",B378-WEEKDAY(B378,2)+1)</f>
        <v/>
      </c>
      <c r="M378" s="5">
        <f>IF(L378="","",L378+6)</f>
        <v/>
      </c>
      <c r="N378" s="6">
        <f>IF(OR(A378="",B378=""),"",DATE(YEAR(B378),MONTH(B378),1))</f>
        <v/>
      </c>
      <c r="O378" s="7">
        <f>IF(COUNTA(A378:K378)=0,"",IF(OR(A378="",B378=""),"Preencher CPF e entrada",IF(COUNTIFS($A$12:$A$5011,A378,$B$12:$B$5011,B378)&gt;1,"CPF + dia duplicado",IF(OR(AND(G378&lt;&gt;"",G378&lt;&gt;0,G378&lt;&gt;1),AND(H378&lt;&gt;"",H378&lt;&gt;0,H378&lt;&gt;1)),"Flags devem ser 0 ou 1",IF(AND(H378=1,LEN(TRIM(I378))=0),"Preencher nome do indicante",IF(AND(H378&lt;&gt;1,I378&lt;&gt;""),"Nome sem indicação interna",IF(AND(G378=1,F378=""),"Fechamento sem conversa",IF(OR(AND(E378&lt;&gt;"",E378&lt;B378),AND(F378&lt;&gt;"",F378&lt;B378)),"Evento anterior à entrada",IF(AND(F378&lt;&gt;"",E378=""),"Conversa sem agendamento",IF(OR(E378&gt;TODAY(),F378&gt;TODAY()),"Verificar evento futuro","OK"))))))))))</f>
        <v/>
      </c>
    </row>
    <row r="379" spans="12:15">
      <c r="L379" s="5">
        <f>IF(OR(A379="",B379=""),"",B379-WEEKDAY(B379,2)+1)</f>
        <v/>
      </c>
      <c r="M379" s="5">
        <f>IF(L379="","",L379+6)</f>
        <v/>
      </c>
      <c r="N379" s="6">
        <f>IF(OR(A379="",B379=""),"",DATE(YEAR(B379),MONTH(B379),1))</f>
        <v/>
      </c>
      <c r="O379" s="7">
        <f>IF(COUNTA(A379:K379)=0,"",IF(OR(A379="",B379=""),"Preencher CPF e entrada",IF(COUNTIFS($A$12:$A$5011,A379,$B$12:$B$5011,B379)&gt;1,"CPF + dia duplicado",IF(OR(AND(G379&lt;&gt;"",G379&lt;&gt;0,G379&lt;&gt;1),AND(H379&lt;&gt;"",H379&lt;&gt;0,H379&lt;&gt;1)),"Flags devem ser 0 ou 1",IF(AND(H379=1,LEN(TRIM(I379))=0),"Preencher nome do indicante",IF(AND(H379&lt;&gt;1,I379&lt;&gt;""),"Nome sem indicação interna",IF(AND(G379=1,F379=""),"Fechamento sem conversa",IF(OR(AND(E379&lt;&gt;"",E379&lt;B379),AND(F379&lt;&gt;"",F379&lt;B379)),"Evento anterior à entrada",IF(AND(F379&lt;&gt;"",E379=""),"Conversa sem agendamento",IF(OR(E379&gt;TODAY(),F379&gt;TODAY()),"Verificar evento futuro","OK"))))))))))</f>
        <v/>
      </c>
    </row>
    <row r="380" spans="12:15">
      <c r="L380" s="5">
        <f>IF(OR(A380="",B380=""),"",B380-WEEKDAY(B380,2)+1)</f>
        <v/>
      </c>
      <c r="M380" s="5">
        <f>IF(L380="","",L380+6)</f>
        <v/>
      </c>
      <c r="N380" s="6">
        <f>IF(OR(A380="",B380=""),"",DATE(YEAR(B380),MONTH(B380),1))</f>
        <v/>
      </c>
      <c r="O380" s="7">
        <f>IF(COUNTA(A380:K380)=0,"",IF(OR(A380="",B380=""),"Preencher CPF e entrada",IF(COUNTIFS($A$12:$A$5011,A380,$B$12:$B$5011,B380)&gt;1,"CPF + dia duplicado",IF(OR(AND(G380&lt;&gt;"",G380&lt;&gt;0,G380&lt;&gt;1),AND(H380&lt;&gt;"",H380&lt;&gt;0,H380&lt;&gt;1)),"Flags devem ser 0 ou 1",IF(AND(H380=1,LEN(TRIM(I380))=0),"Preencher nome do indicante",IF(AND(H380&lt;&gt;1,I380&lt;&gt;""),"Nome sem indicação interna",IF(AND(G380=1,F380=""),"Fechamento sem conversa",IF(OR(AND(E380&lt;&gt;"",E380&lt;B380),AND(F380&lt;&gt;"",F380&lt;B380)),"Evento anterior à entrada",IF(AND(F380&lt;&gt;"",E380=""),"Conversa sem agendamento",IF(OR(E380&gt;TODAY(),F380&gt;TODAY()),"Verificar evento futuro","OK"))))))))))</f>
        <v/>
      </c>
    </row>
    <row r="381" spans="12:15">
      <c r="L381" s="5">
        <f>IF(OR(A381="",B381=""),"",B381-WEEKDAY(B381,2)+1)</f>
        <v/>
      </c>
      <c r="M381" s="5">
        <f>IF(L381="","",L381+6)</f>
        <v/>
      </c>
      <c r="N381" s="6">
        <f>IF(OR(A381="",B381=""),"",DATE(YEAR(B381),MONTH(B381),1))</f>
        <v/>
      </c>
      <c r="O381" s="7">
        <f>IF(COUNTA(A381:K381)=0,"",IF(OR(A381="",B381=""),"Preencher CPF e entrada",IF(COUNTIFS($A$12:$A$5011,A381,$B$12:$B$5011,B381)&gt;1,"CPF + dia duplicado",IF(OR(AND(G381&lt;&gt;"",G381&lt;&gt;0,G381&lt;&gt;1),AND(H381&lt;&gt;"",H381&lt;&gt;0,H381&lt;&gt;1)),"Flags devem ser 0 ou 1",IF(AND(H381=1,LEN(TRIM(I381))=0),"Preencher nome do indicante",IF(AND(H381&lt;&gt;1,I381&lt;&gt;""),"Nome sem indicação interna",IF(AND(G381=1,F381=""),"Fechamento sem conversa",IF(OR(AND(E381&lt;&gt;"",E381&lt;B381),AND(F381&lt;&gt;"",F381&lt;B381)),"Evento anterior à entrada",IF(AND(F381&lt;&gt;"",E381=""),"Conversa sem agendamento",IF(OR(E381&gt;TODAY(),F381&gt;TODAY()),"Verificar evento futuro","OK"))))))))))</f>
        <v/>
      </c>
    </row>
    <row r="382" spans="12:15">
      <c r="L382" s="5">
        <f>IF(OR(A382="",B382=""),"",B382-WEEKDAY(B382,2)+1)</f>
        <v/>
      </c>
      <c r="M382" s="5">
        <f>IF(L382="","",L382+6)</f>
        <v/>
      </c>
      <c r="N382" s="6">
        <f>IF(OR(A382="",B382=""),"",DATE(YEAR(B382),MONTH(B382),1))</f>
        <v/>
      </c>
      <c r="O382" s="7">
        <f>IF(COUNTA(A382:K382)=0,"",IF(OR(A382="",B382=""),"Preencher CPF e entrada",IF(COUNTIFS($A$12:$A$5011,A382,$B$12:$B$5011,B382)&gt;1,"CPF + dia duplicado",IF(OR(AND(G382&lt;&gt;"",G382&lt;&gt;0,G382&lt;&gt;1),AND(H382&lt;&gt;"",H382&lt;&gt;0,H382&lt;&gt;1)),"Flags devem ser 0 ou 1",IF(AND(H382=1,LEN(TRIM(I382))=0),"Preencher nome do indicante",IF(AND(H382&lt;&gt;1,I382&lt;&gt;""),"Nome sem indicação interna",IF(AND(G382=1,F382=""),"Fechamento sem conversa",IF(OR(AND(E382&lt;&gt;"",E382&lt;B382),AND(F382&lt;&gt;"",F382&lt;B382)),"Evento anterior à entrada",IF(AND(F382&lt;&gt;"",E382=""),"Conversa sem agendamento",IF(OR(E382&gt;TODAY(),F382&gt;TODAY()),"Verificar evento futuro","OK"))))))))))</f>
        <v/>
      </c>
    </row>
    <row r="383" spans="12:15">
      <c r="L383" s="5">
        <f>IF(OR(A383="",B383=""),"",B383-WEEKDAY(B383,2)+1)</f>
        <v/>
      </c>
      <c r="M383" s="5">
        <f>IF(L383="","",L383+6)</f>
        <v/>
      </c>
      <c r="N383" s="6">
        <f>IF(OR(A383="",B383=""),"",DATE(YEAR(B383),MONTH(B383),1))</f>
        <v/>
      </c>
      <c r="O383" s="7">
        <f>IF(COUNTA(A383:K383)=0,"",IF(OR(A383="",B383=""),"Preencher CPF e entrada",IF(COUNTIFS($A$12:$A$5011,A383,$B$12:$B$5011,B383)&gt;1,"CPF + dia duplicado",IF(OR(AND(G383&lt;&gt;"",G383&lt;&gt;0,G383&lt;&gt;1),AND(H383&lt;&gt;"",H383&lt;&gt;0,H383&lt;&gt;1)),"Flags devem ser 0 ou 1",IF(AND(H383=1,LEN(TRIM(I383))=0),"Preencher nome do indicante",IF(AND(H383&lt;&gt;1,I383&lt;&gt;""),"Nome sem indicação interna",IF(AND(G383=1,F383=""),"Fechamento sem conversa",IF(OR(AND(E383&lt;&gt;"",E383&lt;B383),AND(F383&lt;&gt;"",F383&lt;B383)),"Evento anterior à entrada",IF(AND(F383&lt;&gt;"",E383=""),"Conversa sem agendamento",IF(OR(E383&gt;TODAY(),F383&gt;TODAY()),"Verificar evento futuro","OK"))))))))))</f>
        <v/>
      </c>
    </row>
    <row r="384" spans="12:15">
      <c r="L384" s="5">
        <f>IF(OR(A384="",B384=""),"",B384-WEEKDAY(B384,2)+1)</f>
        <v/>
      </c>
      <c r="M384" s="5">
        <f>IF(L384="","",L384+6)</f>
        <v/>
      </c>
      <c r="N384" s="6">
        <f>IF(OR(A384="",B384=""),"",DATE(YEAR(B384),MONTH(B384),1))</f>
        <v/>
      </c>
      <c r="O384" s="7">
        <f>IF(COUNTA(A384:K384)=0,"",IF(OR(A384="",B384=""),"Preencher CPF e entrada",IF(COUNTIFS($A$12:$A$5011,A384,$B$12:$B$5011,B384)&gt;1,"CPF + dia duplicado",IF(OR(AND(G384&lt;&gt;"",G384&lt;&gt;0,G384&lt;&gt;1),AND(H384&lt;&gt;"",H384&lt;&gt;0,H384&lt;&gt;1)),"Flags devem ser 0 ou 1",IF(AND(H384=1,LEN(TRIM(I384))=0),"Preencher nome do indicante",IF(AND(H384&lt;&gt;1,I384&lt;&gt;""),"Nome sem indicação interna",IF(AND(G384=1,F384=""),"Fechamento sem conversa",IF(OR(AND(E384&lt;&gt;"",E384&lt;B384),AND(F384&lt;&gt;"",F384&lt;B384)),"Evento anterior à entrada",IF(AND(F384&lt;&gt;"",E384=""),"Conversa sem agendamento",IF(OR(E384&gt;TODAY(),F384&gt;TODAY()),"Verificar evento futuro","OK"))))))))))</f>
        <v/>
      </c>
    </row>
    <row r="385" spans="12:15">
      <c r="L385" s="5">
        <f>IF(OR(A385="",B385=""),"",B385-WEEKDAY(B385,2)+1)</f>
        <v/>
      </c>
      <c r="M385" s="5">
        <f>IF(L385="","",L385+6)</f>
        <v/>
      </c>
      <c r="N385" s="6">
        <f>IF(OR(A385="",B385=""),"",DATE(YEAR(B385),MONTH(B385),1))</f>
        <v/>
      </c>
      <c r="O385" s="7">
        <f>IF(COUNTA(A385:K385)=0,"",IF(OR(A385="",B385=""),"Preencher CPF e entrada",IF(COUNTIFS($A$12:$A$5011,A385,$B$12:$B$5011,B385)&gt;1,"CPF + dia duplicado",IF(OR(AND(G385&lt;&gt;"",G385&lt;&gt;0,G385&lt;&gt;1),AND(H385&lt;&gt;"",H385&lt;&gt;0,H385&lt;&gt;1)),"Flags devem ser 0 ou 1",IF(AND(H385=1,LEN(TRIM(I385))=0),"Preencher nome do indicante",IF(AND(H385&lt;&gt;1,I385&lt;&gt;""),"Nome sem indicação interna",IF(AND(G385=1,F385=""),"Fechamento sem conversa",IF(OR(AND(E385&lt;&gt;"",E385&lt;B385),AND(F385&lt;&gt;"",F385&lt;B385)),"Evento anterior à entrada",IF(AND(F385&lt;&gt;"",E385=""),"Conversa sem agendamento",IF(OR(E385&gt;TODAY(),F385&gt;TODAY()),"Verificar evento futuro","OK"))))))))))</f>
        <v/>
      </c>
    </row>
    <row r="386" spans="12:15">
      <c r="L386" s="5">
        <f>IF(OR(A386="",B386=""),"",B386-WEEKDAY(B386,2)+1)</f>
        <v/>
      </c>
      <c r="M386" s="5">
        <f>IF(L386="","",L386+6)</f>
        <v/>
      </c>
      <c r="N386" s="6">
        <f>IF(OR(A386="",B386=""),"",DATE(YEAR(B386),MONTH(B386),1))</f>
        <v/>
      </c>
      <c r="O386" s="7">
        <f>IF(COUNTA(A386:K386)=0,"",IF(OR(A386="",B386=""),"Preencher CPF e entrada",IF(COUNTIFS($A$12:$A$5011,A386,$B$12:$B$5011,B386)&gt;1,"CPF + dia duplicado",IF(OR(AND(G386&lt;&gt;"",G386&lt;&gt;0,G386&lt;&gt;1),AND(H386&lt;&gt;"",H386&lt;&gt;0,H386&lt;&gt;1)),"Flags devem ser 0 ou 1",IF(AND(H386=1,LEN(TRIM(I386))=0),"Preencher nome do indicante",IF(AND(H386&lt;&gt;1,I386&lt;&gt;""),"Nome sem indicação interna",IF(AND(G386=1,F386=""),"Fechamento sem conversa",IF(OR(AND(E386&lt;&gt;"",E386&lt;B386),AND(F386&lt;&gt;"",F386&lt;B386)),"Evento anterior à entrada",IF(AND(F386&lt;&gt;"",E386=""),"Conversa sem agendamento",IF(OR(E386&gt;TODAY(),F386&gt;TODAY()),"Verificar evento futuro","OK"))))))))))</f>
        <v/>
      </c>
    </row>
    <row r="387" spans="12:15">
      <c r="L387" s="5">
        <f>IF(OR(A387="",B387=""),"",B387-WEEKDAY(B387,2)+1)</f>
        <v/>
      </c>
      <c r="M387" s="5">
        <f>IF(L387="","",L387+6)</f>
        <v/>
      </c>
      <c r="N387" s="6">
        <f>IF(OR(A387="",B387=""),"",DATE(YEAR(B387),MONTH(B387),1))</f>
        <v/>
      </c>
      <c r="O387" s="7">
        <f>IF(COUNTA(A387:K387)=0,"",IF(OR(A387="",B387=""),"Preencher CPF e entrada",IF(COUNTIFS($A$12:$A$5011,A387,$B$12:$B$5011,B387)&gt;1,"CPF + dia duplicado",IF(OR(AND(G387&lt;&gt;"",G387&lt;&gt;0,G387&lt;&gt;1),AND(H387&lt;&gt;"",H387&lt;&gt;0,H387&lt;&gt;1)),"Flags devem ser 0 ou 1",IF(AND(H387=1,LEN(TRIM(I387))=0),"Preencher nome do indicante",IF(AND(H387&lt;&gt;1,I387&lt;&gt;""),"Nome sem indicação interna",IF(AND(G387=1,F387=""),"Fechamento sem conversa",IF(OR(AND(E387&lt;&gt;"",E387&lt;B387),AND(F387&lt;&gt;"",F387&lt;B387)),"Evento anterior à entrada",IF(AND(F387&lt;&gt;"",E387=""),"Conversa sem agendamento",IF(OR(E387&gt;TODAY(),F387&gt;TODAY()),"Verificar evento futuro","OK"))))))))))</f>
        <v/>
      </c>
    </row>
    <row r="388" spans="12:15">
      <c r="L388" s="5">
        <f>IF(OR(A388="",B388=""),"",B388-WEEKDAY(B388,2)+1)</f>
        <v/>
      </c>
      <c r="M388" s="5">
        <f>IF(L388="","",L388+6)</f>
        <v/>
      </c>
      <c r="N388" s="6">
        <f>IF(OR(A388="",B388=""),"",DATE(YEAR(B388),MONTH(B388),1))</f>
        <v/>
      </c>
      <c r="O388" s="7">
        <f>IF(COUNTA(A388:K388)=0,"",IF(OR(A388="",B388=""),"Preencher CPF e entrada",IF(COUNTIFS($A$12:$A$5011,A388,$B$12:$B$5011,B388)&gt;1,"CPF + dia duplicado",IF(OR(AND(G388&lt;&gt;"",G388&lt;&gt;0,G388&lt;&gt;1),AND(H388&lt;&gt;"",H388&lt;&gt;0,H388&lt;&gt;1)),"Flags devem ser 0 ou 1",IF(AND(H388=1,LEN(TRIM(I388))=0),"Preencher nome do indicante",IF(AND(H388&lt;&gt;1,I388&lt;&gt;""),"Nome sem indicação interna",IF(AND(G388=1,F388=""),"Fechamento sem conversa",IF(OR(AND(E388&lt;&gt;"",E388&lt;B388),AND(F388&lt;&gt;"",F388&lt;B388)),"Evento anterior à entrada",IF(AND(F388&lt;&gt;"",E388=""),"Conversa sem agendamento",IF(OR(E388&gt;TODAY(),F388&gt;TODAY()),"Verificar evento futuro","OK"))))))))))</f>
        <v/>
      </c>
    </row>
    <row r="389" spans="12:15">
      <c r="L389" s="5">
        <f>IF(OR(A389="",B389=""),"",B389-WEEKDAY(B389,2)+1)</f>
        <v/>
      </c>
      <c r="M389" s="5">
        <f>IF(L389="","",L389+6)</f>
        <v/>
      </c>
      <c r="N389" s="6">
        <f>IF(OR(A389="",B389=""),"",DATE(YEAR(B389),MONTH(B389),1))</f>
        <v/>
      </c>
      <c r="O389" s="7">
        <f>IF(COUNTA(A389:K389)=0,"",IF(OR(A389="",B389=""),"Preencher CPF e entrada",IF(COUNTIFS($A$12:$A$5011,A389,$B$12:$B$5011,B389)&gt;1,"CPF + dia duplicado",IF(OR(AND(G389&lt;&gt;"",G389&lt;&gt;0,G389&lt;&gt;1),AND(H389&lt;&gt;"",H389&lt;&gt;0,H389&lt;&gt;1)),"Flags devem ser 0 ou 1",IF(AND(H389=1,LEN(TRIM(I389))=0),"Preencher nome do indicante",IF(AND(H389&lt;&gt;1,I389&lt;&gt;""),"Nome sem indicação interna",IF(AND(G389=1,F389=""),"Fechamento sem conversa",IF(OR(AND(E389&lt;&gt;"",E389&lt;B389),AND(F389&lt;&gt;"",F389&lt;B389)),"Evento anterior à entrada",IF(AND(F389&lt;&gt;"",E389=""),"Conversa sem agendamento",IF(OR(E389&gt;TODAY(),F389&gt;TODAY()),"Verificar evento futuro","OK"))))))))))</f>
        <v/>
      </c>
    </row>
    <row r="390" spans="12:15">
      <c r="L390" s="5">
        <f>IF(OR(A390="",B390=""),"",B390-WEEKDAY(B390,2)+1)</f>
        <v/>
      </c>
      <c r="M390" s="5">
        <f>IF(L390="","",L390+6)</f>
        <v/>
      </c>
      <c r="N390" s="6">
        <f>IF(OR(A390="",B390=""),"",DATE(YEAR(B390),MONTH(B390),1))</f>
        <v/>
      </c>
      <c r="O390" s="7">
        <f>IF(COUNTA(A390:K390)=0,"",IF(OR(A390="",B390=""),"Preencher CPF e entrada",IF(COUNTIFS($A$12:$A$5011,A390,$B$12:$B$5011,B390)&gt;1,"CPF + dia duplicado",IF(OR(AND(G390&lt;&gt;"",G390&lt;&gt;0,G390&lt;&gt;1),AND(H390&lt;&gt;"",H390&lt;&gt;0,H390&lt;&gt;1)),"Flags devem ser 0 ou 1",IF(AND(H390=1,LEN(TRIM(I390))=0),"Preencher nome do indicante",IF(AND(H390&lt;&gt;1,I390&lt;&gt;""),"Nome sem indicação interna",IF(AND(G390=1,F390=""),"Fechamento sem conversa",IF(OR(AND(E390&lt;&gt;"",E390&lt;B390),AND(F390&lt;&gt;"",F390&lt;B390)),"Evento anterior à entrada",IF(AND(F390&lt;&gt;"",E390=""),"Conversa sem agendamento",IF(OR(E390&gt;TODAY(),F390&gt;TODAY()),"Verificar evento futuro","OK"))))))))))</f>
        <v/>
      </c>
    </row>
    <row r="391" spans="12:15">
      <c r="L391" s="5">
        <f>IF(OR(A391="",B391=""),"",B391-WEEKDAY(B391,2)+1)</f>
        <v/>
      </c>
      <c r="M391" s="5">
        <f>IF(L391="","",L391+6)</f>
        <v/>
      </c>
      <c r="N391" s="6">
        <f>IF(OR(A391="",B391=""),"",DATE(YEAR(B391),MONTH(B391),1))</f>
        <v/>
      </c>
      <c r="O391" s="7">
        <f>IF(COUNTA(A391:K391)=0,"",IF(OR(A391="",B391=""),"Preencher CPF e entrada",IF(COUNTIFS($A$12:$A$5011,A391,$B$12:$B$5011,B391)&gt;1,"CPF + dia duplicado",IF(OR(AND(G391&lt;&gt;"",G391&lt;&gt;0,G391&lt;&gt;1),AND(H391&lt;&gt;"",H391&lt;&gt;0,H391&lt;&gt;1)),"Flags devem ser 0 ou 1",IF(AND(H391=1,LEN(TRIM(I391))=0),"Preencher nome do indicante",IF(AND(H391&lt;&gt;1,I391&lt;&gt;""),"Nome sem indicação interna",IF(AND(G391=1,F391=""),"Fechamento sem conversa",IF(OR(AND(E391&lt;&gt;"",E391&lt;B391),AND(F391&lt;&gt;"",F391&lt;B391)),"Evento anterior à entrada",IF(AND(F391&lt;&gt;"",E391=""),"Conversa sem agendamento",IF(OR(E391&gt;TODAY(),F391&gt;TODAY()),"Verificar evento futuro","OK"))))))))))</f>
        <v/>
      </c>
    </row>
    <row r="392" spans="12:15">
      <c r="L392" s="5">
        <f>IF(OR(A392="",B392=""),"",B392-WEEKDAY(B392,2)+1)</f>
        <v/>
      </c>
      <c r="M392" s="5">
        <f>IF(L392="","",L392+6)</f>
        <v/>
      </c>
      <c r="N392" s="6">
        <f>IF(OR(A392="",B392=""),"",DATE(YEAR(B392),MONTH(B392),1))</f>
        <v/>
      </c>
      <c r="O392" s="7">
        <f>IF(COUNTA(A392:K392)=0,"",IF(OR(A392="",B392=""),"Preencher CPF e entrada",IF(COUNTIFS($A$12:$A$5011,A392,$B$12:$B$5011,B392)&gt;1,"CPF + dia duplicado",IF(OR(AND(G392&lt;&gt;"",G392&lt;&gt;0,G392&lt;&gt;1),AND(H392&lt;&gt;"",H392&lt;&gt;0,H392&lt;&gt;1)),"Flags devem ser 0 ou 1",IF(AND(H392=1,LEN(TRIM(I392))=0),"Preencher nome do indicante",IF(AND(H392&lt;&gt;1,I392&lt;&gt;""),"Nome sem indicação interna",IF(AND(G392=1,F392=""),"Fechamento sem conversa",IF(OR(AND(E392&lt;&gt;"",E392&lt;B392),AND(F392&lt;&gt;"",F392&lt;B392)),"Evento anterior à entrada",IF(AND(F392&lt;&gt;"",E392=""),"Conversa sem agendamento",IF(OR(E392&gt;TODAY(),F392&gt;TODAY()),"Verificar evento futuro","OK"))))))))))</f>
        <v/>
      </c>
    </row>
    <row r="393" spans="12:15">
      <c r="L393" s="5">
        <f>IF(OR(A393="",B393=""),"",B393-WEEKDAY(B393,2)+1)</f>
        <v/>
      </c>
      <c r="M393" s="5">
        <f>IF(L393="","",L393+6)</f>
        <v/>
      </c>
      <c r="N393" s="6">
        <f>IF(OR(A393="",B393=""),"",DATE(YEAR(B393),MONTH(B393),1))</f>
        <v/>
      </c>
      <c r="O393" s="7">
        <f>IF(COUNTA(A393:K393)=0,"",IF(OR(A393="",B393=""),"Preencher CPF e entrada",IF(COUNTIFS($A$12:$A$5011,A393,$B$12:$B$5011,B393)&gt;1,"CPF + dia duplicado",IF(OR(AND(G393&lt;&gt;"",G393&lt;&gt;0,G393&lt;&gt;1),AND(H393&lt;&gt;"",H393&lt;&gt;0,H393&lt;&gt;1)),"Flags devem ser 0 ou 1",IF(AND(H393=1,LEN(TRIM(I393))=0),"Preencher nome do indicante",IF(AND(H393&lt;&gt;1,I393&lt;&gt;""),"Nome sem indicação interna",IF(AND(G393=1,F393=""),"Fechamento sem conversa",IF(OR(AND(E393&lt;&gt;"",E393&lt;B393),AND(F393&lt;&gt;"",F393&lt;B393)),"Evento anterior à entrada",IF(AND(F393&lt;&gt;"",E393=""),"Conversa sem agendamento",IF(OR(E393&gt;TODAY(),F393&gt;TODAY()),"Verificar evento futuro","OK"))))))))))</f>
        <v/>
      </c>
    </row>
    <row r="394" spans="12:15">
      <c r="L394" s="5">
        <f>IF(OR(A394="",B394=""),"",B394-WEEKDAY(B394,2)+1)</f>
        <v/>
      </c>
      <c r="M394" s="5">
        <f>IF(L394="","",L394+6)</f>
        <v/>
      </c>
      <c r="N394" s="6">
        <f>IF(OR(A394="",B394=""),"",DATE(YEAR(B394),MONTH(B394),1))</f>
        <v/>
      </c>
      <c r="O394" s="7">
        <f>IF(COUNTA(A394:K394)=0,"",IF(OR(A394="",B394=""),"Preencher CPF e entrada",IF(COUNTIFS($A$12:$A$5011,A394,$B$12:$B$5011,B394)&gt;1,"CPF + dia duplicado",IF(OR(AND(G394&lt;&gt;"",G394&lt;&gt;0,G394&lt;&gt;1),AND(H394&lt;&gt;"",H394&lt;&gt;0,H394&lt;&gt;1)),"Flags devem ser 0 ou 1",IF(AND(H394=1,LEN(TRIM(I394))=0),"Preencher nome do indicante",IF(AND(H394&lt;&gt;1,I394&lt;&gt;""),"Nome sem indicação interna",IF(AND(G394=1,F394=""),"Fechamento sem conversa",IF(OR(AND(E394&lt;&gt;"",E394&lt;B394),AND(F394&lt;&gt;"",F394&lt;B394)),"Evento anterior à entrada",IF(AND(F394&lt;&gt;"",E394=""),"Conversa sem agendamento",IF(OR(E394&gt;TODAY(),F394&gt;TODAY()),"Verificar evento futuro","OK"))))))))))</f>
        <v/>
      </c>
    </row>
    <row r="395" spans="12:15">
      <c r="L395" s="5">
        <f>IF(OR(A395="",B395=""),"",B395-WEEKDAY(B395,2)+1)</f>
        <v/>
      </c>
      <c r="M395" s="5">
        <f>IF(L395="","",L395+6)</f>
        <v/>
      </c>
      <c r="N395" s="6">
        <f>IF(OR(A395="",B395=""),"",DATE(YEAR(B395),MONTH(B395),1))</f>
        <v/>
      </c>
      <c r="O395" s="7">
        <f>IF(COUNTA(A395:K395)=0,"",IF(OR(A395="",B395=""),"Preencher CPF e entrada",IF(COUNTIFS($A$12:$A$5011,A395,$B$12:$B$5011,B395)&gt;1,"CPF + dia duplicado",IF(OR(AND(G395&lt;&gt;"",G395&lt;&gt;0,G395&lt;&gt;1),AND(H395&lt;&gt;"",H395&lt;&gt;0,H395&lt;&gt;1)),"Flags devem ser 0 ou 1",IF(AND(H395=1,LEN(TRIM(I395))=0),"Preencher nome do indicante",IF(AND(H395&lt;&gt;1,I395&lt;&gt;""),"Nome sem indicação interna",IF(AND(G395=1,F395=""),"Fechamento sem conversa",IF(OR(AND(E395&lt;&gt;"",E395&lt;B395),AND(F395&lt;&gt;"",F395&lt;B395)),"Evento anterior à entrada",IF(AND(F395&lt;&gt;"",E395=""),"Conversa sem agendamento",IF(OR(E395&gt;TODAY(),F395&gt;TODAY()),"Verificar evento futuro","OK"))))))))))</f>
        <v/>
      </c>
    </row>
    <row r="396" spans="12:15">
      <c r="L396" s="5">
        <f>IF(OR(A396="",B396=""),"",B396-WEEKDAY(B396,2)+1)</f>
        <v/>
      </c>
      <c r="M396" s="5">
        <f>IF(L396="","",L396+6)</f>
        <v/>
      </c>
      <c r="N396" s="6">
        <f>IF(OR(A396="",B396=""),"",DATE(YEAR(B396),MONTH(B396),1))</f>
        <v/>
      </c>
      <c r="O396" s="7">
        <f>IF(COUNTA(A396:K396)=0,"",IF(OR(A396="",B396=""),"Preencher CPF e entrada",IF(COUNTIFS($A$12:$A$5011,A396,$B$12:$B$5011,B396)&gt;1,"CPF + dia duplicado",IF(OR(AND(G396&lt;&gt;"",G396&lt;&gt;0,G396&lt;&gt;1),AND(H396&lt;&gt;"",H396&lt;&gt;0,H396&lt;&gt;1)),"Flags devem ser 0 ou 1",IF(AND(H396=1,LEN(TRIM(I396))=0),"Preencher nome do indicante",IF(AND(H396&lt;&gt;1,I396&lt;&gt;""),"Nome sem indicação interna",IF(AND(G396=1,F396=""),"Fechamento sem conversa",IF(OR(AND(E396&lt;&gt;"",E396&lt;B396),AND(F396&lt;&gt;"",F396&lt;B396)),"Evento anterior à entrada",IF(AND(F396&lt;&gt;"",E396=""),"Conversa sem agendamento",IF(OR(E396&gt;TODAY(),F396&gt;TODAY()),"Verificar evento futuro","OK"))))))))))</f>
        <v/>
      </c>
    </row>
    <row r="397" spans="12:15">
      <c r="L397" s="5">
        <f>IF(OR(A397="",B397=""),"",B397-WEEKDAY(B397,2)+1)</f>
        <v/>
      </c>
      <c r="M397" s="5">
        <f>IF(L397="","",L397+6)</f>
        <v/>
      </c>
      <c r="N397" s="6">
        <f>IF(OR(A397="",B397=""),"",DATE(YEAR(B397),MONTH(B397),1))</f>
        <v/>
      </c>
      <c r="O397" s="7">
        <f>IF(COUNTA(A397:K397)=0,"",IF(OR(A397="",B397=""),"Preencher CPF e entrada",IF(COUNTIFS($A$12:$A$5011,A397,$B$12:$B$5011,B397)&gt;1,"CPF + dia duplicado",IF(OR(AND(G397&lt;&gt;"",G397&lt;&gt;0,G397&lt;&gt;1),AND(H397&lt;&gt;"",H397&lt;&gt;0,H397&lt;&gt;1)),"Flags devem ser 0 ou 1",IF(AND(H397=1,LEN(TRIM(I397))=0),"Preencher nome do indicante",IF(AND(H397&lt;&gt;1,I397&lt;&gt;""),"Nome sem indicação interna",IF(AND(G397=1,F397=""),"Fechamento sem conversa",IF(OR(AND(E397&lt;&gt;"",E397&lt;B397),AND(F397&lt;&gt;"",F397&lt;B397)),"Evento anterior à entrada",IF(AND(F397&lt;&gt;"",E397=""),"Conversa sem agendamento",IF(OR(E397&gt;TODAY(),F397&gt;TODAY()),"Verificar evento futuro","OK"))))))))))</f>
        <v/>
      </c>
    </row>
    <row r="398" spans="12:15">
      <c r="L398" s="5">
        <f>IF(OR(A398="",B398=""),"",B398-WEEKDAY(B398,2)+1)</f>
        <v/>
      </c>
      <c r="M398" s="5">
        <f>IF(L398="","",L398+6)</f>
        <v/>
      </c>
      <c r="N398" s="6">
        <f>IF(OR(A398="",B398=""),"",DATE(YEAR(B398),MONTH(B398),1))</f>
        <v/>
      </c>
      <c r="O398" s="7">
        <f>IF(COUNTA(A398:K398)=0,"",IF(OR(A398="",B398=""),"Preencher CPF e entrada",IF(COUNTIFS($A$12:$A$5011,A398,$B$12:$B$5011,B398)&gt;1,"CPF + dia duplicado",IF(OR(AND(G398&lt;&gt;"",G398&lt;&gt;0,G398&lt;&gt;1),AND(H398&lt;&gt;"",H398&lt;&gt;0,H398&lt;&gt;1)),"Flags devem ser 0 ou 1",IF(AND(H398=1,LEN(TRIM(I398))=0),"Preencher nome do indicante",IF(AND(H398&lt;&gt;1,I398&lt;&gt;""),"Nome sem indicação interna",IF(AND(G398=1,F398=""),"Fechamento sem conversa",IF(OR(AND(E398&lt;&gt;"",E398&lt;B398),AND(F398&lt;&gt;"",F398&lt;B398)),"Evento anterior à entrada",IF(AND(F398&lt;&gt;"",E398=""),"Conversa sem agendamento",IF(OR(E398&gt;TODAY(),F398&gt;TODAY()),"Verificar evento futuro","OK"))))))))))</f>
        <v/>
      </c>
    </row>
    <row r="399" spans="12:15">
      <c r="L399" s="5">
        <f>IF(OR(A399="",B399=""),"",B399-WEEKDAY(B399,2)+1)</f>
        <v/>
      </c>
      <c r="M399" s="5">
        <f>IF(L399="","",L399+6)</f>
        <v/>
      </c>
      <c r="N399" s="6">
        <f>IF(OR(A399="",B399=""),"",DATE(YEAR(B399),MONTH(B399),1))</f>
        <v/>
      </c>
      <c r="O399" s="7">
        <f>IF(COUNTA(A399:K399)=0,"",IF(OR(A399="",B399=""),"Preencher CPF e entrada",IF(COUNTIFS($A$12:$A$5011,A399,$B$12:$B$5011,B399)&gt;1,"CPF + dia duplicado",IF(OR(AND(G399&lt;&gt;"",G399&lt;&gt;0,G399&lt;&gt;1),AND(H399&lt;&gt;"",H399&lt;&gt;0,H399&lt;&gt;1)),"Flags devem ser 0 ou 1",IF(AND(H399=1,LEN(TRIM(I399))=0),"Preencher nome do indicante",IF(AND(H399&lt;&gt;1,I399&lt;&gt;""),"Nome sem indicação interna",IF(AND(G399=1,F399=""),"Fechamento sem conversa",IF(OR(AND(E399&lt;&gt;"",E399&lt;B399),AND(F399&lt;&gt;"",F399&lt;B399)),"Evento anterior à entrada",IF(AND(F399&lt;&gt;"",E399=""),"Conversa sem agendamento",IF(OR(E399&gt;TODAY(),F399&gt;TODAY()),"Verificar evento futuro","OK"))))))))))</f>
        <v/>
      </c>
    </row>
    <row r="400" spans="12:15">
      <c r="L400" s="5">
        <f>IF(OR(A400="",B400=""),"",B400-WEEKDAY(B400,2)+1)</f>
        <v/>
      </c>
      <c r="M400" s="5">
        <f>IF(L400="","",L400+6)</f>
        <v/>
      </c>
      <c r="N400" s="6">
        <f>IF(OR(A400="",B400=""),"",DATE(YEAR(B400),MONTH(B400),1))</f>
        <v/>
      </c>
      <c r="O400" s="7">
        <f>IF(COUNTA(A400:K400)=0,"",IF(OR(A400="",B400=""),"Preencher CPF e entrada",IF(COUNTIFS($A$12:$A$5011,A400,$B$12:$B$5011,B400)&gt;1,"CPF + dia duplicado",IF(OR(AND(G400&lt;&gt;"",G400&lt;&gt;0,G400&lt;&gt;1),AND(H400&lt;&gt;"",H400&lt;&gt;0,H400&lt;&gt;1)),"Flags devem ser 0 ou 1",IF(AND(H400=1,LEN(TRIM(I400))=0),"Preencher nome do indicante",IF(AND(H400&lt;&gt;1,I400&lt;&gt;""),"Nome sem indicação interna",IF(AND(G400=1,F400=""),"Fechamento sem conversa",IF(OR(AND(E400&lt;&gt;"",E400&lt;B400),AND(F400&lt;&gt;"",F400&lt;B400)),"Evento anterior à entrada",IF(AND(F400&lt;&gt;"",E400=""),"Conversa sem agendamento",IF(OR(E400&gt;TODAY(),F400&gt;TODAY()),"Verificar evento futuro","OK"))))))))))</f>
        <v/>
      </c>
    </row>
    <row r="401" spans="12:15">
      <c r="L401" s="5">
        <f>IF(OR(A401="",B401=""),"",B401-WEEKDAY(B401,2)+1)</f>
        <v/>
      </c>
      <c r="M401" s="5">
        <f>IF(L401="","",L401+6)</f>
        <v/>
      </c>
      <c r="N401" s="6">
        <f>IF(OR(A401="",B401=""),"",DATE(YEAR(B401),MONTH(B401),1))</f>
        <v/>
      </c>
      <c r="O401" s="7">
        <f>IF(COUNTA(A401:K401)=0,"",IF(OR(A401="",B401=""),"Preencher CPF e entrada",IF(COUNTIFS($A$12:$A$5011,A401,$B$12:$B$5011,B401)&gt;1,"CPF + dia duplicado",IF(OR(AND(G401&lt;&gt;"",G401&lt;&gt;0,G401&lt;&gt;1),AND(H401&lt;&gt;"",H401&lt;&gt;0,H401&lt;&gt;1)),"Flags devem ser 0 ou 1",IF(AND(H401=1,LEN(TRIM(I401))=0),"Preencher nome do indicante",IF(AND(H401&lt;&gt;1,I401&lt;&gt;""),"Nome sem indicação interna",IF(AND(G401=1,F401=""),"Fechamento sem conversa",IF(OR(AND(E401&lt;&gt;"",E401&lt;B401),AND(F401&lt;&gt;"",F401&lt;B401)),"Evento anterior à entrada",IF(AND(F401&lt;&gt;"",E401=""),"Conversa sem agendamento",IF(OR(E401&gt;TODAY(),F401&gt;TODAY()),"Verificar evento futuro","OK"))))))))))</f>
        <v/>
      </c>
    </row>
    <row r="402" spans="12:15">
      <c r="L402" s="5">
        <f>IF(OR(A402="",B402=""),"",B402-WEEKDAY(B402,2)+1)</f>
        <v/>
      </c>
      <c r="M402" s="5">
        <f>IF(L402="","",L402+6)</f>
        <v/>
      </c>
      <c r="N402" s="6">
        <f>IF(OR(A402="",B402=""),"",DATE(YEAR(B402),MONTH(B402),1))</f>
        <v/>
      </c>
      <c r="O402" s="7">
        <f>IF(COUNTA(A402:K402)=0,"",IF(OR(A402="",B402=""),"Preencher CPF e entrada",IF(COUNTIFS($A$12:$A$5011,A402,$B$12:$B$5011,B402)&gt;1,"CPF + dia duplicado",IF(OR(AND(G402&lt;&gt;"",G402&lt;&gt;0,G402&lt;&gt;1),AND(H402&lt;&gt;"",H402&lt;&gt;0,H402&lt;&gt;1)),"Flags devem ser 0 ou 1",IF(AND(H402=1,LEN(TRIM(I402))=0),"Preencher nome do indicante",IF(AND(H402&lt;&gt;1,I402&lt;&gt;""),"Nome sem indicação interna",IF(AND(G402=1,F402=""),"Fechamento sem conversa",IF(OR(AND(E402&lt;&gt;"",E402&lt;B402),AND(F402&lt;&gt;"",F402&lt;B402)),"Evento anterior à entrada",IF(AND(F402&lt;&gt;"",E402=""),"Conversa sem agendamento",IF(OR(E402&gt;TODAY(),F402&gt;TODAY()),"Verificar evento futuro","OK"))))))))))</f>
        <v/>
      </c>
    </row>
    <row r="403" spans="12:15">
      <c r="L403" s="5">
        <f>IF(OR(A403="",B403=""),"",B403-WEEKDAY(B403,2)+1)</f>
        <v/>
      </c>
      <c r="M403" s="5">
        <f>IF(L403="","",L403+6)</f>
        <v/>
      </c>
      <c r="N403" s="6">
        <f>IF(OR(A403="",B403=""),"",DATE(YEAR(B403),MONTH(B403),1))</f>
        <v/>
      </c>
      <c r="O403" s="7">
        <f>IF(COUNTA(A403:K403)=0,"",IF(OR(A403="",B403=""),"Preencher CPF e entrada",IF(COUNTIFS($A$12:$A$5011,A403,$B$12:$B$5011,B403)&gt;1,"CPF + dia duplicado",IF(OR(AND(G403&lt;&gt;"",G403&lt;&gt;0,G403&lt;&gt;1),AND(H403&lt;&gt;"",H403&lt;&gt;0,H403&lt;&gt;1)),"Flags devem ser 0 ou 1",IF(AND(H403=1,LEN(TRIM(I403))=0),"Preencher nome do indicante",IF(AND(H403&lt;&gt;1,I403&lt;&gt;""),"Nome sem indicação interna",IF(AND(G403=1,F403=""),"Fechamento sem conversa",IF(OR(AND(E403&lt;&gt;"",E403&lt;B403),AND(F403&lt;&gt;"",F403&lt;B403)),"Evento anterior à entrada",IF(AND(F403&lt;&gt;"",E403=""),"Conversa sem agendamento",IF(OR(E403&gt;TODAY(),F403&gt;TODAY()),"Verificar evento futuro","OK"))))))))))</f>
        <v/>
      </c>
    </row>
    <row r="404" spans="12:15">
      <c r="L404" s="5">
        <f>IF(OR(A404="",B404=""),"",B404-WEEKDAY(B404,2)+1)</f>
        <v/>
      </c>
      <c r="M404" s="5">
        <f>IF(L404="","",L404+6)</f>
        <v/>
      </c>
      <c r="N404" s="6">
        <f>IF(OR(A404="",B404=""),"",DATE(YEAR(B404),MONTH(B404),1))</f>
        <v/>
      </c>
      <c r="O404" s="7">
        <f>IF(COUNTA(A404:K404)=0,"",IF(OR(A404="",B404=""),"Preencher CPF e entrada",IF(COUNTIFS($A$12:$A$5011,A404,$B$12:$B$5011,B404)&gt;1,"CPF + dia duplicado",IF(OR(AND(G404&lt;&gt;"",G404&lt;&gt;0,G404&lt;&gt;1),AND(H404&lt;&gt;"",H404&lt;&gt;0,H404&lt;&gt;1)),"Flags devem ser 0 ou 1",IF(AND(H404=1,LEN(TRIM(I404))=0),"Preencher nome do indicante",IF(AND(H404&lt;&gt;1,I404&lt;&gt;""),"Nome sem indicação interna",IF(AND(G404=1,F404=""),"Fechamento sem conversa",IF(OR(AND(E404&lt;&gt;"",E404&lt;B404),AND(F404&lt;&gt;"",F404&lt;B404)),"Evento anterior à entrada",IF(AND(F404&lt;&gt;"",E404=""),"Conversa sem agendamento",IF(OR(E404&gt;TODAY(),F404&gt;TODAY()),"Verificar evento futuro","OK"))))))))))</f>
        <v/>
      </c>
    </row>
    <row r="405" spans="12:15">
      <c r="L405" s="5">
        <f>IF(OR(A405="",B405=""),"",B405-WEEKDAY(B405,2)+1)</f>
        <v/>
      </c>
      <c r="M405" s="5">
        <f>IF(L405="","",L405+6)</f>
        <v/>
      </c>
      <c r="N405" s="6">
        <f>IF(OR(A405="",B405=""),"",DATE(YEAR(B405),MONTH(B405),1))</f>
        <v/>
      </c>
      <c r="O405" s="7">
        <f>IF(COUNTA(A405:K405)=0,"",IF(OR(A405="",B405=""),"Preencher CPF e entrada",IF(COUNTIFS($A$12:$A$5011,A405,$B$12:$B$5011,B405)&gt;1,"CPF + dia duplicado",IF(OR(AND(G405&lt;&gt;"",G405&lt;&gt;0,G405&lt;&gt;1),AND(H405&lt;&gt;"",H405&lt;&gt;0,H405&lt;&gt;1)),"Flags devem ser 0 ou 1",IF(AND(H405=1,LEN(TRIM(I405))=0),"Preencher nome do indicante",IF(AND(H405&lt;&gt;1,I405&lt;&gt;""),"Nome sem indicação interna",IF(AND(G405=1,F405=""),"Fechamento sem conversa",IF(OR(AND(E405&lt;&gt;"",E405&lt;B405),AND(F405&lt;&gt;"",F405&lt;B405)),"Evento anterior à entrada",IF(AND(F405&lt;&gt;"",E405=""),"Conversa sem agendamento",IF(OR(E405&gt;TODAY(),F405&gt;TODAY()),"Verificar evento futuro","OK"))))))))))</f>
        <v/>
      </c>
    </row>
    <row r="406" spans="12:15">
      <c r="L406" s="5">
        <f>IF(OR(A406="",B406=""),"",B406-WEEKDAY(B406,2)+1)</f>
        <v/>
      </c>
      <c r="M406" s="5">
        <f>IF(L406="","",L406+6)</f>
        <v/>
      </c>
      <c r="N406" s="6">
        <f>IF(OR(A406="",B406=""),"",DATE(YEAR(B406),MONTH(B406),1))</f>
        <v/>
      </c>
      <c r="O406" s="7">
        <f>IF(COUNTA(A406:K406)=0,"",IF(OR(A406="",B406=""),"Preencher CPF e entrada",IF(COUNTIFS($A$12:$A$5011,A406,$B$12:$B$5011,B406)&gt;1,"CPF + dia duplicado",IF(OR(AND(G406&lt;&gt;"",G406&lt;&gt;0,G406&lt;&gt;1),AND(H406&lt;&gt;"",H406&lt;&gt;0,H406&lt;&gt;1)),"Flags devem ser 0 ou 1",IF(AND(H406=1,LEN(TRIM(I406))=0),"Preencher nome do indicante",IF(AND(H406&lt;&gt;1,I406&lt;&gt;""),"Nome sem indicação interna",IF(AND(G406=1,F406=""),"Fechamento sem conversa",IF(OR(AND(E406&lt;&gt;"",E406&lt;B406),AND(F406&lt;&gt;"",F406&lt;B406)),"Evento anterior à entrada",IF(AND(F406&lt;&gt;"",E406=""),"Conversa sem agendamento",IF(OR(E406&gt;TODAY(),F406&gt;TODAY()),"Verificar evento futuro","OK"))))))))))</f>
        <v/>
      </c>
    </row>
    <row r="407" spans="12:15">
      <c r="L407" s="5">
        <f>IF(OR(A407="",B407=""),"",B407-WEEKDAY(B407,2)+1)</f>
        <v/>
      </c>
      <c r="M407" s="5">
        <f>IF(L407="","",L407+6)</f>
        <v/>
      </c>
      <c r="N407" s="6">
        <f>IF(OR(A407="",B407=""),"",DATE(YEAR(B407),MONTH(B407),1))</f>
        <v/>
      </c>
      <c r="O407" s="7">
        <f>IF(COUNTA(A407:K407)=0,"",IF(OR(A407="",B407=""),"Preencher CPF e entrada",IF(COUNTIFS($A$12:$A$5011,A407,$B$12:$B$5011,B407)&gt;1,"CPF + dia duplicado",IF(OR(AND(G407&lt;&gt;"",G407&lt;&gt;0,G407&lt;&gt;1),AND(H407&lt;&gt;"",H407&lt;&gt;0,H407&lt;&gt;1)),"Flags devem ser 0 ou 1",IF(AND(H407=1,LEN(TRIM(I407))=0),"Preencher nome do indicante",IF(AND(H407&lt;&gt;1,I407&lt;&gt;""),"Nome sem indicação interna",IF(AND(G407=1,F407=""),"Fechamento sem conversa",IF(OR(AND(E407&lt;&gt;"",E407&lt;B407),AND(F407&lt;&gt;"",F407&lt;B407)),"Evento anterior à entrada",IF(AND(F407&lt;&gt;"",E407=""),"Conversa sem agendamento",IF(OR(E407&gt;TODAY(),F407&gt;TODAY()),"Verificar evento futuro","OK"))))))))))</f>
        <v/>
      </c>
    </row>
    <row r="408" spans="12:15">
      <c r="L408" s="5">
        <f>IF(OR(A408="",B408=""),"",B408-WEEKDAY(B408,2)+1)</f>
        <v/>
      </c>
      <c r="M408" s="5">
        <f>IF(L408="","",L408+6)</f>
        <v/>
      </c>
      <c r="N408" s="6">
        <f>IF(OR(A408="",B408=""),"",DATE(YEAR(B408),MONTH(B408),1))</f>
        <v/>
      </c>
      <c r="O408" s="7">
        <f>IF(COUNTA(A408:K408)=0,"",IF(OR(A408="",B408=""),"Preencher CPF e entrada",IF(COUNTIFS($A$12:$A$5011,A408,$B$12:$B$5011,B408)&gt;1,"CPF + dia duplicado",IF(OR(AND(G408&lt;&gt;"",G408&lt;&gt;0,G408&lt;&gt;1),AND(H408&lt;&gt;"",H408&lt;&gt;0,H408&lt;&gt;1)),"Flags devem ser 0 ou 1",IF(AND(H408=1,LEN(TRIM(I408))=0),"Preencher nome do indicante",IF(AND(H408&lt;&gt;1,I408&lt;&gt;""),"Nome sem indicação interna",IF(AND(G408=1,F408=""),"Fechamento sem conversa",IF(OR(AND(E408&lt;&gt;"",E408&lt;B408),AND(F408&lt;&gt;"",F408&lt;B408)),"Evento anterior à entrada",IF(AND(F408&lt;&gt;"",E408=""),"Conversa sem agendamento",IF(OR(E408&gt;TODAY(),F408&gt;TODAY()),"Verificar evento futuro","OK"))))))))))</f>
        <v/>
      </c>
    </row>
    <row r="409" spans="12:15">
      <c r="L409" s="5">
        <f>IF(OR(A409="",B409=""),"",B409-WEEKDAY(B409,2)+1)</f>
        <v/>
      </c>
      <c r="M409" s="5">
        <f>IF(L409="","",L409+6)</f>
        <v/>
      </c>
      <c r="N409" s="6">
        <f>IF(OR(A409="",B409=""),"",DATE(YEAR(B409),MONTH(B409),1))</f>
        <v/>
      </c>
      <c r="O409" s="7">
        <f>IF(COUNTA(A409:K409)=0,"",IF(OR(A409="",B409=""),"Preencher CPF e entrada",IF(COUNTIFS($A$12:$A$5011,A409,$B$12:$B$5011,B409)&gt;1,"CPF + dia duplicado",IF(OR(AND(G409&lt;&gt;"",G409&lt;&gt;0,G409&lt;&gt;1),AND(H409&lt;&gt;"",H409&lt;&gt;0,H409&lt;&gt;1)),"Flags devem ser 0 ou 1",IF(AND(H409=1,LEN(TRIM(I409))=0),"Preencher nome do indicante",IF(AND(H409&lt;&gt;1,I409&lt;&gt;""),"Nome sem indicação interna",IF(AND(G409=1,F409=""),"Fechamento sem conversa",IF(OR(AND(E409&lt;&gt;"",E409&lt;B409),AND(F409&lt;&gt;"",F409&lt;B409)),"Evento anterior à entrada",IF(AND(F409&lt;&gt;"",E409=""),"Conversa sem agendamento",IF(OR(E409&gt;TODAY(),F409&gt;TODAY()),"Verificar evento futuro","OK"))))))))))</f>
        <v/>
      </c>
    </row>
    <row r="410" spans="12:15">
      <c r="L410" s="5">
        <f>IF(OR(A410="",B410=""),"",B410-WEEKDAY(B410,2)+1)</f>
        <v/>
      </c>
      <c r="M410" s="5">
        <f>IF(L410="","",L410+6)</f>
        <v/>
      </c>
      <c r="N410" s="6">
        <f>IF(OR(A410="",B410=""),"",DATE(YEAR(B410),MONTH(B410),1))</f>
        <v/>
      </c>
      <c r="O410" s="7">
        <f>IF(COUNTA(A410:K410)=0,"",IF(OR(A410="",B410=""),"Preencher CPF e entrada",IF(COUNTIFS($A$12:$A$5011,A410,$B$12:$B$5011,B410)&gt;1,"CPF + dia duplicado",IF(OR(AND(G410&lt;&gt;"",G410&lt;&gt;0,G410&lt;&gt;1),AND(H410&lt;&gt;"",H410&lt;&gt;0,H410&lt;&gt;1)),"Flags devem ser 0 ou 1",IF(AND(H410=1,LEN(TRIM(I410))=0),"Preencher nome do indicante",IF(AND(H410&lt;&gt;1,I410&lt;&gt;""),"Nome sem indicação interna",IF(AND(G410=1,F410=""),"Fechamento sem conversa",IF(OR(AND(E410&lt;&gt;"",E410&lt;B410),AND(F410&lt;&gt;"",F410&lt;B410)),"Evento anterior à entrada",IF(AND(F410&lt;&gt;"",E410=""),"Conversa sem agendamento",IF(OR(E410&gt;TODAY(),F410&gt;TODAY()),"Verificar evento futuro","OK"))))))))))</f>
        <v/>
      </c>
    </row>
    <row r="411" spans="12:15">
      <c r="L411" s="5">
        <f>IF(OR(A411="",B411=""),"",B411-WEEKDAY(B411,2)+1)</f>
        <v/>
      </c>
      <c r="M411" s="5">
        <f>IF(L411="","",L411+6)</f>
        <v/>
      </c>
      <c r="N411" s="6">
        <f>IF(OR(A411="",B411=""),"",DATE(YEAR(B411),MONTH(B411),1))</f>
        <v/>
      </c>
      <c r="O411" s="7">
        <f>IF(COUNTA(A411:K411)=0,"",IF(OR(A411="",B411=""),"Preencher CPF e entrada",IF(COUNTIFS($A$12:$A$5011,A411,$B$12:$B$5011,B411)&gt;1,"CPF + dia duplicado",IF(OR(AND(G411&lt;&gt;"",G411&lt;&gt;0,G411&lt;&gt;1),AND(H411&lt;&gt;"",H411&lt;&gt;0,H411&lt;&gt;1)),"Flags devem ser 0 ou 1",IF(AND(H411=1,LEN(TRIM(I411))=0),"Preencher nome do indicante",IF(AND(H411&lt;&gt;1,I411&lt;&gt;""),"Nome sem indicação interna",IF(AND(G411=1,F411=""),"Fechamento sem conversa",IF(OR(AND(E411&lt;&gt;"",E411&lt;B411),AND(F411&lt;&gt;"",F411&lt;B411)),"Evento anterior à entrada",IF(AND(F411&lt;&gt;"",E411=""),"Conversa sem agendamento",IF(OR(E411&gt;TODAY(),F411&gt;TODAY()),"Verificar evento futuro","OK"))))))))))</f>
        <v/>
      </c>
    </row>
    <row r="412" spans="12:15">
      <c r="L412" s="5">
        <f>IF(OR(A412="",B412=""),"",B412-WEEKDAY(B412,2)+1)</f>
        <v/>
      </c>
      <c r="M412" s="5">
        <f>IF(L412="","",L412+6)</f>
        <v/>
      </c>
      <c r="N412" s="6">
        <f>IF(OR(A412="",B412=""),"",DATE(YEAR(B412),MONTH(B412),1))</f>
        <v/>
      </c>
      <c r="O412" s="7">
        <f>IF(COUNTA(A412:K412)=0,"",IF(OR(A412="",B412=""),"Preencher CPF e entrada",IF(COUNTIFS($A$12:$A$5011,A412,$B$12:$B$5011,B412)&gt;1,"CPF + dia duplicado",IF(OR(AND(G412&lt;&gt;"",G412&lt;&gt;0,G412&lt;&gt;1),AND(H412&lt;&gt;"",H412&lt;&gt;0,H412&lt;&gt;1)),"Flags devem ser 0 ou 1",IF(AND(H412=1,LEN(TRIM(I412))=0),"Preencher nome do indicante",IF(AND(H412&lt;&gt;1,I412&lt;&gt;""),"Nome sem indicação interna",IF(AND(G412=1,F412=""),"Fechamento sem conversa",IF(OR(AND(E412&lt;&gt;"",E412&lt;B412),AND(F412&lt;&gt;"",F412&lt;B412)),"Evento anterior à entrada",IF(AND(F412&lt;&gt;"",E412=""),"Conversa sem agendamento",IF(OR(E412&gt;TODAY(),F412&gt;TODAY()),"Verificar evento futuro","OK"))))))))))</f>
        <v/>
      </c>
    </row>
    <row r="413" spans="12:15">
      <c r="L413" s="5">
        <f>IF(OR(A413="",B413=""),"",B413-WEEKDAY(B413,2)+1)</f>
        <v/>
      </c>
      <c r="M413" s="5">
        <f>IF(L413="","",L413+6)</f>
        <v/>
      </c>
      <c r="N413" s="6">
        <f>IF(OR(A413="",B413=""),"",DATE(YEAR(B413),MONTH(B413),1))</f>
        <v/>
      </c>
      <c r="O413" s="7">
        <f>IF(COUNTA(A413:K413)=0,"",IF(OR(A413="",B413=""),"Preencher CPF e entrada",IF(COUNTIFS($A$12:$A$5011,A413,$B$12:$B$5011,B413)&gt;1,"CPF + dia duplicado",IF(OR(AND(G413&lt;&gt;"",G413&lt;&gt;0,G413&lt;&gt;1),AND(H413&lt;&gt;"",H413&lt;&gt;0,H413&lt;&gt;1)),"Flags devem ser 0 ou 1",IF(AND(H413=1,LEN(TRIM(I413))=0),"Preencher nome do indicante",IF(AND(H413&lt;&gt;1,I413&lt;&gt;""),"Nome sem indicação interna",IF(AND(G413=1,F413=""),"Fechamento sem conversa",IF(OR(AND(E413&lt;&gt;"",E413&lt;B413),AND(F413&lt;&gt;"",F413&lt;B413)),"Evento anterior à entrada",IF(AND(F413&lt;&gt;"",E413=""),"Conversa sem agendamento",IF(OR(E413&gt;TODAY(),F413&gt;TODAY()),"Verificar evento futuro","OK"))))))))))</f>
        <v/>
      </c>
    </row>
    <row r="414" spans="12:15">
      <c r="L414" s="5">
        <f>IF(OR(A414="",B414=""),"",B414-WEEKDAY(B414,2)+1)</f>
        <v/>
      </c>
      <c r="M414" s="5">
        <f>IF(L414="","",L414+6)</f>
        <v/>
      </c>
      <c r="N414" s="6">
        <f>IF(OR(A414="",B414=""),"",DATE(YEAR(B414),MONTH(B414),1))</f>
        <v/>
      </c>
      <c r="O414" s="7">
        <f>IF(COUNTA(A414:K414)=0,"",IF(OR(A414="",B414=""),"Preencher CPF e entrada",IF(COUNTIFS($A$12:$A$5011,A414,$B$12:$B$5011,B414)&gt;1,"CPF + dia duplicado",IF(OR(AND(G414&lt;&gt;"",G414&lt;&gt;0,G414&lt;&gt;1),AND(H414&lt;&gt;"",H414&lt;&gt;0,H414&lt;&gt;1)),"Flags devem ser 0 ou 1",IF(AND(H414=1,LEN(TRIM(I414))=0),"Preencher nome do indicante",IF(AND(H414&lt;&gt;1,I414&lt;&gt;""),"Nome sem indicação interna",IF(AND(G414=1,F414=""),"Fechamento sem conversa",IF(OR(AND(E414&lt;&gt;"",E414&lt;B414),AND(F414&lt;&gt;"",F414&lt;B414)),"Evento anterior à entrada",IF(AND(F414&lt;&gt;"",E414=""),"Conversa sem agendamento",IF(OR(E414&gt;TODAY(),F414&gt;TODAY()),"Verificar evento futuro","OK"))))))))))</f>
        <v/>
      </c>
    </row>
    <row r="415" spans="12:15">
      <c r="L415" s="5">
        <f>IF(OR(A415="",B415=""),"",B415-WEEKDAY(B415,2)+1)</f>
        <v/>
      </c>
      <c r="M415" s="5">
        <f>IF(L415="","",L415+6)</f>
        <v/>
      </c>
      <c r="N415" s="6">
        <f>IF(OR(A415="",B415=""),"",DATE(YEAR(B415),MONTH(B415),1))</f>
        <v/>
      </c>
      <c r="O415" s="7">
        <f>IF(COUNTA(A415:K415)=0,"",IF(OR(A415="",B415=""),"Preencher CPF e entrada",IF(COUNTIFS($A$12:$A$5011,A415,$B$12:$B$5011,B415)&gt;1,"CPF + dia duplicado",IF(OR(AND(G415&lt;&gt;"",G415&lt;&gt;0,G415&lt;&gt;1),AND(H415&lt;&gt;"",H415&lt;&gt;0,H415&lt;&gt;1)),"Flags devem ser 0 ou 1",IF(AND(H415=1,LEN(TRIM(I415))=0),"Preencher nome do indicante",IF(AND(H415&lt;&gt;1,I415&lt;&gt;""),"Nome sem indicação interna",IF(AND(G415=1,F415=""),"Fechamento sem conversa",IF(OR(AND(E415&lt;&gt;"",E415&lt;B415),AND(F415&lt;&gt;"",F415&lt;B415)),"Evento anterior à entrada",IF(AND(F415&lt;&gt;"",E415=""),"Conversa sem agendamento",IF(OR(E415&gt;TODAY(),F415&gt;TODAY()),"Verificar evento futuro","OK"))))))))))</f>
        <v/>
      </c>
    </row>
    <row r="416" spans="12:15">
      <c r="L416" s="5">
        <f>IF(OR(A416="",B416=""),"",B416-WEEKDAY(B416,2)+1)</f>
        <v/>
      </c>
      <c r="M416" s="5">
        <f>IF(L416="","",L416+6)</f>
        <v/>
      </c>
      <c r="N416" s="6">
        <f>IF(OR(A416="",B416=""),"",DATE(YEAR(B416),MONTH(B416),1))</f>
        <v/>
      </c>
      <c r="O416" s="7">
        <f>IF(COUNTA(A416:K416)=0,"",IF(OR(A416="",B416=""),"Preencher CPF e entrada",IF(COUNTIFS($A$12:$A$5011,A416,$B$12:$B$5011,B416)&gt;1,"CPF + dia duplicado",IF(OR(AND(G416&lt;&gt;"",G416&lt;&gt;0,G416&lt;&gt;1),AND(H416&lt;&gt;"",H416&lt;&gt;0,H416&lt;&gt;1)),"Flags devem ser 0 ou 1",IF(AND(H416=1,LEN(TRIM(I416))=0),"Preencher nome do indicante",IF(AND(H416&lt;&gt;1,I416&lt;&gt;""),"Nome sem indicação interna",IF(AND(G416=1,F416=""),"Fechamento sem conversa",IF(OR(AND(E416&lt;&gt;"",E416&lt;B416),AND(F416&lt;&gt;"",F416&lt;B416)),"Evento anterior à entrada",IF(AND(F416&lt;&gt;"",E416=""),"Conversa sem agendamento",IF(OR(E416&gt;TODAY(),F416&gt;TODAY()),"Verificar evento futuro","OK"))))))))))</f>
        <v/>
      </c>
    </row>
    <row r="417" spans="12:15">
      <c r="L417" s="5">
        <f>IF(OR(A417="",B417=""),"",B417-WEEKDAY(B417,2)+1)</f>
        <v/>
      </c>
      <c r="M417" s="5">
        <f>IF(L417="","",L417+6)</f>
        <v/>
      </c>
      <c r="N417" s="6">
        <f>IF(OR(A417="",B417=""),"",DATE(YEAR(B417),MONTH(B417),1))</f>
        <v/>
      </c>
      <c r="O417" s="7">
        <f>IF(COUNTA(A417:K417)=0,"",IF(OR(A417="",B417=""),"Preencher CPF e entrada",IF(COUNTIFS($A$12:$A$5011,A417,$B$12:$B$5011,B417)&gt;1,"CPF + dia duplicado",IF(OR(AND(G417&lt;&gt;"",G417&lt;&gt;0,G417&lt;&gt;1),AND(H417&lt;&gt;"",H417&lt;&gt;0,H417&lt;&gt;1)),"Flags devem ser 0 ou 1",IF(AND(H417=1,LEN(TRIM(I417))=0),"Preencher nome do indicante",IF(AND(H417&lt;&gt;1,I417&lt;&gt;""),"Nome sem indicação interna",IF(AND(G417=1,F417=""),"Fechamento sem conversa",IF(OR(AND(E417&lt;&gt;"",E417&lt;B417),AND(F417&lt;&gt;"",F417&lt;B417)),"Evento anterior à entrada",IF(AND(F417&lt;&gt;"",E417=""),"Conversa sem agendamento",IF(OR(E417&gt;TODAY(),F417&gt;TODAY()),"Verificar evento futuro","OK"))))))))))</f>
        <v/>
      </c>
    </row>
    <row r="418" spans="12:15">
      <c r="L418" s="5">
        <f>IF(OR(A418="",B418=""),"",B418-WEEKDAY(B418,2)+1)</f>
        <v/>
      </c>
      <c r="M418" s="5">
        <f>IF(L418="","",L418+6)</f>
        <v/>
      </c>
      <c r="N418" s="6">
        <f>IF(OR(A418="",B418=""),"",DATE(YEAR(B418),MONTH(B418),1))</f>
        <v/>
      </c>
      <c r="O418" s="7">
        <f>IF(COUNTA(A418:K418)=0,"",IF(OR(A418="",B418=""),"Preencher CPF e entrada",IF(COUNTIFS($A$12:$A$5011,A418,$B$12:$B$5011,B418)&gt;1,"CPF + dia duplicado",IF(OR(AND(G418&lt;&gt;"",G418&lt;&gt;0,G418&lt;&gt;1),AND(H418&lt;&gt;"",H418&lt;&gt;0,H418&lt;&gt;1)),"Flags devem ser 0 ou 1",IF(AND(H418=1,LEN(TRIM(I418))=0),"Preencher nome do indicante",IF(AND(H418&lt;&gt;1,I418&lt;&gt;""),"Nome sem indicação interna",IF(AND(G418=1,F418=""),"Fechamento sem conversa",IF(OR(AND(E418&lt;&gt;"",E418&lt;B418),AND(F418&lt;&gt;"",F418&lt;B418)),"Evento anterior à entrada",IF(AND(F418&lt;&gt;"",E418=""),"Conversa sem agendamento",IF(OR(E418&gt;TODAY(),F418&gt;TODAY()),"Verificar evento futuro","OK"))))))))))</f>
        <v/>
      </c>
    </row>
    <row r="419" spans="12:15">
      <c r="L419" s="5">
        <f>IF(OR(A419="",B419=""),"",B419-WEEKDAY(B419,2)+1)</f>
        <v/>
      </c>
      <c r="M419" s="5">
        <f>IF(L419="","",L419+6)</f>
        <v/>
      </c>
      <c r="N419" s="6">
        <f>IF(OR(A419="",B419=""),"",DATE(YEAR(B419),MONTH(B419),1))</f>
        <v/>
      </c>
      <c r="O419" s="7">
        <f>IF(COUNTA(A419:K419)=0,"",IF(OR(A419="",B419=""),"Preencher CPF e entrada",IF(COUNTIFS($A$12:$A$5011,A419,$B$12:$B$5011,B419)&gt;1,"CPF + dia duplicado",IF(OR(AND(G419&lt;&gt;"",G419&lt;&gt;0,G419&lt;&gt;1),AND(H419&lt;&gt;"",H419&lt;&gt;0,H419&lt;&gt;1)),"Flags devem ser 0 ou 1",IF(AND(H419=1,LEN(TRIM(I419))=0),"Preencher nome do indicante",IF(AND(H419&lt;&gt;1,I419&lt;&gt;""),"Nome sem indicação interna",IF(AND(G419=1,F419=""),"Fechamento sem conversa",IF(OR(AND(E419&lt;&gt;"",E419&lt;B419),AND(F419&lt;&gt;"",F419&lt;B419)),"Evento anterior à entrada",IF(AND(F419&lt;&gt;"",E419=""),"Conversa sem agendamento",IF(OR(E419&gt;TODAY(),F419&gt;TODAY()),"Verificar evento futuro","OK"))))))))))</f>
        <v/>
      </c>
    </row>
    <row r="420" spans="12:15">
      <c r="L420" s="5">
        <f>IF(OR(A420="",B420=""),"",B420-WEEKDAY(B420,2)+1)</f>
        <v/>
      </c>
      <c r="M420" s="5">
        <f>IF(L420="","",L420+6)</f>
        <v/>
      </c>
      <c r="N420" s="6">
        <f>IF(OR(A420="",B420=""),"",DATE(YEAR(B420),MONTH(B420),1))</f>
        <v/>
      </c>
      <c r="O420" s="7">
        <f>IF(COUNTA(A420:K420)=0,"",IF(OR(A420="",B420=""),"Preencher CPF e entrada",IF(COUNTIFS($A$12:$A$5011,A420,$B$12:$B$5011,B420)&gt;1,"CPF + dia duplicado",IF(OR(AND(G420&lt;&gt;"",G420&lt;&gt;0,G420&lt;&gt;1),AND(H420&lt;&gt;"",H420&lt;&gt;0,H420&lt;&gt;1)),"Flags devem ser 0 ou 1",IF(AND(H420=1,LEN(TRIM(I420))=0),"Preencher nome do indicante",IF(AND(H420&lt;&gt;1,I420&lt;&gt;""),"Nome sem indicação interna",IF(AND(G420=1,F420=""),"Fechamento sem conversa",IF(OR(AND(E420&lt;&gt;"",E420&lt;B420),AND(F420&lt;&gt;"",F420&lt;B420)),"Evento anterior à entrada",IF(AND(F420&lt;&gt;"",E420=""),"Conversa sem agendamento",IF(OR(E420&gt;TODAY(),F420&gt;TODAY()),"Verificar evento futuro","OK"))))))))))</f>
        <v/>
      </c>
    </row>
    <row r="421" spans="12:15">
      <c r="L421" s="5">
        <f>IF(OR(A421="",B421=""),"",B421-WEEKDAY(B421,2)+1)</f>
        <v/>
      </c>
      <c r="M421" s="5">
        <f>IF(L421="","",L421+6)</f>
        <v/>
      </c>
      <c r="N421" s="6">
        <f>IF(OR(A421="",B421=""),"",DATE(YEAR(B421),MONTH(B421),1))</f>
        <v/>
      </c>
      <c r="O421" s="7">
        <f>IF(COUNTA(A421:K421)=0,"",IF(OR(A421="",B421=""),"Preencher CPF e entrada",IF(COUNTIFS($A$12:$A$5011,A421,$B$12:$B$5011,B421)&gt;1,"CPF + dia duplicado",IF(OR(AND(G421&lt;&gt;"",G421&lt;&gt;0,G421&lt;&gt;1),AND(H421&lt;&gt;"",H421&lt;&gt;0,H421&lt;&gt;1)),"Flags devem ser 0 ou 1",IF(AND(H421=1,LEN(TRIM(I421))=0),"Preencher nome do indicante",IF(AND(H421&lt;&gt;1,I421&lt;&gt;""),"Nome sem indicação interna",IF(AND(G421=1,F421=""),"Fechamento sem conversa",IF(OR(AND(E421&lt;&gt;"",E421&lt;B421),AND(F421&lt;&gt;"",F421&lt;B421)),"Evento anterior à entrada",IF(AND(F421&lt;&gt;"",E421=""),"Conversa sem agendamento",IF(OR(E421&gt;TODAY(),F421&gt;TODAY()),"Verificar evento futuro","OK"))))))))))</f>
        <v/>
      </c>
    </row>
    <row r="422" spans="12:15">
      <c r="L422" s="5">
        <f>IF(OR(A422="",B422=""),"",B422-WEEKDAY(B422,2)+1)</f>
        <v/>
      </c>
      <c r="M422" s="5">
        <f>IF(L422="","",L422+6)</f>
        <v/>
      </c>
      <c r="N422" s="6">
        <f>IF(OR(A422="",B422=""),"",DATE(YEAR(B422),MONTH(B422),1))</f>
        <v/>
      </c>
      <c r="O422" s="7">
        <f>IF(COUNTA(A422:K422)=0,"",IF(OR(A422="",B422=""),"Preencher CPF e entrada",IF(COUNTIFS($A$12:$A$5011,A422,$B$12:$B$5011,B422)&gt;1,"CPF + dia duplicado",IF(OR(AND(G422&lt;&gt;"",G422&lt;&gt;0,G422&lt;&gt;1),AND(H422&lt;&gt;"",H422&lt;&gt;0,H422&lt;&gt;1)),"Flags devem ser 0 ou 1",IF(AND(H422=1,LEN(TRIM(I422))=0),"Preencher nome do indicante",IF(AND(H422&lt;&gt;1,I422&lt;&gt;""),"Nome sem indicação interna",IF(AND(G422=1,F422=""),"Fechamento sem conversa",IF(OR(AND(E422&lt;&gt;"",E422&lt;B422),AND(F422&lt;&gt;"",F422&lt;B422)),"Evento anterior à entrada",IF(AND(F422&lt;&gt;"",E422=""),"Conversa sem agendamento",IF(OR(E422&gt;TODAY(),F422&gt;TODAY()),"Verificar evento futuro","OK"))))))))))</f>
        <v/>
      </c>
    </row>
    <row r="423" spans="12:15">
      <c r="L423" s="5">
        <f>IF(OR(A423="",B423=""),"",B423-WEEKDAY(B423,2)+1)</f>
        <v/>
      </c>
      <c r="M423" s="5">
        <f>IF(L423="","",L423+6)</f>
        <v/>
      </c>
      <c r="N423" s="6">
        <f>IF(OR(A423="",B423=""),"",DATE(YEAR(B423),MONTH(B423),1))</f>
        <v/>
      </c>
      <c r="O423" s="7">
        <f>IF(COUNTA(A423:K423)=0,"",IF(OR(A423="",B423=""),"Preencher CPF e entrada",IF(COUNTIFS($A$12:$A$5011,A423,$B$12:$B$5011,B423)&gt;1,"CPF + dia duplicado",IF(OR(AND(G423&lt;&gt;"",G423&lt;&gt;0,G423&lt;&gt;1),AND(H423&lt;&gt;"",H423&lt;&gt;0,H423&lt;&gt;1)),"Flags devem ser 0 ou 1",IF(AND(H423=1,LEN(TRIM(I423))=0),"Preencher nome do indicante",IF(AND(H423&lt;&gt;1,I423&lt;&gt;""),"Nome sem indicação interna",IF(AND(G423=1,F423=""),"Fechamento sem conversa",IF(OR(AND(E423&lt;&gt;"",E423&lt;B423),AND(F423&lt;&gt;"",F423&lt;B423)),"Evento anterior à entrada",IF(AND(F423&lt;&gt;"",E423=""),"Conversa sem agendamento",IF(OR(E423&gt;TODAY(),F423&gt;TODAY()),"Verificar evento futuro","OK"))))))))))</f>
        <v/>
      </c>
    </row>
    <row r="424" spans="12:15">
      <c r="L424" s="5">
        <f>IF(OR(A424="",B424=""),"",B424-WEEKDAY(B424,2)+1)</f>
        <v/>
      </c>
      <c r="M424" s="5">
        <f>IF(L424="","",L424+6)</f>
        <v/>
      </c>
      <c r="N424" s="6">
        <f>IF(OR(A424="",B424=""),"",DATE(YEAR(B424),MONTH(B424),1))</f>
        <v/>
      </c>
      <c r="O424" s="7">
        <f>IF(COUNTA(A424:K424)=0,"",IF(OR(A424="",B424=""),"Preencher CPF e entrada",IF(COUNTIFS($A$12:$A$5011,A424,$B$12:$B$5011,B424)&gt;1,"CPF + dia duplicado",IF(OR(AND(G424&lt;&gt;"",G424&lt;&gt;0,G424&lt;&gt;1),AND(H424&lt;&gt;"",H424&lt;&gt;0,H424&lt;&gt;1)),"Flags devem ser 0 ou 1",IF(AND(H424=1,LEN(TRIM(I424))=0),"Preencher nome do indicante",IF(AND(H424&lt;&gt;1,I424&lt;&gt;""),"Nome sem indicação interna",IF(AND(G424=1,F424=""),"Fechamento sem conversa",IF(OR(AND(E424&lt;&gt;"",E424&lt;B424),AND(F424&lt;&gt;"",F424&lt;B424)),"Evento anterior à entrada",IF(AND(F424&lt;&gt;"",E424=""),"Conversa sem agendamento",IF(OR(E424&gt;TODAY(),F424&gt;TODAY()),"Verificar evento futuro","OK"))))))))))</f>
        <v/>
      </c>
    </row>
    <row r="425" spans="12:15">
      <c r="L425" s="5">
        <f>IF(OR(A425="",B425=""),"",B425-WEEKDAY(B425,2)+1)</f>
        <v/>
      </c>
      <c r="M425" s="5">
        <f>IF(L425="","",L425+6)</f>
        <v/>
      </c>
      <c r="N425" s="6">
        <f>IF(OR(A425="",B425=""),"",DATE(YEAR(B425),MONTH(B425),1))</f>
        <v/>
      </c>
      <c r="O425" s="7">
        <f>IF(COUNTA(A425:K425)=0,"",IF(OR(A425="",B425=""),"Preencher CPF e entrada",IF(COUNTIFS($A$12:$A$5011,A425,$B$12:$B$5011,B425)&gt;1,"CPF + dia duplicado",IF(OR(AND(G425&lt;&gt;"",G425&lt;&gt;0,G425&lt;&gt;1),AND(H425&lt;&gt;"",H425&lt;&gt;0,H425&lt;&gt;1)),"Flags devem ser 0 ou 1",IF(AND(H425=1,LEN(TRIM(I425))=0),"Preencher nome do indicante",IF(AND(H425&lt;&gt;1,I425&lt;&gt;""),"Nome sem indicação interna",IF(AND(G425=1,F425=""),"Fechamento sem conversa",IF(OR(AND(E425&lt;&gt;"",E425&lt;B425),AND(F425&lt;&gt;"",F425&lt;B425)),"Evento anterior à entrada",IF(AND(F425&lt;&gt;"",E425=""),"Conversa sem agendamento",IF(OR(E425&gt;TODAY(),F425&gt;TODAY()),"Verificar evento futuro","OK"))))))))))</f>
        <v/>
      </c>
    </row>
    <row r="426" spans="12:15">
      <c r="L426" s="5">
        <f>IF(OR(A426="",B426=""),"",B426-WEEKDAY(B426,2)+1)</f>
        <v/>
      </c>
      <c r="M426" s="5">
        <f>IF(L426="","",L426+6)</f>
        <v/>
      </c>
      <c r="N426" s="6">
        <f>IF(OR(A426="",B426=""),"",DATE(YEAR(B426),MONTH(B426),1))</f>
        <v/>
      </c>
      <c r="O426" s="7">
        <f>IF(COUNTA(A426:K426)=0,"",IF(OR(A426="",B426=""),"Preencher CPF e entrada",IF(COUNTIFS($A$12:$A$5011,A426,$B$12:$B$5011,B426)&gt;1,"CPF + dia duplicado",IF(OR(AND(G426&lt;&gt;"",G426&lt;&gt;0,G426&lt;&gt;1),AND(H426&lt;&gt;"",H426&lt;&gt;0,H426&lt;&gt;1)),"Flags devem ser 0 ou 1",IF(AND(H426=1,LEN(TRIM(I426))=0),"Preencher nome do indicante",IF(AND(H426&lt;&gt;1,I426&lt;&gt;""),"Nome sem indicação interna",IF(AND(G426=1,F426=""),"Fechamento sem conversa",IF(OR(AND(E426&lt;&gt;"",E426&lt;B426),AND(F426&lt;&gt;"",F426&lt;B426)),"Evento anterior à entrada",IF(AND(F426&lt;&gt;"",E426=""),"Conversa sem agendamento",IF(OR(E426&gt;TODAY(),F426&gt;TODAY()),"Verificar evento futuro","OK"))))))))))</f>
        <v/>
      </c>
    </row>
    <row r="427" spans="12:15">
      <c r="L427" s="5">
        <f>IF(OR(A427="",B427=""),"",B427-WEEKDAY(B427,2)+1)</f>
        <v/>
      </c>
      <c r="M427" s="5">
        <f>IF(L427="","",L427+6)</f>
        <v/>
      </c>
      <c r="N427" s="6">
        <f>IF(OR(A427="",B427=""),"",DATE(YEAR(B427),MONTH(B427),1))</f>
        <v/>
      </c>
      <c r="O427" s="7">
        <f>IF(COUNTA(A427:K427)=0,"",IF(OR(A427="",B427=""),"Preencher CPF e entrada",IF(COUNTIFS($A$12:$A$5011,A427,$B$12:$B$5011,B427)&gt;1,"CPF + dia duplicado",IF(OR(AND(G427&lt;&gt;"",G427&lt;&gt;0,G427&lt;&gt;1),AND(H427&lt;&gt;"",H427&lt;&gt;0,H427&lt;&gt;1)),"Flags devem ser 0 ou 1",IF(AND(H427=1,LEN(TRIM(I427))=0),"Preencher nome do indicante",IF(AND(H427&lt;&gt;1,I427&lt;&gt;""),"Nome sem indicação interna",IF(AND(G427=1,F427=""),"Fechamento sem conversa",IF(OR(AND(E427&lt;&gt;"",E427&lt;B427),AND(F427&lt;&gt;"",F427&lt;B427)),"Evento anterior à entrada",IF(AND(F427&lt;&gt;"",E427=""),"Conversa sem agendamento",IF(OR(E427&gt;TODAY(),F427&gt;TODAY()),"Verificar evento futuro","OK"))))))))))</f>
        <v/>
      </c>
    </row>
    <row r="428" spans="12:15">
      <c r="L428" s="5">
        <f>IF(OR(A428="",B428=""),"",B428-WEEKDAY(B428,2)+1)</f>
        <v/>
      </c>
      <c r="M428" s="5">
        <f>IF(L428="","",L428+6)</f>
        <v/>
      </c>
      <c r="N428" s="6">
        <f>IF(OR(A428="",B428=""),"",DATE(YEAR(B428),MONTH(B428),1))</f>
        <v/>
      </c>
      <c r="O428" s="7">
        <f>IF(COUNTA(A428:K428)=0,"",IF(OR(A428="",B428=""),"Preencher CPF e entrada",IF(COUNTIFS($A$12:$A$5011,A428,$B$12:$B$5011,B428)&gt;1,"CPF + dia duplicado",IF(OR(AND(G428&lt;&gt;"",G428&lt;&gt;0,G428&lt;&gt;1),AND(H428&lt;&gt;"",H428&lt;&gt;0,H428&lt;&gt;1)),"Flags devem ser 0 ou 1",IF(AND(H428=1,LEN(TRIM(I428))=0),"Preencher nome do indicante",IF(AND(H428&lt;&gt;1,I428&lt;&gt;""),"Nome sem indicação interna",IF(AND(G428=1,F428=""),"Fechamento sem conversa",IF(OR(AND(E428&lt;&gt;"",E428&lt;B428),AND(F428&lt;&gt;"",F428&lt;B428)),"Evento anterior à entrada",IF(AND(F428&lt;&gt;"",E428=""),"Conversa sem agendamento",IF(OR(E428&gt;TODAY(),F428&gt;TODAY()),"Verificar evento futuro","OK"))))))))))</f>
        <v/>
      </c>
    </row>
    <row r="429" spans="12:15">
      <c r="L429" s="5">
        <f>IF(OR(A429="",B429=""),"",B429-WEEKDAY(B429,2)+1)</f>
        <v/>
      </c>
      <c r="M429" s="5">
        <f>IF(L429="","",L429+6)</f>
        <v/>
      </c>
      <c r="N429" s="6">
        <f>IF(OR(A429="",B429=""),"",DATE(YEAR(B429),MONTH(B429),1))</f>
        <v/>
      </c>
      <c r="O429" s="7">
        <f>IF(COUNTA(A429:K429)=0,"",IF(OR(A429="",B429=""),"Preencher CPF e entrada",IF(COUNTIFS($A$12:$A$5011,A429,$B$12:$B$5011,B429)&gt;1,"CPF + dia duplicado",IF(OR(AND(G429&lt;&gt;"",G429&lt;&gt;0,G429&lt;&gt;1),AND(H429&lt;&gt;"",H429&lt;&gt;0,H429&lt;&gt;1)),"Flags devem ser 0 ou 1",IF(AND(H429=1,LEN(TRIM(I429))=0),"Preencher nome do indicante",IF(AND(H429&lt;&gt;1,I429&lt;&gt;""),"Nome sem indicação interna",IF(AND(G429=1,F429=""),"Fechamento sem conversa",IF(OR(AND(E429&lt;&gt;"",E429&lt;B429),AND(F429&lt;&gt;"",F429&lt;B429)),"Evento anterior à entrada",IF(AND(F429&lt;&gt;"",E429=""),"Conversa sem agendamento",IF(OR(E429&gt;TODAY(),F429&gt;TODAY()),"Verificar evento futuro","OK"))))))))))</f>
        <v/>
      </c>
    </row>
    <row r="430" spans="12:15">
      <c r="L430" s="5">
        <f>IF(OR(A430="",B430=""),"",B430-WEEKDAY(B430,2)+1)</f>
        <v/>
      </c>
      <c r="M430" s="5">
        <f>IF(L430="","",L430+6)</f>
        <v/>
      </c>
      <c r="N430" s="6">
        <f>IF(OR(A430="",B430=""),"",DATE(YEAR(B430),MONTH(B430),1))</f>
        <v/>
      </c>
      <c r="O430" s="7">
        <f>IF(COUNTA(A430:K430)=0,"",IF(OR(A430="",B430=""),"Preencher CPF e entrada",IF(COUNTIFS($A$12:$A$5011,A430,$B$12:$B$5011,B430)&gt;1,"CPF + dia duplicado",IF(OR(AND(G430&lt;&gt;"",G430&lt;&gt;0,G430&lt;&gt;1),AND(H430&lt;&gt;"",H430&lt;&gt;0,H430&lt;&gt;1)),"Flags devem ser 0 ou 1",IF(AND(H430=1,LEN(TRIM(I430))=0),"Preencher nome do indicante",IF(AND(H430&lt;&gt;1,I430&lt;&gt;""),"Nome sem indicação interna",IF(AND(G430=1,F430=""),"Fechamento sem conversa",IF(OR(AND(E430&lt;&gt;"",E430&lt;B430),AND(F430&lt;&gt;"",F430&lt;B430)),"Evento anterior à entrada",IF(AND(F430&lt;&gt;"",E430=""),"Conversa sem agendamento",IF(OR(E430&gt;TODAY(),F430&gt;TODAY()),"Verificar evento futuro","OK"))))))))))</f>
        <v/>
      </c>
    </row>
    <row r="431" spans="12:15">
      <c r="L431" s="5">
        <f>IF(OR(A431="",B431=""),"",B431-WEEKDAY(B431,2)+1)</f>
        <v/>
      </c>
      <c r="M431" s="5">
        <f>IF(L431="","",L431+6)</f>
        <v/>
      </c>
      <c r="N431" s="6">
        <f>IF(OR(A431="",B431=""),"",DATE(YEAR(B431),MONTH(B431),1))</f>
        <v/>
      </c>
      <c r="O431" s="7">
        <f>IF(COUNTA(A431:K431)=0,"",IF(OR(A431="",B431=""),"Preencher CPF e entrada",IF(COUNTIFS($A$12:$A$5011,A431,$B$12:$B$5011,B431)&gt;1,"CPF + dia duplicado",IF(OR(AND(G431&lt;&gt;"",G431&lt;&gt;0,G431&lt;&gt;1),AND(H431&lt;&gt;"",H431&lt;&gt;0,H431&lt;&gt;1)),"Flags devem ser 0 ou 1",IF(AND(H431=1,LEN(TRIM(I431))=0),"Preencher nome do indicante",IF(AND(H431&lt;&gt;1,I431&lt;&gt;""),"Nome sem indicação interna",IF(AND(G431=1,F431=""),"Fechamento sem conversa",IF(OR(AND(E431&lt;&gt;"",E431&lt;B431),AND(F431&lt;&gt;"",F431&lt;B431)),"Evento anterior à entrada",IF(AND(F431&lt;&gt;"",E431=""),"Conversa sem agendamento",IF(OR(E431&gt;TODAY(),F431&gt;TODAY()),"Verificar evento futuro","OK"))))))))))</f>
        <v/>
      </c>
    </row>
    <row r="432" spans="12:15">
      <c r="L432" s="5">
        <f>IF(OR(A432="",B432=""),"",B432-WEEKDAY(B432,2)+1)</f>
        <v/>
      </c>
      <c r="M432" s="5">
        <f>IF(L432="","",L432+6)</f>
        <v/>
      </c>
      <c r="N432" s="6">
        <f>IF(OR(A432="",B432=""),"",DATE(YEAR(B432),MONTH(B432),1))</f>
        <v/>
      </c>
      <c r="O432" s="7">
        <f>IF(COUNTA(A432:K432)=0,"",IF(OR(A432="",B432=""),"Preencher CPF e entrada",IF(COUNTIFS($A$12:$A$5011,A432,$B$12:$B$5011,B432)&gt;1,"CPF + dia duplicado",IF(OR(AND(G432&lt;&gt;"",G432&lt;&gt;0,G432&lt;&gt;1),AND(H432&lt;&gt;"",H432&lt;&gt;0,H432&lt;&gt;1)),"Flags devem ser 0 ou 1",IF(AND(H432=1,LEN(TRIM(I432))=0),"Preencher nome do indicante",IF(AND(H432&lt;&gt;1,I432&lt;&gt;""),"Nome sem indicação interna",IF(AND(G432=1,F432=""),"Fechamento sem conversa",IF(OR(AND(E432&lt;&gt;"",E432&lt;B432),AND(F432&lt;&gt;"",F432&lt;B432)),"Evento anterior à entrada",IF(AND(F432&lt;&gt;"",E432=""),"Conversa sem agendamento",IF(OR(E432&gt;TODAY(),F432&gt;TODAY()),"Verificar evento futuro","OK"))))))))))</f>
        <v/>
      </c>
    </row>
    <row r="433" spans="12:15">
      <c r="L433" s="5">
        <f>IF(OR(A433="",B433=""),"",B433-WEEKDAY(B433,2)+1)</f>
        <v/>
      </c>
      <c r="M433" s="5">
        <f>IF(L433="","",L433+6)</f>
        <v/>
      </c>
      <c r="N433" s="6">
        <f>IF(OR(A433="",B433=""),"",DATE(YEAR(B433),MONTH(B433),1))</f>
        <v/>
      </c>
      <c r="O433" s="7">
        <f>IF(COUNTA(A433:K433)=0,"",IF(OR(A433="",B433=""),"Preencher CPF e entrada",IF(COUNTIFS($A$12:$A$5011,A433,$B$12:$B$5011,B433)&gt;1,"CPF + dia duplicado",IF(OR(AND(G433&lt;&gt;"",G433&lt;&gt;0,G433&lt;&gt;1),AND(H433&lt;&gt;"",H433&lt;&gt;0,H433&lt;&gt;1)),"Flags devem ser 0 ou 1",IF(AND(H433=1,LEN(TRIM(I433))=0),"Preencher nome do indicante",IF(AND(H433&lt;&gt;1,I433&lt;&gt;""),"Nome sem indicação interna",IF(AND(G433=1,F433=""),"Fechamento sem conversa",IF(OR(AND(E433&lt;&gt;"",E433&lt;B433),AND(F433&lt;&gt;"",F433&lt;B433)),"Evento anterior à entrada",IF(AND(F433&lt;&gt;"",E433=""),"Conversa sem agendamento",IF(OR(E433&gt;TODAY(),F433&gt;TODAY()),"Verificar evento futuro","OK"))))))))))</f>
        <v/>
      </c>
    </row>
    <row r="434" spans="12:15">
      <c r="L434" s="5">
        <f>IF(OR(A434="",B434=""),"",B434-WEEKDAY(B434,2)+1)</f>
        <v/>
      </c>
      <c r="M434" s="5">
        <f>IF(L434="","",L434+6)</f>
        <v/>
      </c>
      <c r="N434" s="6">
        <f>IF(OR(A434="",B434=""),"",DATE(YEAR(B434),MONTH(B434),1))</f>
        <v/>
      </c>
      <c r="O434" s="7">
        <f>IF(COUNTA(A434:K434)=0,"",IF(OR(A434="",B434=""),"Preencher CPF e entrada",IF(COUNTIFS($A$12:$A$5011,A434,$B$12:$B$5011,B434)&gt;1,"CPF + dia duplicado",IF(OR(AND(G434&lt;&gt;"",G434&lt;&gt;0,G434&lt;&gt;1),AND(H434&lt;&gt;"",H434&lt;&gt;0,H434&lt;&gt;1)),"Flags devem ser 0 ou 1",IF(AND(H434=1,LEN(TRIM(I434))=0),"Preencher nome do indicante",IF(AND(H434&lt;&gt;1,I434&lt;&gt;""),"Nome sem indicação interna",IF(AND(G434=1,F434=""),"Fechamento sem conversa",IF(OR(AND(E434&lt;&gt;"",E434&lt;B434),AND(F434&lt;&gt;"",F434&lt;B434)),"Evento anterior à entrada",IF(AND(F434&lt;&gt;"",E434=""),"Conversa sem agendamento",IF(OR(E434&gt;TODAY(),F434&gt;TODAY()),"Verificar evento futuro","OK"))))))))))</f>
        <v/>
      </c>
    </row>
    <row r="435" spans="12:15">
      <c r="L435" s="5">
        <f>IF(OR(A435="",B435=""),"",B435-WEEKDAY(B435,2)+1)</f>
        <v/>
      </c>
      <c r="M435" s="5">
        <f>IF(L435="","",L435+6)</f>
        <v/>
      </c>
      <c r="N435" s="6">
        <f>IF(OR(A435="",B435=""),"",DATE(YEAR(B435),MONTH(B435),1))</f>
        <v/>
      </c>
      <c r="O435" s="7">
        <f>IF(COUNTA(A435:K435)=0,"",IF(OR(A435="",B435=""),"Preencher CPF e entrada",IF(COUNTIFS($A$12:$A$5011,A435,$B$12:$B$5011,B435)&gt;1,"CPF + dia duplicado",IF(OR(AND(G435&lt;&gt;"",G435&lt;&gt;0,G435&lt;&gt;1),AND(H435&lt;&gt;"",H435&lt;&gt;0,H435&lt;&gt;1)),"Flags devem ser 0 ou 1",IF(AND(H435=1,LEN(TRIM(I435))=0),"Preencher nome do indicante",IF(AND(H435&lt;&gt;1,I435&lt;&gt;""),"Nome sem indicação interna",IF(AND(G435=1,F435=""),"Fechamento sem conversa",IF(OR(AND(E435&lt;&gt;"",E435&lt;B435),AND(F435&lt;&gt;"",F435&lt;B435)),"Evento anterior à entrada",IF(AND(F435&lt;&gt;"",E435=""),"Conversa sem agendamento",IF(OR(E435&gt;TODAY(),F435&gt;TODAY()),"Verificar evento futuro","OK"))))))))))</f>
        <v/>
      </c>
    </row>
    <row r="436" spans="12:15">
      <c r="L436" s="5">
        <f>IF(OR(A436="",B436=""),"",B436-WEEKDAY(B436,2)+1)</f>
        <v/>
      </c>
      <c r="M436" s="5">
        <f>IF(L436="","",L436+6)</f>
        <v/>
      </c>
      <c r="N436" s="6">
        <f>IF(OR(A436="",B436=""),"",DATE(YEAR(B436),MONTH(B436),1))</f>
        <v/>
      </c>
      <c r="O436" s="7">
        <f>IF(COUNTA(A436:K436)=0,"",IF(OR(A436="",B436=""),"Preencher CPF e entrada",IF(COUNTIFS($A$12:$A$5011,A436,$B$12:$B$5011,B436)&gt;1,"CPF + dia duplicado",IF(OR(AND(G436&lt;&gt;"",G436&lt;&gt;0,G436&lt;&gt;1),AND(H436&lt;&gt;"",H436&lt;&gt;0,H436&lt;&gt;1)),"Flags devem ser 0 ou 1",IF(AND(H436=1,LEN(TRIM(I436))=0),"Preencher nome do indicante",IF(AND(H436&lt;&gt;1,I436&lt;&gt;""),"Nome sem indicação interna",IF(AND(G436=1,F436=""),"Fechamento sem conversa",IF(OR(AND(E436&lt;&gt;"",E436&lt;B436),AND(F436&lt;&gt;"",F436&lt;B436)),"Evento anterior à entrada",IF(AND(F436&lt;&gt;"",E436=""),"Conversa sem agendamento",IF(OR(E436&gt;TODAY(),F436&gt;TODAY()),"Verificar evento futuro","OK"))))))))))</f>
        <v/>
      </c>
    </row>
    <row r="437" spans="12:15">
      <c r="L437" s="5">
        <f>IF(OR(A437="",B437=""),"",B437-WEEKDAY(B437,2)+1)</f>
        <v/>
      </c>
      <c r="M437" s="5">
        <f>IF(L437="","",L437+6)</f>
        <v/>
      </c>
      <c r="N437" s="6">
        <f>IF(OR(A437="",B437=""),"",DATE(YEAR(B437),MONTH(B437),1))</f>
        <v/>
      </c>
      <c r="O437" s="7">
        <f>IF(COUNTA(A437:K437)=0,"",IF(OR(A437="",B437=""),"Preencher CPF e entrada",IF(COUNTIFS($A$12:$A$5011,A437,$B$12:$B$5011,B437)&gt;1,"CPF + dia duplicado",IF(OR(AND(G437&lt;&gt;"",G437&lt;&gt;0,G437&lt;&gt;1),AND(H437&lt;&gt;"",H437&lt;&gt;0,H437&lt;&gt;1)),"Flags devem ser 0 ou 1",IF(AND(H437=1,LEN(TRIM(I437))=0),"Preencher nome do indicante",IF(AND(H437&lt;&gt;1,I437&lt;&gt;""),"Nome sem indicação interna",IF(AND(G437=1,F437=""),"Fechamento sem conversa",IF(OR(AND(E437&lt;&gt;"",E437&lt;B437),AND(F437&lt;&gt;"",F437&lt;B437)),"Evento anterior à entrada",IF(AND(F437&lt;&gt;"",E437=""),"Conversa sem agendamento",IF(OR(E437&gt;TODAY(),F437&gt;TODAY()),"Verificar evento futuro","OK"))))))))))</f>
        <v/>
      </c>
    </row>
    <row r="438" spans="12:15">
      <c r="L438" s="5">
        <f>IF(OR(A438="",B438=""),"",B438-WEEKDAY(B438,2)+1)</f>
        <v/>
      </c>
      <c r="M438" s="5">
        <f>IF(L438="","",L438+6)</f>
        <v/>
      </c>
      <c r="N438" s="6">
        <f>IF(OR(A438="",B438=""),"",DATE(YEAR(B438),MONTH(B438),1))</f>
        <v/>
      </c>
      <c r="O438" s="7">
        <f>IF(COUNTA(A438:K438)=0,"",IF(OR(A438="",B438=""),"Preencher CPF e entrada",IF(COUNTIFS($A$12:$A$5011,A438,$B$12:$B$5011,B438)&gt;1,"CPF + dia duplicado",IF(OR(AND(G438&lt;&gt;"",G438&lt;&gt;0,G438&lt;&gt;1),AND(H438&lt;&gt;"",H438&lt;&gt;0,H438&lt;&gt;1)),"Flags devem ser 0 ou 1",IF(AND(H438=1,LEN(TRIM(I438))=0),"Preencher nome do indicante",IF(AND(H438&lt;&gt;1,I438&lt;&gt;""),"Nome sem indicação interna",IF(AND(G438=1,F438=""),"Fechamento sem conversa",IF(OR(AND(E438&lt;&gt;"",E438&lt;B438),AND(F438&lt;&gt;"",F438&lt;B438)),"Evento anterior à entrada",IF(AND(F438&lt;&gt;"",E438=""),"Conversa sem agendamento",IF(OR(E438&gt;TODAY(),F438&gt;TODAY()),"Verificar evento futuro","OK"))))))))))</f>
        <v/>
      </c>
    </row>
    <row r="439" spans="12:15">
      <c r="L439" s="5">
        <f>IF(OR(A439="",B439=""),"",B439-WEEKDAY(B439,2)+1)</f>
        <v/>
      </c>
      <c r="M439" s="5">
        <f>IF(L439="","",L439+6)</f>
        <v/>
      </c>
      <c r="N439" s="6">
        <f>IF(OR(A439="",B439=""),"",DATE(YEAR(B439),MONTH(B439),1))</f>
        <v/>
      </c>
      <c r="O439" s="7">
        <f>IF(COUNTA(A439:K439)=0,"",IF(OR(A439="",B439=""),"Preencher CPF e entrada",IF(COUNTIFS($A$12:$A$5011,A439,$B$12:$B$5011,B439)&gt;1,"CPF + dia duplicado",IF(OR(AND(G439&lt;&gt;"",G439&lt;&gt;0,G439&lt;&gt;1),AND(H439&lt;&gt;"",H439&lt;&gt;0,H439&lt;&gt;1)),"Flags devem ser 0 ou 1",IF(AND(H439=1,LEN(TRIM(I439))=0),"Preencher nome do indicante",IF(AND(H439&lt;&gt;1,I439&lt;&gt;""),"Nome sem indicação interna",IF(AND(G439=1,F439=""),"Fechamento sem conversa",IF(OR(AND(E439&lt;&gt;"",E439&lt;B439),AND(F439&lt;&gt;"",F439&lt;B439)),"Evento anterior à entrada",IF(AND(F439&lt;&gt;"",E439=""),"Conversa sem agendamento",IF(OR(E439&gt;TODAY(),F439&gt;TODAY()),"Verificar evento futuro","OK"))))))))))</f>
        <v/>
      </c>
    </row>
    <row r="440" spans="12:15">
      <c r="L440" s="5">
        <f>IF(OR(A440="",B440=""),"",B440-WEEKDAY(B440,2)+1)</f>
        <v/>
      </c>
      <c r="M440" s="5">
        <f>IF(L440="","",L440+6)</f>
        <v/>
      </c>
      <c r="N440" s="6">
        <f>IF(OR(A440="",B440=""),"",DATE(YEAR(B440),MONTH(B440),1))</f>
        <v/>
      </c>
      <c r="O440" s="7">
        <f>IF(COUNTA(A440:K440)=0,"",IF(OR(A440="",B440=""),"Preencher CPF e entrada",IF(COUNTIFS($A$12:$A$5011,A440,$B$12:$B$5011,B440)&gt;1,"CPF + dia duplicado",IF(OR(AND(G440&lt;&gt;"",G440&lt;&gt;0,G440&lt;&gt;1),AND(H440&lt;&gt;"",H440&lt;&gt;0,H440&lt;&gt;1)),"Flags devem ser 0 ou 1",IF(AND(H440=1,LEN(TRIM(I440))=0),"Preencher nome do indicante",IF(AND(H440&lt;&gt;1,I440&lt;&gt;""),"Nome sem indicação interna",IF(AND(G440=1,F440=""),"Fechamento sem conversa",IF(OR(AND(E440&lt;&gt;"",E440&lt;B440),AND(F440&lt;&gt;"",F440&lt;B440)),"Evento anterior à entrada",IF(AND(F440&lt;&gt;"",E440=""),"Conversa sem agendamento",IF(OR(E440&gt;TODAY(),F440&gt;TODAY()),"Verificar evento futuro","OK"))))))))))</f>
        <v/>
      </c>
    </row>
    <row r="441" spans="12:15">
      <c r="L441" s="5">
        <f>IF(OR(A441="",B441=""),"",B441-WEEKDAY(B441,2)+1)</f>
        <v/>
      </c>
      <c r="M441" s="5">
        <f>IF(L441="","",L441+6)</f>
        <v/>
      </c>
      <c r="N441" s="6">
        <f>IF(OR(A441="",B441=""),"",DATE(YEAR(B441),MONTH(B441),1))</f>
        <v/>
      </c>
      <c r="O441" s="7">
        <f>IF(COUNTA(A441:K441)=0,"",IF(OR(A441="",B441=""),"Preencher CPF e entrada",IF(COUNTIFS($A$12:$A$5011,A441,$B$12:$B$5011,B441)&gt;1,"CPF + dia duplicado",IF(OR(AND(G441&lt;&gt;"",G441&lt;&gt;0,G441&lt;&gt;1),AND(H441&lt;&gt;"",H441&lt;&gt;0,H441&lt;&gt;1)),"Flags devem ser 0 ou 1",IF(AND(H441=1,LEN(TRIM(I441))=0),"Preencher nome do indicante",IF(AND(H441&lt;&gt;1,I441&lt;&gt;""),"Nome sem indicação interna",IF(AND(G441=1,F441=""),"Fechamento sem conversa",IF(OR(AND(E441&lt;&gt;"",E441&lt;B441),AND(F441&lt;&gt;"",F441&lt;B441)),"Evento anterior à entrada",IF(AND(F441&lt;&gt;"",E441=""),"Conversa sem agendamento",IF(OR(E441&gt;TODAY(),F441&gt;TODAY()),"Verificar evento futuro","OK"))))))))))</f>
        <v/>
      </c>
    </row>
    <row r="442" spans="12:15">
      <c r="L442" s="5">
        <f>IF(OR(A442="",B442=""),"",B442-WEEKDAY(B442,2)+1)</f>
        <v/>
      </c>
      <c r="M442" s="5">
        <f>IF(L442="","",L442+6)</f>
        <v/>
      </c>
      <c r="N442" s="6">
        <f>IF(OR(A442="",B442=""),"",DATE(YEAR(B442),MONTH(B442),1))</f>
        <v/>
      </c>
      <c r="O442" s="7">
        <f>IF(COUNTA(A442:K442)=0,"",IF(OR(A442="",B442=""),"Preencher CPF e entrada",IF(COUNTIFS($A$12:$A$5011,A442,$B$12:$B$5011,B442)&gt;1,"CPF + dia duplicado",IF(OR(AND(G442&lt;&gt;"",G442&lt;&gt;0,G442&lt;&gt;1),AND(H442&lt;&gt;"",H442&lt;&gt;0,H442&lt;&gt;1)),"Flags devem ser 0 ou 1",IF(AND(H442=1,LEN(TRIM(I442))=0),"Preencher nome do indicante",IF(AND(H442&lt;&gt;1,I442&lt;&gt;""),"Nome sem indicação interna",IF(AND(G442=1,F442=""),"Fechamento sem conversa",IF(OR(AND(E442&lt;&gt;"",E442&lt;B442),AND(F442&lt;&gt;"",F442&lt;B442)),"Evento anterior à entrada",IF(AND(F442&lt;&gt;"",E442=""),"Conversa sem agendamento",IF(OR(E442&gt;TODAY(),F442&gt;TODAY()),"Verificar evento futuro","OK"))))))))))</f>
        <v/>
      </c>
    </row>
    <row r="443" spans="12:15">
      <c r="L443" s="5">
        <f>IF(OR(A443="",B443=""),"",B443-WEEKDAY(B443,2)+1)</f>
        <v/>
      </c>
      <c r="M443" s="5">
        <f>IF(L443="","",L443+6)</f>
        <v/>
      </c>
      <c r="N443" s="6">
        <f>IF(OR(A443="",B443=""),"",DATE(YEAR(B443),MONTH(B443),1))</f>
        <v/>
      </c>
      <c r="O443" s="7">
        <f>IF(COUNTA(A443:K443)=0,"",IF(OR(A443="",B443=""),"Preencher CPF e entrada",IF(COUNTIFS($A$12:$A$5011,A443,$B$12:$B$5011,B443)&gt;1,"CPF + dia duplicado",IF(OR(AND(G443&lt;&gt;"",G443&lt;&gt;0,G443&lt;&gt;1),AND(H443&lt;&gt;"",H443&lt;&gt;0,H443&lt;&gt;1)),"Flags devem ser 0 ou 1",IF(AND(H443=1,LEN(TRIM(I443))=0),"Preencher nome do indicante",IF(AND(H443&lt;&gt;1,I443&lt;&gt;""),"Nome sem indicação interna",IF(AND(G443=1,F443=""),"Fechamento sem conversa",IF(OR(AND(E443&lt;&gt;"",E443&lt;B443),AND(F443&lt;&gt;"",F443&lt;B443)),"Evento anterior à entrada",IF(AND(F443&lt;&gt;"",E443=""),"Conversa sem agendamento",IF(OR(E443&gt;TODAY(),F443&gt;TODAY()),"Verificar evento futuro","OK"))))))))))</f>
        <v/>
      </c>
    </row>
    <row r="444" spans="12:15">
      <c r="L444" s="5">
        <f>IF(OR(A444="",B444=""),"",B444-WEEKDAY(B444,2)+1)</f>
        <v/>
      </c>
      <c r="M444" s="5">
        <f>IF(L444="","",L444+6)</f>
        <v/>
      </c>
      <c r="N444" s="6">
        <f>IF(OR(A444="",B444=""),"",DATE(YEAR(B444),MONTH(B444),1))</f>
        <v/>
      </c>
      <c r="O444" s="7">
        <f>IF(COUNTA(A444:K444)=0,"",IF(OR(A444="",B444=""),"Preencher CPF e entrada",IF(COUNTIFS($A$12:$A$5011,A444,$B$12:$B$5011,B444)&gt;1,"CPF + dia duplicado",IF(OR(AND(G444&lt;&gt;"",G444&lt;&gt;0,G444&lt;&gt;1),AND(H444&lt;&gt;"",H444&lt;&gt;0,H444&lt;&gt;1)),"Flags devem ser 0 ou 1",IF(AND(H444=1,LEN(TRIM(I444))=0),"Preencher nome do indicante",IF(AND(H444&lt;&gt;1,I444&lt;&gt;""),"Nome sem indicação interna",IF(AND(G444=1,F444=""),"Fechamento sem conversa",IF(OR(AND(E444&lt;&gt;"",E444&lt;B444),AND(F444&lt;&gt;"",F444&lt;B444)),"Evento anterior à entrada",IF(AND(F444&lt;&gt;"",E444=""),"Conversa sem agendamento",IF(OR(E444&gt;TODAY(),F444&gt;TODAY()),"Verificar evento futuro","OK"))))))))))</f>
        <v/>
      </c>
    </row>
    <row r="445" spans="12:15">
      <c r="L445" s="5">
        <f>IF(OR(A445="",B445=""),"",B445-WEEKDAY(B445,2)+1)</f>
        <v/>
      </c>
      <c r="M445" s="5">
        <f>IF(L445="","",L445+6)</f>
        <v/>
      </c>
      <c r="N445" s="6">
        <f>IF(OR(A445="",B445=""),"",DATE(YEAR(B445),MONTH(B445),1))</f>
        <v/>
      </c>
      <c r="O445" s="7">
        <f>IF(COUNTA(A445:K445)=0,"",IF(OR(A445="",B445=""),"Preencher CPF e entrada",IF(COUNTIFS($A$12:$A$5011,A445,$B$12:$B$5011,B445)&gt;1,"CPF + dia duplicado",IF(OR(AND(G445&lt;&gt;"",G445&lt;&gt;0,G445&lt;&gt;1),AND(H445&lt;&gt;"",H445&lt;&gt;0,H445&lt;&gt;1)),"Flags devem ser 0 ou 1",IF(AND(H445=1,LEN(TRIM(I445))=0),"Preencher nome do indicante",IF(AND(H445&lt;&gt;1,I445&lt;&gt;""),"Nome sem indicação interna",IF(AND(G445=1,F445=""),"Fechamento sem conversa",IF(OR(AND(E445&lt;&gt;"",E445&lt;B445),AND(F445&lt;&gt;"",F445&lt;B445)),"Evento anterior à entrada",IF(AND(F445&lt;&gt;"",E445=""),"Conversa sem agendamento",IF(OR(E445&gt;TODAY(),F445&gt;TODAY()),"Verificar evento futuro","OK"))))))))))</f>
        <v/>
      </c>
    </row>
    <row r="446" spans="12:15">
      <c r="L446" s="5">
        <f>IF(OR(A446="",B446=""),"",B446-WEEKDAY(B446,2)+1)</f>
        <v/>
      </c>
      <c r="M446" s="5">
        <f>IF(L446="","",L446+6)</f>
        <v/>
      </c>
      <c r="N446" s="6">
        <f>IF(OR(A446="",B446=""),"",DATE(YEAR(B446),MONTH(B446),1))</f>
        <v/>
      </c>
      <c r="O446" s="7">
        <f>IF(COUNTA(A446:K446)=0,"",IF(OR(A446="",B446=""),"Preencher CPF e entrada",IF(COUNTIFS($A$12:$A$5011,A446,$B$12:$B$5011,B446)&gt;1,"CPF + dia duplicado",IF(OR(AND(G446&lt;&gt;"",G446&lt;&gt;0,G446&lt;&gt;1),AND(H446&lt;&gt;"",H446&lt;&gt;0,H446&lt;&gt;1)),"Flags devem ser 0 ou 1",IF(AND(H446=1,LEN(TRIM(I446))=0),"Preencher nome do indicante",IF(AND(H446&lt;&gt;1,I446&lt;&gt;""),"Nome sem indicação interna",IF(AND(G446=1,F446=""),"Fechamento sem conversa",IF(OR(AND(E446&lt;&gt;"",E446&lt;B446),AND(F446&lt;&gt;"",F446&lt;B446)),"Evento anterior à entrada",IF(AND(F446&lt;&gt;"",E446=""),"Conversa sem agendamento",IF(OR(E446&gt;TODAY(),F446&gt;TODAY()),"Verificar evento futuro","OK"))))))))))</f>
        <v/>
      </c>
    </row>
    <row r="447" spans="12:15">
      <c r="L447" s="5">
        <f>IF(OR(A447="",B447=""),"",B447-WEEKDAY(B447,2)+1)</f>
        <v/>
      </c>
      <c r="M447" s="5">
        <f>IF(L447="","",L447+6)</f>
        <v/>
      </c>
      <c r="N447" s="6">
        <f>IF(OR(A447="",B447=""),"",DATE(YEAR(B447),MONTH(B447),1))</f>
        <v/>
      </c>
      <c r="O447" s="7">
        <f>IF(COUNTA(A447:K447)=0,"",IF(OR(A447="",B447=""),"Preencher CPF e entrada",IF(COUNTIFS($A$12:$A$5011,A447,$B$12:$B$5011,B447)&gt;1,"CPF + dia duplicado",IF(OR(AND(G447&lt;&gt;"",G447&lt;&gt;0,G447&lt;&gt;1),AND(H447&lt;&gt;"",H447&lt;&gt;0,H447&lt;&gt;1)),"Flags devem ser 0 ou 1",IF(AND(H447=1,LEN(TRIM(I447))=0),"Preencher nome do indicante",IF(AND(H447&lt;&gt;1,I447&lt;&gt;""),"Nome sem indicação interna",IF(AND(G447=1,F447=""),"Fechamento sem conversa",IF(OR(AND(E447&lt;&gt;"",E447&lt;B447),AND(F447&lt;&gt;"",F447&lt;B447)),"Evento anterior à entrada",IF(AND(F447&lt;&gt;"",E447=""),"Conversa sem agendamento",IF(OR(E447&gt;TODAY(),F447&gt;TODAY()),"Verificar evento futuro","OK"))))))))))</f>
        <v/>
      </c>
    </row>
    <row r="448" spans="12:15">
      <c r="L448" s="5">
        <f>IF(OR(A448="",B448=""),"",B448-WEEKDAY(B448,2)+1)</f>
        <v/>
      </c>
      <c r="M448" s="5">
        <f>IF(L448="","",L448+6)</f>
        <v/>
      </c>
      <c r="N448" s="6">
        <f>IF(OR(A448="",B448=""),"",DATE(YEAR(B448),MONTH(B448),1))</f>
        <v/>
      </c>
      <c r="O448" s="7">
        <f>IF(COUNTA(A448:K448)=0,"",IF(OR(A448="",B448=""),"Preencher CPF e entrada",IF(COUNTIFS($A$12:$A$5011,A448,$B$12:$B$5011,B448)&gt;1,"CPF + dia duplicado",IF(OR(AND(G448&lt;&gt;"",G448&lt;&gt;0,G448&lt;&gt;1),AND(H448&lt;&gt;"",H448&lt;&gt;0,H448&lt;&gt;1)),"Flags devem ser 0 ou 1",IF(AND(H448=1,LEN(TRIM(I448))=0),"Preencher nome do indicante",IF(AND(H448&lt;&gt;1,I448&lt;&gt;""),"Nome sem indicação interna",IF(AND(G448=1,F448=""),"Fechamento sem conversa",IF(OR(AND(E448&lt;&gt;"",E448&lt;B448),AND(F448&lt;&gt;"",F448&lt;B448)),"Evento anterior à entrada",IF(AND(F448&lt;&gt;"",E448=""),"Conversa sem agendamento",IF(OR(E448&gt;TODAY(),F448&gt;TODAY()),"Verificar evento futuro","OK"))))))))))</f>
        <v/>
      </c>
    </row>
    <row r="449" spans="12:15">
      <c r="L449" s="5">
        <f>IF(OR(A449="",B449=""),"",B449-WEEKDAY(B449,2)+1)</f>
        <v/>
      </c>
      <c r="M449" s="5">
        <f>IF(L449="","",L449+6)</f>
        <v/>
      </c>
      <c r="N449" s="6">
        <f>IF(OR(A449="",B449=""),"",DATE(YEAR(B449),MONTH(B449),1))</f>
        <v/>
      </c>
      <c r="O449" s="7">
        <f>IF(COUNTA(A449:K449)=0,"",IF(OR(A449="",B449=""),"Preencher CPF e entrada",IF(COUNTIFS($A$12:$A$5011,A449,$B$12:$B$5011,B449)&gt;1,"CPF + dia duplicado",IF(OR(AND(G449&lt;&gt;"",G449&lt;&gt;0,G449&lt;&gt;1),AND(H449&lt;&gt;"",H449&lt;&gt;0,H449&lt;&gt;1)),"Flags devem ser 0 ou 1",IF(AND(H449=1,LEN(TRIM(I449))=0),"Preencher nome do indicante",IF(AND(H449&lt;&gt;1,I449&lt;&gt;""),"Nome sem indicação interna",IF(AND(G449=1,F449=""),"Fechamento sem conversa",IF(OR(AND(E449&lt;&gt;"",E449&lt;B449),AND(F449&lt;&gt;"",F449&lt;B449)),"Evento anterior à entrada",IF(AND(F449&lt;&gt;"",E449=""),"Conversa sem agendamento",IF(OR(E449&gt;TODAY(),F449&gt;TODAY()),"Verificar evento futuro","OK"))))))))))</f>
        <v/>
      </c>
    </row>
    <row r="450" spans="12:15">
      <c r="L450" s="5">
        <f>IF(OR(A450="",B450=""),"",B450-WEEKDAY(B450,2)+1)</f>
        <v/>
      </c>
      <c r="M450" s="5">
        <f>IF(L450="","",L450+6)</f>
        <v/>
      </c>
      <c r="N450" s="6">
        <f>IF(OR(A450="",B450=""),"",DATE(YEAR(B450),MONTH(B450),1))</f>
        <v/>
      </c>
      <c r="O450" s="7">
        <f>IF(COUNTA(A450:K450)=0,"",IF(OR(A450="",B450=""),"Preencher CPF e entrada",IF(COUNTIFS($A$12:$A$5011,A450,$B$12:$B$5011,B450)&gt;1,"CPF + dia duplicado",IF(OR(AND(G450&lt;&gt;"",G450&lt;&gt;0,G450&lt;&gt;1),AND(H450&lt;&gt;"",H450&lt;&gt;0,H450&lt;&gt;1)),"Flags devem ser 0 ou 1",IF(AND(H450=1,LEN(TRIM(I450))=0),"Preencher nome do indicante",IF(AND(H450&lt;&gt;1,I450&lt;&gt;""),"Nome sem indicação interna",IF(AND(G450=1,F450=""),"Fechamento sem conversa",IF(OR(AND(E450&lt;&gt;"",E450&lt;B450),AND(F450&lt;&gt;"",F450&lt;B450)),"Evento anterior à entrada",IF(AND(F450&lt;&gt;"",E450=""),"Conversa sem agendamento",IF(OR(E450&gt;TODAY(),F450&gt;TODAY()),"Verificar evento futuro","OK"))))))))))</f>
        <v/>
      </c>
    </row>
    <row r="451" spans="12:15">
      <c r="L451" s="5">
        <f>IF(OR(A451="",B451=""),"",B451-WEEKDAY(B451,2)+1)</f>
        <v/>
      </c>
      <c r="M451" s="5">
        <f>IF(L451="","",L451+6)</f>
        <v/>
      </c>
      <c r="N451" s="6">
        <f>IF(OR(A451="",B451=""),"",DATE(YEAR(B451),MONTH(B451),1))</f>
        <v/>
      </c>
      <c r="O451" s="7">
        <f>IF(COUNTA(A451:K451)=0,"",IF(OR(A451="",B451=""),"Preencher CPF e entrada",IF(COUNTIFS($A$12:$A$5011,A451,$B$12:$B$5011,B451)&gt;1,"CPF + dia duplicado",IF(OR(AND(G451&lt;&gt;"",G451&lt;&gt;0,G451&lt;&gt;1),AND(H451&lt;&gt;"",H451&lt;&gt;0,H451&lt;&gt;1)),"Flags devem ser 0 ou 1",IF(AND(H451=1,LEN(TRIM(I451))=0),"Preencher nome do indicante",IF(AND(H451&lt;&gt;1,I451&lt;&gt;""),"Nome sem indicação interna",IF(AND(G451=1,F451=""),"Fechamento sem conversa",IF(OR(AND(E451&lt;&gt;"",E451&lt;B451),AND(F451&lt;&gt;"",F451&lt;B451)),"Evento anterior à entrada",IF(AND(F451&lt;&gt;"",E451=""),"Conversa sem agendamento",IF(OR(E451&gt;TODAY(),F451&gt;TODAY()),"Verificar evento futuro","OK"))))))))))</f>
        <v/>
      </c>
    </row>
    <row r="452" spans="12:15">
      <c r="L452" s="5">
        <f>IF(OR(A452="",B452=""),"",B452-WEEKDAY(B452,2)+1)</f>
        <v/>
      </c>
      <c r="M452" s="5">
        <f>IF(L452="","",L452+6)</f>
        <v/>
      </c>
      <c r="N452" s="6">
        <f>IF(OR(A452="",B452=""),"",DATE(YEAR(B452),MONTH(B452),1))</f>
        <v/>
      </c>
      <c r="O452" s="7">
        <f>IF(COUNTA(A452:K452)=0,"",IF(OR(A452="",B452=""),"Preencher CPF e entrada",IF(COUNTIFS($A$12:$A$5011,A452,$B$12:$B$5011,B452)&gt;1,"CPF + dia duplicado",IF(OR(AND(G452&lt;&gt;"",G452&lt;&gt;0,G452&lt;&gt;1),AND(H452&lt;&gt;"",H452&lt;&gt;0,H452&lt;&gt;1)),"Flags devem ser 0 ou 1",IF(AND(H452=1,LEN(TRIM(I452))=0),"Preencher nome do indicante",IF(AND(H452&lt;&gt;1,I452&lt;&gt;""),"Nome sem indicação interna",IF(AND(G452=1,F452=""),"Fechamento sem conversa",IF(OR(AND(E452&lt;&gt;"",E452&lt;B452),AND(F452&lt;&gt;"",F452&lt;B452)),"Evento anterior à entrada",IF(AND(F452&lt;&gt;"",E452=""),"Conversa sem agendamento",IF(OR(E452&gt;TODAY(),F452&gt;TODAY()),"Verificar evento futuro","OK"))))))))))</f>
        <v/>
      </c>
    </row>
    <row r="453" spans="12:15">
      <c r="L453" s="5">
        <f>IF(OR(A453="",B453=""),"",B453-WEEKDAY(B453,2)+1)</f>
        <v/>
      </c>
      <c r="M453" s="5">
        <f>IF(L453="","",L453+6)</f>
        <v/>
      </c>
      <c r="N453" s="6">
        <f>IF(OR(A453="",B453=""),"",DATE(YEAR(B453),MONTH(B453),1))</f>
        <v/>
      </c>
      <c r="O453" s="7">
        <f>IF(COUNTA(A453:K453)=0,"",IF(OR(A453="",B453=""),"Preencher CPF e entrada",IF(COUNTIFS($A$12:$A$5011,A453,$B$12:$B$5011,B453)&gt;1,"CPF + dia duplicado",IF(OR(AND(G453&lt;&gt;"",G453&lt;&gt;0,G453&lt;&gt;1),AND(H453&lt;&gt;"",H453&lt;&gt;0,H453&lt;&gt;1)),"Flags devem ser 0 ou 1",IF(AND(H453=1,LEN(TRIM(I453))=0),"Preencher nome do indicante",IF(AND(H453&lt;&gt;1,I453&lt;&gt;""),"Nome sem indicação interna",IF(AND(G453=1,F453=""),"Fechamento sem conversa",IF(OR(AND(E453&lt;&gt;"",E453&lt;B453),AND(F453&lt;&gt;"",F453&lt;B453)),"Evento anterior à entrada",IF(AND(F453&lt;&gt;"",E453=""),"Conversa sem agendamento",IF(OR(E453&gt;TODAY(),F453&gt;TODAY()),"Verificar evento futuro","OK"))))))))))</f>
        <v/>
      </c>
    </row>
    <row r="454" spans="12:15">
      <c r="L454" s="5">
        <f>IF(OR(A454="",B454=""),"",B454-WEEKDAY(B454,2)+1)</f>
        <v/>
      </c>
      <c r="M454" s="5">
        <f>IF(L454="","",L454+6)</f>
        <v/>
      </c>
      <c r="N454" s="6">
        <f>IF(OR(A454="",B454=""),"",DATE(YEAR(B454),MONTH(B454),1))</f>
        <v/>
      </c>
      <c r="O454" s="7">
        <f>IF(COUNTA(A454:K454)=0,"",IF(OR(A454="",B454=""),"Preencher CPF e entrada",IF(COUNTIFS($A$12:$A$5011,A454,$B$12:$B$5011,B454)&gt;1,"CPF + dia duplicado",IF(OR(AND(G454&lt;&gt;"",G454&lt;&gt;0,G454&lt;&gt;1),AND(H454&lt;&gt;"",H454&lt;&gt;0,H454&lt;&gt;1)),"Flags devem ser 0 ou 1",IF(AND(H454=1,LEN(TRIM(I454))=0),"Preencher nome do indicante",IF(AND(H454&lt;&gt;1,I454&lt;&gt;""),"Nome sem indicação interna",IF(AND(G454=1,F454=""),"Fechamento sem conversa",IF(OR(AND(E454&lt;&gt;"",E454&lt;B454),AND(F454&lt;&gt;"",F454&lt;B454)),"Evento anterior à entrada",IF(AND(F454&lt;&gt;"",E454=""),"Conversa sem agendamento",IF(OR(E454&gt;TODAY(),F454&gt;TODAY()),"Verificar evento futuro","OK"))))))))))</f>
        <v/>
      </c>
    </row>
    <row r="455" spans="12:15">
      <c r="L455" s="5">
        <f>IF(OR(A455="",B455=""),"",B455-WEEKDAY(B455,2)+1)</f>
        <v/>
      </c>
      <c r="M455" s="5">
        <f>IF(L455="","",L455+6)</f>
        <v/>
      </c>
      <c r="N455" s="6">
        <f>IF(OR(A455="",B455=""),"",DATE(YEAR(B455),MONTH(B455),1))</f>
        <v/>
      </c>
      <c r="O455" s="7">
        <f>IF(COUNTA(A455:K455)=0,"",IF(OR(A455="",B455=""),"Preencher CPF e entrada",IF(COUNTIFS($A$12:$A$5011,A455,$B$12:$B$5011,B455)&gt;1,"CPF + dia duplicado",IF(OR(AND(G455&lt;&gt;"",G455&lt;&gt;0,G455&lt;&gt;1),AND(H455&lt;&gt;"",H455&lt;&gt;0,H455&lt;&gt;1)),"Flags devem ser 0 ou 1",IF(AND(H455=1,LEN(TRIM(I455))=0),"Preencher nome do indicante",IF(AND(H455&lt;&gt;1,I455&lt;&gt;""),"Nome sem indicação interna",IF(AND(G455=1,F455=""),"Fechamento sem conversa",IF(OR(AND(E455&lt;&gt;"",E455&lt;B455),AND(F455&lt;&gt;"",F455&lt;B455)),"Evento anterior à entrada",IF(AND(F455&lt;&gt;"",E455=""),"Conversa sem agendamento",IF(OR(E455&gt;TODAY(),F455&gt;TODAY()),"Verificar evento futuro","OK"))))))))))</f>
        <v/>
      </c>
    </row>
    <row r="456" spans="12:15">
      <c r="L456" s="5">
        <f>IF(OR(A456="",B456=""),"",B456-WEEKDAY(B456,2)+1)</f>
        <v/>
      </c>
      <c r="M456" s="5">
        <f>IF(L456="","",L456+6)</f>
        <v/>
      </c>
      <c r="N456" s="6">
        <f>IF(OR(A456="",B456=""),"",DATE(YEAR(B456),MONTH(B456),1))</f>
        <v/>
      </c>
      <c r="O456" s="7">
        <f>IF(COUNTA(A456:K456)=0,"",IF(OR(A456="",B456=""),"Preencher CPF e entrada",IF(COUNTIFS($A$12:$A$5011,A456,$B$12:$B$5011,B456)&gt;1,"CPF + dia duplicado",IF(OR(AND(G456&lt;&gt;"",G456&lt;&gt;0,G456&lt;&gt;1),AND(H456&lt;&gt;"",H456&lt;&gt;0,H456&lt;&gt;1)),"Flags devem ser 0 ou 1",IF(AND(H456=1,LEN(TRIM(I456))=0),"Preencher nome do indicante",IF(AND(H456&lt;&gt;1,I456&lt;&gt;""),"Nome sem indicação interna",IF(AND(G456=1,F456=""),"Fechamento sem conversa",IF(OR(AND(E456&lt;&gt;"",E456&lt;B456),AND(F456&lt;&gt;"",F456&lt;B456)),"Evento anterior à entrada",IF(AND(F456&lt;&gt;"",E456=""),"Conversa sem agendamento",IF(OR(E456&gt;TODAY(),F456&gt;TODAY()),"Verificar evento futuro","OK"))))))))))</f>
        <v/>
      </c>
    </row>
    <row r="457" spans="12:15">
      <c r="L457" s="5">
        <f>IF(OR(A457="",B457=""),"",B457-WEEKDAY(B457,2)+1)</f>
        <v/>
      </c>
      <c r="M457" s="5">
        <f>IF(L457="","",L457+6)</f>
        <v/>
      </c>
      <c r="N457" s="6">
        <f>IF(OR(A457="",B457=""),"",DATE(YEAR(B457),MONTH(B457),1))</f>
        <v/>
      </c>
      <c r="O457" s="7">
        <f>IF(COUNTA(A457:K457)=0,"",IF(OR(A457="",B457=""),"Preencher CPF e entrada",IF(COUNTIFS($A$12:$A$5011,A457,$B$12:$B$5011,B457)&gt;1,"CPF + dia duplicado",IF(OR(AND(G457&lt;&gt;"",G457&lt;&gt;0,G457&lt;&gt;1),AND(H457&lt;&gt;"",H457&lt;&gt;0,H457&lt;&gt;1)),"Flags devem ser 0 ou 1",IF(AND(H457=1,LEN(TRIM(I457))=0),"Preencher nome do indicante",IF(AND(H457&lt;&gt;1,I457&lt;&gt;""),"Nome sem indicação interna",IF(AND(G457=1,F457=""),"Fechamento sem conversa",IF(OR(AND(E457&lt;&gt;"",E457&lt;B457),AND(F457&lt;&gt;"",F457&lt;B457)),"Evento anterior à entrada",IF(AND(F457&lt;&gt;"",E457=""),"Conversa sem agendamento",IF(OR(E457&gt;TODAY(),F457&gt;TODAY()),"Verificar evento futuro","OK"))))))))))</f>
        <v/>
      </c>
    </row>
    <row r="458" spans="12:15">
      <c r="L458" s="5">
        <f>IF(OR(A458="",B458=""),"",B458-WEEKDAY(B458,2)+1)</f>
        <v/>
      </c>
      <c r="M458" s="5">
        <f>IF(L458="","",L458+6)</f>
        <v/>
      </c>
      <c r="N458" s="6">
        <f>IF(OR(A458="",B458=""),"",DATE(YEAR(B458),MONTH(B458),1))</f>
        <v/>
      </c>
      <c r="O458" s="7">
        <f>IF(COUNTA(A458:K458)=0,"",IF(OR(A458="",B458=""),"Preencher CPF e entrada",IF(COUNTIFS($A$12:$A$5011,A458,$B$12:$B$5011,B458)&gt;1,"CPF + dia duplicado",IF(OR(AND(G458&lt;&gt;"",G458&lt;&gt;0,G458&lt;&gt;1),AND(H458&lt;&gt;"",H458&lt;&gt;0,H458&lt;&gt;1)),"Flags devem ser 0 ou 1",IF(AND(H458=1,LEN(TRIM(I458))=0),"Preencher nome do indicante",IF(AND(H458&lt;&gt;1,I458&lt;&gt;""),"Nome sem indicação interna",IF(AND(G458=1,F458=""),"Fechamento sem conversa",IF(OR(AND(E458&lt;&gt;"",E458&lt;B458),AND(F458&lt;&gt;"",F458&lt;B458)),"Evento anterior à entrada",IF(AND(F458&lt;&gt;"",E458=""),"Conversa sem agendamento",IF(OR(E458&gt;TODAY(),F458&gt;TODAY()),"Verificar evento futuro","OK"))))))))))</f>
        <v/>
      </c>
    </row>
    <row r="459" spans="12:15">
      <c r="L459" s="5">
        <f>IF(OR(A459="",B459=""),"",B459-WEEKDAY(B459,2)+1)</f>
        <v/>
      </c>
      <c r="M459" s="5">
        <f>IF(L459="","",L459+6)</f>
        <v/>
      </c>
      <c r="N459" s="6">
        <f>IF(OR(A459="",B459=""),"",DATE(YEAR(B459),MONTH(B459),1))</f>
        <v/>
      </c>
      <c r="O459" s="7">
        <f>IF(COUNTA(A459:K459)=0,"",IF(OR(A459="",B459=""),"Preencher CPF e entrada",IF(COUNTIFS($A$12:$A$5011,A459,$B$12:$B$5011,B459)&gt;1,"CPF + dia duplicado",IF(OR(AND(G459&lt;&gt;"",G459&lt;&gt;0,G459&lt;&gt;1),AND(H459&lt;&gt;"",H459&lt;&gt;0,H459&lt;&gt;1)),"Flags devem ser 0 ou 1",IF(AND(H459=1,LEN(TRIM(I459))=0),"Preencher nome do indicante",IF(AND(H459&lt;&gt;1,I459&lt;&gt;""),"Nome sem indicação interna",IF(AND(G459=1,F459=""),"Fechamento sem conversa",IF(OR(AND(E459&lt;&gt;"",E459&lt;B459),AND(F459&lt;&gt;"",F459&lt;B459)),"Evento anterior à entrada",IF(AND(F459&lt;&gt;"",E459=""),"Conversa sem agendamento",IF(OR(E459&gt;TODAY(),F459&gt;TODAY()),"Verificar evento futuro","OK"))))))))))</f>
        <v/>
      </c>
    </row>
    <row r="460" spans="12:15">
      <c r="L460" s="5">
        <f>IF(OR(A460="",B460=""),"",B460-WEEKDAY(B460,2)+1)</f>
        <v/>
      </c>
      <c r="M460" s="5">
        <f>IF(L460="","",L460+6)</f>
        <v/>
      </c>
      <c r="N460" s="6">
        <f>IF(OR(A460="",B460=""),"",DATE(YEAR(B460),MONTH(B460),1))</f>
        <v/>
      </c>
      <c r="O460" s="7">
        <f>IF(COUNTA(A460:K460)=0,"",IF(OR(A460="",B460=""),"Preencher CPF e entrada",IF(COUNTIFS($A$12:$A$5011,A460,$B$12:$B$5011,B460)&gt;1,"CPF + dia duplicado",IF(OR(AND(G460&lt;&gt;"",G460&lt;&gt;0,G460&lt;&gt;1),AND(H460&lt;&gt;"",H460&lt;&gt;0,H460&lt;&gt;1)),"Flags devem ser 0 ou 1",IF(AND(H460=1,LEN(TRIM(I460))=0),"Preencher nome do indicante",IF(AND(H460&lt;&gt;1,I460&lt;&gt;""),"Nome sem indicação interna",IF(AND(G460=1,F460=""),"Fechamento sem conversa",IF(OR(AND(E460&lt;&gt;"",E460&lt;B460),AND(F460&lt;&gt;"",F460&lt;B460)),"Evento anterior à entrada",IF(AND(F460&lt;&gt;"",E460=""),"Conversa sem agendamento",IF(OR(E460&gt;TODAY(),F460&gt;TODAY()),"Verificar evento futuro","OK"))))))))))</f>
        <v/>
      </c>
    </row>
    <row r="461" spans="12:15">
      <c r="L461" s="5">
        <f>IF(OR(A461="",B461=""),"",B461-WEEKDAY(B461,2)+1)</f>
        <v/>
      </c>
      <c r="M461" s="5">
        <f>IF(L461="","",L461+6)</f>
        <v/>
      </c>
      <c r="N461" s="6">
        <f>IF(OR(A461="",B461=""),"",DATE(YEAR(B461),MONTH(B461),1))</f>
        <v/>
      </c>
      <c r="O461" s="7">
        <f>IF(COUNTA(A461:K461)=0,"",IF(OR(A461="",B461=""),"Preencher CPF e entrada",IF(COUNTIFS($A$12:$A$5011,A461,$B$12:$B$5011,B461)&gt;1,"CPF + dia duplicado",IF(OR(AND(G461&lt;&gt;"",G461&lt;&gt;0,G461&lt;&gt;1),AND(H461&lt;&gt;"",H461&lt;&gt;0,H461&lt;&gt;1)),"Flags devem ser 0 ou 1",IF(AND(H461=1,LEN(TRIM(I461))=0),"Preencher nome do indicante",IF(AND(H461&lt;&gt;1,I461&lt;&gt;""),"Nome sem indicação interna",IF(AND(G461=1,F461=""),"Fechamento sem conversa",IF(OR(AND(E461&lt;&gt;"",E461&lt;B461),AND(F461&lt;&gt;"",F461&lt;B461)),"Evento anterior à entrada",IF(AND(F461&lt;&gt;"",E461=""),"Conversa sem agendamento",IF(OR(E461&gt;TODAY(),F461&gt;TODAY()),"Verificar evento futuro","OK"))))))))))</f>
        <v/>
      </c>
    </row>
    <row r="462" spans="12:15">
      <c r="L462" s="5">
        <f>IF(OR(A462="",B462=""),"",B462-WEEKDAY(B462,2)+1)</f>
        <v/>
      </c>
      <c r="M462" s="5">
        <f>IF(L462="","",L462+6)</f>
        <v/>
      </c>
      <c r="N462" s="6">
        <f>IF(OR(A462="",B462=""),"",DATE(YEAR(B462),MONTH(B462),1))</f>
        <v/>
      </c>
      <c r="O462" s="7">
        <f>IF(COUNTA(A462:K462)=0,"",IF(OR(A462="",B462=""),"Preencher CPF e entrada",IF(COUNTIFS($A$12:$A$5011,A462,$B$12:$B$5011,B462)&gt;1,"CPF + dia duplicado",IF(OR(AND(G462&lt;&gt;"",G462&lt;&gt;0,G462&lt;&gt;1),AND(H462&lt;&gt;"",H462&lt;&gt;0,H462&lt;&gt;1)),"Flags devem ser 0 ou 1",IF(AND(H462=1,LEN(TRIM(I462))=0),"Preencher nome do indicante",IF(AND(H462&lt;&gt;1,I462&lt;&gt;""),"Nome sem indicação interna",IF(AND(G462=1,F462=""),"Fechamento sem conversa",IF(OR(AND(E462&lt;&gt;"",E462&lt;B462),AND(F462&lt;&gt;"",F462&lt;B462)),"Evento anterior à entrada",IF(AND(F462&lt;&gt;"",E462=""),"Conversa sem agendamento",IF(OR(E462&gt;TODAY(),F462&gt;TODAY()),"Verificar evento futuro","OK"))))))))))</f>
        <v/>
      </c>
    </row>
    <row r="463" spans="12:15">
      <c r="L463" s="5">
        <f>IF(OR(A463="",B463=""),"",B463-WEEKDAY(B463,2)+1)</f>
        <v/>
      </c>
      <c r="M463" s="5">
        <f>IF(L463="","",L463+6)</f>
        <v/>
      </c>
      <c r="N463" s="6">
        <f>IF(OR(A463="",B463=""),"",DATE(YEAR(B463),MONTH(B463),1))</f>
        <v/>
      </c>
      <c r="O463" s="7">
        <f>IF(COUNTA(A463:K463)=0,"",IF(OR(A463="",B463=""),"Preencher CPF e entrada",IF(COUNTIFS($A$12:$A$5011,A463,$B$12:$B$5011,B463)&gt;1,"CPF + dia duplicado",IF(OR(AND(G463&lt;&gt;"",G463&lt;&gt;0,G463&lt;&gt;1),AND(H463&lt;&gt;"",H463&lt;&gt;0,H463&lt;&gt;1)),"Flags devem ser 0 ou 1",IF(AND(H463=1,LEN(TRIM(I463))=0),"Preencher nome do indicante",IF(AND(H463&lt;&gt;1,I463&lt;&gt;""),"Nome sem indicação interna",IF(AND(G463=1,F463=""),"Fechamento sem conversa",IF(OR(AND(E463&lt;&gt;"",E463&lt;B463),AND(F463&lt;&gt;"",F463&lt;B463)),"Evento anterior à entrada",IF(AND(F463&lt;&gt;"",E463=""),"Conversa sem agendamento",IF(OR(E463&gt;TODAY(),F463&gt;TODAY()),"Verificar evento futuro","OK"))))))))))</f>
        <v/>
      </c>
    </row>
    <row r="464" spans="12:15">
      <c r="L464" s="5">
        <f>IF(OR(A464="",B464=""),"",B464-WEEKDAY(B464,2)+1)</f>
        <v/>
      </c>
      <c r="M464" s="5">
        <f>IF(L464="","",L464+6)</f>
        <v/>
      </c>
      <c r="N464" s="6">
        <f>IF(OR(A464="",B464=""),"",DATE(YEAR(B464),MONTH(B464),1))</f>
        <v/>
      </c>
      <c r="O464" s="7">
        <f>IF(COUNTA(A464:K464)=0,"",IF(OR(A464="",B464=""),"Preencher CPF e entrada",IF(COUNTIFS($A$12:$A$5011,A464,$B$12:$B$5011,B464)&gt;1,"CPF + dia duplicado",IF(OR(AND(G464&lt;&gt;"",G464&lt;&gt;0,G464&lt;&gt;1),AND(H464&lt;&gt;"",H464&lt;&gt;0,H464&lt;&gt;1)),"Flags devem ser 0 ou 1",IF(AND(H464=1,LEN(TRIM(I464))=0),"Preencher nome do indicante",IF(AND(H464&lt;&gt;1,I464&lt;&gt;""),"Nome sem indicação interna",IF(AND(G464=1,F464=""),"Fechamento sem conversa",IF(OR(AND(E464&lt;&gt;"",E464&lt;B464),AND(F464&lt;&gt;"",F464&lt;B464)),"Evento anterior à entrada",IF(AND(F464&lt;&gt;"",E464=""),"Conversa sem agendamento",IF(OR(E464&gt;TODAY(),F464&gt;TODAY()),"Verificar evento futuro","OK"))))))))))</f>
        <v/>
      </c>
    </row>
    <row r="465" spans="12:15">
      <c r="L465" s="5">
        <f>IF(OR(A465="",B465=""),"",B465-WEEKDAY(B465,2)+1)</f>
        <v/>
      </c>
      <c r="M465" s="5">
        <f>IF(L465="","",L465+6)</f>
        <v/>
      </c>
      <c r="N465" s="6">
        <f>IF(OR(A465="",B465=""),"",DATE(YEAR(B465),MONTH(B465),1))</f>
        <v/>
      </c>
      <c r="O465" s="7">
        <f>IF(COUNTA(A465:K465)=0,"",IF(OR(A465="",B465=""),"Preencher CPF e entrada",IF(COUNTIFS($A$12:$A$5011,A465,$B$12:$B$5011,B465)&gt;1,"CPF + dia duplicado",IF(OR(AND(G465&lt;&gt;"",G465&lt;&gt;0,G465&lt;&gt;1),AND(H465&lt;&gt;"",H465&lt;&gt;0,H465&lt;&gt;1)),"Flags devem ser 0 ou 1",IF(AND(H465=1,LEN(TRIM(I465))=0),"Preencher nome do indicante",IF(AND(H465&lt;&gt;1,I465&lt;&gt;""),"Nome sem indicação interna",IF(AND(G465=1,F465=""),"Fechamento sem conversa",IF(OR(AND(E465&lt;&gt;"",E465&lt;B465),AND(F465&lt;&gt;"",F465&lt;B465)),"Evento anterior à entrada",IF(AND(F465&lt;&gt;"",E465=""),"Conversa sem agendamento",IF(OR(E465&gt;TODAY(),F465&gt;TODAY()),"Verificar evento futuro","OK"))))))))))</f>
        <v/>
      </c>
    </row>
    <row r="466" spans="12:15">
      <c r="L466" s="5">
        <f>IF(OR(A466="",B466=""),"",B466-WEEKDAY(B466,2)+1)</f>
        <v/>
      </c>
      <c r="M466" s="5">
        <f>IF(L466="","",L466+6)</f>
        <v/>
      </c>
      <c r="N466" s="6">
        <f>IF(OR(A466="",B466=""),"",DATE(YEAR(B466),MONTH(B466),1))</f>
        <v/>
      </c>
      <c r="O466" s="7">
        <f>IF(COUNTA(A466:K466)=0,"",IF(OR(A466="",B466=""),"Preencher CPF e entrada",IF(COUNTIFS($A$12:$A$5011,A466,$B$12:$B$5011,B466)&gt;1,"CPF + dia duplicado",IF(OR(AND(G466&lt;&gt;"",G466&lt;&gt;0,G466&lt;&gt;1),AND(H466&lt;&gt;"",H466&lt;&gt;0,H466&lt;&gt;1)),"Flags devem ser 0 ou 1",IF(AND(H466=1,LEN(TRIM(I466))=0),"Preencher nome do indicante",IF(AND(H466&lt;&gt;1,I466&lt;&gt;""),"Nome sem indicação interna",IF(AND(G466=1,F466=""),"Fechamento sem conversa",IF(OR(AND(E466&lt;&gt;"",E466&lt;B466),AND(F466&lt;&gt;"",F466&lt;B466)),"Evento anterior à entrada",IF(AND(F466&lt;&gt;"",E466=""),"Conversa sem agendamento",IF(OR(E466&gt;TODAY(),F466&gt;TODAY()),"Verificar evento futuro","OK"))))))))))</f>
        <v/>
      </c>
    </row>
    <row r="467" spans="12:15">
      <c r="L467" s="5">
        <f>IF(OR(A467="",B467=""),"",B467-WEEKDAY(B467,2)+1)</f>
        <v/>
      </c>
      <c r="M467" s="5">
        <f>IF(L467="","",L467+6)</f>
        <v/>
      </c>
      <c r="N467" s="6">
        <f>IF(OR(A467="",B467=""),"",DATE(YEAR(B467),MONTH(B467),1))</f>
        <v/>
      </c>
      <c r="O467" s="7">
        <f>IF(COUNTA(A467:K467)=0,"",IF(OR(A467="",B467=""),"Preencher CPF e entrada",IF(COUNTIFS($A$12:$A$5011,A467,$B$12:$B$5011,B467)&gt;1,"CPF + dia duplicado",IF(OR(AND(G467&lt;&gt;"",G467&lt;&gt;0,G467&lt;&gt;1),AND(H467&lt;&gt;"",H467&lt;&gt;0,H467&lt;&gt;1)),"Flags devem ser 0 ou 1",IF(AND(H467=1,LEN(TRIM(I467))=0),"Preencher nome do indicante",IF(AND(H467&lt;&gt;1,I467&lt;&gt;""),"Nome sem indicação interna",IF(AND(G467=1,F467=""),"Fechamento sem conversa",IF(OR(AND(E467&lt;&gt;"",E467&lt;B467),AND(F467&lt;&gt;"",F467&lt;B467)),"Evento anterior à entrada",IF(AND(F467&lt;&gt;"",E467=""),"Conversa sem agendamento",IF(OR(E467&gt;TODAY(),F467&gt;TODAY()),"Verificar evento futuro","OK"))))))))))</f>
        <v/>
      </c>
    </row>
    <row r="468" spans="12:15">
      <c r="L468" s="5">
        <f>IF(OR(A468="",B468=""),"",B468-WEEKDAY(B468,2)+1)</f>
        <v/>
      </c>
      <c r="M468" s="5">
        <f>IF(L468="","",L468+6)</f>
        <v/>
      </c>
      <c r="N468" s="6">
        <f>IF(OR(A468="",B468=""),"",DATE(YEAR(B468),MONTH(B468),1))</f>
        <v/>
      </c>
      <c r="O468" s="7">
        <f>IF(COUNTA(A468:K468)=0,"",IF(OR(A468="",B468=""),"Preencher CPF e entrada",IF(COUNTIFS($A$12:$A$5011,A468,$B$12:$B$5011,B468)&gt;1,"CPF + dia duplicado",IF(OR(AND(G468&lt;&gt;"",G468&lt;&gt;0,G468&lt;&gt;1),AND(H468&lt;&gt;"",H468&lt;&gt;0,H468&lt;&gt;1)),"Flags devem ser 0 ou 1",IF(AND(H468=1,LEN(TRIM(I468))=0),"Preencher nome do indicante",IF(AND(H468&lt;&gt;1,I468&lt;&gt;""),"Nome sem indicação interna",IF(AND(G468=1,F468=""),"Fechamento sem conversa",IF(OR(AND(E468&lt;&gt;"",E468&lt;B468),AND(F468&lt;&gt;"",F468&lt;B468)),"Evento anterior à entrada",IF(AND(F468&lt;&gt;"",E468=""),"Conversa sem agendamento",IF(OR(E468&gt;TODAY(),F468&gt;TODAY()),"Verificar evento futuro","OK"))))))))))</f>
        <v/>
      </c>
    </row>
    <row r="469" spans="12:15">
      <c r="L469" s="5">
        <f>IF(OR(A469="",B469=""),"",B469-WEEKDAY(B469,2)+1)</f>
        <v/>
      </c>
      <c r="M469" s="5">
        <f>IF(L469="","",L469+6)</f>
        <v/>
      </c>
      <c r="N469" s="6">
        <f>IF(OR(A469="",B469=""),"",DATE(YEAR(B469),MONTH(B469),1))</f>
        <v/>
      </c>
      <c r="O469" s="7">
        <f>IF(COUNTA(A469:K469)=0,"",IF(OR(A469="",B469=""),"Preencher CPF e entrada",IF(COUNTIFS($A$12:$A$5011,A469,$B$12:$B$5011,B469)&gt;1,"CPF + dia duplicado",IF(OR(AND(G469&lt;&gt;"",G469&lt;&gt;0,G469&lt;&gt;1),AND(H469&lt;&gt;"",H469&lt;&gt;0,H469&lt;&gt;1)),"Flags devem ser 0 ou 1",IF(AND(H469=1,LEN(TRIM(I469))=0),"Preencher nome do indicante",IF(AND(H469&lt;&gt;1,I469&lt;&gt;""),"Nome sem indicação interna",IF(AND(G469=1,F469=""),"Fechamento sem conversa",IF(OR(AND(E469&lt;&gt;"",E469&lt;B469),AND(F469&lt;&gt;"",F469&lt;B469)),"Evento anterior à entrada",IF(AND(F469&lt;&gt;"",E469=""),"Conversa sem agendamento",IF(OR(E469&gt;TODAY(),F469&gt;TODAY()),"Verificar evento futuro","OK"))))))))))</f>
        <v/>
      </c>
    </row>
    <row r="470" spans="12:15">
      <c r="L470" s="5">
        <f>IF(OR(A470="",B470=""),"",B470-WEEKDAY(B470,2)+1)</f>
        <v/>
      </c>
      <c r="M470" s="5">
        <f>IF(L470="","",L470+6)</f>
        <v/>
      </c>
      <c r="N470" s="6">
        <f>IF(OR(A470="",B470=""),"",DATE(YEAR(B470),MONTH(B470),1))</f>
        <v/>
      </c>
      <c r="O470" s="7">
        <f>IF(COUNTA(A470:K470)=0,"",IF(OR(A470="",B470=""),"Preencher CPF e entrada",IF(COUNTIFS($A$12:$A$5011,A470,$B$12:$B$5011,B470)&gt;1,"CPF + dia duplicado",IF(OR(AND(G470&lt;&gt;"",G470&lt;&gt;0,G470&lt;&gt;1),AND(H470&lt;&gt;"",H470&lt;&gt;0,H470&lt;&gt;1)),"Flags devem ser 0 ou 1",IF(AND(H470=1,LEN(TRIM(I470))=0),"Preencher nome do indicante",IF(AND(H470&lt;&gt;1,I470&lt;&gt;""),"Nome sem indicação interna",IF(AND(G470=1,F470=""),"Fechamento sem conversa",IF(OR(AND(E470&lt;&gt;"",E470&lt;B470),AND(F470&lt;&gt;"",F470&lt;B470)),"Evento anterior à entrada",IF(AND(F470&lt;&gt;"",E470=""),"Conversa sem agendamento",IF(OR(E470&gt;TODAY(),F470&gt;TODAY()),"Verificar evento futuro","OK"))))))))))</f>
        <v/>
      </c>
    </row>
    <row r="471" spans="12:15">
      <c r="L471" s="5">
        <f>IF(OR(A471="",B471=""),"",B471-WEEKDAY(B471,2)+1)</f>
        <v/>
      </c>
      <c r="M471" s="5">
        <f>IF(L471="","",L471+6)</f>
        <v/>
      </c>
      <c r="N471" s="6">
        <f>IF(OR(A471="",B471=""),"",DATE(YEAR(B471),MONTH(B471),1))</f>
        <v/>
      </c>
      <c r="O471" s="7">
        <f>IF(COUNTA(A471:K471)=0,"",IF(OR(A471="",B471=""),"Preencher CPF e entrada",IF(COUNTIFS($A$12:$A$5011,A471,$B$12:$B$5011,B471)&gt;1,"CPF + dia duplicado",IF(OR(AND(G471&lt;&gt;"",G471&lt;&gt;0,G471&lt;&gt;1),AND(H471&lt;&gt;"",H471&lt;&gt;0,H471&lt;&gt;1)),"Flags devem ser 0 ou 1",IF(AND(H471=1,LEN(TRIM(I471))=0),"Preencher nome do indicante",IF(AND(H471&lt;&gt;1,I471&lt;&gt;""),"Nome sem indicação interna",IF(AND(G471=1,F471=""),"Fechamento sem conversa",IF(OR(AND(E471&lt;&gt;"",E471&lt;B471),AND(F471&lt;&gt;"",F471&lt;B471)),"Evento anterior à entrada",IF(AND(F471&lt;&gt;"",E471=""),"Conversa sem agendamento",IF(OR(E471&gt;TODAY(),F471&gt;TODAY()),"Verificar evento futuro","OK"))))))))))</f>
        <v/>
      </c>
    </row>
    <row r="472" spans="12:15">
      <c r="L472" s="5">
        <f>IF(OR(A472="",B472=""),"",B472-WEEKDAY(B472,2)+1)</f>
        <v/>
      </c>
      <c r="M472" s="5">
        <f>IF(L472="","",L472+6)</f>
        <v/>
      </c>
      <c r="N472" s="6">
        <f>IF(OR(A472="",B472=""),"",DATE(YEAR(B472),MONTH(B472),1))</f>
        <v/>
      </c>
      <c r="O472" s="7">
        <f>IF(COUNTA(A472:K472)=0,"",IF(OR(A472="",B472=""),"Preencher CPF e entrada",IF(COUNTIFS($A$12:$A$5011,A472,$B$12:$B$5011,B472)&gt;1,"CPF + dia duplicado",IF(OR(AND(G472&lt;&gt;"",G472&lt;&gt;0,G472&lt;&gt;1),AND(H472&lt;&gt;"",H472&lt;&gt;0,H472&lt;&gt;1)),"Flags devem ser 0 ou 1",IF(AND(H472=1,LEN(TRIM(I472))=0),"Preencher nome do indicante",IF(AND(H472&lt;&gt;1,I472&lt;&gt;""),"Nome sem indicação interna",IF(AND(G472=1,F472=""),"Fechamento sem conversa",IF(OR(AND(E472&lt;&gt;"",E472&lt;B472),AND(F472&lt;&gt;"",F472&lt;B472)),"Evento anterior à entrada",IF(AND(F472&lt;&gt;"",E472=""),"Conversa sem agendamento",IF(OR(E472&gt;TODAY(),F472&gt;TODAY()),"Verificar evento futuro","OK"))))))))))</f>
        <v/>
      </c>
    </row>
    <row r="473" spans="12:15">
      <c r="L473" s="5">
        <f>IF(OR(A473="",B473=""),"",B473-WEEKDAY(B473,2)+1)</f>
        <v/>
      </c>
      <c r="M473" s="5">
        <f>IF(L473="","",L473+6)</f>
        <v/>
      </c>
      <c r="N473" s="6">
        <f>IF(OR(A473="",B473=""),"",DATE(YEAR(B473),MONTH(B473),1))</f>
        <v/>
      </c>
      <c r="O473" s="7">
        <f>IF(COUNTA(A473:K473)=0,"",IF(OR(A473="",B473=""),"Preencher CPF e entrada",IF(COUNTIFS($A$12:$A$5011,A473,$B$12:$B$5011,B473)&gt;1,"CPF + dia duplicado",IF(OR(AND(G473&lt;&gt;"",G473&lt;&gt;0,G473&lt;&gt;1),AND(H473&lt;&gt;"",H473&lt;&gt;0,H473&lt;&gt;1)),"Flags devem ser 0 ou 1",IF(AND(H473=1,LEN(TRIM(I473))=0),"Preencher nome do indicante",IF(AND(H473&lt;&gt;1,I473&lt;&gt;""),"Nome sem indicação interna",IF(AND(G473=1,F473=""),"Fechamento sem conversa",IF(OR(AND(E473&lt;&gt;"",E473&lt;B473),AND(F473&lt;&gt;"",F473&lt;B473)),"Evento anterior à entrada",IF(AND(F473&lt;&gt;"",E473=""),"Conversa sem agendamento",IF(OR(E473&gt;TODAY(),F473&gt;TODAY()),"Verificar evento futuro","OK"))))))))))</f>
        <v/>
      </c>
    </row>
    <row r="474" spans="12:15">
      <c r="L474" s="5">
        <f>IF(OR(A474="",B474=""),"",B474-WEEKDAY(B474,2)+1)</f>
        <v/>
      </c>
      <c r="M474" s="5">
        <f>IF(L474="","",L474+6)</f>
        <v/>
      </c>
      <c r="N474" s="6">
        <f>IF(OR(A474="",B474=""),"",DATE(YEAR(B474),MONTH(B474),1))</f>
        <v/>
      </c>
      <c r="O474" s="7">
        <f>IF(COUNTA(A474:K474)=0,"",IF(OR(A474="",B474=""),"Preencher CPF e entrada",IF(COUNTIFS($A$12:$A$5011,A474,$B$12:$B$5011,B474)&gt;1,"CPF + dia duplicado",IF(OR(AND(G474&lt;&gt;"",G474&lt;&gt;0,G474&lt;&gt;1),AND(H474&lt;&gt;"",H474&lt;&gt;0,H474&lt;&gt;1)),"Flags devem ser 0 ou 1",IF(AND(H474=1,LEN(TRIM(I474))=0),"Preencher nome do indicante",IF(AND(H474&lt;&gt;1,I474&lt;&gt;""),"Nome sem indicação interna",IF(AND(G474=1,F474=""),"Fechamento sem conversa",IF(OR(AND(E474&lt;&gt;"",E474&lt;B474),AND(F474&lt;&gt;"",F474&lt;B474)),"Evento anterior à entrada",IF(AND(F474&lt;&gt;"",E474=""),"Conversa sem agendamento",IF(OR(E474&gt;TODAY(),F474&gt;TODAY()),"Verificar evento futuro","OK"))))))))))</f>
        <v/>
      </c>
    </row>
    <row r="475" spans="12:15">
      <c r="L475" s="5">
        <f>IF(OR(A475="",B475=""),"",B475-WEEKDAY(B475,2)+1)</f>
        <v/>
      </c>
      <c r="M475" s="5">
        <f>IF(L475="","",L475+6)</f>
        <v/>
      </c>
      <c r="N475" s="6">
        <f>IF(OR(A475="",B475=""),"",DATE(YEAR(B475),MONTH(B475),1))</f>
        <v/>
      </c>
      <c r="O475" s="7">
        <f>IF(COUNTA(A475:K475)=0,"",IF(OR(A475="",B475=""),"Preencher CPF e entrada",IF(COUNTIFS($A$12:$A$5011,A475,$B$12:$B$5011,B475)&gt;1,"CPF + dia duplicado",IF(OR(AND(G475&lt;&gt;"",G475&lt;&gt;0,G475&lt;&gt;1),AND(H475&lt;&gt;"",H475&lt;&gt;0,H475&lt;&gt;1)),"Flags devem ser 0 ou 1",IF(AND(H475=1,LEN(TRIM(I475))=0),"Preencher nome do indicante",IF(AND(H475&lt;&gt;1,I475&lt;&gt;""),"Nome sem indicação interna",IF(AND(G475=1,F475=""),"Fechamento sem conversa",IF(OR(AND(E475&lt;&gt;"",E475&lt;B475),AND(F475&lt;&gt;"",F475&lt;B475)),"Evento anterior à entrada",IF(AND(F475&lt;&gt;"",E475=""),"Conversa sem agendamento",IF(OR(E475&gt;TODAY(),F475&gt;TODAY()),"Verificar evento futuro","OK"))))))))))</f>
        <v/>
      </c>
    </row>
    <row r="476" spans="12:15">
      <c r="L476" s="5">
        <f>IF(OR(A476="",B476=""),"",B476-WEEKDAY(B476,2)+1)</f>
        <v/>
      </c>
      <c r="M476" s="5">
        <f>IF(L476="","",L476+6)</f>
        <v/>
      </c>
      <c r="N476" s="6">
        <f>IF(OR(A476="",B476=""),"",DATE(YEAR(B476),MONTH(B476),1))</f>
        <v/>
      </c>
      <c r="O476" s="7">
        <f>IF(COUNTA(A476:K476)=0,"",IF(OR(A476="",B476=""),"Preencher CPF e entrada",IF(COUNTIFS($A$12:$A$5011,A476,$B$12:$B$5011,B476)&gt;1,"CPF + dia duplicado",IF(OR(AND(G476&lt;&gt;"",G476&lt;&gt;0,G476&lt;&gt;1),AND(H476&lt;&gt;"",H476&lt;&gt;0,H476&lt;&gt;1)),"Flags devem ser 0 ou 1",IF(AND(H476=1,LEN(TRIM(I476))=0),"Preencher nome do indicante",IF(AND(H476&lt;&gt;1,I476&lt;&gt;""),"Nome sem indicação interna",IF(AND(G476=1,F476=""),"Fechamento sem conversa",IF(OR(AND(E476&lt;&gt;"",E476&lt;B476),AND(F476&lt;&gt;"",F476&lt;B476)),"Evento anterior à entrada",IF(AND(F476&lt;&gt;"",E476=""),"Conversa sem agendamento",IF(OR(E476&gt;TODAY(),F476&gt;TODAY()),"Verificar evento futuro","OK"))))))))))</f>
        <v/>
      </c>
    </row>
    <row r="477" spans="12:15">
      <c r="L477" s="5">
        <f>IF(OR(A477="",B477=""),"",B477-WEEKDAY(B477,2)+1)</f>
        <v/>
      </c>
      <c r="M477" s="5">
        <f>IF(L477="","",L477+6)</f>
        <v/>
      </c>
      <c r="N477" s="6">
        <f>IF(OR(A477="",B477=""),"",DATE(YEAR(B477),MONTH(B477),1))</f>
        <v/>
      </c>
      <c r="O477" s="7">
        <f>IF(COUNTA(A477:K477)=0,"",IF(OR(A477="",B477=""),"Preencher CPF e entrada",IF(COUNTIFS($A$12:$A$5011,A477,$B$12:$B$5011,B477)&gt;1,"CPF + dia duplicado",IF(OR(AND(G477&lt;&gt;"",G477&lt;&gt;0,G477&lt;&gt;1),AND(H477&lt;&gt;"",H477&lt;&gt;0,H477&lt;&gt;1)),"Flags devem ser 0 ou 1",IF(AND(H477=1,LEN(TRIM(I477))=0),"Preencher nome do indicante",IF(AND(H477&lt;&gt;1,I477&lt;&gt;""),"Nome sem indicação interna",IF(AND(G477=1,F477=""),"Fechamento sem conversa",IF(OR(AND(E477&lt;&gt;"",E477&lt;B477),AND(F477&lt;&gt;"",F477&lt;B477)),"Evento anterior à entrada",IF(AND(F477&lt;&gt;"",E477=""),"Conversa sem agendamento",IF(OR(E477&gt;TODAY(),F477&gt;TODAY()),"Verificar evento futuro","OK"))))))))))</f>
        <v/>
      </c>
    </row>
    <row r="478" spans="12:15">
      <c r="L478" s="5">
        <f>IF(OR(A478="",B478=""),"",B478-WEEKDAY(B478,2)+1)</f>
        <v/>
      </c>
      <c r="M478" s="5">
        <f>IF(L478="","",L478+6)</f>
        <v/>
      </c>
      <c r="N478" s="6">
        <f>IF(OR(A478="",B478=""),"",DATE(YEAR(B478),MONTH(B478),1))</f>
        <v/>
      </c>
      <c r="O478" s="7">
        <f>IF(COUNTA(A478:K478)=0,"",IF(OR(A478="",B478=""),"Preencher CPF e entrada",IF(COUNTIFS($A$12:$A$5011,A478,$B$12:$B$5011,B478)&gt;1,"CPF + dia duplicado",IF(OR(AND(G478&lt;&gt;"",G478&lt;&gt;0,G478&lt;&gt;1),AND(H478&lt;&gt;"",H478&lt;&gt;0,H478&lt;&gt;1)),"Flags devem ser 0 ou 1",IF(AND(H478=1,LEN(TRIM(I478))=0),"Preencher nome do indicante",IF(AND(H478&lt;&gt;1,I478&lt;&gt;""),"Nome sem indicação interna",IF(AND(G478=1,F478=""),"Fechamento sem conversa",IF(OR(AND(E478&lt;&gt;"",E478&lt;B478),AND(F478&lt;&gt;"",F478&lt;B478)),"Evento anterior à entrada",IF(AND(F478&lt;&gt;"",E478=""),"Conversa sem agendamento",IF(OR(E478&gt;TODAY(),F478&gt;TODAY()),"Verificar evento futuro","OK"))))))))))</f>
        <v/>
      </c>
    </row>
    <row r="479" spans="12:15">
      <c r="L479" s="5">
        <f>IF(OR(A479="",B479=""),"",B479-WEEKDAY(B479,2)+1)</f>
        <v/>
      </c>
      <c r="M479" s="5">
        <f>IF(L479="","",L479+6)</f>
        <v/>
      </c>
      <c r="N479" s="6">
        <f>IF(OR(A479="",B479=""),"",DATE(YEAR(B479),MONTH(B479),1))</f>
        <v/>
      </c>
      <c r="O479" s="7">
        <f>IF(COUNTA(A479:K479)=0,"",IF(OR(A479="",B479=""),"Preencher CPF e entrada",IF(COUNTIFS($A$12:$A$5011,A479,$B$12:$B$5011,B479)&gt;1,"CPF + dia duplicado",IF(OR(AND(G479&lt;&gt;"",G479&lt;&gt;0,G479&lt;&gt;1),AND(H479&lt;&gt;"",H479&lt;&gt;0,H479&lt;&gt;1)),"Flags devem ser 0 ou 1",IF(AND(H479=1,LEN(TRIM(I479))=0),"Preencher nome do indicante",IF(AND(H479&lt;&gt;1,I479&lt;&gt;""),"Nome sem indicação interna",IF(AND(G479=1,F479=""),"Fechamento sem conversa",IF(OR(AND(E479&lt;&gt;"",E479&lt;B479),AND(F479&lt;&gt;"",F479&lt;B479)),"Evento anterior à entrada",IF(AND(F479&lt;&gt;"",E479=""),"Conversa sem agendamento",IF(OR(E479&gt;TODAY(),F479&gt;TODAY()),"Verificar evento futuro","OK"))))))))))</f>
        <v/>
      </c>
    </row>
    <row r="480" spans="12:15">
      <c r="L480" s="5">
        <f>IF(OR(A480="",B480=""),"",B480-WEEKDAY(B480,2)+1)</f>
        <v/>
      </c>
      <c r="M480" s="5">
        <f>IF(L480="","",L480+6)</f>
        <v/>
      </c>
      <c r="N480" s="6">
        <f>IF(OR(A480="",B480=""),"",DATE(YEAR(B480),MONTH(B480),1))</f>
        <v/>
      </c>
      <c r="O480" s="7">
        <f>IF(COUNTA(A480:K480)=0,"",IF(OR(A480="",B480=""),"Preencher CPF e entrada",IF(COUNTIFS($A$12:$A$5011,A480,$B$12:$B$5011,B480)&gt;1,"CPF + dia duplicado",IF(OR(AND(G480&lt;&gt;"",G480&lt;&gt;0,G480&lt;&gt;1),AND(H480&lt;&gt;"",H480&lt;&gt;0,H480&lt;&gt;1)),"Flags devem ser 0 ou 1",IF(AND(H480=1,LEN(TRIM(I480))=0),"Preencher nome do indicante",IF(AND(H480&lt;&gt;1,I480&lt;&gt;""),"Nome sem indicação interna",IF(AND(G480=1,F480=""),"Fechamento sem conversa",IF(OR(AND(E480&lt;&gt;"",E480&lt;B480),AND(F480&lt;&gt;"",F480&lt;B480)),"Evento anterior à entrada",IF(AND(F480&lt;&gt;"",E480=""),"Conversa sem agendamento",IF(OR(E480&gt;TODAY(),F480&gt;TODAY()),"Verificar evento futuro","OK"))))))))))</f>
        <v/>
      </c>
    </row>
    <row r="481" spans="12:15">
      <c r="L481" s="5">
        <f>IF(OR(A481="",B481=""),"",B481-WEEKDAY(B481,2)+1)</f>
        <v/>
      </c>
      <c r="M481" s="5">
        <f>IF(L481="","",L481+6)</f>
        <v/>
      </c>
      <c r="N481" s="6">
        <f>IF(OR(A481="",B481=""),"",DATE(YEAR(B481),MONTH(B481),1))</f>
        <v/>
      </c>
      <c r="O481" s="7">
        <f>IF(COUNTA(A481:K481)=0,"",IF(OR(A481="",B481=""),"Preencher CPF e entrada",IF(COUNTIFS($A$12:$A$5011,A481,$B$12:$B$5011,B481)&gt;1,"CPF + dia duplicado",IF(OR(AND(G481&lt;&gt;"",G481&lt;&gt;0,G481&lt;&gt;1),AND(H481&lt;&gt;"",H481&lt;&gt;0,H481&lt;&gt;1)),"Flags devem ser 0 ou 1",IF(AND(H481=1,LEN(TRIM(I481))=0),"Preencher nome do indicante",IF(AND(H481&lt;&gt;1,I481&lt;&gt;""),"Nome sem indicação interna",IF(AND(G481=1,F481=""),"Fechamento sem conversa",IF(OR(AND(E481&lt;&gt;"",E481&lt;B481),AND(F481&lt;&gt;"",F481&lt;B481)),"Evento anterior à entrada",IF(AND(F481&lt;&gt;"",E481=""),"Conversa sem agendamento",IF(OR(E481&gt;TODAY(),F481&gt;TODAY()),"Verificar evento futuro","OK"))))))))))</f>
        <v/>
      </c>
    </row>
    <row r="482" spans="12:15">
      <c r="L482" s="5">
        <f>IF(OR(A482="",B482=""),"",B482-WEEKDAY(B482,2)+1)</f>
        <v/>
      </c>
      <c r="M482" s="5">
        <f>IF(L482="","",L482+6)</f>
        <v/>
      </c>
      <c r="N482" s="6">
        <f>IF(OR(A482="",B482=""),"",DATE(YEAR(B482),MONTH(B482),1))</f>
        <v/>
      </c>
      <c r="O482" s="7">
        <f>IF(COUNTA(A482:K482)=0,"",IF(OR(A482="",B482=""),"Preencher CPF e entrada",IF(COUNTIFS($A$12:$A$5011,A482,$B$12:$B$5011,B482)&gt;1,"CPF + dia duplicado",IF(OR(AND(G482&lt;&gt;"",G482&lt;&gt;0,G482&lt;&gt;1),AND(H482&lt;&gt;"",H482&lt;&gt;0,H482&lt;&gt;1)),"Flags devem ser 0 ou 1",IF(AND(H482=1,LEN(TRIM(I482))=0),"Preencher nome do indicante",IF(AND(H482&lt;&gt;1,I482&lt;&gt;""),"Nome sem indicação interna",IF(AND(G482=1,F482=""),"Fechamento sem conversa",IF(OR(AND(E482&lt;&gt;"",E482&lt;B482),AND(F482&lt;&gt;"",F482&lt;B482)),"Evento anterior à entrada",IF(AND(F482&lt;&gt;"",E482=""),"Conversa sem agendamento",IF(OR(E482&gt;TODAY(),F482&gt;TODAY()),"Verificar evento futuro","OK"))))))))))</f>
        <v/>
      </c>
    </row>
    <row r="483" spans="12:15">
      <c r="L483" s="5">
        <f>IF(OR(A483="",B483=""),"",B483-WEEKDAY(B483,2)+1)</f>
        <v/>
      </c>
      <c r="M483" s="5">
        <f>IF(L483="","",L483+6)</f>
        <v/>
      </c>
      <c r="N483" s="6">
        <f>IF(OR(A483="",B483=""),"",DATE(YEAR(B483),MONTH(B483),1))</f>
        <v/>
      </c>
      <c r="O483" s="7">
        <f>IF(COUNTA(A483:K483)=0,"",IF(OR(A483="",B483=""),"Preencher CPF e entrada",IF(COUNTIFS($A$12:$A$5011,A483,$B$12:$B$5011,B483)&gt;1,"CPF + dia duplicado",IF(OR(AND(G483&lt;&gt;"",G483&lt;&gt;0,G483&lt;&gt;1),AND(H483&lt;&gt;"",H483&lt;&gt;0,H483&lt;&gt;1)),"Flags devem ser 0 ou 1",IF(AND(H483=1,LEN(TRIM(I483))=0),"Preencher nome do indicante",IF(AND(H483&lt;&gt;1,I483&lt;&gt;""),"Nome sem indicação interna",IF(AND(G483=1,F483=""),"Fechamento sem conversa",IF(OR(AND(E483&lt;&gt;"",E483&lt;B483),AND(F483&lt;&gt;"",F483&lt;B483)),"Evento anterior à entrada",IF(AND(F483&lt;&gt;"",E483=""),"Conversa sem agendamento",IF(OR(E483&gt;TODAY(),F483&gt;TODAY()),"Verificar evento futuro","OK"))))))))))</f>
        <v/>
      </c>
    </row>
    <row r="484" spans="12:15">
      <c r="L484" s="5">
        <f>IF(OR(A484="",B484=""),"",B484-WEEKDAY(B484,2)+1)</f>
        <v/>
      </c>
      <c r="M484" s="5">
        <f>IF(L484="","",L484+6)</f>
        <v/>
      </c>
      <c r="N484" s="6">
        <f>IF(OR(A484="",B484=""),"",DATE(YEAR(B484),MONTH(B484),1))</f>
        <v/>
      </c>
      <c r="O484" s="7">
        <f>IF(COUNTA(A484:K484)=0,"",IF(OR(A484="",B484=""),"Preencher CPF e entrada",IF(COUNTIFS($A$12:$A$5011,A484,$B$12:$B$5011,B484)&gt;1,"CPF + dia duplicado",IF(OR(AND(G484&lt;&gt;"",G484&lt;&gt;0,G484&lt;&gt;1),AND(H484&lt;&gt;"",H484&lt;&gt;0,H484&lt;&gt;1)),"Flags devem ser 0 ou 1",IF(AND(H484=1,LEN(TRIM(I484))=0),"Preencher nome do indicante",IF(AND(H484&lt;&gt;1,I484&lt;&gt;""),"Nome sem indicação interna",IF(AND(G484=1,F484=""),"Fechamento sem conversa",IF(OR(AND(E484&lt;&gt;"",E484&lt;B484),AND(F484&lt;&gt;"",F484&lt;B484)),"Evento anterior à entrada",IF(AND(F484&lt;&gt;"",E484=""),"Conversa sem agendamento",IF(OR(E484&gt;TODAY(),F484&gt;TODAY()),"Verificar evento futuro","OK"))))))))))</f>
        <v/>
      </c>
    </row>
    <row r="485" spans="12:15">
      <c r="L485" s="5">
        <f>IF(OR(A485="",B485=""),"",B485-WEEKDAY(B485,2)+1)</f>
        <v/>
      </c>
      <c r="M485" s="5">
        <f>IF(L485="","",L485+6)</f>
        <v/>
      </c>
      <c r="N485" s="6">
        <f>IF(OR(A485="",B485=""),"",DATE(YEAR(B485),MONTH(B485),1))</f>
        <v/>
      </c>
      <c r="O485" s="7">
        <f>IF(COUNTA(A485:K485)=0,"",IF(OR(A485="",B485=""),"Preencher CPF e entrada",IF(COUNTIFS($A$12:$A$5011,A485,$B$12:$B$5011,B485)&gt;1,"CPF + dia duplicado",IF(OR(AND(G485&lt;&gt;"",G485&lt;&gt;0,G485&lt;&gt;1),AND(H485&lt;&gt;"",H485&lt;&gt;0,H485&lt;&gt;1)),"Flags devem ser 0 ou 1",IF(AND(H485=1,LEN(TRIM(I485))=0),"Preencher nome do indicante",IF(AND(H485&lt;&gt;1,I485&lt;&gt;""),"Nome sem indicação interna",IF(AND(G485=1,F485=""),"Fechamento sem conversa",IF(OR(AND(E485&lt;&gt;"",E485&lt;B485),AND(F485&lt;&gt;"",F485&lt;B485)),"Evento anterior à entrada",IF(AND(F485&lt;&gt;"",E485=""),"Conversa sem agendamento",IF(OR(E485&gt;TODAY(),F485&gt;TODAY()),"Verificar evento futuro","OK"))))))))))</f>
        <v/>
      </c>
    </row>
    <row r="486" spans="12:15">
      <c r="L486" s="5">
        <f>IF(OR(A486="",B486=""),"",B486-WEEKDAY(B486,2)+1)</f>
        <v/>
      </c>
      <c r="M486" s="5">
        <f>IF(L486="","",L486+6)</f>
        <v/>
      </c>
      <c r="N486" s="6">
        <f>IF(OR(A486="",B486=""),"",DATE(YEAR(B486),MONTH(B486),1))</f>
        <v/>
      </c>
      <c r="O486" s="7">
        <f>IF(COUNTA(A486:K486)=0,"",IF(OR(A486="",B486=""),"Preencher CPF e entrada",IF(COUNTIFS($A$12:$A$5011,A486,$B$12:$B$5011,B486)&gt;1,"CPF + dia duplicado",IF(OR(AND(G486&lt;&gt;"",G486&lt;&gt;0,G486&lt;&gt;1),AND(H486&lt;&gt;"",H486&lt;&gt;0,H486&lt;&gt;1)),"Flags devem ser 0 ou 1",IF(AND(H486=1,LEN(TRIM(I486))=0),"Preencher nome do indicante",IF(AND(H486&lt;&gt;1,I486&lt;&gt;""),"Nome sem indicação interna",IF(AND(G486=1,F486=""),"Fechamento sem conversa",IF(OR(AND(E486&lt;&gt;"",E486&lt;B486),AND(F486&lt;&gt;"",F486&lt;B486)),"Evento anterior à entrada",IF(AND(F486&lt;&gt;"",E486=""),"Conversa sem agendamento",IF(OR(E486&gt;TODAY(),F486&gt;TODAY()),"Verificar evento futuro","OK"))))))))))</f>
        <v/>
      </c>
    </row>
    <row r="487" spans="12:15">
      <c r="L487" s="5">
        <f>IF(OR(A487="",B487=""),"",B487-WEEKDAY(B487,2)+1)</f>
        <v/>
      </c>
      <c r="M487" s="5">
        <f>IF(L487="","",L487+6)</f>
        <v/>
      </c>
      <c r="N487" s="6">
        <f>IF(OR(A487="",B487=""),"",DATE(YEAR(B487),MONTH(B487),1))</f>
        <v/>
      </c>
      <c r="O487" s="7">
        <f>IF(COUNTA(A487:K487)=0,"",IF(OR(A487="",B487=""),"Preencher CPF e entrada",IF(COUNTIFS($A$12:$A$5011,A487,$B$12:$B$5011,B487)&gt;1,"CPF + dia duplicado",IF(OR(AND(G487&lt;&gt;"",G487&lt;&gt;0,G487&lt;&gt;1),AND(H487&lt;&gt;"",H487&lt;&gt;0,H487&lt;&gt;1)),"Flags devem ser 0 ou 1",IF(AND(H487=1,LEN(TRIM(I487))=0),"Preencher nome do indicante",IF(AND(H487&lt;&gt;1,I487&lt;&gt;""),"Nome sem indicação interna",IF(AND(G487=1,F487=""),"Fechamento sem conversa",IF(OR(AND(E487&lt;&gt;"",E487&lt;B487),AND(F487&lt;&gt;"",F487&lt;B487)),"Evento anterior à entrada",IF(AND(F487&lt;&gt;"",E487=""),"Conversa sem agendamento",IF(OR(E487&gt;TODAY(),F487&gt;TODAY()),"Verificar evento futuro","OK"))))))))))</f>
        <v/>
      </c>
    </row>
    <row r="488" spans="12:15">
      <c r="L488" s="5">
        <f>IF(OR(A488="",B488=""),"",B488-WEEKDAY(B488,2)+1)</f>
        <v/>
      </c>
      <c r="M488" s="5">
        <f>IF(L488="","",L488+6)</f>
        <v/>
      </c>
      <c r="N488" s="6">
        <f>IF(OR(A488="",B488=""),"",DATE(YEAR(B488),MONTH(B488),1))</f>
        <v/>
      </c>
      <c r="O488" s="7">
        <f>IF(COUNTA(A488:K488)=0,"",IF(OR(A488="",B488=""),"Preencher CPF e entrada",IF(COUNTIFS($A$12:$A$5011,A488,$B$12:$B$5011,B488)&gt;1,"CPF + dia duplicado",IF(OR(AND(G488&lt;&gt;"",G488&lt;&gt;0,G488&lt;&gt;1),AND(H488&lt;&gt;"",H488&lt;&gt;0,H488&lt;&gt;1)),"Flags devem ser 0 ou 1",IF(AND(H488=1,LEN(TRIM(I488))=0),"Preencher nome do indicante",IF(AND(H488&lt;&gt;1,I488&lt;&gt;""),"Nome sem indicação interna",IF(AND(G488=1,F488=""),"Fechamento sem conversa",IF(OR(AND(E488&lt;&gt;"",E488&lt;B488),AND(F488&lt;&gt;"",F488&lt;B488)),"Evento anterior à entrada",IF(AND(F488&lt;&gt;"",E488=""),"Conversa sem agendamento",IF(OR(E488&gt;TODAY(),F488&gt;TODAY()),"Verificar evento futuro","OK"))))))))))</f>
        <v/>
      </c>
    </row>
    <row r="489" spans="12:15">
      <c r="L489" s="5">
        <f>IF(OR(A489="",B489=""),"",B489-WEEKDAY(B489,2)+1)</f>
        <v/>
      </c>
      <c r="M489" s="5">
        <f>IF(L489="","",L489+6)</f>
        <v/>
      </c>
      <c r="N489" s="6">
        <f>IF(OR(A489="",B489=""),"",DATE(YEAR(B489),MONTH(B489),1))</f>
        <v/>
      </c>
      <c r="O489" s="7">
        <f>IF(COUNTA(A489:K489)=0,"",IF(OR(A489="",B489=""),"Preencher CPF e entrada",IF(COUNTIFS($A$12:$A$5011,A489,$B$12:$B$5011,B489)&gt;1,"CPF + dia duplicado",IF(OR(AND(G489&lt;&gt;"",G489&lt;&gt;0,G489&lt;&gt;1),AND(H489&lt;&gt;"",H489&lt;&gt;0,H489&lt;&gt;1)),"Flags devem ser 0 ou 1",IF(AND(H489=1,LEN(TRIM(I489))=0),"Preencher nome do indicante",IF(AND(H489&lt;&gt;1,I489&lt;&gt;""),"Nome sem indicação interna",IF(AND(G489=1,F489=""),"Fechamento sem conversa",IF(OR(AND(E489&lt;&gt;"",E489&lt;B489),AND(F489&lt;&gt;"",F489&lt;B489)),"Evento anterior à entrada",IF(AND(F489&lt;&gt;"",E489=""),"Conversa sem agendamento",IF(OR(E489&gt;TODAY(),F489&gt;TODAY()),"Verificar evento futuro","OK"))))))))))</f>
        <v/>
      </c>
    </row>
    <row r="490" spans="12:15">
      <c r="L490" s="5">
        <f>IF(OR(A490="",B490=""),"",B490-WEEKDAY(B490,2)+1)</f>
        <v/>
      </c>
      <c r="M490" s="5">
        <f>IF(L490="","",L490+6)</f>
        <v/>
      </c>
      <c r="N490" s="6">
        <f>IF(OR(A490="",B490=""),"",DATE(YEAR(B490),MONTH(B490),1))</f>
        <v/>
      </c>
      <c r="O490" s="7">
        <f>IF(COUNTA(A490:K490)=0,"",IF(OR(A490="",B490=""),"Preencher CPF e entrada",IF(COUNTIFS($A$12:$A$5011,A490,$B$12:$B$5011,B490)&gt;1,"CPF + dia duplicado",IF(OR(AND(G490&lt;&gt;"",G490&lt;&gt;0,G490&lt;&gt;1),AND(H490&lt;&gt;"",H490&lt;&gt;0,H490&lt;&gt;1)),"Flags devem ser 0 ou 1",IF(AND(H490=1,LEN(TRIM(I490))=0),"Preencher nome do indicante",IF(AND(H490&lt;&gt;1,I490&lt;&gt;""),"Nome sem indicação interna",IF(AND(G490=1,F490=""),"Fechamento sem conversa",IF(OR(AND(E490&lt;&gt;"",E490&lt;B490),AND(F490&lt;&gt;"",F490&lt;B490)),"Evento anterior à entrada",IF(AND(F490&lt;&gt;"",E490=""),"Conversa sem agendamento",IF(OR(E490&gt;TODAY(),F490&gt;TODAY()),"Verificar evento futuro","OK"))))))))))</f>
        <v/>
      </c>
    </row>
    <row r="491" spans="12:15">
      <c r="L491" s="5">
        <f>IF(OR(A491="",B491=""),"",B491-WEEKDAY(B491,2)+1)</f>
        <v/>
      </c>
      <c r="M491" s="5">
        <f>IF(L491="","",L491+6)</f>
        <v/>
      </c>
      <c r="N491" s="6">
        <f>IF(OR(A491="",B491=""),"",DATE(YEAR(B491),MONTH(B491),1))</f>
        <v/>
      </c>
      <c r="O491" s="7">
        <f>IF(COUNTA(A491:K491)=0,"",IF(OR(A491="",B491=""),"Preencher CPF e entrada",IF(COUNTIFS($A$12:$A$5011,A491,$B$12:$B$5011,B491)&gt;1,"CPF + dia duplicado",IF(OR(AND(G491&lt;&gt;"",G491&lt;&gt;0,G491&lt;&gt;1),AND(H491&lt;&gt;"",H491&lt;&gt;0,H491&lt;&gt;1)),"Flags devem ser 0 ou 1",IF(AND(H491=1,LEN(TRIM(I491))=0),"Preencher nome do indicante",IF(AND(H491&lt;&gt;1,I491&lt;&gt;""),"Nome sem indicação interna",IF(AND(G491=1,F491=""),"Fechamento sem conversa",IF(OR(AND(E491&lt;&gt;"",E491&lt;B491),AND(F491&lt;&gt;"",F491&lt;B491)),"Evento anterior à entrada",IF(AND(F491&lt;&gt;"",E491=""),"Conversa sem agendamento",IF(OR(E491&gt;TODAY(),F491&gt;TODAY()),"Verificar evento futuro","OK"))))))))))</f>
        <v/>
      </c>
    </row>
    <row r="492" spans="12:15">
      <c r="L492" s="5">
        <f>IF(OR(A492="",B492=""),"",B492-WEEKDAY(B492,2)+1)</f>
        <v/>
      </c>
      <c r="M492" s="5">
        <f>IF(L492="","",L492+6)</f>
        <v/>
      </c>
      <c r="N492" s="6">
        <f>IF(OR(A492="",B492=""),"",DATE(YEAR(B492),MONTH(B492),1))</f>
        <v/>
      </c>
      <c r="O492" s="7">
        <f>IF(COUNTA(A492:K492)=0,"",IF(OR(A492="",B492=""),"Preencher CPF e entrada",IF(COUNTIFS($A$12:$A$5011,A492,$B$12:$B$5011,B492)&gt;1,"CPF + dia duplicado",IF(OR(AND(G492&lt;&gt;"",G492&lt;&gt;0,G492&lt;&gt;1),AND(H492&lt;&gt;"",H492&lt;&gt;0,H492&lt;&gt;1)),"Flags devem ser 0 ou 1",IF(AND(H492=1,LEN(TRIM(I492))=0),"Preencher nome do indicante",IF(AND(H492&lt;&gt;1,I492&lt;&gt;""),"Nome sem indicação interna",IF(AND(G492=1,F492=""),"Fechamento sem conversa",IF(OR(AND(E492&lt;&gt;"",E492&lt;B492),AND(F492&lt;&gt;"",F492&lt;B492)),"Evento anterior à entrada",IF(AND(F492&lt;&gt;"",E492=""),"Conversa sem agendamento",IF(OR(E492&gt;TODAY(),F492&gt;TODAY()),"Verificar evento futuro","OK"))))))))))</f>
        <v/>
      </c>
    </row>
    <row r="493" spans="12:15">
      <c r="L493" s="5">
        <f>IF(OR(A493="",B493=""),"",B493-WEEKDAY(B493,2)+1)</f>
        <v/>
      </c>
      <c r="M493" s="5">
        <f>IF(L493="","",L493+6)</f>
        <v/>
      </c>
      <c r="N493" s="6">
        <f>IF(OR(A493="",B493=""),"",DATE(YEAR(B493),MONTH(B493),1))</f>
        <v/>
      </c>
      <c r="O493" s="7">
        <f>IF(COUNTA(A493:K493)=0,"",IF(OR(A493="",B493=""),"Preencher CPF e entrada",IF(COUNTIFS($A$12:$A$5011,A493,$B$12:$B$5011,B493)&gt;1,"CPF + dia duplicado",IF(OR(AND(G493&lt;&gt;"",G493&lt;&gt;0,G493&lt;&gt;1),AND(H493&lt;&gt;"",H493&lt;&gt;0,H493&lt;&gt;1)),"Flags devem ser 0 ou 1",IF(AND(H493=1,LEN(TRIM(I493))=0),"Preencher nome do indicante",IF(AND(H493&lt;&gt;1,I493&lt;&gt;""),"Nome sem indicação interna",IF(AND(G493=1,F493=""),"Fechamento sem conversa",IF(OR(AND(E493&lt;&gt;"",E493&lt;B493),AND(F493&lt;&gt;"",F493&lt;B493)),"Evento anterior à entrada",IF(AND(F493&lt;&gt;"",E493=""),"Conversa sem agendamento",IF(OR(E493&gt;TODAY(),F493&gt;TODAY()),"Verificar evento futuro","OK"))))))))))</f>
        <v/>
      </c>
    </row>
    <row r="494" spans="12:15">
      <c r="L494" s="5">
        <f>IF(OR(A494="",B494=""),"",B494-WEEKDAY(B494,2)+1)</f>
        <v/>
      </c>
      <c r="M494" s="5">
        <f>IF(L494="","",L494+6)</f>
        <v/>
      </c>
      <c r="N494" s="6">
        <f>IF(OR(A494="",B494=""),"",DATE(YEAR(B494),MONTH(B494),1))</f>
        <v/>
      </c>
      <c r="O494" s="7">
        <f>IF(COUNTA(A494:K494)=0,"",IF(OR(A494="",B494=""),"Preencher CPF e entrada",IF(COUNTIFS($A$12:$A$5011,A494,$B$12:$B$5011,B494)&gt;1,"CPF + dia duplicado",IF(OR(AND(G494&lt;&gt;"",G494&lt;&gt;0,G494&lt;&gt;1),AND(H494&lt;&gt;"",H494&lt;&gt;0,H494&lt;&gt;1)),"Flags devem ser 0 ou 1",IF(AND(H494=1,LEN(TRIM(I494))=0),"Preencher nome do indicante",IF(AND(H494&lt;&gt;1,I494&lt;&gt;""),"Nome sem indicação interna",IF(AND(G494=1,F494=""),"Fechamento sem conversa",IF(OR(AND(E494&lt;&gt;"",E494&lt;B494),AND(F494&lt;&gt;"",F494&lt;B494)),"Evento anterior à entrada",IF(AND(F494&lt;&gt;"",E494=""),"Conversa sem agendamento",IF(OR(E494&gt;TODAY(),F494&gt;TODAY()),"Verificar evento futuro","OK"))))))))))</f>
        <v/>
      </c>
    </row>
    <row r="495" spans="12:15">
      <c r="L495" s="5">
        <f>IF(OR(A495="",B495=""),"",B495-WEEKDAY(B495,2)+1)</f>
        <v/>
      </c>
      <c r="M495" s="5">
        <f>IF(L495="","",L495+6)</f>
        <v/>
      </c>
      <c r="N495" s="6">
        <f>IF(OR(A495="",B495=""),"",DATE(YEAR(B495),MONTH(B495),1))</f>
        <v/>
      </c>
      <c r="O495" s="7">
        <f>IF(COUNTA(A495:K495)=0,"",IF(OR(A495="",B495=""),"Preencher CPF e entrada",IF(COUNTIFS($A$12:$A$5011,A495,$B$12:$B$5011,B495)&gt;1,"CPF + dia duplicado",IF(OR(AND(G495&lt;&gt;"",G495&lt;&gt;0,G495&lt;&gt;1),AND(H495&lt;&gt;"",H495&lt;&gt;0,H495&lt;&gt;1)),"Flags devem ser 0 ou 1",IF(AND(H495=1,LEN(TRIM(I495))=0),"Preencher nome do indicante",IF(AND(H495&lt;&gt;1,I495&lt;&gt;""),"Nome sem indicação interna",IF(AND(G495=1,F495=""),"Fechamento sem conversa",IF(OR(AND(E495&lt;&gt;"",E495&lt;B495),AND(F495&lt;&gt;"",F495&lt;B495)),"Evento anterior à entrada",IF(AND(F495&lt;&gt;"",E495=""),"Conversa sem agendamento",IF(OR(E495&gt;TODAY(),F495&gt;TODAY()),"Verificar evento futuro","OK"))))))))))</f>
        <v/>
      </c>
    </row>
    <row r="496" spans="12:15">
      <c r="L496" s="5">
        <f>IF(OR(A496="",B496=""),"",B496-WEEKDAY(B496,2)+1)</f>
        <v/>
      </c>
      <c r="M496" s="5">
        <f>IF(L496="","",L496+6)</f>
        <v/>
      </c>
      <c r="N496" s="6">
        <f>IF(OR(A496="",B496=""),"",DATE(YEAR(B496),MONTH(B496),1))</f>
        <v/>
      </c>
      <c r="O496" s="7">
        <f>IF(COUNTA(A496:K496)=0,"",IF(OR(A496="",B496=""),"Preencher CPF e entrada",IF(COUNTIFS($A$12:$A$5011,A496,$B$12:$B$5011,B496)&gt;1,"CPF + dia duplicado",IF(OR(AND(G496&lt;&gt;"",G496&lt;&gt;0,G496&lt;&gt;1),AND(H496&lt;&gt;"",H496&lt;&gt;0,H496&lt;&gt;1)),"Flags devem ser 0 ou 1",IF(AND(H496=1,LEN(TRIM(I496))=0),"Preencher nome do indicante",IF(AND(H496&lt;&gt;1,I496&lt;&gt;""),"Nome sem indicação interna",IF(AND(G496=1,F496=""),"Fechamento sem conversa",IF(OR(AND(E496&lt;&gt;"",E496&lt;B496),AND(F496&lt;&gt;"",F496&lt;B496)),"Evento anterior à entrada",IF(AND(F496&lt;&gt;"",E496=""),"Conversa sem agendamento",IF(OR(E496&gt;TODAY(),F496&gt;TODAY()),"Verificar evento futuro","OK"))))))))))</f>
        <v/>
      </c>
    </row>
    <row r="497" spans="12:15">
      <c r="L497" s="5">
        <f>IF(OR(A497="",B497=""),"",B497-WEEKDAY(B497,2)+1)</f>
        <v/>
      </c>
      <c r="M497" s="5">
        <f>IF(L497="","",L497+6)</f>
        <v/>
      </c>
      <c r="N497" s="6">
        <f>IF(OR(A497="",B497=""),"",DATE(YEAR(B497),MONTH(B497),1))</f>
        <v/>
      </c>
      <c r="O497" s="7">
        <f>IF(COUNTA(A497:K497)=0,"",IF(OR(A497="",B497=""),"Preencher CPF e entrada",IF(COUNTIFS($A$12:$A$5011,A497,$B$12:$B$5011,B497)&gt;1,"CPF + dia duplicado",IF(OR(AND(G497&lt;&gt;"",G497&lt;&gt;0,G497&lt;&gt;1),AND(H497&lt;&gt;"",H497&lt;&gt;0,H497&lt;&gt;1)),"Flags devem ser 0 ou 1",IF(AND(H497=1,LEN(TRIM(I497))=0),"Preencher nome do indicante",IF(AND(H497&lt;&gt;1,I497&lt;&gt;""),"Nome sem indicação interna",IF(AND(G497=1,F497=""),"Fechamento sem conversa",IF(OR(AND(E497&lt;&gt;"",E497&lt;B497),AND(F497&lt;&gt;"",F497&lt;B497)),"Evento anterior à entrada",IF(AND(F497&lt;&gt;"",E497=""),"Conversa sem agendamento",IF(OR(E497&gt;TODAY(),F497&gt;TODAY()),"Verificar evento futuro","OK"))))))))))</f>
        <v/>
      </c>
    </row>
    <row r="498" spans="12:15">
      <c r="L498" s="5">
        <f>IF(OR(A498="",B498=""),"",B498-WEEKDAY(B498,2)+1)</f>
        <v/>
      </c>
      <c r="M498" s="5">
        <f>IF(L498="","",L498+6)</f>
        <v/>
      </c>
      <c r="N498" s="6">
        <f>IF(OR(A498="",B498=""),"",DATE(YEAR(B498),MONTH(B498),1))</f>
        <v/>
      </c>
      <c r="O498" s="7">
        <f>IF(COUNTA(A498:K498)=0,"",IF(OR(A498="",B498=""),"Preencher CPF e entrada",IF(COUNTIFS($A$12:$A$5011,A498,$B$12:$B$5011,B498)&gt;1,"CPF + dia duplicado",IF(OR(AND(G498&lt;&gt;"",G498&lt;&gt;0,G498&lt;&gt;1),AND(H498&lt;&gt;"",H498&lt;&gt;0,H498&lt;&gt;1)),"Flags devem ser 0 ou 1",IF(AND(H498=1,LEN(TRIM(I498))=0),"Preencher nome do indicante",IF(AND(H498&lt;&gt;1,I498&lt;&gt;""),"Nome sem indicação interna",IF(AND(G498=1,F498=""),"Fechamento sem conversa",IF(OR(AND(E498&lt;&gt;"",E498&lt;B498),AND(F498&lt;&gt;"",F498&lt;B498)),"Evento anterior à entrada",IF(AND(F498&lt;&gt;"",E498=""),"Conversa sem agendamento",IF(OR(E498&gt;TODAY(),F498&gt;TODAY()),"Verificar evento futuro","OK"))))))))))</f>
        <v/>
      </c>
    </row>
    <row r="499" spans="12:15">
      <c r="L499" s="5">
        <f>IF(OR(A499="",B499=""),"",B499-WEEKDAY(B499,2)+1)</f>
        <v/>
      </c>
      <c r="M499" s="5">
        <f>IF(L499="","",L499+6)</f>
        <v/>
      </c>
      <c r="N499" s="6">
        <f>IF(OR(A499="",B499=""),"",DATE(YEAR(B499),MONTH(B499),1))</f>
        <v/>
      </c>
      <c r="O499" s="7">
        <f>IF(COUNTA(A499:K499)=0,"",IF(OR(A499="",B499=""),"Preencher CPF e entrada",IF(COUNTIFS($A$12:$A$5011,A499,$B$12:$B$5011,B499)&gt;1,"CPF + dia duplicado",IF(OR(AND(G499&lt;&gt;"",G499&lt;&gt;0,G499&lt;&gt;1),AND(H499&lt;&gt;"",H499&lt;&gt;0,H499&lt;&gt;1)),"Flags devem ser 0 ou 1",IF(AND(H499=1,LEN(TRIM(I499))=0),"Preencher nome do indicante",IF(AND(H499&lt;&gt;1,I499&lt;&gt;""),"Nome sem indicação interna",IF(AND(G499=1,F499=""),"Fechamento sem conversa",IF(OR(AND(E499&lt;&gt;"",E499&lt;B499),AND(F499&lt;&gt;"",F499&lt;B499)),"Evento anterior à entrada",IF(AND(F499&lt;&gt;"",E499=""),"Conversa sem agendamento",IF(OR(E499&gt;TODAY(),F499&gt;TODAY()),"Verificar evento futuro","OK"))))))))))</f>
        <v/>
      </c>
    </row>
    <row r="500" spans="12:15">
      <c r="L500" s="5">
        <f>IF(OR(A500="",B500=""),"",B500-WEEKDAY(B500,2)+1)</f>
        <v/>
      </c>
      <c r="M500" s="5">
        <f>IF(L500="","",L500+6)</f>
        <v/>
      </c>
      <c r="N500" s="6">
        <f>IF(OR(A500="",B500=""),"",DATE(YEAR(B500),MONTH(B500),1))</f>
        <v/>
      </c>
      <c r="O500" s="7">
        <f>IF(COUNTA(A500:K500)=0,"",IF(OR(A500="",B500=""),"Preencher CPF e entrada",IF(COUNTIFS($A$12:$A$5011,A500,$B$12:$B$5011,B500)&gt;1,"CPF + dia duplicado",IF(OR(AND(G500&lt;&gt;"",G500&lt;&gt;0,G500&lt;&gt;1),AND(H500&lt;&gt;"",H500&lt;&gt;0,H500&lt;&gt;1)),"Flags devem ser 0 ou 1",IF(AND(H500=1,LEN(TRIM(I500))=0),"Preencher nome do indicante",IF(AND(H500&lt;&gt;1,I500&lt;&gt;""),"Nome sem indicação interna",IF(AND(G500=1,F500=""),"Fechamento sem conversa",IF(OR(AND(E500&lt;&gt;"",E500&lt;B500),AND(F500&lt;&gt;"",F500&lt;B500)),"Evento anterior à entrada",IF(AND(F500&lt;&gt;"",E500=""),"Conversa sem agendamento",IF(OR(E500&gt;TODAY(),F500&gt;TODAY()),"Verificar evento futuro","OK"))))))))))</f>
        <v/>
      </c>
    </row>
    <row r="501" spans="12:15">
      <c r="L501" s="5">
        <f>IF(OR(A501="",B501=""),"",B501-WEEKDAY(B501,2)+1)</f>
        <v/>
      </c>
      <c r="M501" s="5">
        <f>IF(L501="","",L501+6)</f>
        <v/>
      </c>
      <c r="N501" s="6">
        <f>IF(OR(A501="",B501=""),"",DATE(YEAR(B501),MONTH(B501),1))</f>
        <v/>
      </c>
      <c r="O501" s="7">
        <f>IF(COUNTA(A501:K501)=0,"",IF(OR(A501="",B501=""),"Preencher CPF e entrada",IF(COUNTIFS($A$12:$A$5011,A501,$B$12:$B$5011,B501)&gt;1,"CPF + dia duplicado",IF(OR(AND(G501&lt;&gt;"",G501&lt;&gt;0,G501&lt;&gt;1),AND(H501&lt;&gt;"",H501&lt;&gt;0,H501&lt;&gt;1)),"Flags devem ser 0 ou 1",IF(AND(H501=1,LEN(TRIM(I501))=0),"Preencher nome do indicante",IF(AND(H501&lt;&gt;1,I501&lt;&gt;""),"Nome sem indicação interna",IF(AND(G501=1,F501=""),"Fechamento sem conversa",IF(OR(AND(E501&lt;&gt;"",E501&lt;B501),AND(F501&lt;&gt;"",F501&lt;B501)),"Evento anterior à entrada",IF(AND(F501&lt;&gt;"",E501=""),"Conversa sem agendamento",IF(OR(E501&gt;TODAY(),F501&gt;TODAY()),"Verificar evento futuro","OK"))))))))))</f>
        <v/>
      </c>
    </row>
    <row r="502" spans="12:15">
      <c r="L502" s="5">
        <f>IF(OR(A502="",B502=""),"",B502-WEEKDAY(B502,2)+1)</f>
        <v/>
      </c>
      <c r="M502" s="5">
        <f>IF(L502="","",L502+6)</f>
        <v/>
      </c>
      <c r="N502" s="6">
        <f>IF(OR(A502="",B502=""),"",DATE(YEAR(B502),MONTH(B502),1))</f>
        <v/>
      </c>
      <c r="O502" s="7">
        <f>IF(COUNTA(A502:K502)=0,"",IF(OR(A502="",B502=""),"Preencher CPF e entrada",IF(COUNTIFS($A$12:$A$5011,A502,$B$12:$B$5011,B502)&gt;1,"CPF + dia duplicado",IF(OR(AND(G502&lt;&gt;"",G502&lt;&gt;0,G502&lt;&gt;1),AND(H502&lt;&gt;"",H502&lt;&gt;0,H502&lt;&gt;1)),"Flags devem ser 0 ou 1",IF(AND(H502=1,LEN(TRIM(I502))=0),"Preencher nome do indicante",IF(AND(H502&lt;&gt;1,I502&lt;&gt;""),"Nome sem indicação interna",IF(AND(G502=1,F502=""),"Fechamento sem conversa",IF(OR(AND(E502&lt;&gt;"",E502&lt;B502),AND(F502&lt;&gt;"",F502&lt;B502)),"Evento anterior à entrada",IF(AND(F502&lt;&gt;"",E502=""),"Conversa sem agendamento",IF(OR(E502&gt;TODAY(),F502&gt;TODAY()),"Verificar evento futuro","OK"))))))))))</f>
        <v/>
      </c>
    </row>
    <row r="503" spans="12:15">
      <c r="L503" s="5">
        <f>IF(OR(A503="",B503=""),"",B503-WEEKDAY(B503,2)+1)</f>
        <v/>
      </c>
      <c r="M503" s="5">
        <f>IF(L503="","",L503+6)</f>
        <v/>
      </c>
      <c r="N503" s="6">
        <f>IF(OR(A503="",B503=""),"",DATE(YEAR(B503),MONTH(B503),1))</f>
        <v/>
      </c>
      <c r="O503" s="7">
        <f>IF(COUNTA(A503:K503)=0,"",IF(OR(A503="",B503=""),"Preencher CPF e entrada",IF(COUNTIFS($A$12:$A$5011,A503,$B$12:$B$5011,B503)&gt;1,"CPF + dia duplicado",IF(OR(AND(G503&lt;&gt;"",G503&lt;&gt;0,G503&lt;&gt;1),AND(H503&lt;&gt;"",H503&lt;&gt;0,H503&lt;&gt;1)),"Flags devem ser 0 ou 1",IF(AND(H503=1,LEN(TRIM(I503))=0),"Preencher nome do indicante",IF(AND(H503&lt;&gt;1,I503&lt;&gt;""),"Nome sem indicação interna",IF(AND(G503=1,F503=""),"Fechamento sem conversa",IF(OR(AND(E503&lt;&gt;"",E503&lt;B503),AND(F503&lt;&gt;"",F503&lt;B503)),"Evento anterior à entrada",IF(AND(F503&lt;&gt;"",E503=""),"Conversa sem agendamento",IF(OR(E503&gt;TODAY(),F503&gt;TODAY()),"Verificar evento futuro","OK"))))))))))</f>
        <v/>
      </c>
    </row>
    <row r="504" spans="12:15">
      <c r="L504" s="5">
        <f>IF(OR(A504="",B504=""),"",B504-WEEKDAY(B504,2)+1)</f>
        <v/>
      </c>
      <c r="M504" s="5">
        <f>IF(L504="","",L504+6)</f>
        <v/>
      </c>
      <c r="N504" s="6">
        <f>IF(OR(A504="",B504=""),"",DATE(YEAR(B504),MONTH(B504),1))</f>
        <v/>
      </c>
      <c r="O504" s="7">
        <f>IF(COUNTA(A504:K504)=0,"",IF(OR(A504="",B504=""),"Preencher CPF e entrada",IF(COUNTIFS($A$12:$A$5011,A504,$B$12:$B$5011,B504)&gt;1,"CPF + dia duplicado",IF(OR(AND(G504&lt;&gt;"",G504&lt;&gt;0,G504&lt;&gt;1),AND(H504&lt;&gt;"",H504&lt;&gt;0,H504&lt;&gt;1)),"Flags devem ser 0 ou 1",IF(AND(H504=1,LEN(TRIM(I504))=0),"Preencher nome do indicante",IF(AND(H504&lt;&gt;1,I504&lt;&gt;""),"Nome sem indicação interna",IF(AND(G504=1,F504=""),"Fechamento sem conversa",IF(OR(AND(E504&lt;&gt;"",E504&lt;B504),AND(F504&lt;&gt;"",F504&lt;B504)),"Evento anterior à entrada",IF(AND(F504&lt;&gt;"",E504=""),"Conversa sem agendamento",IF(OR(E504&gt;TODAY(),F504&gt;TODAY()),"Verificar evento futuro","OK"))))))))))</f>
        <v/>
      </c>
    </row>
    <row r="505" spans="12:15">
      <c r="L505" s="5">
        <f>IF(OR(A505="",B505=""),"",B505-WEEKDAY(B505,2)+1)</f>
        <v/>
      </c>
      <c r="M505" s="5">
        <f>IF(L505="","",L505+6)</f>
        <v/>
      </c>
      <c r="N505" s="6">
        <f>IF(OR(A505="",B505=""),"",DATE(YEAR(B505),MONTH(B505),1))</f>
        <v/>
      </c>
      <c r="O505" s="7">
        <f>IF(COUNTA(A505:K505)=0,"",IF(OR(A505="",B505=""),"Preencher CPF e entrada",IF(COUNTIFS($A$12:$A$5011,A505,$B$12:$B$5011,B505)&gt;1,"CPF + dia duplicado",IF(OR(AND(G505&lt;&gt;"",G505&lt;&gt;0,G505&lt;&gt;1),AND(H505&lt;&gt;"",H505&lt;&gt;0,H505&lt;&gt;1)),"Flags devem ser 0 ou 1",IF(AND(H505=1,LEN(TRIM(I505))=0),"Preencher nome do indicante",IF(AND(H505&lt;&gt;1,I505&lt;&gt;""),"Nome sem indicação interna",IF(AND(G505=1,F505=""),"Fechamento sem conversa",IF(OR(AND(E505&lt;&gt;"",E505&lt;B505),AND(F505&lt;&gt;"",F505&lt;B505)),"Evento anterior à entrada",IF(AND(F505&lt;&gt;"",E505=""),"Conversa sem agendamento",IF(OR(E505&gt;TODAY(),F505&gt;TODAY()),"Verificar evento futuro","OK"))))))))))</f>
        <v/>
      </c>
    </row>
    <row r="506" spans="12:15">
      <c r="L506" s="5">
        <f>IF(OR(A506="",B506=""),"",B506-WEEKDAY(B506,2)+1)</f>
        <v/>
      </c>
      <c r="M506" s="5">
        <f>IF(L506="","",L506+6)</f>
        <v/>
      </c>
      <c r="N506" s="6">
        <f>IF(OR(A506="",B506=""),"",DATE(YEAR(B506),MONTH(B506),1))</f>
        <v/>
      </c>
      <c r="O506" s="7">
        <f>IF(COUNTA(A506:K506)=0,"",IF(OR(A506="",B506=""),"Preencher CPF e entrada",IF(COUNTIFS($A$12:$A$5011,A506,$B$12:$B$5011,B506)&gt;1,"CPF + dia duplicado",IF(OR(AND(G506&lt;&gt;"",G506&lt;&gt;0,G506&lt;&gt;1),AND(H506&lt;&gt;"",H506&lt;&gt;0,H506&lt;&gt;1)),"Flags devem ser 0 ou 1",IF(AND(H506=1,LEN(TRIM(I506))=0),"Preencher nome do indicante",IF(AND(H506&lt;&gt;1,I506&lt;&gt;""),"Nome sem indicação interna",IF(AND(G506=1,F506=""),"Fechamento sem conversa",IF(OR(AND(E506&lt;&gt;"",E506&lt;B506),AND(F506&lt;&gt;"",F506&lt;B506)),"Evento anterior à entrada",IF(AND(F506&lt;&gt;"",E506=""),"Conversa sem agendamento",IF(OR(E506&gt;TODAY(),F506&gt;TODAY()),"Verificar evento futuro","OK"))))))))))</f>
        <v/>
      </c>
    </row>
    <row r="507" spans="12:15">
      <c r="L507" s="5">
        <f>IF(OR(A507="",B507=""),"",B507-WEEKDAY(B507,2)+1)</f>
        <v/>
      </c>
      <c r="M507" s="5">
        <f>IF(L507="","",L507+6)</f>
        <v/>
      </c>
      <c r="N507" s="6">
        <f>IF(OR(A507="",B507=""),"",DATE(YEAR(B507),MONTH(B507),1))</f>
        <v/>
      </c>
      <c r="O507" s="7">
        <f>IF(COUNTA(A507:K507)=0,"",IF(OR(A507="",B507=""),"Preencher CPF e entrada",IF(COUNTIFS($A$12:$A$5011,A507,$B$12:$B$5011,B507)&gt;1,"CPF + dia duplicado",IF(OR(AND(G507&lt;&gt;"",G507&lt;&gt;0,G507&lt;&gt;1),AND(H507&lt;&gt;"",H507&lt;&gt;0,H507&lt;&gt;1)),"Flags devem ser 0 ou 1",IF(AND(H507=1,LEN(TRIM(I507))=0),"Preencher nome do indicante",IF(AND(H507&lt;&gt;1,I507&lt;&gt;""),"Nome sem indicação interna",IF(AND(G507=1,F507=""),"Fechamento sem conversa",IF(OR(AND(E507&lt;&gt;"",E507&lt;B507),AND(F507&lt;&gt;"",F507&lt;B507)),"Evento anterior à entrada",IF(AND(F507&lt;&gt;"",E507=""),"Conversa sem agendamento",IF(OR(E507&gt;TODAY(),F507&gt;TODAY()),"Verificar evento futuro","OK"))))))))))</f>
        <v/>
      </c>
    </row>
    <row r="508" spans="12:15">
      <c r="L508" s="5">
        <f>IF(OR(A508="",B508=""),"",B508-WEEKDAY(B508,2)+1)</f>
        <v/>
      </c>
      <c r="M508" s="5">
        <f>IF(L508="","",L508+6)</f>
        <v/>
      </c>
      <c r="N508" s="6">
        <f>IF(OR(A508="",B508=""),"",DATE(YEAR(B508),MONTH(B508),1))</f>
        <v/>
      </c>
      <c r="O508" s="7">
        <f>IF(COUNTA(A508:K508)=0,"",IF(OR(A508="",B508=""),"Preencher CPF e entrada",IF(COUNTIFS($A$12:$A$5011,A508,$B$12:$B$5011,B508)&gt;1,"CPF + dia duplicado",IF(OR(AND(G508&lt;&gt;"",G508&lt;&gt;0,G508&lt;&gt;1),AND(H508&lt;&gt;"",H508&lt;&gt;0,H508&lt;&gt;1)),"Flags devem ser 0 ou 1",IF(AND(H508=1,LEN(TRIM(I508))=0),"Preencher nome do indicante",IF(AND(H508&lt;&gt;1,I508&lt;&gt;""),"Nome sem indicação interna",IF(AND(G508=1,F508=""),"Fechamento sem conversa",IF(OR(AND(E508&lt;&gt;"",E508&lt;B508),AND(F508&lt;&gt;"",F508&lt;B508)),"Evento anterior à entrada",IF(AND(F508&lt;&gt;"",E508=""),"Conversa sem agendamento",IF(OR(E508&gt;TODAY(),F508&gt;TODAY()),"Verificar evento futuro","OK"))))))))))</f>
        <v/>
      </c>
    </row>
    <row r="509" spans="12:15">
      <c r="L509" s="5">
        <f>IF(OR(A509="",B509=""),"",B509-WEEKDAY(B509,2)+1)</f>
        <v/>
      </c>
      <c r="M509" s="5">
        <f>IF(L509="","",L509+6)</f>
        <v/>
      </c>
      <c r="N509" s="6">
        <f>IF(OR(A509="",B509=""),"",DATE(YEAR(B509),MONTH(B509),1))</f>
        <v/>
      </c>
      <c r="O509" s="7">
        <f>IF(COUNTA(A509:K509)=0,"",IF(OR(A509="",B509=""),"Preencher CPF e entrada",IF(COUNTIFS($A$12:$A$5011,A509,$B$12:$B$5011,B509)&gt;1,"CPF + dia duplicado",IF(OR(AND(G509&lt;&gt;"",G509&lt;&gt;0,G509&lt;&gt;1),AND(H509&lt;&gt;"",H509&lt;&gt;0,H509&lt;&gt;1)),"Flags devem ser 0 ou 1",IF(AND(H509=1,LEN(TRIM(I509))=0),"Preencher nome do indicante",IF(AND(H509&lt;&gt;1,I509&lt;&gt;""),"Nome sem indicação interna",IF(AND(G509=1,F509=""),"Fechamento sem conversa",IF(OR(AND(E509&lt;&gt;"",E509&lt;B509),AND(F509&lt;&gt;"",F509&lt;B509)),"Evento anterior à entrada",IF(AND(F509&lt;&gt;"",E509=""),"Conversa sem agendamento",IF(OR(E509&gt;TODAY(),F509&gt;TODAY()),"Verificar evento futuro","OK"))))))))))</f>
        <v/>
      </c>
    </row>
    <row r="510" spans="12:15">
      <c r="L510" s="5">
        <f>IF(OR(A510="",B510=""),"",B510-WEEKDAY(B510,2)+1)</f>
        <v/>
      </c>
      <c r="M510" s="5">
        <f>IF(L510="","",L510+6)</f>
        <v/>
      </c>
      <c r="N510" s="6">
        <f>IF(OR(A510="",B510=""),"",DATE(YEAR(B510),MONTH(B510),1))</f>
        <v/>
      </c>
      <c r="O510" s="7">
        <f>IF(COUNTA(A510:K510)=0,"",IF(OR(A510="",B510=""),"Preencher CPF e entrada",IF(COUNTIFS($A$12:$A$5011,A510,$B$12:$B$5011,B510)&gt;1,"CPF + dia duplicado",IF(OR(AND(G510&lt;&gt;"",G510&lt;&gt;0,G510&lt;&gt;1),AND(H510&lt;&gt;"",H510&lt;&gt;0,H510&lt;&gt;1)),"Flags devem ser 0 ou 1",IF(AND(H510=1,LEN(TRIM(I510))=0),"Preencher nome do indicante",IF(AND(H510&lt;&gt;1,I510&lt;&gt;""),"Nome sem indicação interna",IF(AND(G510=1,F510=""),"Fechamento sem conversa",IF(OR(AND(E510&lt;&gt;"",E510&lt;B510),AND(F510&lt;&gt;"",F510&lt;B510)),"Evento anterior à entrada",IF(AND(F510&lt;&gt;"",E510=""),"Conversa sem agendamento",IF(OR(E510&gt;TODAY(),F510&gt;TODAY()),"Verificar evento futuro","OK"))))))))))</f>
        <v/>
      </c>
    </row>
    <row r="511" spans="12:15">
      <c r="L511" s="5">
        <f>IF(OR(A511="",B511=""),"",B511-WEEKDAY(B511,2)+1)</f>
        <v/>
      </c>
      <c r="M511" s="5">
        <f>IF(L511="","",L511+6)</f>
        <v/>
      </c>
      <c r="N511" s="6">
        <f>IF(OR(A511="",B511=""),"",DATE(YEAR(B511),MONTH(B511),1))</f>
        <v/>
      </c>
      <c r="O511" s="7">
        <f>IF(COUNTA(A511:K511)=0,"",IF(OR(A511="",B511=""),"Preencher CPF e entrada",IF(COUNTIFS($A$12:$A$5011,A511,$B$12:$B$5011,B511)&gt;1,"CPF + dia duplicado",IF(OR(AND(G511&lt;&gt;"",G511&lt;&gt;0,G511&lt;&gt;1),AND(H511&lt;&gt;"",H511&lt;&gt;0,H511&lt;&gt;1)),"Flags devem ser 0 ou 1",IF(AND(H511=1,LEN(TRIM(I511))=0),"Preencher nome do indicante",IF(AND(H511&lt;&gt;1,I511&lt;&gt;""),"Nome sem indicação interna",IF(AND(G511=1,F511=""),"Fechamento sem conversa",IF(OR(AND(E511&lt;&gt;"",E511&lt;B511),AND(F511&lt;&gt;"",F511&lt;B511)),"Evento anterior à entrada",IF(AND(F511&lt;&gt;"",E511=""),"Conversa sem agendamento",IF(OR(E511&gt;TODAY(),F511&gt;TODAY()),"Verificar evento futuro","OK"))))))))))</f>
        <v/>
      </c>
    </row>
    <row r="512" spans="12:15">
      <c r="L512" s="5">
        <f>IF(OR(A512="",B512=""),"",B512-WEEKDAY(B512,2)+1)</f>
        <v/>
      </c>
      <c r="M512" s="5">
        <f>IF(L512="","",L512+6)</f>
        <v/>
      </c>
      <c r="N512" s="6">
        <f>IF(OR(A512="",B512=""),"",DATE(YEAR(B512),MONTH(B512),1))</f>
        <v/>
      </c>
      <c r="O512" s="7">
        <f>IF(COUNTA(A512:K512)=0,"",IF(OR(A512="",B512=""),"Preencher CPF e entrada",IF(COUNTIFS($A$12:$A$5011,A512,$B$12:$B$5011,B512)&gt;1,"CPF + dia duplicado",IF(OR(AND(G512&lt;&gt;"",G512&lt;&gt;0,G512&lt;&gt;1),AND(H512&lt;&gt;"",H512&lt;&gt;0,H512&lt;&gt;1)),"Flags devem ser 0 ou 1",IF(AND(H512=1,LEN(TRIM(I512))=0),"Preencher nome do indicante",IF(AND(H512&lt;&gt;1,I512&lt;&gt;""),"Nome sem indicação interna",IF(AND(G512=1,F512=""),"Fechamento sem conversa",IF(OR(AND(E512&lt;&gt;"",E512&lt;B512),AND(F512&lt;&gt;"",F512&lt;B512)),"Evento anterior à entrada",IF(AND(F512&lt;&gt;"",E512=""),"Conversa sem agendamento",IF(OR(E512&gt;TODAY(),F512&gt;TODAY()),"Verificar evento futuro","OK"))))))))))</f>
        <v/>
      </c>
    </row>
    <row r="513" spans="12:15">
      <c r="L513" s="5">
        <f>IF(OR(A513="",B513=""),"",B513-WEEKDAY(B513,2)+1)</f>
        <v/>
      </c>
      <c r="M513" s="5">
        <f>IF(L513="","",L513+6)</f>
        <v/>
      </c>
      <c r="N513" s="6">
        <f>IF(OR(A513="",B513=""),"",DATE(YEAR(B513),MONTH(B513),1))</f>
        <v/>
      </c>
      <c r="O513" s="7">
        <f>IF(COUNTA(A513:K513)=0,"",IF(OR(A513="",B513=""),"Preencher CPF e entrada",IF(COUNTIFS($A$12:$A$5011,A513,$B$12:$B$5011,B513)&gt;1,"CPF + dia duplicado",IF(OR(AND(G513&lt;&gt;"",G513&lt;&gt;0,G513&lt;&gt;1),AND(H513&lt;&gt;"",H513&lt;&gt;0,H513&lt;&gt;1)),"Flags devem ser 0 ou 1",IF(AND(H513=1,LEN(TRIM(I513))=0),"Preencher nome do indicante",IF(AND(H513&lt;&gt;1,I513&lt;&gt;""),"Nome sem indicação interna",IF(AND(G513=1,F513=""),"Fechamento sem conversa",IF(OR(AND(E513&lt;&gt;"",E513&lt;B513),AND(F513&lt;&gt;"",F513&lt;B513)),"Evento anterior à entrada",IF(AND(F513&lt;&gt;"",E513=""),"Conversa sem agendamento",IF(OR(E513&gt;TODAY(),F513&gt;TODAY()),"Verificar evento futuro","OK"))))))))))</f>
        <v/>
      </c>
    </row>
    <row r="514" spans="12:15">
      <c r="L514" s="5">
        <f>IF(OR(A514="",B514=""),"",B514-WEEKDAY(B514,2)+1)</f>
        <v/>
      </c>
      <c r="M514" s="5">
        <f>IF(L514="","",L514+6)</f>
        <v/>
      </c>
      <c r="N514" s="6">
        <f>IF(OR(A514="",B514=""),"",DATE(YEAR(B514),MONTH(B514),1))</f>
        <v/>
      </c>
      <c r="O514" s="7">
        <f>IF(COUNTA(A514:K514)=0,"",IF(OR(A514="",B514=""),"Preencher CPF e entrada",IF(COUNTIFS($A$12:$A$5011,A514,$B$12:$B$5011,B514)&gt;1,"CPF + dia duplicado",IF(OR(AND(G514&lt;&gt;"",G514&lt;&gt;0,G514&lt;&gt;1),AND(H514&lt;&gt;"",H514&lt;&gt;0,H514&lt;&gt;1)),"Flags devem ser 0 ou 1",IF(AND(H514=1,LEN(TRIM(I514))=0),"Preencher nome do indicante",IF(AND(H514&lt;&gt;1,I514&lt;&gt;""),"Nome sem indicação interna",IF(AND(G514=1,F514=""),"Fechamento sem conversa",IF(OR(AND(E514&lt;&gt;"",E514&lt;B514),AND(F514&lt;&gt;"",F514&lt;B514)),"Evento anterior à entrada",IF(AND(F514&lt;&gt;"",E514=""),"Conversa sem agendamento",IF(OR(E514&gt;TODAY(),F514&gt;TODAY()),"Verificar evento futuro","OK"))))))))))</f>
        <v/>
      </c>
    </row>
    <row r="515" spans="12:15">
      <c r="L515" s="5">
        <f>IF(OR(A515="",B515=""),"",B515-WEEKDAY(B515,2)+1)</f>
        <v/>
      </c>
      <c r="M515" s="5">
        <f>IF(L515="","",L515+6)</f>
        <v/>
      </c>
      <c r="N515" s="6">
        <f>IF(OR(A515="",B515=""),"",DATE(YEAR(B515),MONTH(B515),1))</f>
        <v/>
      </c>
      <c r="O515" s="7">
        <f>IF(COUNTA(A515:K515)=0,"",IF(OR(A515="",B515=""),"Preencher CPF e entrada",IF(COUNTIFS($A$12:$A$5011,A515,$B$12:$B$5011,B515)&gt;1,"CPF + dia duplicado",IF(OR(AND(G515&lt;&gt;"",G515&lt;&gt;0,G515&lt;&gt;1),AND(H515&lt;&gt;"",H515&lt;&gt;0,H515&lt;&gt;1)),"Flags devem ser 0 ou 1",IF(AND(H515=1,LEN(TRIM(I515))=0),"Preencher nome do indicante",IF(AND(H515&lt;&gt;1,I515&lt;&gt;""),"Nome sem indicação interna",IF(AND(G515=1,F515=""),"Fechamento sem conversa",IF(OR(AND(E515&lt;&gt;"",E515&lt;B515),AND(F515&lt;&gt;"",F515&lt;B515)),"Evento anterior à entrada",IF(AND(F515&lt;&gt;"",E515=""),"Conversa sem agendamento",IF(OR(E515&gt;TODAY(),F515&gt;TODAY()),"Verificar evento futuro","OK"))))))))))</f>
        <v/>
      </c>
    </row>
    <row r="516" spans="12:15">
      <c r="L516" s="5">
        <f>IF(OR(A516="",B516=""),"",B516-WEEKDAY(B516,2)+1)</f>
        <v/>
      </c>
      <c r="M516" s="5">
        <f>IF(L516="","",L516+6)</f>
        <v/>
      </c>
      <c r="N516" s="6">
        <f>IF(OR(A516="",B516=""),"",DATE(YEAR(B516),MONTH(B516),1))</f>
        <v/>
      </c>
      <c r="O516" s="7">
        <f>IF(COUNTA(A516:K516)=0,"",IF(OR(A516="",B516=""),"Preencher CPF e entrada",IF(COUNTIFS($A$12:$A$5011,A516,$B$12:$B$5011,B516)&gt;1,"CPF + dia duplicado",IF(OR(AND(G516&lt;&gt;"",G516&lt;&gt;0,G516&lt;&gt;1),AND(H516&lt;&gt;"",H516&lt;&gt;0,H516&lt;&gt;1)),"Flags devem ser 0 ou 1",IF(AND(H516=1,LEN(TRIM(I516))=0),"Preencher nome do indicante",IF(AND(H516&lt;&gt;1,I516&lt;&gt;""),"Nome sem indicação interna",IF(AND(G516=1,F516=""),"Fechamento sem conversa",IF(OR(AND(E516&lt;&gt;"",E516&lt;B516),AND(F516&lt;&gt;"",F516&lt;B516)),"Evento anterior à entrada",IF(AND(F516&lt;&gt;"",E516=""),"Conversa sem agendamento",IF(OR(E516&gt;TODAY(),F516&gt;TODAY()),"Verificar evento futuro","OK"))))))))))</f>
        <v/>
      </c>
    </row>
    <row r="517" spans="12:15">
      <c r="L517" s="5">
        <f>IF(OR(A517="",B517=""),"",B517-WEEKDAY(B517,2)+1)</f>
        <v/>
      </c>
      <c r="M517" s="5">
        <f>IF(L517="","",L517+6)</f>
        <v/>
      </c>
      <c r="N517" s="6">
        <f>IF(OR(A517="",B517=""),"",DATE(YEAR(B517),MONTH(B517),1))</f>
        <v/>
      </c>
      <c r="O517" s="7">
        <f>IF(COUNTA(A517:K517)=0,"",IF(OR(A517="",B517=""),"Preencher CPF e entrada",IF(COUNTIFS($A$12:$A$5011,A517,$B$12:$B$5011,B517)&gt;1,"CPF + dia duplicado",IF(OR(AND(G517&lt;&gt;"",G517&lt;&gt;0,G517&lt;&gt;1),AND(H517&lt;&gt;"",H517&lt;&gt;0,H517&lt;&gt;1)),"Flags devem ser 0 ou 1",IF(AND(H517=1,LEN(TRIM(I517))=0),"Preencher nome do indicante",IF(AND(H517&lt;&gt;1,I517&lt;&gt;""),"Nome sem indicação interna",IF(AND(G517=1,F517=""),"Fechamento sem conversa",IF(OR(AND(E517&lt;&gt;"",E517&lt;B517),AND(F517&lt;&gt;"",F517&lt;B517)),"Evento anterior à entrada",IF(AND(F517&lt;&gt;"",E517=""),"Conversa sem agendamento",IF(OR(E517&gt;TODAY(),F517&gt;TODAY()),"Verificar evento futuro","OK"))))))))))</f>
        <v/>
      </c>
    </row>
    <row r="518" spans="12:15">
      <c r="L518" s="5">
        <f>IF(OR(A518="",B518=""),"",B518-WEEKDAY(B518,2)+1)</f>
        <v/>
      </c>
      <c r="M518" s="5">
        <f>IF(L518="","",L518+6)</f>
        <v/>
      </c>
      <c r="N518" s="6">
        <f>IF(OR(A518="",B518=""),"",DATE(YEAR(B518),MONTH(B518),1))</f>
        <v/>
      </c>
      <c r="O518" s="7">
        <f>IF(COUNTA(A518:K518)=0,"",IF(OR(A518="",B518=""),"Preencher CPF e entrada",IF(COUNTIFS($A$12:$A$5011,A518,$B$12:$B$5011,B518)&gt;1,"CPF + dia duplicado",IF(OR(AND(G518&lt;&gt;"",G518&lt;&gt;0,G518&lt;&gt;1),AND(H518&lt;&gt;"",H518&lt;&gt;0,H518&lt;&gt;1)),"Flags devem ser 0 ou 1",IF(AND(H518=1,LEN(TRIM(I518))=0),"Preencher nome do indicante",IF(AND(H518&lt;&gt;1,I518&lt;&gt;""),"Nome sem indicação interna",IF(AND(G518=1,F518=""),"Fechamento sem conversa",IF(OR(AND(E518&lt;&gt;"",E518&lt;B518),AND(F518&lt;&gt;"",F518&lt;B518)),"Evento anterior à entrada",IF(AND(F518&lt;&gt;"",E518=""),"Conversa sem agendamento",IF(OR(E518&gt;TODAY(),F518&gt;TODAY()),"Verificar evento futuro","OK"))))))))))</f>
        <v/>
      </c>
    </row>
    <row r="519" spans="12:15">
      <c r="L519" s="5">
        <f>IF(OR(A519="",B519=""),"",B519-WEEKDAY(B519,2)+1)</f>
        <v/>
      </c>
      <c r="M519" s="5">
        <f>IF(L519="","",L519+6)</f>
        <v/>
      </c>
      <c r="N519" s="6">
        <f>IF(OR(A519="",B519=""),"",DATE(YEAR(B519),MONTH(B519),1))</f>
        <v/>
      </c>
      <c r="O519" s="7">
        <f>IF(COUNTA(A519:K519)=0,"",IF(OR(A519="",B519=""),"Preencher CPF e entrada",IF(COUNTIFS($A$12:$A$5011,A519,$B$12:$B$5011,B519)&gt;1,"CPF + dia duplicado",IF(OR(AND(G519&lt;&gt;"",G519&lt;&gt;0,G519&lt;&gt;1),AND(H519&lt;&gt;"",H519&lt;&gt;0,H519&lt;&gt;1)),"Flags devem ser 0 ou 1",IF(AND(H519=1,LEN(TRIM(I519))=0),"Preencher nome do indicante",IF(AND(H519&lt;&gt;1,I519&lt;&gt;""),"Nome sem indicação interna",IF(AND(G519=1,F519=""),"Fechamento sem conversa",IF(OR(AND(E519&lt;&gt;"",E519&lt;B519),AND(F519&lt;&gt;"",F519&lt;B519)),"Evento anterior à entrada",IF(AND(F519&lt;&gt;"",E519=""),"Conversa sem agendamento",IF(OR(E519&gt;TODAY(),F519&gt;TODAY()),"Verificar evento futuro","OK"))))))))))</f>
        <v/>
      </c>
    </row>
    <row r="520" spans="12:15">
      <c r="L520" s="5">
        <f>IF(OR(A520="",B520=""),"",B520-WEEKDAY(B520,2)+1)</f>
        <v/>
      </c>
      <c r="M520" s="5">
        <f>IF(L520="","",L520+6)</f>
        <v/>
      </c>
      <c r="N520" s="6">
        <f>IF(OR(A520="",B520=""),"",DATE(YEAR(B520),MONTH(B520),1))</f>
        <v/>
      </c>
      <c r="O520" s="7">
        <f>IF(COUNTA(A520:K520)=0,"",IF(OR(A520="",B520=""),"Preencher CPF e entrada",IF(COUNTIFS($A$12:$A$5011,A520,$B$12:$B$5011,B520)&gt;1,"CPF + dia duplicado",IF(OR(AND(G520&lt;&gt;"",G520&lt;&gt;0,G520&lt;&gt;1),AND(H520&lt;&gt;"",H520&lt;&gt;0,H520&lt;&gt;1)),"Flags devem ser 0 ou 1",IF(AND(H520=1,LEN(TRIM(I520))=0),"Preencher nome do indicante",IF(AND(H520&lt;&gt;1,I520&lt;&gt;""),"Nome sem indicação interna",IF(AND(G520=1,F520=""),"Fechamento sem conversa",IF(OR(AND(E520&lt;&gt;"",E520&lt;B520),AND(F520&lt;&gt;"",F520&lt;B520)),"Evento anterior à entrada",IF(AND(F520&lt;&gt;"",E520=""),"Conversa sem agendamento",IF(OR(E520&gt;TODAY(),F520&gt;TODAY()),"Verificar evento futuro","OK"))))))))))</f>
        <v/>
      </c>
    </row>
    <row r="521" spans="12:15">
      <c r="L521" s="5">
        <f>IF(OR(A521="",B521=""),"",B521-WEEKDAY(B521,2)+1)</f>
        <v/>
      </c>
      <c r="M521" s="5">
        <f>IF(L521="","",L521+6)</f>
        <v/>
      </c>
      <c r="N521" s="6">
        <f>IF(OR(A521="",B521=""),"",DATE(YEAR(B521),MONTH(B521),1))</f>
        <v/>
      </c>
      <c r="O521" s="7">
        <f>IF(COUNTA(A521:K521)=0,"",IF(OR(A521="",B521=""),"Preencher CPF e entrada",IF(COUNTIFS($A$12:$A$5011,A521,$B$12:$B$5011,B521)&gt;1,"CPF + dia duplicado",IF(OR(AND(G521&lt;&gt;"",G521&lt;&gt;0,G521&lt;&gt;1),AND(H521&lt;&gt;"",H521&lt;&gt;0,H521&lt;&gt;1)),"Flags devem ser 0 ou 1",IF(AND(H521=1,LEN(TRIM(I521))=0),"Preencher nome do indicante",IF(AND(H521&lt;&gt;1,I521&lt;&gt;""),"Nome sem indicação interna",IF(AND(G521=1,F521=""),"Fechamento sem conversa",IF(OR(AND(E521&lt;&gt;"",E521&lt;B521),AND(F521&lt;&gt;"",F521&lt;B521)),"Evento anterior à entrada",IF(AND(F521&lt;&gt;"",E521=""),"Conversa sem agendamento",IF(OR(E521&gt;TODAY(),F521&gt;TODAY()),"Verificar evento futuro","OK"))))))))))</f>
        <v/>
      </c>
    </row>
    <row r="522" spans="12:15">
      <c r="L522" s="5">
        <f>IF(OR(A522="",B522=""),"",B522-WEEKDAY(B522,2)+1)</f>
        <v/>
      </c>
      <c r="M522" s="5">
        <f>IF(L522="","",L522+6)</f>
        <v/>
      </c>
      <c r="N522" s="6">
        <f>IF(OR(A522="",B522=""),"",DATE(YEAR(B522),MONTH(B522),1))</f>
        <v/>
      </c>
      <c r="O522" s="7">
        <f>IF(COUNTA(A522:K522)=0,"",IF(OR(A522="",B522=""),"Preencher CPF e entrada",IF(COUNTIFS($A$12:$A$5011,A522,$B$12:$B$5011,B522)&gt;1,"CPF + dia duplicado",IF(OR(AND(G522&lt;&gt;"",G522&lt;&gt;0,G522&lt;&gt;1),AND(H522&lt;&gt;"",H522&lt;&gt;0,H522&lt;&gt;1)),"Flags devem ser 0 ou 1",IF(AND(H522=1,LEN(TRIM(I522))=0),"Preencher nome do indicante",IF(AND(H522&lt;&gt;1,I522&lt;&gt;""),"Nome sem indicação interna",IF(AND(G522=1,F522=""),"Fechamento sem conversa",IF(OR(AND(E522&lt;&gt;"",E522&lt;B522),AND(F522&lt;&gt;"",F522&lt;B522)),"Evento anterior à entrada",IF(AND(F522&lt;&gt;"",E522=""),"Conversa sem agendamento",IF(OR(E522&gt;TODAY(),F522&gt;TODAY()),"Verificar evento futuro","OK"))))))))))</f>
        <v/>
      </c>
    </row>
    <row r="523" spans="12:15">
      <c r="L523" s="5">
        <f>IF(OR(A523="",B523=""),"",B523-WEEKDAY(B523,2)+1)</f>
        <v/>
      </c>
      <c r="M523" s="5">
        <f>IF(L523="","",L523+6)</f>
        <v/>
      </c>
      <c r="N523" s="6">
        <f>IF(OR(A523="",B523=""),"",DATE(YEAR(B523),MONTH(B523),1))</f>
        <v/>
      </c>
      <c r="O523" s="7">
        <f>IF(COUNTA(A523:K523)=0,"",IF(OR(A523="",B523=""),"Preencher CPF e entrada",IF(COUNTIFS($A$12:$A$5011,A523,$B$12:$B$5011,B523)&gt;1,"CPF + dia duplicado",IF(OR(AND(G523&lt;&gt;"",G523&lt;&gt;0,G523&lt;&gt;1),AND(H523&lt;&gt;"",H523&lt;&gt;0,H523&lt;&gt;1)),"Flags devem ser 0 ou 1",IF(AND(H523=1,LEN(TRIM(I523))=0),"Preencher nome do indicante",IF(AND(H523&lt;&gt;1,I523&lt;&gt;""),"Nome sem indicação interna",IF(AND(G523=1,F523=""),"Fechamento sem conversa",IF(OR(AND(E523&lt;&gt;"",E523&lt;B523),AND(F523&lt;&gt;"",F523&lt;B523)),"Evento anterior à entrada",IF(AND(F523&lt;&gt;"",E523=""),"Conversa sem agendamento",IF(OR(E523&gt;TODAY(),F523&gt;TODAY()),"Verificar evento futuro","OK"))))))))))</f>
        <v/>
      </c>
    </row>
    <row r="524" spans="12:15">
      <c r="L524" s="5">
        <f>IF(OR(A524="",B524=""),"",B524-WEEKDAY(B524,2)+1)</f>
        <v/>
      </c>
      <c r="M524" s="5">
        <f>IF(L524="","",L524+6)</f>
        <v/>
      </c>
      <c r="N524" s="6">
        <f>IF(OR(A524="",B524=""),"",DATE(YEAR(B524),MONTH(B524),1))</f>
        <v/>
      </c>
      <c r="O524" s="7">
        <f>IF(COUNTA(A524:K524)=0,"",IF(OR(A524="",B524=""),"Preencher CPF e entrada",IF(COUNTIFS($A$12:$A$5011,A524,$B$12:$B$5011,B524)&gt;1,"CPF + dia duplicado",IF(OR(AND(G524&lt;&gt;"",G524&lt;&gt;0,G524&lt;&gt;1),AND(H524&lt;&gt;"",H524&lt;&gt;0,H524&lt;&gt;1)),"Flags devem ser 0 ou 1",IF(AND(H524=1,LEN(TRIM(I524))=0),"Preencher nome do indicante",IF(AND(H524&lt;&gt;1,I524&lt;&gt;""),"Nome sem indicação interna",IF(AND(G524=1,F524=""),"Fechamento sem conversa",IF(OR(AND(E524&lt;&gt;"",E524&lt;B524),AND(F524&lt;&gt;"",F524&lt;B524)),"Evento anterior à entrada",IF(AND(F524&lt;&gt;"",E524=""),"Conversa sem agendamento",IF(OR(E524&gt;TODAY(),F524&gt;TODAY()),"Verificar evento futuro","OK"))))))))))</f>
        <v/>
      </c>
    </row>
    <row r="525" spans="12:15">
      <c r="L525" s="5">
        <f>IF(OR(A525="",B525=""),"",B525-WEEKDAY(B525,2)+1)</f>
        <v/>
      </c>
      <c r="M525" s="5">
        <f>IF(L525="","",L525+6)</f>
        <v/>
      </c>
      <c r="N525" s="6">
        <f>IF(OR(A525="",B525=""),"",DATE(YEAR(B525),MONTH(B525),1))</f>
        <v/>
      </c>
      <c r="O525" s="7">
        <f>IF(COUNTA(A525:K525)=0,"",IF(OR(A525="",B525=""),"Preencher CPF e entrada",IF(COUNTIFS($A$12:$A$5011,A525,$B$12:$B$5011,B525)&gt;1,"CPF + dia duplicado",IF(OR(AND(G525&lt;&gt;"",G525&lt;&gt;0,G525&lt;&gt;1),AND(H525&lt;&gt;"",H525&lt;&gt;0,H525&lt;&gt;1)),"Flags devem ser 0 ou 1",IF(AND(H525=1,LEN(TRIM(I525))=0),"Preencher nome do indicante",IF(AND(H525&lt;&gt;1,I525&lt;&gt;""),"Nome sem indicação interna",IF(AND(G525=1,F525=""),"Fechamento sem conversa",IF(OR(AND(E525&lt;&gt;"",E525&lt;B525),AND(F525&lt;&gt;"",F525&lt;B525)),"Evento anterior à entrada",IF(AND(F525&lt;&gt;"",E525=""),"Conversa sem agendamento",IF(OR(E525&gt;TODAY(),F525&gt;TODAY()),"Verificar evento futuro","OK"))))))))))</f>
        <v/>
      </c>
    </row>
    <row r="526" spans="12:15">
      <c r="L526" s="5">
        <f>IF(OR(A526="",B526=""),"",B526-WEEKDAY(B526,2)+1)</f>
        <v/>
      </c>
      <c r="M526" s="5">
        <f>IF(L526="","",L526+6)</f>
        <v/>
      </c>
      <c r="N526" s="6">
        <f>IF(OR(A526="",B526=""),"",DATE(YEAR(B526),MONTH(B526),1))</f>
        <v/>
      </c>
      <c r="O526" s="7">
        <f>IF(COUNTA(A526:K526)=0,"",IF(OR(A526="",B526=""),"Preencher CPF e entrada",IF(COUNTIFS($A$12:$A$5011,A526,$B$12:$B$5011,B526)&gt;1,"CPF + dia duplicado",IF(OR(AND(G526&lt;&gt;"",G526&lt;&gt;0,G526&lt;&gt;1),AND(H526&lt;&gt;"",H526&lt;&gt;0,H526&lt;&gt;1)),"Flags devem ser 0 ou 1",IF(AND(H526=1,LEN(TRIM(I526))=0),"Preencher nome do indicante",IF(AND(H526&lt;&gt;1,I526&lt;&gt;""),"Nome sem indicação interna",IF(AND(G526=1,F526=""),"Fechamento sem conversa",IF(OR(AND(E526&lt;&gt;"",E526&lt;B526),AND(F526&lt;&gt;"",F526&lt;B526)),"Evento anterior à entrada",IF(AND(F526&lt;&gt;"",E526=""),"Conversa sem agendamento",IF(OR(E526&gt;TODAY(),F526&gt;TODAY()),"Verificar evento futuro","OK"))))))))))</f>
        <v/>
      </c>
    </row>
    <row r="527" spans="12:15">
      <c r="L527" s="5">
        <f>IF(OR(A527="",B527=""),"",B527-WEEKDAY(B527,2)+1)</f>
        <v/>
      </c>
      <c r="M527" s="5">
        <f>IF(L527="","",L527+6)</f>
        <v/>
      </c>
      <c r="N527" s="6">
        <f>IF(OR(A527="",B527=""),"",DATE(YEAR(B527),MONTH(B527),1))</f>
        <v/>
      </c>
      <c r="O527" s="7">
        <f>IF(COUNTA(A527:K527)=0,"",IF(OR(A527="",B527=""),"Preencher CPF e entrada",IF(COUNTIFS($A$12:$A$5011,A527,$B$12:$B$5011,B527)&gt;1,"CPF + dia duplicado",IF(OR(AND(G527&lt;&gt;"",G527&lt;&gt;0,G527&lt;&gt;1),AND(H527&lt;&gt;"",H527&lt;&gt;0,H527&lt;&gt;1)),"Flags devem ser 0 ou 1",IF(AND(H527=1,LEN(TRIM(I527))=0),"Preencher nome do indicante",IF(AND(H527&lt;&gt;1,I527&lt;&gt;""),"Nome sem indicação interna",IF(AND(G527=1,F527=""),"Fechamento sem conversa",IF(OR(AND(E527&lt;&gt;"",E527&lt;B527),AND(F527&lt;&gt;"",F527&lt;B527)),"Evento anterior à entrada",IF(AND(F527&lt;&gt;"",E527=""),"Conversa sem agendamento",IF(OR(E527&gt;TODAY(),F527&gt;TODAY()),"Verificar evento futuro","OK"))))))))))</f>
        <v/>
      </c>
    </row>
    <row r="528" spans="12:15">
      <c r="L528" s="5">
        <f>IF(OR(A528="",B528=""),"",B528-WEEKDAY(B528,2)+1)</f>
        <v/>
      </c>
      <c r="M528" s="5">
        <f>IF(L528="","",L528+6)</f>
        <v/>
      </c>
      <c r="N528" s="6">
        <f>IF(OR(A528="",B528=""),"",DATE(YEAR(B528),MONTH(B528),1))</f>
        <v/>
      </c>
      <c r="O528" s="7">
        <f>IF(COUNTA(A528:K528)=0,"",IF(OR(A528="",B528=""),"Preencher CPF e entrada",IF(COUNTIFS($A$12:$A$5011,A528,$B$12:$B$5011,B528)&gt;1,"CPF + dia duplicado",IF(OR(AND(G528&lt;&gt;"",G528&lt;&gt;0,G528&lt;&gt;1),AND(H528&lt;&gt;"",H528&lt;&gt;0,H528&lt;&gt;1)),"Flags devem ser 0 ou 1",IF(AND(H528=1,LEN(TRIM(I528))=0),"Preencher nome do indicante",IF(AND(H528&lt;&gt;1,I528&lt;&gt;""),"Nome sem indicação interna",IF(AND(G528=1,F528=""),"Fechamento sem conversa",IF(OR(AND(E528&lt;&gt;"",E528&lt;B528),AND(F528&lt;&gt;"",F528&lt;B528)),"Evento anterior à entrada",IF(AND(F528&lt;&gt;"",E528=""),"Conversa sem agendamento",IF(OR(E528&gt;TODAY(),F528&gt;TODAY()),"Verificar evento futuro","OK"))))))))))</f>
        <v/>
      </c>
    </row>
    <row r="529" spans="12:15">
      <c r="L529" s="5">
        <f>IF(OR(A529="",B529=""),"",B529-WEEKDAY(B529,2)+1)</f>
        <v/>
      </c>
      <c r="M529" s="5">
        <f>IF(L529="","",L529+6)</f>
        <v/>
      </c>
      <c r="N529" s="6">
        <f>IF(OR(A529="",B529=""),"",DATE(YEAR(B529),MONTH(B529),1))</f>
        <v/>
      </c>
      <c r="O529" s="7">
        <f>IF(COUNTA(A529:K529)=0,"",IF(OR(A529="",B529=""),"Preencher CPF e entrada",IF(COUNTIFS($A$12:$A$5011,A529,$B$12:$B$5011,B529)&gt;1,"CPF + dia duplicado",IF(OR(AND(G529&lt;&gt;"",G529&lt;&gt;0,G529&lt;&gt;1),AND(H529&lt;&gt;"",H529&lt;&gt;0,H529&lt;&gt;1)),"Flags devem ser 0 ou 1",IF(AND(H529=1,LEN(TRIM(I529))=0),"Preencher nome do indicante",IF(AND(H529&lt;&gt;1,I529&lt;&gt;""),"Nome sem indicação interna",IF(AND(G529=1,F529=""),"Fechamento sem conversa",IF(OR(AND(E529&lt;&gt;"",E529&lt;B529),AND(F529&lt;&gt;"",F529&lt;B529)),"Evento anterior à entrada",IF(AND(F529&lt;&gt;"",E529=""),"Conversa sem agendamento",IF(OR(E529&gt;TODAY(),F529&gt;TODAY()),"Verificar evento futuro","OK"))))))))))</f>
        <v/>
      </c>
    </row>
    <row r="530" spans="12:15">
      <c r="L530" s="5">
        <f>IF(OR(A530="",B530=""),"",B530-WEEKDAY(B530,2)+1)</f>
        <v/>
      </c>
      <c r="M530" s="5">
        <f>IF(L530="","",L530+6)</f>
        <v/>
      </c>
      <c r="N530" s="6">
        <f>IF(OR(A530="",B530=""),"",DATE(YEAR(B530),MONTH(B530),1))</f>
        <v/>
      </c>
      <c r="O530" s="7">
        <f>IF(COUNTA(A530:K530)=0,"",IF(OR(A530="",B530=""),"Preencher CPF e entrada",IF(COUNTIFS($A$12:$A$5011,A530,$B$12:$B$5011,B530)&gt;1,"CPF + dia duplicado",IF(OR(AND(G530&lt;&gt;"",G530&lt;&gt;0,G530&lt;&gt;1),AND(H530&lt;&gt;"",H530&lt;&gt;0,H530&lt;&gt;1)),"Flags devem ser 0 ou 1",IF(AND(H530=1,LEN(TRIM(I530))=0),"Preencher nome do indicante",IF(AND(H530&lt;&gt;1,I530&lt;&gt;""),"Nome sem indicação interna",IF(AND(G530=1,F530=""),"Fechamento sem conversa",IF(OR(AND(E530&lt;&gt;"",E530&lt;B530),AND(F530&lt;&gt;"",F530&lt;B530)),"Evento anterior à entrada",IF(AND(F530&lt;&gt;"",E530=""),"Conversa sem agendamento",IF(OR(E530&gt;TODAY(),F530&gt;TODAY()),"Verificar evento futuro","OK"))))))))))</f>
        <v/>
      </c>
    </row>
    <row r="531" spans="12:15">
      <c r="L531" s="5">
        <f>IF(OR(A531="",B531=""),"",B531-WEEKDAY(B531,2)+1)</f>
        <v/>
      </c>
      <c r="M531" s="5">
        <f>IF(L531="","",L531+6)</f>
        <v/>
      </c>
      <c r="N531" s="6">
        <f>IF(OR(A531="",B531=""),"",DATE(YEAR(B531),MONTH(B531),1))</f>
        <v/>
      </c>
      <c r="O531" s="7">
        <f>IF(COUNTA(A531:K531)=0,"",IF(OR(A531="",B531=""),"Preencher CPF e entrada",IF(COUNTIFS($A$12:$A$5011,A531,$B$12:$B$5011,B531)&gt;1,"CPF + dia duplicado",IF(OR(AND(G531&lt;&gt;"",G531&lt;&gt;0,G531&lt;&gt;1),AND(H531&lt;&gt;"",H531&lt;&gt;0,H531&lt;&gt;1)),"Flags devem ser 0 ou 1",IF(AND(H531=1,LEN(TRIM(I531))=0),"Preencher nome do indicante",IF(AND(H531&lt;&gt;1,I531&lt;&gt;""),"Nome sem indicação interna",IF(AND(G531=1,F531=""),"Fechamento sem conversa",IF(OR(AND(E531&lt;&gt;"",E531&lt;B531),AND(F531&lt;&gt;"",F531&lt;B531)),"Evento anterior à entrada",IF(AND(F531&lt;&gt;"",E531=""),"Conversa sem agendamento",IF(OR(E531&gt;TODAY(),F531&gt;TODAY()),"Verificar evento futuro","OK"))))))))))</f>
        <v/>
      </c>
    </row>
    <row r="532" spans="12:15">
      <c r="L532" s="5">
        <f>IF(OR(A532="",B532=""),"",B532-WEEKDAY(B532,2)+1)</f>
        <v/>
      </c>
      <c r="M532" s="5">
        <f>IF(L532="","",L532+6)</f>
        <v/>
      </c>
      <c r="N532" s="6">
        <f>IF(OR(A532="",B532=""),"",DATE(YEAR(B532),MONTH(B532),1))</f>
        <v/>
      </c>
      <c r="O532" s="7">
        <f>IF(COUNTA(A532:K532)=0,"",IF(OR(A532="",B532=""),"Preencher CPF e entrada",IF(COUNTIFS($A$12:$A$5011,A532,$B$12:$B$5011,B532)&gt;1,"CPF + dia duplicado",IF(OR(AND(G532&lt;&gt;"",G532&lt;&gt;0,G532&lt;&gt;1),AND(H532&lt;&gt;"",H532&lt;&gt;0,H532&lt;&gt;1)),"Flags devem ser 0 ou 1",IF(AND(H532=1,LEN(TRIM(I532))=0),"Preencher nome do indicante",IF(AND(H532&lt;&gt;1,I532&lt;&gt;""),"Nome sem indicação interna",IF(AND(G532=1,F532=""),"Fechamento sem conversa",IF(OR(AND(E532&lt;&gt;"",E532&lt;B532),AND(F532&lt;&gt;"",F532&lt;B532)),"Evento anterior à entrada",IF(AND(F532&lt;&gt;"",E532=""),"Conversa sem agendamento",IF(OR(E532&gt;TODAY(),F532&gt;TODAY()),"Verificar evento futuro","OK"))))))))))</f>
        <v/>
      </c>
    </row>
    <row r="533" spans="12:15">
      <c r="L533" s="5">
        <f>IF(OR(A533="",B533=""),"",B533-WEEKDAY(B533,2)+1)</f>
        <v/>
      </c>
      <c r="M533" s="5">
        <f>IF(L533="","",L533+6)</f>
        <v/>
      </c>
      <c r="N533" s="6">
        <f>IF(OR(A533="",B533=""),"",DATE(YEAR(B533),MONTH(B533),1))</f>
        <v/>
      </c>
      <c r="O533" s="7">
        <f>IF(COUNTA(A533:K533)=0,"",IF(OR(A533="",B533=""),"Preencher CPF e entrada",IF(COUNTIFS($A$12:$A$5011,A533,$B$12:$B$5011,B533)&gt;1,"CPF + dia duplicado",IF(OR(AND(G533&lt;&gt;"",G533&lt;&gt;0,G533&lt;&gt;1),AND(H533&lt;&gt;"",H533&lt;&gt;0,H533&lt;&gt;1)),"Flags devem ser 0 ou 1",IF(AND(H533=1,LEN(TRIM(I533))=0),"Preencher nome do indicante",IF(AND(H533&lt;&gt;1,I533&lt;&gt;""),"Nome sem indicação interna",IF(AND(G533=1,F533=""),"Fechamento sem conversa",IF(OR(AND(E533&lt;&gt;"",E533&lt;B533),AND(F533&lt;&gt;"",F533&lt;B533)),"Evento anterior à entrada",IF(AND(F533&lt;&gt;"",E533=""),"Conversa sem agendamento",IF(OR(E533&gt;TODAY(),F533&gt;TODAY()),"Verificar evento futuro","OK"))))))))))</f>
        <v/>
      </c>
    </row>
    <row r="534" spans="12:15">
      <c r="L534" s="5">
        <f>IF(OR(A534="",B534=""),"",B534-WEEKDAY(B534,2)+1)</f>
        <v/>
      </c>
      <c r="M534" s="5">
        <f>IF(L534="","",L534+6)</f>
        <v/>
      </c>
      <c r="N534" s="6">
        <f>IF(OR(A534="",B534=""),"",DATE(YEAR(B534),MONTH(B534),1))</f>
        <v/>
      </c>
      <c r="O534" s="7">
        <f>IF(COUNTA(A534:K534)=0,"",IF(OR(A534="",B534=""),"Preencher CPF e entrada",IF(COUNTIFS($A$12:$A$5011,A534,$B$12:$B$5011,B534)&gt;1,"CPF + dia duplicado",IF(OR(AND(G534&lt;&gt;"",G534&lt;&gt;0,G534&lt;&gt;1),AND(H534&lt;&gt;"",H534&lt;&gt;0,H534&lt;&gt;1)),"Flags devem ser 0 ou 1",IF(AND(H534=1,LEN(TRIM(I534))=0),"Preencher nome do indicante",IF(AND(H534&lt;&gt;1,I534&lt;&gt;""),"Nome sem indicação interna",IF(AND(G534=1,F534=""),"Fechamento sem conversa",IF(OR(AND(E534&lt;&gt;"",E534&lt;B534),AND(F534&lt;&gt;"",F534&lt;B534)),"Evento anterior à entrada",IF(AND(F534&lt;&gt;"",E534=""),"Conversa sem agendamento",IF(OR(E534&gt;TODAY(),F534&gt;TODAY()),"Verificar evento futuro","OK"))))))))))</f>
        <v/>
      </c>
    </row>
    <row r="535" spans="12:15">
      <c r="L535" s="5">
        <f>IF(OR(A535="",B535=""),"",B535-WEEKDAY(B535,2)+1)</f>
        <v/>
      </c>
      <c r="M535" s="5">
        <f>IF(L535="","",L535+6)</f>
        <v/>
      </c>
      <c r="N535" s="6">
        <f>IF(OR(A535="",B535=""),"",DATE(YEAR(B535),MONTH(B535),1))</f>
        <v/>
      </c>
      <c r="O535" s="7">
        <f>IF(COUNTA(A535:K535)=0,"",IF(OR(A535="",B535=""),"Preencher CPF e entrada",IF(COUNTIFS($A$12:$A$5011,A535,$B$12:$B$5011,B535)&gt;1,"CPF + dia duplicado",IF(OR(AND(G535&lt;&gt;"",G535&lt;&gt;0,G535&lt;&gt;1),AND(H535&lt;&gt;"",H535&lt;&gt;0,H535&lt;&gt;1)),"Flags devem ser 0 ou 1",IF(AND(H535=1,LEN(TRIM(I535))=0),"Preencher nome do indicante",IF(AND(H535&lt;&gt;1,I535&lt;&gt;""),"Nome sem indicação interna",IF(AND(G535=1,F535=""),"Fechamento sem conversa",IF(OR(AND(E535&lt;&gt;"",E535&lt;B535),AND(F535&lt;&gt;"",F535&lt;B535)),"Evento anterior à entrada",IF(AND(F535&lt;&gt;"",E535=""),"Conversa sem agendamento",IF(OR(E535&gt;TODAY(),F535&gt;TODAY()),"Verificar evento futuro","OK"))))))))))</f>
        <v/>
      </c>
    </row>
    <row r="536" spans="12:15">
      <c r="L536" s="5">
        <f>IF(OR(A536="",B536=""),"",B536-WEEKDAY(B536,2)+1)</f>
        <v/>
      </c>
      <c r="M536" s="5">
        <f>IF(L536="","",L536+6)</f>
        <v/>
      </c>
      <c r="N536" s="6">
        <f>IF(OR(A536="",B536=""),"",DATE(YEAR(B536),MONTH(B536),1))</f>
        <v/>
      </c>
      <c r="O536" s="7">
        <f>IF(COUNTA(A536:K536)=0,"",IF(OR(A536="",B536=""),"Preencher CPF e entrada",IF(COUNTIFS($A$12:$A$5011,A536,$B$12:$B$5011,B536)&gt;1,"CPF + dia duplicado",IF(OR(AND(G536&lt;&gt;"",G536&lt;&gt;0,G536&lt;&gt;1),AND(H536&lt;&gt;"",H536&lt;&gt;0,H536&lt;&gt;1)),"Flags devem ser 0 ou 1",IF(AND(H536=1,LEN(TRIM(I536))=0),"Preencher nome do indicante",IF(AND(H536&lt;&gt;1,I536&lt;&gt;""),"Nome sem indicação interna",IF(AND(G536=1,F536=""),"Fechamento sem conversa",IF(OR(AND(E536&lt;&gt;"",E536&lt;B536),AND(F536&lt;&gt;"",F536&lt;B536)),"Evento anterior à entrada",IF(AND(F536&lt;&gt;"",E536=""),"Conversa sem agendamento",IF(OR(E536&gt;TODAY(),F536&gt;TODAY()),"Verificar evento futuro","OK"))))))))))</f>
        <v/>
      </c>
    </row>
    <row r="537" spans="12:15">
      <c r="L537" s="5">
        <f>IF(OR(A537="",B537=""),"",B537-WEEKDAY(B537,2)+1)</f>
        <v/>
      </c>
      <c r="M537" s="5">
        <f>IF(L537="","",L537+6)</f>
        <v/>
      </c>
      <c r="N537" s="6">
        <f>IF(OR(A537="",B537=""),"",DATE(YEAR(B537),MONTH(B537),1))</f>
        <v/>
      </c>
      <c r="O537" s="7">
        <f>IF(COUNTA(A537:K537)=0,"",IF(OR(A537="",B537=""),"Preencher CPF e entrada",IF(COUNTIFS($A$12:$A$5011,A537,$B$12:$B$5011,B537)&gt;1,"CPF + dia duplicado",IF(OR(AND(G537&lt;&gt;"",G537&lt;&gt;0,G537&lt;&gt;1),AND(H537&lt;&gt;"",H537&lt;&gt;0,H537&lt;&gt;1)),"Flags devem ser 0 ou 1",IF(AND(H537=1,LEN(TRIM(I537))=0),"Preencher nome do indicante",IF(AND(H537&lt;&gt;1,I537&lt;&gt;""),"Nome sem indicação interna",IF(AND(G537=1,F537=""),"Fechamento sem conversa",IF(OR(AND(E537&lt;&gt;"",E537&lt;B537),AND(F537&lt;&gt;"",F537&lt;B537)),"Evento anterior à entrada",IF(AND(F537&lt;&gt;"",E537=""),"Conversa sem agendamento",IF(OR(E537&gt;TODAY(),F537&gt;TODAY()),"Verificar evento futuro","OK"))))))))))</f>
        <v/>
      </c>
    </row>
    <row r="538" spans="12:15">
      <c r="L538" s="5">
        <f>IF(OR(A538="",B538=""),"",B538-WEEKDAY(B538,2)+1)</f>
        <v/>
      </c>
      <c r="M538" s="5">
        <f>IF(L538="","",L538+6)</f>
        <v/>
      </c>
      <c r="N538" s="6">
        <f>IF(OR(A538="",B538=""),"",DATE(YEAR(B538),MONTH(B538),1))</f>
        <v/>
      </c>
      <c r="O538" s="7">
        <f>IF(COUNTA(A538:K538)=0,"",IF(OR(A538="",B538=""),"Preencher CPF e entrada",IF(COUNTIFS($A$12:$A$5011,A538,$B$12:$B$5011,B538)&gt;1,"CPF + dia duplicado",IF(OR(AND(G538&lt;&gt;"",G538&lt;&gt;0,G538&lt;&gt;1),AND(H538&lt;&gt;"",H538&lt;&gt;0,H538&lt;&gt;1)),"Flags devem ser 0 ou 1",IF(AND(H538=1,LEN(TRIM(I538))=0),"Preencher nome do indicante",IF(AND(H538&lt;&gt;1,I538&lt;&gt;""),"Nome sem indicação interna",IF(AND(G538=1,F538=""),"Fechamento sem conversa",IF(OR(AND(E538&lt;&gt;"",E538&lt;B538),AND(F538&lt;&gt;"",F538&lt;B538)),"Evento anterior à entrada",IF(AND(F538&lt;&gt;"",E538=""),"Conversa sem agendamento",IF(OR(E538&gt;TODAY(),F538&gt;TODAY()),"Verificar evento futuro","OK"))))))))))</f>
        <v/>
      </c>
    </row>
    <row r="539" spans="12:15">
      <c r="L539" s="5">
        <f>IF(OR(A539="",B539=""),"",B539-WEEKDAY(B539,2)+1)</f>
        <v/>
      </c>
      <c r="M539" s="5">
        <f>IF(L539="","",L539+6)</f>
        <v/>
      </c>
      <c r="N539" s="6">
        <f>IF(OR(A539="",B539=""),"",DATE(YEAR(B539),MONTH(B539),1))</f>
        <v/>
      </c>
      <c r="O539" s="7">
        <f>IF(COUNTA(A539:K539)=0,"",IF(OR(A539="",B539=""),"Preencher CPF e entrada",IF(COUNTIFS($A$12:$A$5011,A539,$B$12:$B$5011,B539)&gt;1,"CPF + dia duplicado",IF(OR(AND(G539&lt;&gt;"",G539&lt;&gt;0,G539&lt;&gt;1),AND(H539&lt;&gt;"",H539&lt;&gt;0,H539&lt;&gt;1)),"Flags devem ser 0 ou 1",IF(AND(H539=1,LEN(TRIM(I539))=0),"Preencher nome do indicante",IF(AND(H539&lt;&gt;1,I539&lt;&gt;""),"Nome sem indicação interna",IF(AND(G539=1,F539=""),"Fechamento sem conversa",IF(OR(AND(E539&lt;&gt;"",E539&lt;B539),AND(F539&lt;&gt;"",F539&lt;B539)),"Evento anterior à entrada",IF(AND(F539&lt;&gt;"",E539=""),"Conversa sem agendamento",IF(OR(E539&gt;TODAY(),F539&gt;TODAY()),"Verificar evento futuro","OK"))))))))))</f>
        <v/>
      </c>
    </row>
    <row r="540" spans="12:15">
      <c r="L540" s="5">
        <f>IF(OR(A540="",B540=""),"",B540-WEEKDAY(B540,2)+1)</f>
        <v/>
      </c>
      <c r="M540" s="5">
        <f>IF(L540="","",L540+6)</f>
        <v/>
      </c>
      <c r="N540" s="6">
        <f>IF(OR(A540="",B540=""),"",DATE(YEAR(B540),MONTH(B540),1))</f>
        <v/>
      </c>
      <c r="O540" s="7">
        <f>IF(COUNTA(A540:K540)=0,"",IF(OR(A540="",B540=""),"Preencher CPF e entrada",IF(COUNTIFS($A$12:$A$5011,A540,$B$12:$B$5011,B540)&gt;1,"CPF + dia duplicado",IF(OR(AND(G540&lt;&gt;"",G540&lt;&gt;0,G540&lt;&gt;1),AND(H540&lt;&gt;"",H540&lt;&gt;0,H540&lt;&gt;1)),"Flags devem ser 0 ou 1",IF(AND(H540=1,LEN(TRIM(I540))=0),"Preencher nome do indicante",IF(AND(H540&lt;&gt;1,I540&lt;&gt;""),"Nome sem indicação interna",IF(AND(G540=1,F540=""),"Fechamento sem conversa",IF(OR(AND(E540&lt;&gt;"",E540&lt;B540),AND(F540&lt;&gt;"",F540&lt;B540)),"Evento anterior à entrada",IF(AND(F540&lt;&gt;"",E540=""),"Conversa sem agendamento",IF(OR(E540&gt;TODAY(),F540&gt;TODAY()),"Verificar evento futuro","OK"))))))))))</f>
        <v/>
      </c>
    </row>
    <row r="541" spans="12:15">
      <c r="L541" s="5">
        <f>IF(OR(A541="",B541=""),"",B541-WEEKDAY(B541,2)+1)</f>
        <v/>
      </c>
      <c r="M541" s="5">
        <f>IF(L541="","",L541+6)</f>
        <v/>
      </c>
      <c r="N541" s="6">
        <f>IF(OR(A541="",B541=""),"",DATE(YEAR(B541),MONTH(B541),1))</f>
        <v/>
      </c>
      <c r="O541" s="7">
        <f>IF(COUNTA(A541:K541)=0,"",IF(OR(A541="",B541=""),"Preencher CPF e entrada",IF(COUNTIFS($A$12:$A$5011,A541,$B$12:$B$5011,B541)&gt;1,"CPF + dia duplicado",IF(OR(AND(G541&lt;&gt;"",G541&lt;&gt;0,G541&lt;&gt;1),AND(H541&lt;&gt;"",H541&lt;&gt;0,H541&lt;&gt;1)),"Flags devem ser 0 ou 1",IF(AND(H541=1,LEN(TRIM(I541))=0),"Preencher nome do indicante",IF(AND(H541&lt;&gt;1,I541&lt;&gt;""),"Nome sem indicação interna",IF(AND(G541=1,F541=""),"Fechamento sem conversa",IF(OR(AND(E541&lt;&gt;"",E541&lt;B541),AND(F541&lt;&gt;"",F541&lt;B541)),"Evento anterior à entrada",IF(AND(F541&lt;&gt;"",E541=""),"Conversa sem agendamento",IF(OR(E541&gt;TODAY(),F541&gt;TODAY()),"Verificar evento futuro","OK"))))))))))</f>
        <v/>
      </c>
    </row>
    <row r="542" spans="12:15">
      <c r="L542" s="5">
        <f>IF(OR(A542="",B542=""),"",B542-WEEKDAY(B542,2)+1)</f>
        <v/>
      </c>
      <c r="M542" s="5">
        <f>IF(L542="","",L542+6)</f>
        <v/>
      </c>
      <c r="N542" s="6">
        <f>IF(OR(A542="",B542=""),"",DATE(YEAR(B542),MONTH(B542),1))</f>
        <v/>
      </c>
      <c r="O542" s="7">
        <f>IF(COUNTA(A542:K542)=0,"",IF(OR(A542="",B542=""),"Preencher CPF e entrada",IF(COUNTIFS($A$12:$A$5011,A542,$B$12:$B$5011,B542)&gt;1,"CPF + dia duplicado",IF(OR(AND(G542&lt;&gt;"",G542&lt;&gt;0,G542&lt;&gt;1),AND(H542&lt;&gt;"",H542&lt;&gt;0,H542&lt;&gt;1)),"Flags devem ser 0 ou 1",IF(AND(H542=1,LEN(TRIM(I542))=0),"Preencher nome do indicante",IF(AND(H542&lt;&gt;1,I542&lt;&gt;""),"Nome sem indicação interna",IF(AND(G542=1,F542=""),"Fechamento sem conversa",IF(OR(AND(E542&lt;&gt;"",E542&lt;B542),AND(F542&lt;&gt;"",F542&lt;B542)),"Evento anterior à entrada",IF(AND(F542&lt;&gt;"",E542=""),"Conversa sem agendamento",IF(OR(E542&gt;TODAY(),F542&gt;TODAY()),"Verificar evento futuro","OK"))))))))))</f>
        <v/>
      </c>
    </row>
    <row r="543" spans="12:15">
      <c r="L543" s="5">
        <f>IF(OR(A543="",B543=""),"",B543-WEEKDAY(B543,2)+1)</f>
        <v/>
      </c>
      <c r="M543" s="5">
        <f>IF(L543="","",L543+6)</f>
        <v/>
      </c>
      <c r="N543" s="6">
        <f>IF(OR(A543="",B543=""),"",DATE(YEAR(B543),MONTH(B543),1))</f>
        <v/>
      </c>
      <c r="O543" s="7">
        <f>IF(COUNTA(A543:K543)=0,"",IF(OR(A543="",B543=""),"Preencher CPF e entrada",IF(COUNTIFS($A$12:$A$5011,A543,$B$12:$B$5011,B543)&gt;1,"CPF + dia duplicado",IF(OR(AND(G543&lt;&gt;"",G543&lt;&gt;0,G543&lt;&gt;1),AND(H543&lt;&gt;"",H543&lt;&gt;0,H543&lt;&gt;1)),"Flags devem ser 0 ou 1",IF(AND(H543=1,LEN(TRIM(I543))=0),"Preencher nome do indicante",IF(AND(H543&lt;&gt;1,I543&lt;&gt;""),"Nome sem indicação interna",IF(AND(G543=1,F543=""),"Fechamento sem conversa",IF(OR(AND(E543&lt;&gt;"",E543&lt;B543),AND(F543&lt;&gt;"",F543&lt;B543)),"Evento anterior à entrada",IF(AND(F543&lt;&gt;"",E543=""),"Conversa sem agendamento",IF(OR(E543&gt;TODAY(),F543&gt;TODAY()),"Verificar evento futuro","OK"))))))))))</f>
        <v/>
      </c>
    </row>
    <row r="544" spans="12:15">
      <c r="L544" s="5">
        <f>IF(OR(A544="",B544=""),"",B544-WEEKDAY(B544,2)+1)</f>
        <v/>
      </c>
      <c r="M544" s="5">
        <f>IF(L544="","",L544+6)</f>
        <v/>
      </c>
      <c r="N544" s="6">
        <f>IF(OR(A544="",B544=""),"",DATE(YEAR(B544),MONTH(B544),1))</f>
        <v/>
      </c>
      <c r="O544" s="7">
        <f>IF(COUNTA(A544:K544)=0,"",IF(OR(A544="",B544=""),"Preencher CPF e entrada",IF(COUNTIFS($A$12:$A$5011,A544,$B$12:$B$5011,B544)&gt;1,"CPF + dia duplicado",IF(OR(AND(G544&lt;&gt;"",G544&lt;&gt;0,G544&lt;&gt;1),AND(H544&lt;&gt;"",H544&lt;&gt;0,H544&lt;&gt;1)),"Flags devem ser 0 ou 1",IF(AND(H544=1,LEN(TRIM(I544))=0),"Preencher nome do indicante",IF(AND(H544&lt;&gt;1,I544&lt;&gt;""),"Nome sem indicação interna",IF(AND(G544=1,F544=""),"Fechamento sem conversa",IF(OR(AND(E544&lt;&gt;"",E544&lt;B544),AND(F544&lt;&gt;"",F544&lt;B544)),"Evento anterior à entrada",IF(AND(F544&lt;&gt;"",E544=""),"Conversa sem agendamento",IF(OR(E544&gt;TODAY(),F544&gt;TODAY()),"Verificar evento futuro","OK"))))))))))</f>
        <v/>
      </c>
    </row>
    <row r="545" spans="12:15">
      <c r="L545" s="5">
        <f>IF(OR(A545="",B545=""),"",B545-WEEKDAY(B545,2)+1)</f>
        <v/>
      </c>
      <c r="M545" s="5">
        <f>IF(L545="","",L545+6)</f>
        <v/>
      </c>
      <c r="N545" s="6">
        <f>IF(OR(A545="",B545=""),"",DATE(YEAR(B545),MONTH(B545),1))</f>
        <v/>
      </c>
      <c r="O545" s="7">
        <f>IF(COUNTA(A545:K545)=0,"",IF(OR(A545="",B545=""),"Preencher CPF e entrada",IF(COUNTIFS($A$12:$A$5011,A545,$B$12:$B$5011,B545)&gt;1,"CPF + dia duplicado",IF(OR(AND(G545&lt;&gt;"",G545&lt;&gt;0,G545&lt;&gt;1),AND(H545&lt;&gt;"",H545&lt;&gt;0,H545&lt;&gt;1)),"Flags devem ser 0 ou 1",IF(AND(H545=1,LEN(TRIM(I545))=0),"Preencher nome do indicante",IF(AND(H545&lt;&gt;1,I545&lt;&gt;""),"Nome sem indicação interna",IF(AND(G545=1,F545=""),"Fechamento sem conversa",IF(OR(AND(E545&lt;&gt;"",E545&lt;B545),AND(F545&lt;&gt;"",F545&lt;B545)),"Evento anterior à entrada",IF(AND(F545&lt;&gt;"",E545=""),"Conversa sem agendamento",IF(OR(E545&gt;TODAY(),F545&gt;TODAY()),"Verificar evento futuro","OK"))))))))))</f>
        <v/>
      </c>
    </row>
    <row r="546" spans="12:15">
      <c r="L546" s="5">
        <f>IF(OR(A546="",B546=""),"",B546-WEEKDAY(B546,2)+1)</f>
        <v/>
      </c>
      <c r="M546" s="5">
        <f>IF(L546="","",L546+6)</f>
        <v/>
      </c>
      <c r="N546" s="6">
        <f>IF(OR(A546="",B546=""),"",DATE(YEAR(B546),MONTH(B546),1))</f>
        <v/>
      </c>
      <c r="O546" s="7">
        <f>IF(COUNTA(A546:K546)=0,"",IF(OR(A546="",B546=""),"Preencher CPF e entrada",IF(COUNTIFS($A$12:$A$5011,A546,$B$12:$B$5011,B546)&gt;1,"CPF + dia duplicado",IF(OR(AND(G546&lt;&gt;"",G546&lt;&gt;0,G546&lt;&gt;1),AND(H546&lt;&gt;"",H546&lt;&gt;0,H546&lt;&gt;1)),"Flags devem ser 0 ou 1",IF(AND(H546=1,LEN(TRIM(I546))=0),"Preencher nome do indicante",IF(AND(H546&lt;&gt;1,I546&lt;&gt;""),"Nome sem indicação interna",IF(AND(G546=1,F546=""),"Fechamento sem conversa",IF(OR(AND(E546&lt;&gt;"",E546&lt;B546),AND(F546&lt;&gt;"",F546&lt;B546)),"Evento anterior à entrada",IF(AND(F546&lt;&gt;"",E546=""),"Conversa sem agendamento",IF(OR(E546&gt;TODAY(),F546&gt;TODAY()),"Verificar evento futuro","OK"))))))))))</f>
        <v/>
      </c>
    </row>
    <row r="547" spans="12:15">
      <c r="L547" s="5">
        <f>IF(OR(A547="",B547=""),"",B547-WEEKDAY(B547,2)+1)</f>
        <v/>
      </c>
      <c r="M547" s="5">
        <f>IF(L547="","",L547+6)</f>
        <v/>
      </c>
      <c r="N547" s="6">
        <f>IF(OR(A547="",B547=""),"",DATE(YEAR(B547),MONTH(B547),1))</f>
        <v/>
      </c>
      <c r="O547" s="7">
        <f>IF(COUNTA(A547:K547)=0,"",IF(OR(A547="",B547=""),"Preencher CPF e entrada",IF(COUNTIFS($A$12:$A$5011,A547,$B$12:$B$5011,B547)&gt;1,"CPF + dia duplicado",IF(OR(AND(G547&lt;&gt;"",G547&lt;&gt;0,G547&lt;&gt;1),AND(H547&lt;&gt;"",H547&lt;&gt;0,H547&lt;&gt;1)),"Flags devem ser 0 ou 1",IF(AND(H547=1,LEN(TRIM(I547))=0),"Preencher nome do indicante",IF(AND(H547&lt;&gt;1,I547&lt;&gt;""),"Nome sem indicação interna",IF(AND(G547=1,F547=""),"Fechamento sem conversa",IF(OR(AND(E547&lt;&gt;"",E547&lt;B547),AND(F547&lt;&gt;"",F547&lt;B547)),"Evento anterior à entrada",IF(AND(F547&lt;&gt;"",E547=""),"Conversa sem agendamento",IF(OR(E547&gt;TODAY(),F547&gt;TODAY()),"Verificar evento futuro","OK"))))))))))</f>
        <v/>
      </c>
    </row>
    <row r="548" spans="12:15">
      <c r="L548" s="5">
        <f>IF(OR(A548="",B548=""),"",B548-WEEKDAY(B548,2)+1)</f>
        <v/>
      </c>
      <c r="M548" s="5">
        <f>IF(L548="","",L548+6)</f>
        <v/>
      </c>
      <c r="N548" s="6">
        <f>IF(OR(A548="",B548=""),"",DATE(YEAR(B548),MONTH(B548),1))</f>
        <v/>
      </c>
      <c r="O548" s="7">
        <f>IF(COUNTA(A548:K548)=0,"",IF(OR(A548="",B548=""),"Preencher CPF e entrada",IF(COUNTIFS($A$12:$A$5011,A548,$B$12:$B$5011,B548)&gt;1,"CPF + dia duplicado",IF(OR(AND(G548&lt;&gt;"",G548&lt;&gt;0,G548&lt;&gt;1),AND(H548&lt;&gt;"",H548&lt;&gt;0,H548&lt;&gt;1)),"Flags devem ser 0 ou 1",IF(AND(H548=1,LEN(TRIM(I548))=0),"Preencher nome do indicante",IF(AND(H548&lt;&gt;1,I548&lt;&gt;""),"Nome sem indicação interna",IF(AND(G548=1,F548=""),"Fechamento sem conversa",IF(OR(AND(E548&lt;&gt;"",E548&lt;B548),AND(F548&lt;&gt;"",F548&lt;B548)),"Evento anterior à entrada",IF(AND(F548&lt;&gt;"",E548=""),"Conversa sem agendamento",IF(OR(E548&gt;TODAY(),F548&gt;TODAY()),"Verificar evento futuro","OK"))))))))))</f>
        <v/>
      </c>
    </row>
    <row r="549" spans="12:15">
      <c r="L549" s="5">
        <f>IF(OR(A549="",B549=""),"",B549-WEEKDAY(B549,2)+1)</f>
        <v/>
      </c>
      <c r="M549" s="5">
        <f>IF(L549="","",L549+6)</f>
        <v/>
      </c>
      <c r="N549" s="6">
        <f>IF(OR(A549="",B549=""),"",DATE(YEAR(B549),MONTH(B549),1))</f>
        <v/>
      </c>
      <c r="O549" s="7">
        <f>IF(COUNTA(A549:K549)=0,"",IF(OR(A549="",B549=""),"Preencher CPF e entrada",IF(COUNTIFS($A$12:$A$5011,A549,$B$12:$B$5011,B549)&gt;1,"CPF + dia duplicado",IF(OR(AND(G549&lt;&gt;"",G549&lt;&gt;0,G549&lt;&gt;1),AND(H549&lt;&gt;"",H549&lt;&gt;0,H549&lt;&gt;1)),"Flags devem ser 0 ou 1",IF(AND(H549=1,LEN(TRIM(I549))=0),"Preencher nome do indicante",IF(AND(H549&lt;&gt;1,I549&lt;&gt;""),"Nome sem indicação interna",IF(AND(G549=1,F549=""),"Fechamento sem conversa",IF(OR(AND(E549&lt;&gt;"",E549&lt;B549),AND(F549&lt;&gt;"",F549&lt;B549)),"Evento anterior à entrada",IF(AND(F549&lt;&gt;"",E549=""),"Conversa sem agendamento",IF(OR(E549&gt;TODAY(),F549&gt;TODAY()),"Verificar evento futuro","OK"))))))))))</f>
        <v/>
      </c>
    </row>
    <row r="550" spans="12:15">
      <c r="L550" s="5">
        <f>IF(OR(A550="",B550=""),"",B550-WEEKDAY(B550,2)+1)</f>
        <v/>
      </c>
      <c r="M550" s="5">
        <f>IF(L550="","",L550+6)</f>
        <v/>
      </c>
      <c r="N550" s="6">
        <f>IF(OR(A550="",B550=""),"",DATE(YEAR(B550),MONTH(B550),1))</f>
        <v/>
      </c>
      <c r="O550" s="7">
        <f>IF(COUNTA(A550:K550)=0,"",IF(OR(A550="",B550=""),"Preencher CPF e entrada",IF(COUNTIFS($A$12:$A$5011,A550,$B$12:$B$5011,B550)&gt;1,"CPF + dia duplicado",IF(OR(AND(G550&lt;&gt;"",G550&lt;&gt;0,G550&lt;&gt;1),AND(H550&lt;&gt;"",H550&lt;&gt;0,H550&lt;&gt;1)),"Flags devem ser 0 ou 1",IF(AND(H550=1,LEN(TRIM(I550))=0),"Preencher nome do indicante",IF(AND(H550&lt;&gt;1,I550&lt;&gt;""),"Nome sem indicação interna",IF(AND(G550=1,F550=""),"Fechamento sem conversa",IF(OR(AND(E550&lt;&gt;"",E550&lt;B550),AND(F550&lt;&gt;"",F550&lt;B550)),"Evento anterior à entrada",IF(AND(F550&lt;&gt;"",E550=""),"Conversa sem agendamento",IF(OR(E550&gt;TODAY(),F550&gt;TODAY()),"Verificar evento futuro","OK"))))))))))</f>
        <v/>
      </c>
    </row>
    <row r="551" spans="12:15">
      <c r="L551" s="5">
        <f>IF(OR(A551="",B551=""),"",B551-WEEKDAY(B551,2)+1)</f>
        <v/>
      </c>
      <c r="M551" s="5">
        <f>IF(L551="","",L551+6)</f>
        <v/>
      </c>
      <c r="N551" s="6">
        <f>IF(OR(A551="",B551=""),"",DATE(YEAR(B551),MONTH(B551),1))</f>
        <v/>
      </c>
      <c r="O551" s="7">
        <f>IF(COUNTA(A551:K551)=0,"",IF(OR(A551="",B551=""),"Preencher CPF e entrada",IF(COUNTIFS($A$12:$A$5011,A551,$B$12:$B$5011,B551)&gt;1,"CPF + dia duplicado",IF(OR(AND(G551&lt;&gt;"",G551&lt;&gt;0,G551&lt;&gt;1),AND(H551&lt;&gt;"",H551&lt;&gt;0,H551&lt;&gt;1)),"Flags devem ser 0 ou 1",IF(AND(H551=1,LEN(TRIM(I551))=0),"Preencher nome do indicante",IF(AND(H551&lt;&gt;1,I551&lt;&gt;""),"Nome sem indicação interna",IF(AND(G551=1,F551=""),"Fechamento sem conversa",IF(OR(AND(E551&lt;&gt;"",E551&lt;B551),AND(F551&lt;&gt;"",F551&lt;B551)),"Evento anterior à entrada",IF(AND(F551&lt;&gt;"",E551=""),"Conversa sem agendamento",IF(OR(E551&gt;TODAY(),F551&gt;TODAY()),"Verificar evento futuro","OK"))))))))))</f>
        <v/>
      </c>
    </row>
    <row r="552" spans="12:15">
      <c r="L552" s="5">
        <f>IF(OR(A552="",B552=""),"",B552-WEEKDAY(B552,2)+1)</f>
        <v/>
      </c>
      <c r="M552" s="5">
        <f>IF(L552="","",L552+6)</f>
        <v/>
      </c>
      <c r="N552" s="6">
        <f>IF(OR(A552="",B552=""),"",DATE(YEAR(B552),MONTH(B552),1))</f>
        <v/>
      </c>
      <c r="O552" s="7">
        <f>IF(COUNTA(A552:K552)=0,"",IF(OR(A552="",B552=""),"Preencher CPF e entrada",IF(COUNTIFS($A$12:$A$5011,A552,$B$12:$B$5011,B552)&gt;1,"CPF + dia duplicado",IF(OR(AND(G552&lt;&gt;"",G552&lt;&gt;0,G552&lt;&gt;1),AND(H552&lt;&gt;"",H552&lt;&gt;0,H552&lt;&gt;1)),"Flags devem ser 0 ou 1",IF(AND(H552=1,LEN(TRIM(I552))=0),"Preencher nome do indicante",IF(AND(H552&lt;&gt;1,I552&lt;&gt;""),"Nome sem indicação interna",IF(AND(G552=1,F552=""),"Fechamento sem conversa",IF(OR(AND(E552&lt;&gt;"",E552&lt;B552),AND(F552&lt;&gt;"",F552&lt;B552)),"Evento anterior à entrada",IF(AND(F552&lt;&gt;"",E552=""),"Conversa sem agendamento",IF(OR(E552&gt;TODAY(),F552&gt;TODAY()),"Verificar evento futuro","OK"))))))))))</f>
        <v/>
      </c>
    </row>
    <row r="553" spans="12:15">
      <c r="L553" s="5">
        <f>IF(OR(A553="",B553=""),"",B553-WEEKDAY(B553,2)+1)</f>
        <v/>
      </c>
      <c r="M553" s="5">
        <f>IF(L553="","",L553+6)</f>
        <v/>
      </c>
      <c r="N553" s="6">
        <f>IF(OR(A553="",B553=""),"",DATE(YEAR(B553),MONTH(B553),1))</f>
        <v/>
      </c>
      <c r="O553" s="7">
        <f>IF(COUNTA(A553:K553)=0,"",IF(OR(A553="",B553=""),"Preencher CPF e entrada",IF(COUNTIFS($A$12:$A$5011,A553,$B$12:$B$5011,B553)&gt;1,"CPF + dia duplicado",IF(OR(AND(G553&lt;&gt;"",G553&lt;&gt;0,G553&lt;&gt;1),AND(H553&lt;&gt;"",H553&lt;&gt;0,H553&lt;&gt;1)),"Flags devem ser 0 ou 1",IF(AND(H553=1,LEN(TRIM(I553))=0),"Preencher nome do indicante",IF(AND(H553&lt;&gt;1,I553&lt;&gt;""),"Nome sem indicação interna",IF(AND(G553=1,F553=""),"Fechamento sem conversa",IF(OR(AND(E553&lt;&gt;"",E553&lt;B553),AND(F553&lt;&gt;"",F553&lt;B553)),"Evento anterior à entrada",IF(AND(F553&lt;&gt;"",E553=""),"Conversa sem agendamento",IF(OR(E553&gt;TODAY(),F553&gt;TODAY()),"Verificar evento futuro","OK"))))))))))</f>
        <v/>
      </c>
    </row>
    <row r="554" spans="12:15">
      <c r="L554" s="5">
        <f>IF(OR(A554="",B554=""),"",B554-WEEKDAY(B554,2)+1)</f>
        <v/>
      </c>
      <c r="M554" s="5">
        <f>IF(L554="","",L554+6)</f>
        <v/>
      </c>
      <c r="N554" s="6">
        <f>IF(OR(A554="",B554=""),"",DATE(YEAR(B554),MONTH(B554),1))</f>
        <v/>
      </c>
      <c r="O554" s="7">
        <f>IF(COUNTA(A554:K554)=0,"",IF(OR(A554="",B554=""),"Preencher CPF e entrada",IF(COUNTIFS($A$12:$A$5011,A554,$B$12:$B$5011,B554)&gt;1,"CPF + dia duplicado",IF(OR(AND(G554&lt;&gt;"",G554&lt;&gt;0,G554&lt;&gt;1),AND(H554&lt;&gt;"",H554&lt;&gt;0,H554&lt;&gt;1)),"Flags devem ser 0 ou 1",IF(AND(H554=1,LEN(TRIM(I554))=0),"Preencher nome do indicante",IF(AND(H554&lt;&gt;1,I554&lt;&gt;""),"Nome sem indicação interna",IF(AND(G554=1,F554=""),"Fechamento sem conversa",IF(OR(AND(E554&lt;&gt;"",E554&lt;B554),AND(F554&lt;&gt;"",F554&lt;B554)),"Evento anterior à entrada",IF(AND(F554&lt;&gt;"",E554=""),"Conversa sem agendamento",IF(OR(E554&gt;TODAY(),F554&gt;TODAY()),"Verificar evento futuro","OK"))))))))))</f>
        <v/>
      </c>
    </row>
    <row r="555" spans="12:15">
      <c r="L555" s="5">
        <f>IF(OR(A555="",B555=""),"",B555-WEEKDAY(B555,2)+1)</f>
        <v/>
      </c>
      <c r="M555" s="5">
        <f>IF(L555="","",L555+6)</f>
        <v/>
      </c>
      <c r="N555" s="6">
        <f>IF(OR(A555="",B555=""),"",DATE(YEAR(B555),MONTH(B555),1))</f>
        <v/>
      </c>
      <c r="O555" s="7">
        <f>IF(COUNTA(A555:K555)=0,"",IF(OR(A555="",B555=""),"Preencher CPF e entrada",IF(COUNTIFS($A$12:$A$5011,A555,$B$12:$B$5011,B555)&gt;1,"CPF + dia duplicado",IF(OR(AND(G555&lt;&gt;"",G555&lt;&gt;0,G555&lt;&gt;1),AND(H555&lt;&gt;"",H555&lt;&gt;0,H555&lt;&gt;1)),"Flags devem ser 0 ou 1",IF(AND(H555=1,LEN(TRIM(I555))=0),"Preencher nome do indicante",IF(AND(H555&lt;&gt;1,I555&lt;&gt;""),"Nome sem indicação interna",IF(AND(G555=1,F555=""),"Fechamento sem conversa",IF(OR(AND(E555&lt;&gt;"",E555&lt;B555),AND(F555&lt;&gt;"",F555&lt;B555)),"Evento anterior à entrada",IF(AND(F555&lt;&gt;"",E555=""),"Conversa sem agendamento",IF(OR(E555&gt;TODAY(),F555&gt;TODAY()),"Verificar evento futuro","OK"))))))))))</f>
        <v/>
      </c>
    </row>
    <row r="556" spans="12:15">
      <c r="L556" s="5">
        <f>IF(OR(A556="",B556=""),"",B556-WEEKDAY(B556,2)+1)</f>
        <v/>
      </c>
      <c r="M556" s="5">
        <f>IF(L556="","",L556+6)</f>
        <v/>
      </c>
      <c r="N556" s="6">
        <f>IF(OR(A556="",B556=""),"",DATE(YEAR(B556),MONTH(B556),1))</f>
        <v/>
      </c>
      <c r="O556" s="7">
        <f>IF(COUNTA(A556:K556)=0,"",IF(OR(A556="",B556=""),"Preencher CPF e entrada",IF(COUNTIFS($A$12:$A$5011,A556,$B$12:$B$5011,B556)&gt;1,"CPF + dia duplicado",IF(OR(AND(G556&lt;&gt;"",G556&lt;&gt;0,G556&lt;&gt;1),AND(H556&lt;&gt;"",H556&lt;&gt;0,H556&lt;&gt;1)),"Flags devem ser 0 ou 1",IF(AND(H556=1,LEN(TRIM(I556))=0),"Preencher nome do indicante",IF(AND(H556&lt;&gt;1,I556&lt;&gt;""),"Nome sem indicação interna",IF(AND(G556=1,F556=""),"Fechamento sem conversa",IF(OR(AND(E556&lt;&gt;"",E556&lt;B556),AND(F556&lt;&gt;"",F556&lt;B556)),"Evento anterior à entrada",IF(AND(F556&lt;&gt;"",E556=""),"Conversa sem agendamento",IF(OR(E556&gt;TODAY(),F556&gt;TODAY()),"Verificar evento futuro","OK"))))))))))</f>
        <v/>
      </c>
    </row>
    <row r="557" spans="12:15">
      <c r="L557" s="5">
        <f>IF(OR(A557="",B557=""),"",B557-WEEKDAY(B557,2)+1)</f>
        <v/>
      </c>
      <c r="M557" s="5">
        <f>IF(L557="","",L557+6)</f>
        <v/>
      </c>
      <c r="N557" s="6">
        <f>IF(OR(A557="",B557=""),"",DATE(YEAR(B557),MONTH(B557),1))</f>
        <v/>
      </c>
      <c r="O557" s="7">
        <f>IF(COUNTA(A557:K557)=0,"",IF(OR(A557="",B557=""),"Preencher CPF e entrada",IF(COUNTIFS($A$12:$A$5011,A557,$B$12:$B$5011,B557)&gt;1,"CPF + dia duplicado",IF(OR(AND(G557&lt;&gt;"",G557&lt;&gt;0,G557&lt;&gt;1),AND(H557&lt;&gt;"",H557&lt;&gt;0,H557&lt;&gt;1)),"Flags devem ser 0 ou 1",IF(AND(H557=1,LEN(TRIM(I557))=0),"Preencher nome do indicante",IF(AND(H557&lt;&gt;1,I557&lt;&gt;""),"Nome sem indicação interna",IF(AND(G557=1,F557=""),"Fechamento sem conversa",IF(OR(AND(E557&lt;&gt;"",E557&lt;B557),AND(F557&lt;&gt;"",F557&lt;B557)),"Evento anterior à entrada",IF(AND(F557&lt;&gt;"",E557=""),"Conversa sem agendamento",IF(OR(E557&gt;TODAY(),F557&gt;TODAY()),"Verificar evento futuro","OK"))))))))))</f>
        <v/>
      </c>
    </row>
    <row r="558" spans="12:15">
      <c r="L558" s="5">
        <f>IF(OR(A558="",B558=""),"",B558-WEEKDAY(B558,2)+1)</f>
        <v/>
      </c>
      <c r="M558" s="5">
        <f>IF(L558="","",L558+6)</f>
        <v/>
      </c>
      <c r="N558" s="6">
        <f>IF(OR(A558="",B558=""),"",DATE(YEAR(B558),MONTH(B558),1))</f>
        <v/>
      </c>
      <c r="O558" s="7">
        <f>IF(COUNTA(A558:K558)=0,"",IF(OR(A558="",B558=""),"Preencher CPF e entrada",IF(COUNTIFS($A$12:$A$5011,A558,$B$12:$B$5011,B558)&gt;1,"CPF + dia duplicado",IF(OR(AND(G558&lt;&gt;"",G558&lt;&gt;0,G558&lt;&gt;1),AND(H558&lt;&gt;"",H558&lt;&gt;0,H558&lt;&gt;1)),"Flags devem ser 0 ou 1",IF(AND(H558=1,LEN(TRIM(I558))=0),"Preencher nome do indicante",IF(AND(H558&lt;&gt;1,I558&lt;&gt;""),"Nome sem indicação interna",IF(AND(G558=1,F558=""),"Fechamento sem conversa",IF(OR(AND(E558&lt;&gt;"",E558&lt;B558),AND(F558&lt;&gt;"",F558&lt;B558)),"Evento anterior à entrada",IF(AND(F558&lt;&gt;"",E558=""),"Conversa sem agendamento",IF(OR(E558&gt;TODAY(),F558&gt;TODAY()),"Verificar evento futuro","OK"))))))))))</f>
        <v/>
      </c>
    </row>
    <row r="559" spans="12:15">
      <c r="L559" s="5">
        <f>IF(OR(A559="",B559=""),"",B559-WEEKDAY(B559,2)+1)</f>
        <v/>
      </c>
      <c r="M559" s="5">
        <f>IF(L559="","",L559+6)</f>
        <v/>
      </c>
      <c r="N559" s="6">
        <f>IF(OR(A559="",B559=""),"",DATE(YEAR(B559),MONTH(B559),1))</f>
        <v/>
      </c>
      <c r="O559" s="7">
        <f>IF(COUNTA(A559:K559)=0,"",IF(OR(A559="",B559=""),"Preencher CPF e entrada",IF(COUNTIFS($A$12:$A$5011,A559,$B$12:$B$5011,B559)&gt;1,"CPF + dia duplicado",IF(OR(AND(G559&lt;&gt;"",G559&lt;&gt;0,G559&lt;&gt;1),AND(H559&lt;&gt;"",H559&lt;&gt;0,H559&lt;&gt;1)),"Flags devem ser 0 ou 1",IF(AND(H559=1,LEN(TRIM(I559))=0),"Preencher nome do indicante",IF(AND(H559&lt;&gt;1,I559&lt;&gt;""),"Nome sem indicação interna",IF(AND(G559=1,F559=""),"Fechamento sem conversa",IF(OR(AND(E559&lt;&gt;"",E559&lt;B559),AND(F559&lt;&gt;"",F559&lt;B559)),"Evento anterior à entrada",IF(AND(F559&lt;&gt;"",E559=""),"Conversa sem agendamento",IF(OR(E559&gt;TODAY(),F559&gt;TODAY()),"Verificar evento futuro","OK"))))))))))</f>
        <v/>
      </c>
    </row>
    <row r="560" spans="12:15">
      <c r="L560" s="5">
        <f>IF(OR(A560="",B560=""),"",B560-WEEKDAY(B560,2)+1)</f>
        <v/>
      </c>
      <c r="M560" s="5">
        <f>IF(L560="","",L560+6)</f>
        <v/>
      </c>
      <c r="N560" s="6">
        <f>IF(OR(A560="",B560=""),"",DATE(YEAR(B560),MONTH(B560),1))</f>
        <v/>
      </c>
      <c r="O560" s="7">
        <f>IF(COUNTA(A560:K560)=0,"",IF(OR(A560="",B560=""),"Preencher CPF e entrada",IF(COUNTIFS($A$12:$A$5011,A560,$B$12:$B$5011,B560)&gt;1,"CPF + dia duplicado",IF(OR(AND(G560&lt;&gt;"",G560&lt;&gt;0,G560&lt;&gt;1),AND(H560&lt;&gt;"",H560&lt;&gt;0,H560&lt;&gt;1)),"Flags devem ser 0 ou 1",IF(AND(H560=1,LEN(TRIM(I560))=0),"Preencher nome do indicante",IF(AND(H560&lt;&gt;1,I560&lt;&gt;""),"Nome sem indicação interna",IF(AND(G560=1,F560=""),"Fechamento sem conversa",IF(OR(AND(E560&lt;&gt;"",E560&lt;B560),AND(F560&lt;&gt;"",F560&lt;B560)),"Evento anterior à entrada",IF(AND(F560&lt;&gt;"",E560=""),"Conversa sem agendamento",IF(OR(E560&gt;TODAY(),F560&gt;TODAY()),"Verificar evento futuro","OK"))))))))))</f>
        <v/>
      </c>
    </row>
    <row r="561" spans="12:15">
      <c r="L561" s="5">
        <f>IF(OR(A561="",B561=""),"",B561-WEEKDAY(B561,2)+1)</f>
        <v/>
      </c>
      <c r="M561" s="5">
        <f>IF(L561="","",L561+6)</f>
        <v/>
      </c>
      <c r="N561" s="6">
        <f>IF(OR(A561="",B561=""),"",DATE(YEAR(B561),MONTH(B561),1))</f>
        <v/>
      </c>
      <c r="O561" s="7">
        <f>IF(COUNTA(A561:K561)=0,"",IF(OR(A561="",B561=""),"Preencher CPF e entrada",IF(COUNTIFS($A$12:$A$5011,A561,$B$12:$B$5011,B561)&gt;1,"CPF + dia duplicado",IF(OR(AND(G561&lt;&gt;"",G561&lt;&gt;0,G561&lt;&gt;1),AND(H561&lt;&gt;"",H561&lt;&gt;0,H561&lt;&gt;1)),"Flags devem ser 0 ou 1",IF(AND(H561=1,LEN(TRIM(I561))=0),"Preencher nome do indicante",IF(AND(H561&lt;&gt;1,I561&lt;&gt;""),"Nome sem indicação interna",IF(AND(G561=1,F561=""),"Fechamento sem conversa",IF(OR(AND(E561&lt;&gt;"",E561&lt;B561),AND(F561&lt;&gt;"",F561&lt;B561)),"Evento anterior à entrada",IF(AND(F561&lt;&gt;"",E561=""),"Conversa sem agendamento",IF(OR(E561&gt;TODAY(),F561&gt;TODAY()),"Verificar evento futuro","OK"))))))))))</f>
        <v/>
      </c>
    </row>
    <row r="562" spans="12:15">
      <c r="L562" s="5">
        <f>IF(OR(A562="",B562=""),"",B562-WEEKDAY(B562,2)+1)</f>
        <v/>
      </c>
      <c r="M562" s="5">
        <f>IF(L562="","",L562+6)</f>
        <v/>
      </c>
      <c r="N562" s="6">
        <f>IF(OR(A562="",B562=""),"",DATE(YEAR(B562),MONTH(B562),1))</f>
        <v/>
      </c>
      <c r="O562" s="7">
        <f>IF(COUNTA(A562:K562)=0,"",IF(OR(A562="",B562=""),"Preencher CPF e entrada",IF(COUNTIFS($A$12:$A$5011,A562,$B$12:$B$5011,B562)&gt;1,"CPF + dia duplicado",IF(OR(AND(G562&lt;&gt;"",G562&lt;&gt;0,G562&lt;&gt;1),AND(H562&lt;&gt;"",H562&lt;&gt;0,H562&lt;&gt;1)),"Flags devem ser 0 ou 1",IF(AND(H562=1,LEN(TRIM(I562))=0),"Preencher nome do indicante",IF(AND(H562&lt;&gt;1,I562&lt;&gt;""),"Nome sem indicação interna",IF(AND(G562=1,F562=""),"Fechamento sem conversa",IF(OR(AND(E562&lt;&gt;"",E562&lt;B562),AND(F562&lt;&gt;"",F562&lt;B562)),"Evento anterior à entrada",IF(AND(F562&lt;&gt;"",E562=""),"Conversa sem agendamento",IF(OR(E562&gt;TODAY(),F562&gt;TODAY()),"Verificar evento futuro","OK"))))))))))</f>
        <v/>
      </c>
    </row>
    <row r="563" spans="12:15">
      <c r="L563" s="5">
        <f>IF(OR(A563="",B563=""),"",B563-WEEKDAY(B563,2)+1)</f>
        <v/>
      </c>
      <c r="M563" s="5">
        <f>IF(L563="","",L563+6)</f>
        <v/>
      </c>
      <c r="N563" s="6">
        <f>IF(OR(A563="",B563=""),"",DATE(YEAR(B563),MONTH(B563),1))</f>
        <v/>
      </c>
      <c r="O563" s="7">
        <f>IF(COUNTA(A563:K563)=0,"",IF(OR(A563="",B563=""),"Preencher CPF e entrada",IF(COUNTIFS($A$12:$A$5011,A563,$B$12:$B$5011,B563)&gt;1,"CPF + dia duplicado",IF(OR(AND(G563&lt;&gt;"",G563&lt;&gt;0,G563&lt;&gt;1),AND(H563&lt;&gt;"",H563&lt;&gt;0,H563&lt;&gt;1)),"Flags devem ser 0 ou 1",IF(AND(H563=1,LEN(TRIM(I563))=0),"Preencher nome do indicante",IF(AND(H563&lt;&gt;1,I563&lt;&gt;""),"Nome sem indicação interna",IF(AND(G563=1,F563=""),"Fechamento sem conversa",IF(OR(AND(E563&lt;&gt;"",E563&lt;B563),AND(F563&lt;&gt;"",F563&lt;B563)),"Evento anterior à entrada",IF(AND(F563&lt;&gt;"",E563=""),"Conversa sem agendamento",IF(OR(E563&gt;TODAY(),F563&gt;TODAY()),"Verificar evento futuro","OK"))))))))))</f>
        <v/>
      </c>
    </row>
    <row r="564" spans="12:15">
      <c r="L564" s="5">
        <f>IF(OR(A564="",B564=""),"",B564-WEEKDAY(B564,2)+1)</f>
        <v/>
      </c>
      <c r="M564" s="5">
        <f>IF(L564="","",L564+6)</f>
        <v/>
      </c>
      <c r="N564" s="6">
        <f>IF(OR(A564="",B564=""),"",DATE(YEAR(B564),MONTH(B564),1))</f>
        <v/>
      </c>
      <c r="O564" s="7">
        <f>IF(COUNTA(A564:K564)=0,"",IF(OR(A564="",B564=""),"Preencher CPF e entrada",IF(COUNTIFS($A$12:$A$5011,A564,$B$12:$B$5011,B564)&gt;1,"CPF + dia duplicado",IF(OR(AND(G564&lt;&gt;"",G564&lt;&gt;0,G564&lt;&gt;1),AND(H564&lt;&gt;"",H564&lt;&gt;0,H564&lt;&gt;1)),"Flags devem ser 0 ou 1",IF(AND(H564=1,LEN(TRIM(I564))=0),"Preencher nome do indicante",IF(AND(H564&lt;&gt;1,I564&lt;&gt;""),"Nome sem indicação interna",IF(AND(G564=1,F564=""),"Fechamento sem conversa",IF(OR(AND(E564&lt;&gt;"",E564&lt;B564),AND(F564&lt;&gt;"",F564&lt;B564)),"Evento anterior à entrada",IF(AND(F564&lt;&gt;"",E564=""),"Conversa sem agendamento",IF(OR(E564&gt;TODAY(),F564&gt;TODAY()),"Verificar evento futuro","OK"))))))))))</f>
        <v/>
      </c>
    </row>
    <row r="565" spans="12:15">
      <c r="L565" s="5">
        <f>IF(OR(A565="",B565=""),"",B565-WEEKDAY(B565,2)+1)</f>
        <v/>
      </c>
      <c r="M565" s="5">
        <f>IF(L565="","",L565+6)</f>
        <v/>
      </c>
      <c r="N565" s="6">
        <f>IF(OR(A565="",B565=""),"",DATE(YEAR(B565),MONTH(B565),1))</f>
        <v/>
      </c>
      <c r="O565" s="7">
        <f>IF(COUNTA(A565:K565)=0,"",IF(OR(A565="",B565=""),"Preencher CPF e entrada",IF(COUNTIFS($A$12:$A$5011,A565,$B$12:$B$5011,B565)&gt;1,"CPF + dia duplicado",IF(OR(AND(G565&lt;&gt;"",G565&lt;&gt;0,G565&lt;&gt;1),AND(H565&lt;&gt;"",H565&lt;&gt;0,H565&lt;&gt;1)),"Flags devem ser 0 ou 1",IF(AND(H565=1,LEN(TRIM(I565))=0),"Preencher nome do indicante",IF(AND(H565&lt;&gt;1,I565&lt;&gt;""),"Nome sem indicação interna",IF(AND(G565=1,F565=""),"Fechamento sem conversa",IF(OR(AND(E565&lt;&gt;"",E565&lt;B565),AND(F565&lt;&gt;"",F565&lt;B565)),"Evento anterior à entrada",IF(AND(F565&lt;&gt;"",E565=""),"Conversa sem agendamento",IF(OR(E565&gt;TODAY(),F565&gt;TODAY()),"Verificar evento futuro","OK"))))))))))</f>
        <v/>
      </c>
    </row>
    <row r="566" spans="12:15">
      <c r="L566" s="5">
        <f>IF(OR(A566="",B566=""),"",B566-WEEKDAY(B566,2)+1)</f>
        <v/>
      </c>
      <c r="M566" s="5">
        <f>IF(L566="","",L566+6)</f>
        <v/>
      </c>
      <c r="N566" s="6">
        <f>IF(OR(A566="",B566=""),"",DATE(YEAR(B566),MONTH(B566),1))</f>
        <v/>
      </c>
      <c r="O566" s="7">
        <f>IF(COUNTA(A566:K566)=0,"",IF(OR(A566="",B566=""),"Preencher CPF e entrada",IF(COUNTIFS($A$12:$A$5011,A566,$B$12:$B$5011,B566)&gt;1,"CPF + dia duplicado",IF(OR(AND(G566&lt;&gt;"",G566&lt;&gt;0,G566&lt;&gt;1),AND(H566&lt;&gt;"",H566&lt;&gt;0,H566&lt;&gt;1)),"Flags devem ser 0 ou 1",IF(AND(H566=1,LEN(TRIM(I566))=0),"Preencher nome do indicante",IF(AND(H566&lt;&gt;1,I566&lt;&gt;""),"Nome sem indicação interna",IF(AND(G566=1,F566=""),"Fechamento sem conversa",IF(OR(AND(E566&lt;&gt;"",E566&lt;B566),AND(F566&lt;&gt;"",F566&lt;B566)),"Evento anterior à entrada",IF(AND(F566&lt;&gt;"",E566=""),"Conversa sem agendamento",IF(OR(E566&gt;TODAY(),F566&gt;TODAY()),"Verificar evento futuro","OK"))))))))))</f>
        <v/>
      </c>
    </row>
    <row r="567" spans="12:15">
      <c r="L567" s="5">
        <f>IF(OR(A567="",B567=""),"",B567-WEEKDAY(B567,2)+1)</f>
        <v/>
      </c>
      <c r="M567" s="5">
        <f>IF(L567="","",L567+6)</f>
        <v/>
      </c>
      <c r="N567" s="6">
        <f>IF(OR(A567="",B567=""),"",DATE(YEAR(B567),MONTH(B567),1))</f>
        <v/>
      </c>
      <c r="O567" s="7">
        <f>IF(COUNTA(A567:K567)=0,"",IF(OR(A567="",B567=""),"Preencher CPF e entrada",IF(COUNTIFS($A$12:$A$5011,A567,$B$12:$B$5011,B567)&gt;1,"CPF + dia duplicado",IF(OR(AND(G567&lt;&gt;"",G567&lt;&gt;0,G567&lt;&gt;1),AND(H567&lt;&gt;"",H567&lt;&gt;0,H567&lt;&gt;1)),"Flags devem ser 0 ou 1",IF(AND(H567=1,LEN(TRIM(I567))=0),"Preencher nome do indicante",IF(AND(H567&lt;&gt;1,I567&lt;&gt;""),"Nome sem indicação interna",IF(AND(G567=1,F567=""),"Fechamento sem conversa",IF(OR(AND(E567&lt;&gt;"",E567&lt;B567),AND(F567&lt;&gt;"",F567&lt;B567)),"Evento anterior à entrada",IF(AND(F567&lt;&gt;"",E567=""),"Conversa sem agendamento",IF(OR(E567&gt;TODAY(),F567&gt;TODAY()),"Verificar evento futuro","OK"))))))))))</f>
        <v/>
      </c>
    </row>
    <row r="568" spans="12:15">
      <c r="L568" s="5">
        <f>IF(OR(A568="",B568=""),"",B568-WEEKDAY(B568,2)+1)</f>
        <v/>
      </c>
      <c r="M568" s="5">
        <f>IF(L568="","",L568+6)</f>
        <v/>
      </c>
      <c r="N568" s="6">
        <f>IF(OR(A568="",B568=""),"",DATE(YEAR(B568),MONTH(B568),1))</f>
        <v/>
      </c>
      <c r="O568" s="7">
        <f>IF(COUNTA(A568:K568)=0,"",IF(OR(A568="",B568=""),"Preencher CPF e entrada",IF(COUNTIFS($A$12:$A$5011,A568,$B$12:$B$5011,B568)&gt;1,"CPF + dia duplicado",IF(OR(AND(G568&lt;&gt;"",G568&lt;&gt;0,G568&lt;&gt;1),AND(H568&lt;&gt;"",H568&lt;&gt;0,H568&lt;&gt;1)),"Flags devem ser 0 ou 1",IF(AND(H568=1,LEN(TRIM(I568))=0),"Preencher nome do indicante",IF(AND(H568&lt;&gt;1,I568&lt;&gt;""),"Nome sem indicação interna",IF(AND(G568=1,F568=""),"Fechamento sem conversa",IF(OR(AND(E568&lt;&gt;"",E568&lt;B568),AND(F568&lt;&gt;"",F568&lt;B568)),"Evento anterior à entrada",IF(AND(F568&lt;&gt;"",E568=""),"Conversa sem agendamento",IF(OR(E568&gt;TODAY(),F568&gt;TODAY()),"Verificar evento futuro","OK"))))))))))</f>
        <v/>
      </c>
    </row>
    <row r="569" spans="12:15">
      <c r="L569" s="5">
        <f>IF(OR(A569="",B569=""),"",B569-WEEKDAY(B569,2)+1)</f>
        <v/>
      </c>
      <c r="M569" s="5">
        <f>IF(L569="","",L569+6)</f>
        <v/>
      </c>
      <c r="N569" s="6">
        <f>IF(OR(A569="",B569=""),"",DATE(YEAR(B569),MONTH(B569),1))</f>
        <v/>
      </c>
      <c r="O569" s="7">
        <f>IF(COUNTA(A569:K569)=0,"",IF(OR(A569="",B569=""),"Preencher CPF e entrada",IF(COUNTIFS($A$12:$A$5011,A569,$B$12:$B$5011,B569)&gt;1,"CPF + dia duplicado",IF(OR(AND(G569&lt;&gt;"",G569&lt;&gt;0,G569&lt;&gt;1),AND(H569&lt;&gt;"",H569&lt;&gt;0,H569&lt;&gt;1)),"Flags devem ser 0 ou 1",IF(AND(H569=1,LEN(TRIM(I569))=0),"Preencher nome do indicante",IF(AND(H569&lt;&gt;1,I569&lt;&gt;""),"Nome sem indicação interna",IF(AND(G569=1,F569=""),"Fechamento sem conversa",IF(OR(AND(E569&lt;&gt;"",E569&lt;B569),AND(F569&lt;&gt;"",F569&lt;B569)),"Evento anterior à entrada",IF(AND(F569&lt;&gt;"",E569=""),"Conversa sem agendamento",IF(OR(E569&gt;TODAY(),F569&gt;TODAY()),"Verificar evento futuro","OK"))))))))))</f>
        <v/>
      </c>
    </row>
    <row r="570" spans="12:15">
      <c r="L570" s="5">
        <f>IF(OR(A570="",B570=""),"",B570-WEEKDAY(B570,2)+1)</f>
        <v/>
      </c>
      <c r="M570" s="5">
        <f>IF(L570="","",L570+6)</f>
        <v/>
      </c>
      <c r="N570" s="6">
        <f>IF(OR(A570="",B570=""),"",DATE(YEAR(B570),MONTH(B570),1))</f>
        <v/>
      </c>
      <c r="O570" s="7">
        <f>IF(COUNTA(A570:K570)=0,"",IF(OR(A570="",B570=""),"Preencher CPF e entrada",IF(COUNTIFS($A$12:$A$5011,A570,$B$12:$B$5011,B570)&gt;1,"CPF + dia duplicado",IF(OR(AND(G570&lt;&gt;"",G570&lt;&gt;0,G570&lt;&gt;1),AND(H570&lt;&gt;"",H570&lt;&gt;0,H570&lt;&gt;1)),"Flags devem ser 0 ou 1",IF(AND(H570=1,LEN(TRIM(I570))=0),"Preencher nome do indicante",IF(AND(H570&lt;&gt;1,I570&lt;&gt;""),"Nome sem indicação interna",IF(AND(G570=1,F570=""),"Fechamento sem conversa",IF(OR(AND(E570&lt;&gt;"",E570&lt;B570),AND(F570&lt;&gt;"",F570&lt;B570)),"Evento anterior à entrada",IF(AND(F570&lt;&gt;"",E570=""),"Conversa sem agendamento",IF(OR(E570&gt;TODAY(),F570&gt;TODAY()),"Verificar evento futuro","OK"))))))))))</f>
        <v/>
      </c>
    </row>
    <row r="571" spans="12:15">
      <c r="L571" s="5">
        <f>IF(OR(A571="",B571=""),"",B571-WEEKDAY(B571,2)+1)</f>
        <v/>
      </c>
      <c r="M571" s="5">
        <f>IF(L571="","",L571+6)</f>
        <v/>
      </c>
      <c r="N571" s="6">
        <f>IF(OR(A571="",B571=""),"",DATE(YEAR(B571),MONTH(B571),1))</f>
        <v/>
      </c>
      <c r="O571" s="7">
        <f>IF(COUNTA(A571:K571)=0,"",IF(OR(A571="",B571=""),"Preencher CPF e entrada",IF(COUNTIFS($A$12:$A$5011,A571,$B$12:$B$5011,B571)&gt;1,"CPF + dia duplicado",IF(OR(AND(G571&lt;&gt;"",G571&lt;&gt;0,G571&lt;&gt;1),AND(H571&lt;&gt;"",H571&lt;&gt;0,H571&lt;&gt;1)),"Flags devem ser 0 ou 1",IF(AND(H571=1,LEN(TRIM(I571))=0),"Preencher nome do indicante",IF(AND(H571&lt;&gt;1,I571&lt;&gt;""),"Nome sem indicação interna",IF(AND(G571=1,F571=""),"Fechamento sem conversa",IF(OR(AND(E571&lt;&gt;"",E571&lt;B571),AND(F571&lt;&gt;"",F571&lt;B571)),"Evento anterior à entrada",IF(AND(F571&lt;&gt;"",E571=""),"Conversa sem agendamento",IF(OR(E571&gt;TODAY(),F571&gt;TODAY()),"Verificar evento futuro","OK"))))))))))</f>
        <v/>
      </c>
    </row>
    <row r="572" spans="12:15">
      <c r="L572" s="5">
        <f>IF(OR(A572="",B572=""),"",B572-WEEKDAY(B572,2)+1)</f>
        <v/>
      </c>
      <c r="M572" s="5">
        <f>IF(L572="","",L572+6)</f>
        <v/>
      </c>
      <c r="N572" s="6">
        <f>IF(OR(A572="",B572=""),"",DATE(YEAR(B572),MONTH(B572),1))</f>
        <v/>
      </c>
      <c r="O572" s="7">
        <f>IF(COUNTA(A572:K572)=0,"",IF(OR(A572="",B572=""),"Preencher CPF e entrada",IF(COUNTIFS($A$12:$A$5011,A572,$B$12:$B$5011,B572)&gt;1,"CPF + dia duplicado",IF(OR(AND(G572&lt;&gt;"",G572&lt;&gt;0,G572&lt;&gt;1),AND(H572&lt;&gt;"",H572&lt;&gt;0,H572&lt;&gt;1)),"Flags devem ser 0 ou 1",IF(AND(H572=1,LEN(TRIM(I572))=0),"Preencher nome do indicante",IF(AND(H572&lt;&gt;1,I572&lt;&gt;""),"Nome sem indicação interna",IF(AND(G572=1,F572=""),"Fechamento sem conversa",IF(OR(AND(E572&lt;&gt;"",E572&lt;B572),AND(F572&lt;&gt;"",F572&lt;B572)),"Evento anterior à entrada",IF(AND(F572&lt;&gt;"",E572=""),"Conversa sem agendamento",IF(OR(E572&gt;TODAY(),F572&gt;TODAY()),"Verificar evento futuro","OK"))))))))))</f>
        <v/>
      </c>
    </row>
    <row r="573" spans="12:15">
      <c r="L573" s="5">
        <f>IF(OR(A573="",B573=""),"",B573-WEEKDAY(B573,2)+1)</f>
        <v/>
      </c>
      <c r="M573" s="5">
        <f>IF(L573="","",L573+6)</f>
        <v/>
      </c>
      <c r="N573" s="6">
        <f>IF(OR(A573="",B573=""),"",DATE(YEAR(B573),MONTH(B573),1))</f>
        <v/>
      </c>
      <c r="O573" s="7">
        <f>IF(COUNTA(A573:K573)=0,"",IF(OR(A573="",B573=""),"Preencher CPF e entrada",IF(COUNTIFS($A$12:$A$5011,A573,$B$12:$B$5011,B573)&gt;1,"CPF + dia duplicado",IF(OR(AND(G573&lt;&gt;"",G573&lt;&gt;0,G573&lt;&gt;1),AND(H573&lt;&gt;"",H573&lt;&gt;0,H573&lt;&gt;1)),"Flags devem ser 0 ou 1",IF(AND(H573=1,LEN(TRIM(I573))=0),"Preencher nome do indicante",IF(AND(H573&lt;&gt;1,I573&lt;&gt;""),"Nome sem indicação interna",IF(AND(G573=1,F573=""),"Fechamento sem conversa",IF(OR(AND(E573&lt;&gt;"",E573&lt;B573),AND(F573&lt;&gt;"",F573&lt;B573)),"Evento anterior à entrada",IF(AND(F573&lt;&gt;"",E573=""),"Conversa sem agendamento",IF(OR(E573&gt;TODAY(),F573&gt;TODAY()),"Verificar evento futuro","OK"))))))))))</f>
        <v/>
      </c>
    </row>
    <row r="574" spans="12:15">
      <c r="L574" s="5">
        <f>IF(OR(A574="",B574=""),"",B574-WEEKDAY(B574,2)+1)</f>
        <v/>
      </c>
      <c r="M574" s="5">
        <f>IF(L574="","",L574+6)</f>
        <v/>
      </c>
      <c r="N574" s="6">
        <f>IF(OR(A574="",B574=""),"",DATE(YEAR(B574),MONTH(B574),1))</f>
        <v/>
      </c>
      <c r="O574" s="7">
        <f>IF(COUNTA(A574:K574)=0,"",IF(OR(A574="",B574=""),"Preencher CPF e entrada",IF(COUNTIFS($A$12:$A$5011,A574,$B$12:$B$5011,B574)&gt;1,"CPF + dia duplicado",IF(OR(AND(G574&lt;&gt;"",G574&lt;&gt;0,G574&lt;&gt;1),AND(H574&lt;&gt;"",H574&lt;&gt;0,H574&lt;&gt;1)),"Flags devem ser 0 ou 1",IF(AND(H574=1,LEN(TRIM(I574))=0),"Preencher nome do indicante",IF(AND(H574&lt;&gt;1,I574&lt;&gt;""),"Nome sem indicação interna",IF(AND(G574=1,F574=""),"Fechamento sem conversa",IF(OR(AND(E574&lt;&gt;"",E574&lt;B574),AND(F574&lt;&gt;"",F574&lt;B574)),"Evento anterior à entrada",IF(AND(F574&lt;&gt;"",E574=""),"Conversa sem agendamento",IF(OR(E574&gt;TODAY(),F574&gt;TODAY()),"Verificar evento futuro","OK"))))))))))</f>
        <v/>
      </c>
    </row>
    <row r="575" spans="12:15">
      <c r="L575" s="5">
        <f>IF(OR(A575="",B575=""),"",B575-WEEKDAY(B575,2)+1)</f>
        <v/>
      </c>
      <c r="M575" s="5">
        <f>IF(L575="","",L575+6)</f>
        <v/>
      </c>
      <c r="N575" s="6">
        <f>IF(OR(A575="",B575=""),"",DATE(YEAR(B575),MONTH(B575),1))</f>
        <v/>
      </c>
      <c r="O575" s="7">
        <f>IF(COUNTA(A575:K575)=0,"",IF(OR(A575="",B575=""),"Preencher CPF e entrada",IF(COUNTIFS($A$12:$A$5011,A575,$B$12:$B$5011,B575)&gt;1,"CPF + dia duplicado",IF(OR(AND(G575&lt;&gt;"",G575&lt;&gt;0,G575&lt;&gt;1),AND(H575&lt;&gt;"",H575&lt;&gt;0,H575&lt;&gt;1)),"Flags devem ser 0 ou 1",IF(AND(H575=1,LEN(TRIM(I575))=0),"Preencher nome do indicante",IF(AND(H575&lt;&gt;1,I575&lt;&gt;""),"Nome sem indicação interna",IF(AND(G575=1,F575=""),"Fechamento sem conversa",IF(OR(AND(E575&lt;&gt;"",E575&lt;B575),AND(F575&lt;&gt;"",F575&lt;B575)),"Evento anterior à entrada",IF(AND(F575&lt;&gt;"",E575=""),"Conversa sem agendamento",IF(OR(E575&gt;TODAY(),F575&gt;TODAY()),"Verificar evento futuro","OK"))))))))))</f>
        <v/>
      </c>
    </row>
    <row r="576" spans="12:15">
      <c r="L576" s="5">
        <f>IF(OR(A576="",B576=""),"",B576-WEEKDAY(B576,2)+1)</f>
        <v/>
      </c>
      <c r="M576" s="5">
        <f>IF(L576="","",L576+6)</f>
        <v/>
      </c>
      <c r="N576" s="6">
        <f>IF(OR(A576="",B576=""),"",DATE(YEAR(B576),MONTH(B576),1))</f>
        <v/>
      </c>
      <c r="O576" s="7">
        <f>IF(COUNTA(A576:K576)=0,"",IF(OR(A576="",B576=""),"Preencher CPF e entrada",IF(COUNTIFS($A$12:$A$5011,A576,$B$12:$B$5011,B576)&gt;1,"CPF + dia duplicado",IF(OR(AND(G576&lt;&gt;"",G576&lt;&gt;0,G576&lt;&gt;1),AND(H576&lt;&gt;"",H576&lt;&gt;0,H576&lt;&gt;1)),"Flags devem ser 0 ou 1",IF(AND(H576=1,LEN(TRIM(I576))=0),"Preencher nome do indicante",IF(AND(H576&lt;&gt;1,I576&lt;&gt;""),"Nome sem indicação interna",IF(AND(G576=1,F576=""),"Fechamento sem conversa",IF(OR(AND(E576&lt;&gt;"",E576&lt;B576),AND(F576&lt;&gt;"",F576&lt;B576)),"Evento anterior à entrada",IF(AND(F576&lt;&gt;"",E576=""),"Conversa sem agendamento",IF(OR(E576&gt;TODAY(),F576&gt;TODAY()),"Verificar evento futuro","OK"))))))))))</f>
        <v/>
      </c>
    </row>
    <row r="577" spans="12:15">
      <c r="L577" s="5">
        <f>IF(OR(A577="",B577=""),"",B577-WEEKDAY(B577,2)+1)</f>
        <v/>
      </c>
      <c r="M577" s="5">
        <f>IF(L577="","",L577+6)</f>
        <v/>
      </c>
      <c r="N577" s="6">
        <f>IF(OR(A577="",B577=""),"",DATE(YEAR(B577),MONTH(B577),1))</f>
        <v/>
      </c>
      <c r="O577" s="7">
        <f>IF(COUNTA(A577:K577)=0,"",IF(OR(A577="",B577=""),"Preencher CPF e entrada",IF(COUNTIFS($A$12:$A$5011,A577,$B$12:$B$5011,B577)&gt;1,"CPF + dia duplicado",IF(OR(AND(G577&lt;&gt;"",G577&lt;&gt;0,G577&lt;&gt;1),AND(H577&lt;&gt;"",H577&lt;&gt;0,H577&lt;&gt;1)),"Flags devem ser 0 ou 1",IF(AND(H577=1,LEN(TRIM(I577))=0),"Preencher nome do indicante",IF(AND(H577&lt;&gt;1,I577&lt;&gt;""),"Nome sem indicação interna",IF(AND(G577=1,F577=""),"Fechamento sem conversa",IF(OR(AND(E577&lt;&gt;"",E577&lt;B577),AND(F577&lt;&gt;"",F577&lt;B577)),"Evento anterior à entrada",IF(AND(F577&lt;&gt;"",E577=""),"Conversa sem agendamento",IF(OR(E577&gt;TODAY(),F577&gt;TODAY()),"Verificar evento futuro","OK"))))))))))</f>
        <v/>
      </c>
    </row>
    <row r="578" spans="12:15">
      <c r="L578" s="5">
        <f>IF(OR(A578="",B578=""),"",B578-WEEKDAY(B578,2)+1)</f>
        <v/>
      </c>
      <c r="M578" s="5">
        <f>IF(L578="","",L578+6)</f>
        <v/>
      </c>
      <c r="N578" s="6">
        <f>IF(OR(A578="",B578=""),"",DATE(YEAR(B578),MONTH(B578),1))</f>
        <v/>
      </c>
      <c r="O578" s="7">
        <f>IF(COUNTA(A578:K578)=0,"",IF(OR(A578="",B578=""),"Preencher CPF e entrada",IF(COUNTIFS($A$12:$A$5011,A578,$B$12:$B$5011,B578)&gt;1,"CPF + dia duplicado",IF(OR(AND(G578&lt;&gt;"",G578&lt;&gt;0,G578&lt;&gt;1),AND(H578&lt;&gt;"",H578&lt;&gt;0,H578&lt;&gt;1)),"Flags devem ser 0 ou 1",IF(AND(H578=1,LEN(TRIM(I578))=0),"Preencher nome do indicante",IF(AND(H578&lt;&gt;1,I578&lt;&gt;""),"Nome sem indicação interna",IF(AND(G578=1,F578=""),"Fechamento sem conversa",IF(OR(AND(E578&lt;&gt;"",E578&lt;B578),AND(F578&lt;&gt;"",F578&lt;B578)),"Evento anterior à entrada",IF(AND(F578&lt;&gt;"",E578=""),"Conversa sem agendamento",IF(OR(E578&gt;TODAY(),F578&gt;TODAY()),"Verificar evento futuro","OK"))))))))))</f>
        <v/>
      </c>
    </row>
    <row r="579" spans="12:15">
      <c r="L579" s="5">
        <f>IF(OR(A579="",B579=""),"",B579-WEEKDAY(B579,2)+1)</f>
        <v/>
      </c>
      <c r="M579" s="5">
        <f>IF(L579="","",L579+6)</f>
        <v/>
      </c>
      <c r="N579" s="6">
        <f>IF(OR(A579="",B579=""),"",DATE(YEAR(B579),MONTH(B579),1))</f>
        <v/>
      </c>
      <c r="O579" s="7">
        <f>IF(COUNTA(A579:K579)=0,"",IF(OR(A579="",B579=""),"Preencher CPF e entrada",IF(COUNTIFS($A$12:$A$5011,A579,$B$12:$B$5011,B579)&gt;1,"CPF + dia duplicado",IF(OR(AND(G579&lt;&gt;"",G579&lt;&gt;0,G579&lt;&gt;1),AND(H579&lt;&gt;"",H579&lt;&gt;0,H579&lt;&gt;1)),"Flags devem ser 0 ou 1",IF(AND(H579=1,LEN(TRIM(I579))=0),"Preencher nome do indicante",IF(AND(H579&lt;&gt;1,I579&lt;&gt;""),"Nome sem indicação interna",IF(AND(G579=1,F579=""),"Fechamento sem conversa",IF(OR(AND(E579&lt;&gt;"",E579&lt;B579),AND(F579&lt;&gt;"",F579&lt;B579)),"Evento anterior à entrada",IF(AND(F579&lt;&gt;"",E579=""),"Conversa sem agendamento",IF(OR(E579&gt;TODAY(),F579&gt;TODAY()),"Verificar evento futuro","OK"))))))))))</f>
        <v/>
      </c>
    </row>
    <row r="580" spans="12:15">
      <c r="L580" s="5">
        <f>IF(OR(A580="",B580=""),"",B580-WEEKDAY(B580,2)+1)</f>
        <v/>
      </c>
      <c r="M580" s="5">
        <f>IF(L580="","",L580+6)</f>
        <v/>
      </c>
      <c r="N580" s="6">
        <f>IF(OR(A580="",B580=""),"",DATE(YEAR(B580),MONTH(B580),1))</f>
        <v/>
      </c>
      <c r="O580" s="7">
        <f>IF(COUNTA(A580:K580)=0,"",IF(OR(A580="",B580=""),"Preencher CPF e entrada",IF(COUNTIFS($A$12:$A$5011,A580,$B$12:$B$5011,B580)&gt;1,"CPF + dia duplicado",IF(OR(AND(G580&lt;&gt;"",G580&lt;&gt;0,G580&lt;&gt;1),AND(H580&lt;&gt;"",H580&lt;&gt;0,H580&lt;&gt;1)),"Flags devem ser 0 ou 1",IF(AND(H580=1,LEN(TRIM(I580))=0),"Preencher nome do indicante",IF(AND(H580&lt;&gt;1,I580&lt;&gt;""),"Nome sem indicação interna",IF(AND(G580=1,F580=""),"Fechamento sem conversa",IF(OR(AND(E580&lt;&gt;"",E580&lt;B580),AND(F580&lt;&gt;"",F580&lt;B580)),"Evento anterior à entrada",IF(AND(F580&lt;&gt;"",E580=""),"Conversa sem agendamento",IF(OR(E580&gt;TODAY(),F580&gt;TODAY()),"Verificar evento futuro","OK"))))))))))</f>
        <v/>
      </c>
    </row>
    <row r="581" spans="12:15">
      <c r="L581" s="5">
        <f>IF(OR(A581="",B581=""),"",B581-WEEKDAY(B581,2)+1)</f>
        <v/>
      </c>
      <c r="M581" s="5">
        <f>IF(L581="","",L581+6)</f>
        <v/>
      </c>
      <c r="N581" s="6">
        <f>IF(OR(A581="",B581=""),"",DATE(YEAR(B581),MONTH(B581),1))</f>
        <v/>
      </c>
      <c r="O581" s="7">
        <f>IF(COUNTA(A581:K581)=0,"",IF(OR(A581="",B581=""),"Preencher CPF e entrada",IF(COUNTIFS($A$12:$A$5011,A581,$B$12:$B$5011,B581)&gt;1,"CPF + dia duplicado",IF(OR(AND(G581&lt;&gt;"",G581&lt;&gt;0,G581&lt;&gt;1),AND(H581&lt;&gt;"",H581&lt;&gt;0,H581&lt;&gt;1)),"Flags devem ser 0 ou 1",IF(AND(H581=1,LEN(TRIM(I581))=0),"Preencher nome do indicante",IF(AND(H581&lt;&gt;1,I581&lt;&gt;""),"Nome sem indicação interna",IF(AND(G581=1,F581=""),"Fechamento sem conversa",IF(OR(AND(E581&lt;&gt;"",E581&lt;B581),AND(F581&lt;&gt;"",F581&lt;B581)),"Evento anterior à entrada",IF(AND(F581&lt;&gt;"",E581=""),"Conversa sem agendamento",IF(OR(E581&gt;TODAY(),F581&gt;TODAY()),"Verificar evento futuro","OK"))))))))))</f>
        <v/>
      </c>
    </row>
    <row r="582" spans="12:15">
      <c r="L582" s="5">
        <f>IF(OR(A582="",B582=""),"",B582-WEEKDAY(B582,2)+1)</f>
        <v/>
      </c>
      <c r="M582" s="5">
        <f>IF(L582="","",L582+6)</f>
        <v/>
      </c>
      <c r="N582" s="6">
        <f>IF(OR(A582="",B582=""),"",DATE(YEAR(B582),MONTH(B582),1))</f>
        <v/>
      </c>
      <c r="O582" s="7">
        <f>IF(COUNTA(A582:K582)=0,"",IF(OR(A582="",B582=""),"Preencher CPF e entrada",IF(COUNTIFS($A$12:$A$5011,A582,$B$12:$B$5011,B582)&gt;1,"CPF + dia duplicado",IF(OR(AND(G582&lt;&gt;"",G582&lt;&gt;0,G582&lt;&gt;1),AND(H582&lt;&gt;"",H582&lt;&gt;0,H582&lt;&gt;1)),"Flags devem ser 0 ou 1",IF(AND(H582=1,LEN(TRIM(I582))=0),"Preencher nome do indicante",IF(AND(H582&lt;&gt;1,I582&lt;&gt;""),"Nome sem indicação interna",IF(AND(G582=1,F582=""),"Fechamento sem conversa",IF(OR(AND(E582&lt;&gt;"",E582&lt;B582),AND(F582&lt;&gt;"",F582&lt;B582)),"Evento anterior à entrada",IF(AND(F582&lt;&gt;"",E582=""),"Conversa sem agendamento",IF(OR(E582&gt;TODAY(),F582&gt;TODAY()),"Verificar evento futuro","OK"))))))))))</f>
        <v/>
      </c>
    </row>
    <row r="583" spans="12:15">
      <c r="L583" s="5">
        <f>IF(OR(A583="",B583=""),"",B583-WEEKDAY(B583,2)+1)</f>
        <v/>
      </c>
      <c r="M583" s="5">
        <f>IF(L583="","",L583+6)</f>
        <v/>
      </c>
      <c r="N583" s="6">
        <f>IF(OR(A583="",B583=""),"",DATE(YEAR(B583),MONTH(B583),1))</f>
        <v/>
      </c>
      <c r="O583" s="7">
        <f>IF(COUNTA(A583:K583)=0,"",IF(OR(A583="",B583=""),"Preencher CPF e entrada",IF(COUNTIFS($A$12:$A$5011,A583,$B$12:$B$5011,B583)&gt;1,"CPF + dia duplicado",IF(OR(AND(G583&lt;&gt;"",G583&lt;&gt;0,G583&lt;&gt;1),AND(H583&lt;&gt;"",H583&lt;&gt;0,H583&lt;&gt;1)),"Flags devem ser 0 ou 1",IF(AND(H583=1,LEN(TRIM(I583))=0),"Preencher nome do indicante",IF(AND(H583&lt;&gt;1,I583&lt;&gt;""),"Nome sem indicação interna",IF(AND(G583=1,F583=""),"Fechamento sem conversa",IF(OR(AND(E583&lt;&gt;"",E583&lt;B583),AND(F583&lt;&gt;"",F583&lt;B583)),"Evento anterior à entrada",IF(AND(F583&lt;&gt;"",E583=""),"Conversa sem agendamento",IF(OR(E583&gt;TODAY(),F583&gt;TODAY()),"Verificar evento futuro","OK"))))))))))</f>
        <v/>
      </c>
    </row>
    <row r="584" spans="12:15">
      <c r="L584" s="5">
        <f>IF(OR(A584="",B584=""),"",B584-WEEKDAY(B584,2)+1)</f>
        <v/>
      </c>
      <c r="M584" s="5">
        <f>IF(L584="","",L584+6)</f>
        <v/>
      </c>
      <c r="N584" s="6">
        <f>IF(OR(A584="",B584=""),"",DATE(YEAR(B584),MONTH(B584),1))</f>
        <v/>
      </c>
      <c r="O584" s="7">
        <f>IF(COUNTA(A584:K584)=0,"",IF(OR(A584="",B584=""),"Preencher CPF e entrada",IF(COUNTIFS($A$12:$A$5011,A584,$B$12:$B$5011,B584)&gt;1,"CPF + dia duplicado",IF(OR(AND(G584&lt;&gt;"",G584&lt;&gt;0,G584&lt;&gt;1),AND(H584&lt;&gt;"",H584&lt;&gt;0,H584&lt;&gt;1)),"Flags devem ser 0 ou 1",IF(AND(H584=1,LEN(TRIM(I584))=0),"Preencher nome do indicante",IF(AND(H584&lt;&gt;1,I584&lt;&gt;""),"Nome sem indicação interna",IF(AND(G584=1,F584=""),"Fechamento sem conversa",IF(OR(AND(E584&lt;&gt;"",E584&lt;B584),AND(F584&lt;&gt;"",F584&lt;B584)),"Evento anterior à entrada",IF(AND(F584&lt;&gt;"",E584=""),"Conversa sem agendamento",IF(OR(E584&gt;TODAY(),F584&gt;TODAY()),"Verificar evento futuro","OK"))))))))))</f>
        <v/>
      </c>
    </row>
    <row r="585" spans="12:15">
      <c r="L585" s="5">
        <f>IF(OR(A585="",B585=""),"",B585-WEEKDAY(B585,2)+1)</f>
        <v/>
      </c>
      <c r="M585" s="5">
        <f>IF(L585="","",L585+6)</f>
        <v/>
      </c>
      <c r="N585" s="6">
        <f>IF(OR(A585="",B585=""),"",DATE(YEAR(B585),MONTH(B585),1))</f>
        <v/>
      </c>
      <c r="O585" s="7">
        <f>IF(COUNTA(A585:K585)=0,"",IF(OR(A585="",B585=""),"Preencher CPF e entrada",IF(COUNTIFS($A$12:$A$5011,A585,$B$12:$B$5011,B585)&gt;1,"CPF + dia duplicado",IF(OR(AND(G585&lt;&gt;"",G585&lt;&gt;0,G585&lt;&gt;1),AND(H585&lt;&gt;"",H585&lt;&gt;0,H585&lt;&gt;1)),"Flags devem ser 0 ou 1",IF(AND(H585=1,LEN(TRIM(I585))=0),"Preencher nome do indicante",IF(AND(H585&lt;&gt;1,I585&lt;&gt;""),"Nome sem indicação interna",IF(AND(G585=1,F585=""),"Fechamento sem conversa",IF(OR(AND(E585&lt;&gt;"",E585&lt;B585),AND(F585&lt;&gt;"",F585&lt;B585)),"Evento anterior à entrada",IF(AND(F585&lt;&gt;"",E585=""),"Conversa sem agendamento",IF(OR(E585&gt;TODAY(),F585&gt;TODAY()),"Verificar evento futuro","OK"))))))))))</f>
        <v/>
      </c>
    </row>
    <row r="586" spans="12:15">
      <c r="L586" s="5">
        <f>IF(OR(A586="",B586=""),"",B586-WEEKDAY(B586,2)+1)</f>
        <v/>
      </c>
      <c r="M586" s="5">
        <f>IF(L586="","",L586+6)</f>
        <v/>
      </c>
      <c r="N586" s="6">
        <f>IF(OR(A586="",B586=""),"",DATE(YEAR(B586),MONTH(B586),1))</f>
        <v/>
      </c>
      <c r="O586" s="7">
        <f>IF(COUNTA(A586:K586)=0,"",IF(OR(A586="",B586=""),"Preencher CPF e entrada",IF(COUNTIFS($A$12:$A$5011,A586,$B$12:$B$5011,B586)&gt;1,"CPF + dia duplicado",IF(OR(AND(G586&lt;&gt;"",G586&lt;&gt;0,G586&lt;&gt;1),AND(H586&lt;&gt;"",H586&lt;&gt;0,H586&lt;&gt;1)),"Flags devem ser 0 ou 1",IF(AND(H586=1,LEN(TRIM(I586))=0),"Preencher nome do indicante",IF(AND(H586&lt;&gt;1,I586&lt;&gt;""),"Nome sem indicação interna",IF(AND(G586=1,F586=""),"Fechamento sem conversa",IF(OR(AND(E586&lt;&gt;"",E586&lt;B586),AND(F586&lt;&gt;"",F586&lt;B586)),"Evento anterior à entrada",IF(AND(F586&lt;&gt;"",E586=""),"Conversa sem agendamento",IF(OR(E586&gt;TODAY(),F586&gt;TODAY()),"Verificar evento futuro","OK"))))))))))</f>
        <v/>
      </c>
    </row>
    <row r="587" spans="12:15">
      <c r="L587" s="5">
        <f>IF(OR(A587="",B587=""),"",B587-WEEKDAY(B587,2)+1)</f>
        <v/>
      </c>
      <c r="M587" s="5">
        <f>IF(L587="","",L587+6)</f>
        <v/>
      </c>
      <c r="N587" s="6">
        <f>IF(OR(A587="",B587=""),"",DATE(YEAR(B587),MONTH(B587),1))</f>
        <v/>
      </c>
      <c r="O587" s="7">
        <f>IF(COUNTA(A587:K587)=0,"",IF(OR(A587="",B587=""),"Preencher CPF e entrada",IF(COUNTIFS($A$12:$A$5011,A587,$B$12:$B$5011,B587)&gt;1,"CPF + dia duplicado",IF(OR(AND(G587&lt;&gt;"",G587&lt;&gt;0,G587&lt;&gt;1),AND(H587&lt;&gt;"",H587&lt;&gt;0,H587&lt;&gt;1)),"Flags devem ser 0 ou 1",IF(AND(H587=1,LEN(TRIM(I587))=0),"Preencher nome do indicante",IF(AND(H587&lt;&gt;1,I587&lt;&gt;""),"Nome sem indicação interna",IF(AND(G587=1,F587=""),"Fechamento sem conversa",IF(OR(AND(E587&lt;&gt;"",E587&lt;B587),AND(F587&lt;&gt;"",F587&lt;B587)),"Evento anterior à entrada",IF(AND(F587&lt;&gt;"",E587=""),"Conversa sem agendamento",IF(OR(E587&gt;TODAY(),F587&gt;TODAY()),"Verificar evento futuro","OK"))))))))))</f>
        <v/>
      </c>
    </row>
    <row r="588" spans="12:15">
      <c r="L588" s="5">
        <f>IF(OR(A588="",B588=""),"",B588-WEEKDAY(B588,2)+1)</f>
        <v/>
      </c>
      <c r="M588" s="5">
        <f>IF(L588="","",L588+6)</f>
        <v/>
      </c>
      <c r="N588" s="6">
        <f>IF(OR(A588="",B588=""),"",DATE(YEAR(B588),MONTH(B588),1))</f>
        <v/>
      </c>
      <c r="O588" s="7">
        <f>IF(COUNTA(A588:K588)=0,"",IF(OR(A588="",B588=""),"Preencher CPF e entrada",IF(COUNTIFS($A$12:$A$5011,A588,$B$12:$B$5011,B588)&gt;1,"CPF + dia duplicado",IF(OR(AND(G588&lt;&gt;"",G588&lt;&gt;0,G588&lt;&gt;1),AND(H588&lt;&gt;"",H588&lt;&gt;0,H588&lt;&gt;1)),"Flags devem ser 0 ou 1",IF(AND(H588=1,LEN(TRIM(I588))=0),"Preencher nome do indicante",IF(AND(H588&lt;&gt;1,I588&lt;&gt;""),"Nome sem indicação interna",IF(AND(G588=1,F588=""),"Fechamento sem conversa",IF(OR(AND(E588&lt;&gt;"",E588&lt;B588),AND(F588&lt;&gt;"",F588&lt;B588)),"Evento anterior à entrada",IF(AND(F588&lt;&gt;"",E588=""),"Conversa sem agendamento",IF(OR(E588&gt;TODAY(),F588&gt;TODAY()),"Verificar evento futuro","OK"))))))))))</f>
        <v/>
      </c>
    </row>
    <row r="589" spans="12:15">
      <c r="L589" s="5">
        <f>IF(OR(A589="",B589=""),"",B589-WEEKDAY(B589,2)+1)</f>
        <v/>
      </c>
      <c r="M589" s="5">
        <f>IF(L589="","",L589+6)</f>
        <v/>
      </c>
      <c r="N589" s="6">
        <f>IF(OR(A589="",B589=""),"",DATE(YEAR(B589),MONTH(B589),1))</f>
        <v/>
      </c>
      <c r="O589" s="7">
        <f>IF(COUNTA(A589:K589)=0,"",IF(OR(A589="",B589=""),"Preencher CPF e entrada",IF(COUNTIFS($A$12:$A$5011,A589,$B$12:$B$5011,B589)&gt;1,"CPF + dia duplicado",IF(OR(AND(G589&lt;&gt;"",G589&lt;&gt;0,G589&lt;&gt;1),AND(H589&lt;&gt;"",H589&lt;&gt;0,H589&lt;&gt;1)),"Flags devem ser 0 ou 1",IF(AND(H589=1,LEN(TRIM(I589))=0),"Preencher nome do indicante",IF(AND(H589&lt;&gt;1,I589&lt;&gt;""),"Nome sem indicação interna",IF(AND(G589=1,F589=""),"Fechamento sem conversa",IF(OR(AND(E589&lt;&gt;"",E589&lt;B589),AND(F589&lt;&gt;"",F589&lt;B589)),"Evento anterior à entrada",IF(AND(F589&lt;&gt;"",E589=""),"Conversa sem agendamento",IF(OR(E589&gt;TODAY(),F589&gt;TODAY()),"Verificar evento futuro","OK"))))))))))</f>
        <v/>
      </c>
    </row>
    <row r="590" spans="12:15">
      <c r="L590" s="5">
        <f>IF(OR(A590="",B590=""),"",B590-WEEKDAY(B590,2)+1)</f>
        <v/>
      </c>
      <c r="M590" s="5">
        <f>IF(L590="","",L590+6)</f>
        <v/>
      </c>
      <c r="N590" s="6">
        <f>IF(OR(A590="",B590=""),"",DATE(YEAR(B590),MONTH(B590),1))</f>
        <v/>
      </c>
      <c r="O590" s="7">
        <f>IF(COUNTA(A590:K590)=0,"",IF(OR(A590="",B590=""),"Preencher CPF e entrada",IF(COUNTIFS($A$12:$A$5011,A590,$B$12:$B$5011,B590)&gt;1,"CPF + dia duplicado",IF(OR(AND(G590&lt;&gt;"",G590&lt;&gt;0,G590&lt;&gt;1),AND(H590&lt;&gt;"",H590&lt;&gt;0,H590&lt;&gt;1)),"Flags devem ser 0 ou 1",IF(AND(H590=1,LEN(TRIM(I590))=0),"Preencher nome do indicante",IF(AND(H590&lt;&gt;1,I590&lt;&gt;""),"Nome sem indicação interna",IF(AND(G590=1,F590=""),"Fechamento sem conversa",IF(OR(AND(E590&lt;&gt;"",E590&lt;B590),AND(F590&lt;&gt;"",F590&lt;B590)),"Evento anterior à entrada",IF(AND(F590&lt;&gt;"",E590=""),"Conversa sem agendamento",IF(OR(E590&gt;TODAY(),F590&gt;TODAY()),"Verificar evento futuro","OK"))))))))))</f>
        <v/>
      </c>
    </row>
    <row r="591" spans="12:15">
      <c r="L591" s="5">
        <f>IF(OR(A591="",B591=""),"",B591-WEEKDAY(B591,2)+1)</f>
        <v/>
      </c>
      <c r="M591" s="5">
        <f>IF(L591="","",L591+6)</f>
        <v/>
      </c>
      <c r="N591" s="6">
        <f>IF(OR(A591="",B591=""),"",DATE(YEAR(B591),MONTH(B591),1))</f>
        <v/>
      </c>
      <c r="O591" s="7">
        <f>IF(COUNTA(A591:K591)=0,"",IF(OR(A591="",B591=""),"Preencher CPF e entrada",IF(COUNTIFS($A$12:$A$5011,A591,$B$12:$B$5011,B591)&gt;1,"CPF + dia duplicado",IF(OR(AND(G591&lt;&gt;"",G591&lt;&gt;0,G591&lt;&gt;1),AND(H591&lt;&gt;"",H591&lt;&gt;0,H591&lt;&gt;1)),"Flags devem ser 0 ou 1",IF(AND(H591=1,LEN(TRIM(I591))=0),"Preencher nome do indicante",IF(AND(H591&lt;&gt;1,I591&lt;&gt;""),"Nome sem indicação interna",IF(AND(G591=1,F591=""),"Fechamento sem conversa",IF(OR(AND(E591&lt;&gt;"",E591&lt;B591),AND(F591&lt;&gt;"",F591&lt;B591)),"Evento anterior à entrada",IF(AND(F591&lt;&gt;"",E591=""),"Conversa sem agendamento",IF(OR(E591&gt;TODAY(),F591&gt;TODAY()),"Verificar evento futuro","OK"))))))))))</f>
        <v/>
      </c>
    </row>
    <row r="592" spans="12:15">
      <c r="L592" s="5">
        <f>IF(OR(A592="",B592=""),"",B592-WEEKDAY(B592,2)+1)</f>
        <v/>
      </c>
      <c r="M592" s="5">
        <f>IF(L592="","",L592+6)</f>
        <v/>
      </c>
      <c r="N592" s="6">
        <f>IF(OR(A592="",B592=""),"",DATE(YEAR(B592),MONTH(B592),1))</f>
        <v/>
      </c>
      <c r="O592" s="7">
        <f>IF(COUNTA(A592:K592)=0,"",IF(OR(A592="",B592=""),"Preencher CPF e entrada",IF(COUNTIFS($A$12:$A$5011,A592,$B$12:$B$5011,B592)&gt;1,"CPF + dia duplicado",IF(OR(AND(G592&lt;&gt;"",G592&lt;&gt;0,G592&lt;&gt;1),AND(H592&lt;&gt;"",H592&lt;&gt;0,H592&lt;&gt;1)),"Flags devem ser 0 ou 1",IF(AND(H592=1,LEN(TRIM(I592))=0),"Preencher nome do indicante",IF(AND(H592&lt;&gt;1,I592&lt;&gt;""),"Nome sem indicação interna",IF(AND(G592=1,F592=""),"Fechamento sem conversa",IF(OR(AND(E592&lt;&gt;"",E592&lt;B592),AND(F592&lt;&gt;"",F592&lt;B592)),"Evento anterior à entrada",IF(AND(F592&lt;&gt;"",E592=""),"Conversa sem agendamento",IF(OR(E592&gt;TODAY(),F592&gt;TODAY()),"Verificar evento futuro","OK"))))))))))</f>
        <v/>
      </c>
    </row>
    <row r="593" spans="12:15">
      <c r="L593" s="5">
        <f>IF(OR(A593="",B593=""),"",B593-WEEKDAY(B593,2)+1)</f>
        <v/>
      </c>
      <c r="M593" s="5">
        <f>IF(L593="","",L593+6)</f>
        <v/>
      </c>
      <c r="N593" s="6">
        <f>IF(OR(A593="",B593=""),"",DATE(YEAR(B593),MONTH(B593),1))</f>
        <v/>
      </c>
      <c r="O593" s="7">
        <f>IF(COUNTA(A593:K593)=0,"",IF(OR(A593="",B593=""),"Preencher CPF e entrada",IF(COUNTIFS($A$12:$A$5011,A593,$B$12:$B$5011,B593)&gt;1,"CPF + dia duplicado",IF(OR(AND(G593&lt;&gt;"",G593&lt;&gt;0,G593&lt;&gt;1),AND(H593&lt;&gt;"",H593&lt;&gt;0,H593&lt;&gt;1)),"Flags devem ser 0 ou 1",IF(AND(H593=1,LEN(TRIM(I593))=0),"Preencher nome do indicante",IF(AND(H593&lt;&gt;1,I593&lt;&gt;""),"Nome sem indicação interna",IF(AND(G593=1,F593=""),"Fechamento sem conversa",IF(OR(AND(E593&lt;&gt;"",E593&lt;B593),AND(F593&lt;&gt;"",F593&lt;B593)),"Evento anterior à entrada",IF(AND(F593&lt;&gt;"",E593=""),"Conversa sem agendamento",IF(OR(E593&gt;TODAY(),F593&gt;TODAY()),"Verificar evento futuro","OK"))))))))))</f>
        <v/>
      </c>
    </row>
    <row r="594" spans="12:15">
      <c r="L594" s="5">
        <f>IF(OR(A594="",B594=""),"",B594-WEEKDAY(B594,2)+1)</f>
        <v/>
      </c>
      <c r="M594" s="5">
        <f>IF(L594="","",L594+6)</f>
        <v/>
      </c>
      <c r="N594" s="6">
        <f>IF(OR(A594="",B594=""),"",DATE(YEAR(B594),MONTH(B594),1))</f>
        <v/>
      </c>
      <c r="O594" s="7">
        <f>IF(COUNTA(A594:K594)=0,"",IF(OR(A594="",B594=""),"Preencher CPF e entrada",IF(COUNTIFS($A$12:$A$5011,A594,$B$12:$B$5011,B594)&gt;1,"CPF + dia duplicado",IF(OR(AND(G594&lt;&gt;"",G594&lt;&gt;0,G594&lt;&gt;1),AND(H594&lt;&gt;"",H594&lt;&gt;0,H594&lt;&gt;1)),"Flags devem ser 0 ou 1",IF(AND(H594=1,LEN(TRIM(I594))=0),"Preencher nome do indicante",IF(AND(H594&lt;&gt;1,I594&lt;&gt;""),"Nome sem indicação interna",IF(AND(G594=1,F594=""),"Fechamento sem conversa",IF(OR(AND(E594&lt;&gt;"",E594&lt;B594),AND(F594&lt;&gt;"",F594&lt;B594)),"Evento anterior à entrada",IF(AND(F594&lt;&gt;"",E594=""),"Conversa sem agendamento",IF(OR(E594&gt;TODAY(),F594&gt;TODAY()),"Verificar evento futuro","OK"))))))))))</f>
        <v/>
      </c>
    </row>
    <row r="595" spans="12:15">
      <c r="L595" s="5">
        <f>IF(OR(A595="",B595=""),"",B595-WEEKDAY(B595,2)+1)</f>
        <v/>
      </c>
      <c r="M595" s="5">
        <f>IF(L595="","",L595+6)</f>
        <v/>
      </c>
      <c r="N595" s="6">
        <f>IF(OR(A595="",B595=""),"",DATE(YEAR(B595),MONTH(B595),1))</f>
        <v/>
      </c>
      <c r="O595" s="7">
        <f>IF(COUNTA(A595:K595)=0,"",IF(OR(A595="",B595=""),"Preencher CPF e entrada",IF(COUNTIFS($A$12:$A$5011,A595,$B$12:$B$5011,B595)&gt;1,"CPF + dia duplicado",IF(OR(AND(G595&lt;&gt;"",G595&lt;&gt;0,G595&lt;&gt;1),AND(H595&lt;&gt;"",H595&lt;&gt;0,H595&lt;&gt;1)),"Flags devem ser 0 ou 1",IF(AND(H595=1,LEN(TRIM(I595))=0),"Preencher nome do indicante",IF(AND(H595&lt;&gt;1,I595&lt;&gt;""),"Nome sem indicação interna",IF(AND(G595=1,F595=""),"Fechamento sem conversa",IF(OR(AND(E595&lt;&gt;"",E595&lt;B595),AND(F595&lt;&gt;"",F595&lt;B595)),"Evento anterior à entrada",IF(AND(F595&lt;&gt;"",E595=""),"Conversa sem agendamento",IF(OR(E595&gt;TODAY(),F595&gt;TODAY()),"Verificar evento futuro","OK"))))))))))</f>
        <v/>
      </c>
    </row>
    <row r="596" spans="12:15">
      <c r="L596" s="5">
        <f>IF(OR(A596="",B596=""),"",B596-WEEKDAY(B596,2)+1)</f>
        <v/>
      </c>
      <c r="M596" s="5">
        <f>IF(L596="","",L596+6)</f>
        <v/>
      </c>
      <c r="N596" s="6">
        <f>IF(OR(A596="",B596=""),"",DATE(YEAR(B596),MONTH(B596),1))</f>
        <v/>
      </c>
      <c r="O596" s="7">
        <f>IF(COUNTA(A596:K596)=0,"",IF(OR(A596="",B596=""),"Preencher CPF e entrada",IF(COUNTIFS($A$12:$A$5011,A596,$B$12:$B$5011,B596)&gt;1,"CPF + dia duplicado",IF(OR(AND(G596&lt;&gt;"",G596&lt;&gt;0,G596&lt;&gt;1),AND(H596&lt;&gt;"",H596&lt;&gt;0,H596&lt;&gt;1)),"Flags devem ser 0 ou 1",IF(AND(H596=1,LEN(TRIM(I596))=0),"Preencher nome do indicante",IF(AND(H596&lt;&gt;1,I596&lt;&gt;""),"Nome sem indicação interna",IF(AND(G596=1,F596=""),"Fechamento sem conversa",IF(OR(AND(E596&lt;&gt;"",E596&lt;B596),AND(F596&lt;&gt;"",F596&lt;B596)),"Evento anterior à entrada",IF(AND(F596&lt;&gt;"",E596=""),"Conversa sem agendamento",IF(OR(E596&gt;TODAY(),F596&gt;TODAY()),"Verificar evento futuro","OK"))))))))))</f>
        <v/>
      </c>
    </row>
    <row r="597" spans="12:15">
      <c r="L597" s="5">
        <f>IF(OR(A597="",B597=""),"",B597-WEEKDAY(B597,2)+1)</f>
        <v/>
      </c>
      <c r="M597" s="5">
        <f>IF(L597="","",L597+6)</f>
        <v/>
      </c>
      <c r="N597" s="6">
        <f>IF(OR(A597="",B597=""),"",DATE(YEAR(B597),MONTH(B597),1))</f>
        <v/>
      </c>
      <c r="O597" s="7">
        <f>IF(COUNTA(A597:K597)=0,"",IF(OR(A597="",B597=""),"Preencher CPF e entrada",IF(COUNTIFS($A$12:$A$5011,A597,$B$12:$B$5011,B597)&gt;1,"CPF + dia duplicado",IF(OR(AND(G597&lt;&gt;"",G597&lt;&gt;0,G597&lt;&gt;1),AND(H597&lt;&gt;"",H597&lt;&gt;0,H597&lt;&gt;1)),"Flags devem ser 0 ou 1",IF(AND(H597=1,LEN(TRIM(I597))=0),"Preencher nome do indicante",IF(AND(H597&lt;&gt;1,I597&lt;&gt;""),"Nome sem indicação interna",IF(AND(G597=1,F597=""),"Fechamento sem conversa",IF(OR(AND(E597&lt;&gt;"",E597&lt;B597),AND(F597&lt;&gt;"",F597&lt;B597)),"Evento anterior à entrada",IF(AND(F597&lt;&gt;"",E597=""),"Conversa sem agendamento",IF(OR(E597&gt;TODAY(),F597&gt;TODAY()),"Verificar evento futuro","OK"))))))))))</f>
        <v/>
      </c>
    </row>
    <row r="598" spans="12:15">
      <c r="L598" s="5">
        <f>IF(OR(A598="",B598=""),"",B598-WEEKDAY(B598,2)+1)</f>
        <v/>
      </c>
      <c r="M598" s="5">
        <f>IF(L598="","",L598+6)</f>
        <v/>
      </c>
      <c r="N598" s="6">
        <f>IF(OR(A598="",B598=""),"",DATE(YEAR(B598),MONTH(B598),1))</f>
        <v/>
      </c>
      <c r="O598" s="7">
        <f>IF(COUNTA(A598:K598)=0,"",IF(OR(A598="",B598=""),"Preencher CPF e entrada",IF(COUNTIFS($A$12:$A$5011,A598,$B$12:$B$5011,B598)&gt;1,"CPF + dia duplicado",IF(OR(AND(G598&lt;&gt;"",G598&lt;&gt;0,G598&lt;&gt;1),AND(H598&lt;&gt;"",H598&lt;&gt;0,H598&lt;&gt;1)),"Flags devem ser 0 ou 1",IF(AND(H598=1,LEN(TRIM(I598))=0),"Preencher nome do indicante",IF(AND(H598&lt;&gt;1,I598&lt;&gt;""),"Nome sem indicação interna",IF(AND(G598=1,F598=""),"Fechamento sem conversa",IF(OR(AND(E598&lt;&gt;"",E598&lt;B598),AND(F598&lt;&gt;"",F598&lt;B598)),"Evento anterior à entrada",IF(AND(F598&lt;&gt;"",E598=""),"Conversa sem agendamento",IF(OR(E598&gt;TODAY(),F598&gt;TODAY()),"Verificar evento futuro","OK"))))))))))</f>
        <v/>
      </c>
    </row>
    <row r="599" spans="12:15">
      <c r="L599" s="5">
        <f>IF(OR(A599="",B599=""),"",B599-WEEKDAY(B599,2)+1)</f>
        <v/>
      </c>
      <c r="M599" s="5">
        <f>IF(L599="","",L599+6)</f>
        <v/>
      </c>
      <c r="N599" s="6">
        <f>IF(OR(A599="",B599=""),"",DATE(YEAR(B599),MONTH(B599),1))</f>
        <v/>
      </c>
      <c r="O599" s="7">
        <f>IF(COUNTA(A599:K599)=0,"",IF(OR(A599="",B599=""),"Preencher CPF e entrada",IF(COUNTIFS($A$12:$A$5011,A599,$B$12:$B$5011,B599)&gt;1,"CPF + dia duplicado",IF(OR(AND(G599&lt;&gt;"",G599&lt;&gt;0,G599&lt;&gt;1),AND(H599&lt;&gt;"",H599&lt;&gt;0,H599&lt;&gt;1)),"Flags devem ser 0 ou 1",IF(AND(H599=1,LEN(TRIM(I599))=0),"Preencher nome do indicante",IF(AND(H599&lt;&gt;1,I599&lt;&gt;""),"Nome sem indicação interna",IF(AND(G599=1,F599=""),"Fechamento sem conversa",IF(OR(AND(E599&lt;&gt;"",E599&lt;B599),AND(F599&lt;&gt;"",F599&lt;B599)),"Evento anterior à entrada",IF(AND(F599&lt;&gt;"",E599=""),"Conversa sem agendamento",IF(OR(E599&gt;TODAY(),F599&gt;TODAY()),"Verificar evento futuro","OK"))))))))))</f>
        <v/>
      </c>
    </row>
    <row r="600" spans="12:15">
      <c r="L600" s="5">
        <f>IF(OR(A600="",B600=""),"",B600-WEEKDAY(B600,2)+1)</f>
        <v/>
      </c>
      <c r="M600" s="5">
        <f>IF(L600="","",L600+6)</f>
        <v/>
      </c>
      <c r="N600" s="6">
        <f>IF(OR(A600="",B600=""),"",DATE(YEAR(B600),MONTH(B600),1))</f>
        <v/>
      </c>
      <c r="O600" s="7">
        <f>IF(COUNTA(A600:K600)=0,"",IF(OR(A600="",B600=""),"Preencher CPF e entrada",IF(COUNTIFS($A$12:$A$5011,A600,$B$12:$B$5011,B600)&gt;1,"CPF + dia duplicado",IF(OR(AND(G600&lt;&gt;"",G600&lt;&gt;0,G600&lt;&gt;1),AND(H600&lt;&gt;"",H600&lt;&gt;0,H600&lt;&gt;1)),"Flags devem ser 0 ou 1",IF(AND(H600=1,LEN(TRIM(I600))=0),"Preencher nome do indicante",IF(AND(H600&lt;&gt;1,I600&lt;&gt;""),"Nome sem indicação interna",IF(AND(G600=1,F600=""),"Fechamento sem conversa",IF(OR(AND(E600&lt;&gt;"",E600&lt;B600),AND(F600&lt;&gt;"",F600&lt;B600)),"Evento anterior à entrada",IF(AND(F600&lt;&gt;"",E600=""),"Conversa sem agendamento",IF(OR(E600&gt;TODAY(),F600&gt;TODAY()),"Verificar evento futuro","OK"))))))))))</f>
        <v/>
      </c>
    </row>
    <row r="601" spans="12:15">
      <c r="L601" s="5">
        <f>IF(OR(A601="",B601=""),"",B601-WEEKDAY(B601,2)+1)</f>
        <v/>
      </c>
      <c r="M601" s="5">
        <f>IF(L601="","",L601+6)</f>
        <v/>
      </c>
      <c r="N601" s="6">
        <f>IF(OR(A601="",B601=""),"",DATE(YEAR(B601),MONTH(B601),1))</f>
        <v/>
      </c>
      <c r="O601" s="7">
        <f>IF(COUNTA(A601:K601)=0,"",IF(OR(A601="",B601=""),"Preencher CPF e entrada",IF(COUNTIFS($A$12:$A$5011,A601,$B$12:$B$5011,B601)&gt;1,"CPF + dia duplicado",IF(OR(AND(G601&lt;&gt;"",G601&lt;&gt;0,G601&lt;&gt;1),AND(H601&lt;&gt;"",H601&lt;&gt;0,H601&lt;&gt;1)),"Flags devem ser 0 ou 1",IF(AND(H601=1,LEN(TRIM(I601))=0),"Preencher nome do indicante",IF(AND(H601&lt;&gt;1,I601&lt;&gt;""),"Nome sem indicação interna",IF(AND(G601=1,F601=""),"Fechamento sem conversa",IF(OR(AND(E601&lt;&gt;"",E601&lt;B601),AND(F601&lt;&gt;"",F601&lt;B601)),"Evento anterior à entrada",IF(AND(F601&lt;&gt;"",E601=""),"Conversa sem agendamento",IF(OR(E601&gt;TODAY(),F601&gt;TODAY()),"Verificar evento futuro","OK"))))))))))</f>
        <v/>
      </c>
    </row>
    <row r="602" spans="12:15">
      <c r="L602" s="5">
        <f>IF(OR(A602="",B602=""),"",B602-WEEKDAY(B602,2)+1)</f>
        <v/>
      </c>
      <c r="M602" s="5">
        <f>IF(L602="","",L602+6)</f>
        <v/>
      </c>
      <c r="N602" s="6">
        <f>IF(OR(A602="",B602=""),"",DATE(YEAR(B602),MONTH(B602),1))</f>
        <v/>
      </c>
      <c r="O602" s="7">
        <f>IF(COUNTA(A602:K602)=0,"",IF(OR(A602="",B602=""),"Preencher CPF e entrada",IF(COUNTIFS($A$12:$A$5011,A602,$B$12:$B$5011,B602)&gt;1,"CPF + dia duplicado",IF(OR(AND(G602&lt;&gt;"",G602&lt;&gt;0,G602&lt;&gt;1),AND(H602&lt;&gt;"",H602&lt;&gt;0,H602&lt;&gt;1)),"Flags devem ser 0 ou 1",IF(AND(H602=1,LEN(TRIM(I602))=0),"Preencher nome do indicante",IF(AND(H602&lt;&gt;1,I602&lt;&gt;""),"Nome sem indicação interna",IF(AND(G602=1,F602=""),"Fechamento sem conversa",IF(OR(AND(E602&lt;&gt;"",E602&lt;B602),AND(F602&lt;&gt;"",F602&lt;B602)),"Evento anterior à entrada",IF(AND(F602&lt;&gt;"",E602=""),"Conversa sem agendamento",IF(OR(E602&gt;TODAY(),F602&gt;TODAY()),"Verificar evento futuro","OK"))))))))))</f>
        <v/>
      </c>
    </row>
    <row r="603" spans="12:15">
      <c r="L603" s="5">
        <f>IF(OR(A603="",B603=""),"",B603-WEEKDAY(B603,2)+1)</f>
        <v/>
      </c>
      <c r="M603" s="5">
        <f>IF(L603="","",L603+6)</f>
        <v/>
      </c>
      <c r="N603" s="6">
        <f>IF(OR(A603="",B603=""),"",DATE(YEAR(B603),MONTH(B603),1))</f>
        <v/>
      </c>
      <c r="O603" s="7">
        <f>IF(COUNTA(A603:K603)=0,"",IF(OR(A603="",B603=""),"Preencher CPF e entrada",IF(COUNTIFS($A$12:$A$5011,A603,$B$12:$B$5011,B603)&gt;1,"CPF + dia duplicado",IF(OR(AND(G603&lt;&gt;"",G603&lt;&gt;0,G603&lt;&gt;1),AND(H603&lt;&gt;"",H603&lt;&gt;0,H603&lt;&gt;1)),"Flags devem ser 0 ou 1",IF(AND(H603=1,LEN(TRIM(I603))=0),"Preencher nome do indicante",IF(AND(H603&lt;&gt;1,I603&lt;&gt;""),"Nome sem indicação interna",IF(AND(G603=1,F603=""),"Fechamento sem conversa",IF(OR(AND(E603&lt;&gt;"",E603&lt;B603),AND(F603&lt;&gt;"",F603&lt;B603)),"Evento anterior à entrada",IF(AND(F603&lt;&gt;"",E603=""),"Conversa sem agendamento",IF(OR(E603&gt;TODAY(),F603&gt;TODAY()),"Verificar evento futuro","OK"))))))))))</f>
        <v/>
      </c>
    </row>
    <row r="604" spans="12:15">
      <c r="L604" s="5">
        <f>IF(OR(A604="",B604=""),"",B604-WEEKDAY(B604,2)+1)</f>
        <v/>
      </c>
      <c r="M604" s="5">
        <f>IF(L604="","",L604+6)</f>
        <v/>
      </c>
      <c r="N604" s="6">
        <f>IF(OR(A604="",B604=""),"",DATE(YEAR(B604),MONTH(B604),1))</f>
        <v/>
      </c>
      <c r="O604" s="7">
        <f>IF(COUNTA(A604:K604)=0,"",IF(OR(A604="",B604=""),"Preencher CPF e entrada",IF(COUNTIFS($A$12:$A$5011,A604,$B$12:$B$5011,B604)&gt;1,"CPF + dia duplicado",IF(OR(AND(G604&lt;&gt;"",G604&lt;&gt;0,G604&lt;&gt;1),AND(H604&lt;&gt;"",H604&lt;&gt;0,H604&lt;&gt;1)),"Flags devem ser 0 ou 1",IF(AND(H604=1,LEN(TRIM(I604))=0),"Preencher nome do indicante",IF(AND(H604&lt;&gt;1,I604&lt;&gt;""),"Nome sem indicação interna",IF(AND(G604=1,F604=""),"Fechamento sem conversa",IF(OR(AND(E604&lt;&gt;"",E604&lt;B604),AND(F604&lt;&gt;"",F604&lt;B604)),"Evento anterior à entrada",IF(AND(F604&lt;&gt;"",E604=""),"Conversa sem agendamento",IF(OR(E604&gt;TODAY(),F604&gt;TODAY()),"Verificar evento futuro","OK"))))))))))</f>
        <v/>
      </c>
    </row>
    <row r="605" spans="12:15">
      <c r="L605" s="5">
        <f>IF(OR(A605="",B605=""),"",B605-WEEKDAY(B605,2)+1)</f>
        <v/>
      </c>
      <c r="M605" s="5">
        <f>IF(L605="","",L605+6)</f>
        <v/>
      </c>
      <c r="N605" s="6">
        <f>IF(OR(A605="",B605=""),"",DATE(YEAR(B605),MONTH(B605),1))</f>
        <v/>
      </c>
      <c r="O605" s="7">
        <f>IF(COUNTA(A605:K605)=0,"",IF(OR(A605="",B605=""),"Preencher CPF e entrada",IF(COUNTIFS($A$12:$A$5011,A605,$B$12:$B$5011,B605)&gt;1,"CPF + dia duplicado",IF(OR(AND(G605&lt;&gt;"",G605&lt;&gt;0,G605&lt;&gt;1),AND(H605&lt;&gt;"",H605&lt;&gt;0,H605&lt;&gt;1)),"Flags devem ser 0 ou 1",IF(AND(H605=1,LEN(TRIM(I605))=0),"Preencher nome do indicante",IF(AND(H605&lt;&gt;1,I605&lt;&gt;""),"Nome sem indicação interna",IF(AND(G605=1,F605=""),"Fechamento sem conversa",IF(OR(AND(E605&lt;&gt;"",E605&lt;B605),AND(F605&lt;&gt;"",F605&lt;B605)),"Evento anterior à entrada",IF(AND(F605&lt;&gt;"",E605=""),"Conversa sem agendamento",IF(OR(E605&gt;TODAY(),F605&gt;TODAY()),"Verificar evento futuro","OK"))))))))))</f>
        <v/>
      </c>
    </row>
    <row r="606" spans="12:15">
      <c r="L606" s="5">
        <f>IF(OR(A606="",B606=""),"",B606-WEEKDAY(B606,2)+1)</f>
        <v/>
      </c>
      <c r="M606" s="5">
        <f>IF(L606="","",L606+6)</f>
        <v/>
      </c>
      <c r="N606" s="6">
        <f>IF(OR(A606="",B606=""),"",DATE(YEAR(B606),MONTH(B606),1))</f>
        <v/>
      </c>
      <c r="O606" s="7">
        <f>IF(COUNTA(A606:K606)=0,"",IF(OR(A606="",B606=""),"Preencher CPF e entrada",IF(COUNTIFS($A$12:$A$5011,A606,$B$12:$B$5011,B606)&gt;1,"CPF + dia duplicado",IF(OR(AND(G606&lt;&gt;"",G606&lt;&gt;0,G606&lt;&gt;1),AND(H606&lt;&gt;"",H606&lt;&gt;0,H606&lt;&gt;1)),"Flags devem ser 0 ou 1",IF(AND(H606=1,LEN(TRIM(I606))=0),"Preencher nome do indicante",IF(AND(H606&lt;&gt;1,I606&lt;&gt;""),"Nome sem indicação interna",IF(AND(G606=1,F606=""),"Fechamento sem conversa",IF(OR(AND(E606&lt;&gt;"",E606&lt;B606),AND(F606&lt;&gt;"",F606&lt;B606)),"Evento anterior à entrada",IF(AND(F606&lt;&gt;"",E606=""),"Conversa sem agendamento",IF(OR(E606&gt;TODAY(),F606&gt;TODAY()),"Verificar evento futuro","OK"))))))))))</f>
        <v/>
      </c>
    </row>
    <row r="607" spans="12:15">
      <c r="L607" s="5">
        <f>IF(OR(A607="",B607=""),"",B607-WEEKDAY(B607,2)+1)</f>
        <v/>
      </c>
      <c r="M607" s="5">
        <f>IF(L607="","",L607+6)</f>
        <v/>
      </c>
      <c r="N607" s="6">
        <f>IF(OR(A607="",B607=""),"",DATE(YEAR(B607),MONTH(B607),1))</f>
        <v/>
      </c>
      <c r="O607" s="7">
        <f>IF(COUNTA(A607:K607)=0,"",IF(OR(A607="",B607=""),"Preencher CPF e entrada",IF(COUNTIFS($A$12:$A$5011,A607,$B$12:$B$5011,B607)&gt;1,"CPF + dia duplicado",IF(OR(AND(G607&lt;&gt;"",G607&lt;&gt;0,G607&lt;&gt;1),AND(H607&lt;&gt;"",H607&lt;&gt;0,H607&lt;&gt;1)),"Flags devem ser 0 ou 1",IF(AND(H607=1,LEN(TRIM(I607))=0),"Preencher nome do indicante",IF(AND(H607&lt;&gt;1,I607&lt;&gt;""),"Nome sem indicação interna",IF(AND(G607=1,F607=""),"Fechamento sem conversa",IF(OR(AND(E607&lt;&gt;"",E607&lt;B607),AND(F607&lt;&gt;"",F607&lt;B607)),"Evento anterior à entrada",IF(AND(F607&lt;&gt;"",E607=""),"Conversa sem agendamento",IF(OR(E607&gt;TODAY(),F607&gt;TODAY()),"Verificar evento futuro","OK"))))))))))</f>
        <v/>
      </c>
    </row>
    <row r="608" spans="12:15">
      <c r="L608" s="5">
        <f>IF(OR(A608="",B608=""),"",B608-WEEKDAY(B608,2)+1)</f>
        <v/>
      </c>
      <c r="M608" s="5">
        <f>IF(L608="","",L608+6)</f>
        <v/>
      </c>
      <c r="N608" s="6">
        <f>IF(OR(A608="",B608=""),"",DATE(YEAR(B608),MONTH(B608),1))</f>
        <v/>
      </c>
      <c r="O608" s="7">
        <f>IF(COUNTA(A608:K608)=0,"",IF(OR(A608="",B608=""),"Preencher CPF e entrada",IF(COUNTIFS($A$12:$A$5011,A608,$B$12:$B$5011,B608)&gt;1,"CPF + dia duplicado",IF(OR(AND(G608&lt;&gt;"",G608&lt;&gt;0,G608&lt;&gt;1),AND(H608&lt;&gt;"",H608&lt;&gt;0,H608&lt;&gt;1)),"Flags devem ser 0 ou 1",IF(AND(H608=1,LEN(TRIM(I608))=0),"Preencher nome do indicante",IF(AND(H608&lt;&gt;1,I608&lt;&gt;""),"Nome sem indicação interna",IF(AND(G608=1,F608=""),"Fechamento sem conversa",IF(OR(AND(E608&lt;&gt;"",E608&lt;B608),AND(F608&lt;&gt;"",F608&lt;B608)),"Evento anterior à entrada",IF(AND(F608&lt;&gt;"",E608=""),"Conversa sem agendamento",IF(OR(E608&gt;TODAY(),F608&gt;TODAY()),"Verificar evento futuro","OK"))))))))))</f>
        <v/>
      </c>
    </row>
    <row r="609" spans="12:15">
      <c r="L609" s="5">
        <f>IF(OR(A609="",B609=""),"",B609-WEEKDAY(B609,2)+1)</f>
        <v/>
      </c>
      <c r="M609" s="5">
        <f>IF(L609="","",L609+6)</f>
        <v/>
      </c>
      <c r="N609" s="6">
        <f>IF(OR(A609="",B609=""),"",DATE(YEAR(B609),MONTH(B609),1))</f>
        <v/>
      </c>
      <c r="O609" s="7">
        <f>IF(COUNTA(A609:K609)=0,"",IF(OR(A609="",B609=""),"Preencher CPF e entrada",IF(COUNTIFS($A$12:$A$5011,A609,$B$12:$B$5011,B609)&gt;1,"CPF + dia duplicado",IF(OR(AND(G609&lt;&gt;"",G609&lt;&gt;0,G609&lt;&gt;1),AND(H609&lt;&gt;"",H609&lt;&gt;0,H609&lt;&gt;1)),"Flags devem ser 0 ou 1",IF(AND(H609=1,LEN(TRIM(I609))=0),"Preencher nome do indicante",IF(AND(H609&lt;&gt;1,I609&lt;&gt;""),"Nome sem indicação interna",IF(AND(G609=1,F609=""),"Fechamento sem conversa",IF(OR(AND(E609&lt;&gt;"",E609&lt;B609),AND(F609&lt;&gt;"",F609&lt;B609)),"Evento anterior à entrada",IF(AND(F609&lt;&gt;"",E609=""),"Conversa sem agendamento",IF(OR(E609&gt;TODAY(),F609&gt;TODAY()),"Verificar evento futuro","OK"))))))))))</f>
        <v/>
      </c>
    </row>
    <row r="610" spans="12:15">
      <c r="L610" s="5">
        <f>IF(OR(A610="",B610=""),"",B610-WEEKDAY(B610,2)+1)</f>
        <v/>
      </c>
      <c r="M610" s="5">
        <f>IF(L610="","",L610+6)</f>
        <v/>
      </c>
      <c r="N610" s="6">
        <f>IF(OR(A610="",B610=""),"",DATE(YEAR(B610),MONTH(B610),1))</f>
        <v/>
      </c>
      <c r="O610" s="7">
        <f>IF(COUNTA(A610:K610)=0,"",IF(OR(A610="",B610=""),"Preencher CPF e entrada",IF(COUNTIFS($A$12:$A$5011,A610,$B$12:$B$5011,B610)&gt;1,"CPF + dia duplicado",IF(OR(AND(G610&lt;&gt;"",G610&lt;&gt;0,G610&lt;&gt;1),AND(H610&lt;&gt;"",H610&lt;&gt;0,H610&lt;&gt;1)),"Flags devem ser 0 ou 1",IF(AND(H610=1,LEN(TRIM(I610))=0),"Preencher nome do indicante",IF(AND(H610&lt;&gt;1,I610&lt;&gt;""),"Nome sem indicação interna",IF(AND(G610=1,F610=""),"Fechamento sem conversa",IF(OR(AND(E610&lt;&gt;"",E610&lt;B610),AND(F610&lt;&gt;"",F610&lt;B610)),"Evento anterior à entrada",IF(AND(F610&lt;&gt;"",E610=""),"Conversa sem agendamento",IF(OR(E610&gt;TODAY(),F610&gt;TODAY()),"Verificar evento futuro","OK"))))))))))</f>
        <v/>
      </c>
    </row>
    <row r="611" spans="12:15">
      <c r="L611" s="5">
        <f>IF(OR(A611="",B611=""),"",B611-WEEKDAY(B611,2)+1)</f>
        <v/>
      </c>
      <c r="M611" s="5">
        <f>IF(L611="","",L611+6)</f>
        <v/>
      </c>
      <c r="N611" s="6">
        <f>IF(OR(A611="",B611=""),"",DATE(YEAR(B611),MONTH(B611),1))</f>
        <v/>
      </c>
      <c r="O611" s="7">
        <f>IF(COUNTA(A611:K611)=0,"",IF(OR(A611="",B611=""),"Preencher CPF e entrada",IF(COUNTIFS($A$12:$A$5011,A611,$B$12:$B$5011,B611)&gt;1,"CPF + dia duplicado",IF(OR(AND(G611&lt;&gt;"",G611&lt;&gt;0,G611&lt;&gt;1),AND(H611&lt;&gt;"",H611&lt;&gt;0,H611&lt;&gt;1)),"Flags devem ser 0 ou 1",IF(AND(H611=1,LEN(TRIM(I611))=0),"Preencher nome do indicante",IF(AND(H611&lt;&gt;1,I611&lt;&gt;""),"Nome sem indicação interna",IF(AND(G611=1,F611=""),"Fechamento sem conversa",IF(OR(AND(E611&lt;&gt;"",E611&lt;B611),AND(F611&lt;&gt;"",F611&lt;B611)),"Evento anterior à entrada",IF(AND(F611&lt;&gt;"",E611=""),"Conversa sem agendamento",IF(OR(E611&gt;TODAY(),F611&gt;TODAY()),"Verificar evento futuro","OK"))))))))))</f>
        <v/>
      </c>
    </row>
    <row r="612" spans="12:15">
      <c r="L612" s="5">
        <f>IF(OR(A612="",B612=""),"",B612-WEEKDAY(B612,2)+1)</f>
        <v/>
      </c>
      <c r="M612" s="5">
        <f>IF(L612="","",L612+6)</f>
        <v/>
      </c>
      <c r="N612" s="6">
        <f>IF(OR(A612="",B612=""),"",DATE(YEAR(B612),MONTH(B612),1))</f>
        <v/>
      </c>
      <c r="O612" s="7">
        <f>IF(COUNTA(A612:K612)=0,"",IF(OR(A612="",B612=""),"Preencher CPF e entrada",IF(COUNTIFS($A$12:$A$5011,A612,$B$12:$B$5011,B612)&gt;1,"CPF + dia duplicado",IF(OR(AND(G612&lt;&gt;"",G612&lt;&gt;0,G612&lt;&gt;1),AND(H612&lt;&gt;"",H612&lt;&gt;0,H612&lt;&gt;1)),"Flags devem ser 0 ou 1",IF(AND(H612=1,LEN(TRIM(I612))=0),"Preencher nome do indicante",IF(AND(H612&lt;&gt;1,I612&lt;&gt;""),"Nome sem indicação interna",IF(AND(G612=1,F612=""),"Fechamento sem conversa",IF(OR(AND(E612&lt;&gt;"",E612&lt;B612),AND(F612&lt;&gt;"",F612&lt;B612)),"Evento anterior à entrada",IF(AND(F612&lt;&gt;"",E612=""),"Conversa sem agendamento",IF(OR(E612&gt;TODAY(),F612&gt;TODAY()),"Verificar evento futuro","OK"))))))))))</f>
        <v/>
      </c>
    </row>
    <row r="613" spans="12:15">
      <c r="L613" s="5">
        <f>IF(OR(A613="",B613=""),"",B613-WEEKDAY(B613,2)+1)</f>
        <v/>
      </c>
      <c r="M613" s="5">
        <f>IF(L613="","",L613+6)</f>
        <v/>
      </c>
      <c r="N613" s="6">
        <f>IF(OR(A613="",B613=""),"",DATE(YEAR(B613),MONTH(B613),1))</f>
        <v/>
      </c>
      <c r="O613" s="7">
        <f>IF(COUNTA(A613:K613)=0,"",IF(OR(A613="",B613=""),"Preencher CPF e entrada",IF(COUNTIFS($A$12:$A$5011,A613,$B$12:$B$5011,B613)&gt;1,"CPF + dia duplicado",IF(OR(AND(G613&lt;&gt;"",G613&lt;&gt;0,G613&lt;&gt;1),AND(H613&lt;&gt;"",H613&lt;&gt;0,H613&lt;&gt;1)),"Flags devem ser 0 ou 1",IF(AND(H613=1,LEN(TRIM(I613))=0),"Preencher nome do indicante",IF(AND(H613&lt;&gt;1,I613&lt;&gt;""),"Nome sem indicação interna",IF(AND(G613=1,F613=""),"Fechamento sem conversa",IF(OR(AND(E613&lt;&gt;"",E613&lt;B613),AND(F613&lt;&gt;"",F613&lt;B613)),"Evento anterior à entrada",IF(AND(F613&lt;&gt;"",E613=""),"Conversa sem agendamento",IF(OR(E613&gt;TODAY(),F613&gt;TODAY()),"Verificar evento futuro","OK"))))))))))</f>
        <v/>
      </c>
    </row>
    <row r="614" spans="12:15">
      <c r="L614" s="5">
        <f>IF(OR(A614="",B614=""),"",B614-WEEKDAY(B614,2)+1)</f>
        <v/>
      </c>
      <c r="M614" s="5">
        <f>IF(L614="","",L614+6)</f>
        <v/>
      </c>
      <c r="N614" s="6">
        <f>IF(OR(A614="",B614=""),"",DATE(YEAR(B614),MONTH(B614),1))</f>
        <v/>
      </c>
      <c r="O614" s="7">
        <f>IF(COUNTA(A614:K614)=0,"",IF(OR(A614="",B614=""),"Preencher CPF e entrada",IF(COUNTIFS($A$12:$A$5011,A614,$B$12:$B$5011,B614)&gt;1,"CPF + dia duplicado",IF(OR(AND(G614&lt;&gt;"",G614&lt;&gt;0,G614&lt;&gt;1),AND(H614&lt;&gt;"",H614&lt;&gt;0,H614&lt;&gt;1)),"Flags devem ser 0 ou 1",IF(AND(H614=1,LEN(TRIM(I614))=0),"Preencher nome do indicante",IF(AND(H614&lt;&gt;1,I614&lt;&gt;""),"Nome sem indicação interna",IF(AND(G614=1,F614=""),"Fechamento sem conversa",IF(OR(AND(E614&lt;&gt;"",E614&lt;B614),AND(F614&lt;&gt;"",F614&lt;B614)),"Evento anterior à entrada",IF(AND(F614&lt;&gt;"",E614=""),"Conversa sem agendamento",IF(OR(E614&gt;TODAY(),F614&gt;TODAY()),"Verificar evento futuro","OK"))))))))))</f>
        <v/>
      </c>
    </row>
    <row r="615" spans="12:15">
      <c r="L615" s="5">
        <f>IF(OR(A615="",B615=""),"",B615-WEEKDAY(B615,2)+1)</f>
        <v/>
      </c>
      <c r="M615" s="5">
        <f>IF(L615="","",L615+6)</f>
        <v/>
      </c>
      <c r="N615" s="6">
        <f>IF(OR(A615="",B615=""),"",DATE(YEAR(B615),MONTH(B615),1))</f>
        <v/>
      </c>
      <c r="O615" s="7">
        <f>IF(COUNTA(A615:K615)=0,"",IF(OR(A615="",B615=""),"Preencher CPF e entrada",IF(COUNTIFS($A$12:$A$5011,A615,$B$12:$B$5011,B615)&gt;1,"CPF + dia duplicado",IF(OR(AND(G615&lt;&gt;"",G615&lt;&gt;0,G615&lt;&gt;1),AND(H615&lt;&gt;"",H615&lt;&gt;0,H615&lt;&gt;1)),"Flags devem ser 0 ou 1",IF(AND(H615=1,LEN(TRIM(I615))=0),"Preencher nome do indicante",IF(AND(H615&lt;&gt;1,I615&lt;&gt;""),"Nome sem indicação interna",IF(AND(G615=1,F615=""),"Fechamento sem conversa",IF(OR(AND(E615&lt;&gt;"",E615&lt;B615),AND(F615&lt;&gt;"",F615&lt;B615)),"Evento anterior à entrada",IF(AND(F615&lt;&gt;"",E615=""),"Conversa sem agendamento",IF(OR(E615&gt;TODAY(),F615&gt;TODAY()),"Verificar evento futuro","OK"))))))))))</f>
        <v/>
      </c>
    </row>
    <row r="616" spans="12:15">
      <c r="L616" s="5">
        <f>IF(OR(A616="",B616=""),"",B616-WEEKDAY(B616,2)+1)</f>
        <v/>
      </c>
      <c r="M616" s="5">
        <f>IF(L616="","",L616+6)</f>
        <v/>
      </c>
      <c r="N616" s="6">
        <f>IF(OR(A616="",B616=""),"",DATE(YEAR(B616),MONTH(B616),1))</f>
        <v/>
      </c>
      <c r="O616" s="7">
        <f>IF(COUNTA(A616:K616)=0,"",IF(OR(A616="",B616=""),"Preencher CPF e entrada",IF(COUNTIFS($A$12:$A$5011,A616,$B$12:$B$5011,B616)&gt;1,"CPF + dia duplicado",IF(OR(AND(G616&lt;&gt;"",G616&lt;&gt;0,G616&lt;&gt;1),AND(H616&lt;&gt;"",H616&lt;&gt;0,H616&lt;&gt;1)),"Flags devem ser 0 ou 1",IF(AND(H616=1,LEN(TRIM(I616))=0),"Preencher nome do indicante",IF(AND(H616&lt;&gt;1,I616&lt;&gt;""),"Nome sem indicação interna",IF(AND(G616=1,F616=""),"Fechamento sem conversa",IF(OR(AND(E616&lt;&gt;"",E616&lt;B616),AND(F616&lt;&gt;"",F616&lt;B616)),"Evento anterior à entrada",IF(AND(F616&lt;&gt;"",E616=""),"Conversa sem agendamento",IF(OR(E616&gt;TODAY(),F616&gt;TODAY()),"Verificar evento futuro","OK"))))))))))</f>
        <v/>
      </c>
    </row>
    <row r="617" spans="12:15">
      <c r="L617" s="5">
        <f>IF(OR(A617="",B617=""),"",B617-WEEKDAY(B617,2)+1)</f>
        <v/>
      </c>
      <c r="M617" s="5">
        <f>IF(L617="","",L617+6)</f>
        <v/>
      </c>
      <c r="N617" s="6">
        <f>IF(OR(A617="",B617=""),"",DATE(YEAR(B617),MONTH(B617),1))</f>
        <v/>
      </c>
      <c r="O617" s="7">
        <f>IF(COUNTA(A617:K617)=0,"",IF(OR(A617="",B617=""),"Preencher CPF e entrada",IF(COUNTIFS($A$12:$A$5011,A617,$B$12:$B$5011,B617)&gt;1,"CPF + dia duplicado",IF(OR(AND(G617&lt;&gt;"",G617&lt;&gt;0,G617&lt;&gt;1),AND(H617&lt;&gt;"",H617&lt;&gt;0,H617&lt;&gt;1)),"Flags devem ser 0 ou 1",IF(AND(H617=1,LEN(TRIM(I617))=0),"Preencher nome do indicante",IF(AND(H617&lt;&gt;1,I617&lt;&gt;""),"Nome sem indicação interna",IF(AND(G617=1,F617=""),"Fechamento sem conversa",IF(OR(AND(E617&lt;&gt;"",E617&lt;B617),AND(F617&lt;&gt;"",F617&lt;B617)),"Evento anterior à entrada",IF(AND(F617&lt;&gt;"",E617=""),"Conversa sem agendamento",IF(OR(E617&gt;TODAY(),F617&gt;TODAY()),"Verificar evento futuro","OK"))))))))))</f>
        <v/>
      </c>
    </row>
    <row r="618" spans="12:15">
      <c r="L618" s="5">
        <f>IF(OR(A618="",B618=""),"",B618-WEEKDAY(B618,2)+1)</f>
        <v/>
      </c>
      <c r="M618" s="5">
        <f>IF(L618="","",L618+6)</f>
        <v/>
      </c>
      <c r="N618" s="6">
        <f>IF(OR(A618="",B618=""),"",DATE(YEAR(B618),MONTH(B618),1))</f>
        <v/>
      </c>
      <c r="O618" s="7">
        <f>IF(COUNTA(A618:K618)=0,"",IF(OR(A618="",B618=""),"Preencher CPF e entrada",IF(COUNTIFS($A$12:$A$5011,A618,$B$12:$B$5011,B618)&gt;1,"CPF + dia duplicado",IF(OR(AND(G618&lt;&gt;"",G618&lt;&gt;0,G618&lt;&gt;1),AND(H618&lt;&gt;"",H618&lt;&gt;0,H618&lt;&gt;1)),"Flags devem ser 0 ou 1",IF(AND(H618=1,LEN(TRIM(I618))=0),"Preencher nome do indicante",IF(AND(H618&lt;&gt;1,I618&lt;&gt;""),"Nome sem indicação interna",IF(AND(G618=1,F618=""),"Fechamento sem conversa",IF(OR(AND(E618&lt;&gt;"",E618&lt;B618),AND(F618&lt;&gt;"",F618&lt;B618)),"Evento anterior à entrada",IF(AND(F618&lt;&gt;"",E618=""),"Conversa sem agendamento",IF(OR(E618&gt;TODAY(),F618&gt;TODAY()),"Verificar evento futuro","OK"))))))))))</f>
        <v/>
      </c>
    </row>
    <row r="619" spans="12:15">
      <c r="L619" s="5">
        <f>IF(OR(A619="",B619=""),"",B619-WEEKDAY(B619,2)+1)</f>
        <v/>
      </c>
      <c r="M619" s="5">
        <f>IF(L619="","",L619+6)</f>
        <v/>
      </c>
      <c r="N619" s="6">
        <f>IF(OR(A619="",B619=""),"",DATE(YEAR(B619),MONTH(B619),1))</f>
        <v/>
      </c>
      <c r="O619" s="7">
        <f>IF(COUNTA(A619:K619)=0,"",IF(OR(A619="",B619=""),"Preencher CPF e entrada",IF(COUNTIFS($A$12:$A$5011,A619,$B$12:$B$5011,B619)&gt;1,"CPF + dia duplicado",IF(OR(AND(G619&lt;&gt;"",G619&lt;&gt;0,G619&lt;&gt;1),AND(H619&lt;&gt;"",H619&lt;&gt;0,H619&lt;&gt;1)),"Flags devem ser 0 ou 1",IF(AND(H619=1,LEN(TRIM(I619))=0),"Preencher nome do indicante",IF(AND(H619&lt;&gt;1,I619&lt;&gt;""),"Nome sem indicação interna",IF(AND(G619=1,F619=""),"Fechamento sem conversa",IF(OR(AND(E619&lt;&gt;"",E619&lt;B619),AND(F619&lt;&gt;"",F619&lt;B619)),"Evento anterior à entrada",IF(AND(F619&lt;&gt;"",E619=""),"Conversa sem agendamento",IF(OR(E619&gt;TODAY(),F619&gt;TODAY()),"Verificar evento futuro","OK"))))))))))</f>
        <v/>
      </c>
    </row>
    <row r="620" spans="12:15">
      <c r="L620" s="5">
        <f>IF(OR(A620="",B620=""),"",B620-WEEKDAY(B620,2)+1)</f>
        <v/>
      </c>
      <c r="M620" s="5">
        <f>IF(L620="","",L620+6)</f>
        <v/>
      </c>
      <c r="N620" s="6">
        <f>IF(OR(A620="",B620=""),"",DATE(YEAR(B620),MONTH(B620),1))</f>
        <v/>
      </c>
      <c r="O620" s="7">
        <f>IF(COUNTA(A620:K620)=0,"",IF(OR(A620="",B620=""),"Preencher CPF e entrada",IF(COUNTIFS($A$12:$A$5011,A620,$B$12:$B$5011,B620)&gt;1,"CPF + dia duplicado",IF(OR(AND(G620&lt;&gt;"",G620&lt;&gt;0,G620&lt;&gt;1),AND(H620&lt;&gt;"",H620&lt;&gt;0,H620&lt;&gt;1)),"Flags devem ser 0 ou 1",IF(AND(H620=1,LEN(TRIM(I620))=0),"Preencher nome do indicante",IF(AND(H620&lt;&gt;1,I620&lt;&gt;""),"Nome sem indicação interna",IF(AND(G620=1,F620=""),"Fechamento sem conversa",IF(OR(AND(E620&lt;&gt;"",E620&lt;B620),AND(F620&lt;&gt;"",F620&lt;B620)),"Evento anterior à entrada",IF(AND(F620&lt;&gt;"",E620=""),"Conversa sem agendamento",IF(OR(E620&gt;TODAY(),F620&gt;TODAY()),"Verificar evento futuro","OK"))))))))))</f>
        <v/>
      </c>
    </row>
    <row r="621" spans="12:15">
      <c r="L621" s="5">
        <f>IF(OR(A621="",B621=""),"",B621-WEEKDAY(B621,2)+1)</f>
        <v/>
      </c>
      <c r="M621" s="5">
        <f>IF(L621="","",L621+6)</f>
        <v/>
      </c>
      <c r="N621" s="6">
        <f>IF(OR(A621="",B621=""),"",DATE(YEAR(B621),MONTH(B621),1))</f>
        <v/>
      </c>
      <c r="O621" s="7">
        <f>IF(COUNTA(A621:K621)=0,"",IF(OR(A621="",B621=""),"Preencher CPF e entrada",IF(COUNTIFS($A$12:$A$5011,A621,$B$12:$B$5011,B621)&gt;1,"CPF + dia duplicado",IF(OR(AND(G621&lt;&gt;"",G621&lt;&gt;0,G621&lt;&gt;1),AND(H621&lt;&gt;"",H621&lt;&gt;0,H621&lt;&gt;1)),"Flags devem ser 0 ou 1",IF(AND(H621=1,LEN(TRIM(I621))=0),"Preencher nome do indicante",IF(AND(H621&lt;&gt;1,I621&lt;&gt;""),"Nome sem indicação interna",IF(AND(G621=1,F621=""),"Fechamento sem conversa",IF(OR(AND(E621&lt;&gt;"",E621&lt;B621),AND(F621&lt;&gt;"",F621&lt;B621)),"Evento anterior à entrada",IF(AND(F621&lt;&gt;"",E621=""),"Conversa sem agendamento",IF(OR(E621&gt;TODAY(),F621&gt;TODAY()),"Verificar evento futuro","OK"))))))))))</f>
        <v/>
      </c>
    </row>
    <row r="622" spans="12:15">
      <c r="L622" s="5">
        <f>IF(OR(A622="",B622=""),"",B622-WEEKDAY(B622,2)+1)</f>
        <v/>
      </c>
      <c r="M622" s="5">
        <f>IF(L622="","",L622+6)</f>
        <v/>
      </c>
      <c r="N622" s="6">
        <f>IF(OR(A622="",B622=""),"",DATE(YEAR(B622),MONTH(B622),1))</f>
        <v/>
      </c>
      <c r="O622" s="7">
        <f>IF(COUNTA(A622:K622)=0,"",IF(OR(A622="",B622=""),"Preencher CPF e entrada",IF(COUNTIFS($A$12:$A$5011,A622,$B$12:$B$5011,B622)&gt;1,"CPF + dia duplicado",IF(OR(AND(G622&lt;&gt;"",G622&lt;&gt;0,G622&lt;&gt;1),AND(H622&lt;&gt;"",H622&lt;&gt;0,H622&lt;&gt;1)),"Flags devem ser 0 ou 1",IF(AND(H622=1,LEN(TRIM(I622))=0),"Preencher nome do indicante",IF(AND(H622&lt;&gt;1,I622&lt;&gt;""),"Nome sem indicação interna",IF(AND(G622=1,F622=""),"Fechamento sem conversa",IF(OR(AND(E622&lt;&gt;"",E622&lt;B622),AND(F622&lt;&gt;"",F622&lt;B622)),"Evento anterior à entrada",IF(AND(F622&lt;&gt;"",E622=""),"Conversa sem agendamento",IF(OR(E622&gt;TODAY(),F622&gt;TODAY()),"Verificar evento futuro","OK"))))))))))</f>
        <v/>
      </c>
    </row>
    <row r="623" spans="12:15">
      <c r="L623" s="5">
        <f>IF(OR(A623="",B623=""),"",B623-WEEKDAY(B623,2)+1)</f>
        <v/>
      </c>
      <c r="M623" s="5">
        <f>IF(L623="","",L623+6)</f>
        <v/>
      </c>
      <c r="N623" s="6">
        <f>IF(OR(A623="",B623=""),"",DATE(YEAR(B623),MONTH(B623),1))</f>
        <v/>
      </c>
      <c r="O623" s="7">
        <f>IF(COUNTA(A623:K623)=0,"",IF(OR(A623="",B623=""),"Preencher CPF e entrada",IF(COUNTIFS($A$12:$A$5011,A623,$B$12:$B$5011,B623)&gt;1,"CPF + dia duplicado",IF(OR(AND(G623&lt;&gt;"",G623&lt;&gt;0,G623&lt;&gt;1),AND(H623&lt;&gt;"",H623&lt;&gt;0,H623&lt;&gt;1)),"Flags devem ser 0 ou 1",IF(AND(H623=1,LEN(TRIM(I623))=0),"Preencher nome do indicante",IF(AND(H623&lt;&gt;1,I623&lt;&gt;""),"Nome sem indicação interna",IF(AND(G623=1,F623=""),"Fechamento sem conversa",IF(OR(AND(E623&lt;&gt;"",E623&lt;B623),AND(F623&lt;&gt;"",F623&lt;B623)),"Evento anterior à entrada",IF(AND(F623&lt;&gt;"",E623=""),"Conversa sem agendamento",IF(OR(E623&gt;TODAY(),F623&gt;TODAY()),"Verificar evento futuro","OK"))))))))))</f>
        <v/>
      </c>
    </row>
    <row r="624" spans="12:15">
      <c r="L624" s="5">
        <f>IF(OR(A624="",B624=""),"",B624-WEEKDAY(B624,2)+1)</f>
        <v/>
      </c>
      <c r="M624" s="5">
        <f>IF(L624="","",L624+6)</f>
        <v/>
      </c>
      <c r="N624" s="6">
        <f>IF(OR(A624="",B624=""),"",DATE(YEAR(B624),MONTH(B624),1))</f>
        <v/>
      </c>
      <c r="O624" s="7">
        <f>IF(COUNTA(A624:K624)=0,"",IF(OR(A624="",B624=""),"Preencher CPF e entrada",IF(COUNTIFS($A$12:$A$5011,A624,$B$12:$B$5011,B624)&gt;1,"CPF + dia duplicado",IF(OR(AND(G624&lt;&gt;"",G624&lt;&gt;0,G624&lt;&gt;1),AND(H624&lt;&gt;"",H624&lt;&gt;0,H624&lt;&gt;1)),"Flags devem ser 0 ou 1",IF(AND(H624=1,LEN(TRIM(I624))=0),"Preencher nome do indicante",IF(AND(H624&lt;&gt;1,I624&lt;&gt;""),"Nome sem indicação interna",IF(AND(G624=1,F624=""),"Fechamento sem conversa",IF(OR(AND(E624&lt;&gt;"",E624&lt;B624),AND(F624&lt;&gt;"",F624&lt;B624)),"Evento anterior à entrada",IF(AND(F624&lt;&gt;"",E624=""),"Conversa sem agendamento",IF(OR(E624&gt;TODAY(),F624&gt;TODAY()),"Verificar evento futuro","OK"))))))))))</f>
        <v/>
      </c>
    </row>
    <row r="625" spans="12:15">
      <c r="L625" s="5">
        <f>IF(OR(A625="",B625=""),"",B625-WEEKDAY(B625,2)+1)</f>
        <v/>
      </c>
      <c r="M625" s="5">
        <f>IF(L625="","",L625+6)</f>
        <v/>
      </c>
      <c r="N625" s="6">
        <f>IF(OR(A625="",B625=""),"",DATE(YEAR(B625),MONTH(B625),1))</f>
        <v/>
      </c>
      <c r="O625" s="7">
        <f>IF(COUNTA(A625:K625)=0,"",IF(OR(A625="",B625=""),"Preencher CPF e entrada",IF(COUNTIFS($A$12:$A$5011,A625,$B$12:$B$5011,B625)&gt;1,"CPF + dia duplicado",IF(OR(AND(G625&lt;&gt;"",G625&lt;&gt;0,G625&lt;&gt;1),AND(H625&lt;&gt;"",H625&lt;&gt;0,H625&lt;&gt;1)),"Flags devem ser 0 ou 1",IF(AND(H625=1,LEN(TRIM(I625))=0),"Preencher nome do indicante",IF(AND(H625&lt;&gt;1,I625&lt;&gt;""),"Nome sem indicação interna",IF(AND(G625=1,F625=""),"Fechamento sem conversa",IF(OR(AND(E625&lt;&gt;"",E625&lt;B625),AND(F625&lt;&gt;"",F625&lt;B625)),"Evento anterior à entrada",IF(AND(F625&lt;&gt;"",E625=""),"Conversa sem agendamento",IF(OR(E625&gt;TODAY(),F625&gt;TODAY()),"Verificar evento futuro","OK"))))))))))</f>
        <v/>
      </c>
    </row>
    <row r="626" spans="12:15">
      <c r="L626" s="5">
        <f>IF(OR(A626="",B626=""),"",B626-WEEKDAY(B626,2)+1)</f>
        <v/>
      </c>
      <c r="M626" s="5">
        <f>IF(L626="","",L626+6)</f>
        <v/>
      </c>
      <c r="N626" s="6">
        <f>IF(OR(A626="",B626=""),"",DATE(YEAR(B626),MONTH(B626),1))</f>
        <v/>
      </c>
      <c r="O626" s="7">
        <f>IF(COUNTA(A626:K626)=0,"",IF(OR(A626="",B626=""),"Preencher CPF e entrada",IF(COUNTIFS($A$12:$A$5011,A626,$B$12:$B$5011,B626)&gt;1,"CPF + dia duplicado",IF(OR(AND(G626&lt;&gt;"",G626&lt;&gt;0,G626&lt;&gt;1),AND(H626&lt;&gt;"",H626&lt;&gt;0,H626&lt;&gt;1)),"Flags devem ser 0 ou 1",IF(AND(H626=1,LEN(TRIM(I626))=0),"Preencher nome do indicante",IF(AND(H626&lt;&gt;1,I626&lt;&gt;""),"Nome sem indicação interna",IF(AND(G626=1,F626=""),"Fechamento sem conversa",IF(OR(AND(E626&lt;&gt;"",E626&lt;B626),AND(F626&lt;&gt;"",F626&lt;B626)),"Evento anterior à entrada",IF(AND(F626&lt;&gt;"",E626=""),"Conversa sem agendamento",IF(OR(E626&gt;TODAY(),F626&gt;TODAY()),"Verificar evento futuro","OK"))))))))))</f>
        <v/>
      </c>
    </row>
    <row r="627" spans="12:15">
      <c r="L627" s="5">
        <f>IF(OR(A627="",B627=""),"",B627-WEEKDAY(B627,2)+1)</f>
        <v/>
      </c>
      <c r="M627" s="5">
        <f>IF(L627="","",L627+6)</f>
        <v/>
      </c>
      <c r="N627" s="6">
        <f>IF(OR(A627="",B627=""),"",DATE(YEAR(B627),MONTH(B627),1))</f>
        <v/>
      </c>
      <c r="O627" s="7">
        <f>IF(COUNTA(A627:K627)=0,"",IF(OR(A627="",B627=""),"Preencher CPF e entrada",IF(COUNTIFS($A$12:$A$5011,A627,$B$12:$B$5011,B627)&gt;1,"CPF + dia duplicado",IF(OR(AND(G627&lt;&gt;"",G627&lt;&gt;0,G627&lt;&gt;1),AND(H627&lt;&gt;"",H627&lt;&gt;0,H627&lt;&gt;1)),"Flags devem ser 0 ou 1",IF(AND(H627=1,LEN(TRIM(I627))=0),"Preencher nome do indicante",IF(AND(H627&lt;&gt;1,I627&lt;&gt;""),"Nome sem indicação interna",IF(AND(G627=1,F627=""),"Fechamento sem conversa",IF(OR(AND(E627&lt;&gt;"",E627&lt;B627),AND(F627&lt;&gt;"",F627&lt;B627)),"Evento anterior à entrada",IF(AND(F627&lt;&gt;"",E627=""),"Conversa sem agendamento",IF(OR(E627&gt;TODAY(),F627&gt;TODAY()),"Verificar evento futuro","OK"))))))))))</f>
        <v/>
      </c>
    </row>
    <row r="628" spans="12:15">
      <c r="L628" s="5">
        <f>IF(OR(A628="",B628=""),"",B628-WEEKDAY(B628,2)+1)</f>
        <v/>
      </c>
      <c r="M628" s="5">
        <f>IF(L628="","",L628+6)</f>
        <v/>
      </c>
      <c r="N628" s="6">
        <f>IF(OR(A628="",B628=""),"",DATE(YEAR(B628),MONTH(B628),1))</f>
        <v/>
      </c>
      <c r="O628" s="7">
        <f>IF(COUNTA(A628:K628)=0,"",IF(OR(A628="",B628=""),"Preencher CPF e entrada",IF(COUNTIFS($A$12:$A$5011,A628,$B$12:$B$5011,B628)&gt;1,"CPF + dia duplicado",IF(OR(AND(G628&lt;&gt;"",G628&lt;&gt;0,G628&lt;&gt;1),AND(H628&lt;&gt;"",H628&lt;&gt;0,H628&lt;&gt;1)),"Flags devem ser 0 ou 1",IF(AND(H628=1,LEN(TRIM(I628))=0),"Preencher nome do indicante",IF(AND(H628&lt;&gt;1,I628&lt;&gt;""),"Nome sem indicação interna",IF(AND(G628=1,F628=""),"Fechamento sem conversa",IF(OR(AND(E628&lt;&gt;"",E628&lt;B628),AND(F628&lt;&gt;"",F628&lt;B628)),"Evento anterior à entrada",IF(AND(F628&lt;&gt;"",E628=""),"Conversa sem agendamento",IF(OR(E628&gt;TODAY(),F628&gt;TODAY()),"Verificar evento futuro","OK"))))))))))</f>
        <v/>
      </c>
    </row>
    <row r="629" spans="12:15">
      <c r="L629" s="5">
        <f>IF(OR(A629="",B629=""),"",B629-WEEKDAY(B629,2)+1)</f>
        <v/>
      </c>
      <c r="M629" s="5">
        <f>IF(L629="","",L629+6)</f>
        <v/>
      </c>
      <c r="N629" s="6">
        <f>IF(OR(A629="",B629=""),"",DATE(YEAR(B629),MONTH(B629),1))</f>
        <v/>
      </c>
      <c r="O629" s="7">
        <f>IF(COUNTA(A629:K629)=0,"",IF(OR(A629="",B629=""),"Preencher CPF e entrada",IF(COUNTIFS($A$12:$A$5011,A629,$B$12:$B$5011,B629)&gt;1,"CPF + dia duplicado",IF(OR(AND(G629&lt;&gt;"",G629&lt;&gt;0,G629&lt;&gt;1),AND(H629&lt;&gt;"",H629&lt;&gt;0,H629&lt;&gt;1)),"Flags devem ser 0 ou 1",IF(AND(H629=1,LEN(TRIM(I629))=0),"Preencher nome do indicante",IF(AND(H629&lt;&gt;1,I629&lt;&gt;""),"Nome sem indicação interna",IF(AND(G629=1,F629=""),"Fechamento sem conversa",IF(OR(AND(E629&lt;&gt;"",E629&lt;B629),AND(F629&lt;&gt;"",F629&lt;B629)),"Evento anterior à entrada",IF(AND(F629&lt;&gt;"",E629=""),"Conversa sem agendamento",IF(OR(E629&gt;TODAY(),F629&gt;TODAY()),"Verificar evento futuro","OK"))))))))))</f>
        <v/>
      </c>
    </row>
    <row r="630" spans="12:15">
      <c r="L630" s="5">
        <f>IF(OR(A630="",B630=""),"",B630-WEEKDAY(B630,2)+1)</f>
        <v/>
      </c>
      <c r="M630" s="5">
        <f>IF(L630="","",L630+6)</f>
        <v/>
      </c>
      <c r="N630" s="6">
        <f>IF(OR(A630="",B630=""),"",DATE(YEAR(B630),MONTH(B630),1))</f>
        <v/>
      </c>
      <c r="O630" s="7">
        <f>IF(COUNTA(A630:K630)=0,"",IF(OR(A630="",B630=""),"Preencher CPF e entrada",IF(COUNTIFS($A$12:$A$5011,A630,$B$12:$B$5011,B630)&gt;1,"CPF + dia duplicado",IF(OR(AND(G630&lt;&gt;"",G630&lt;&gt;0,G630&lt;&gt;1),AND(H630&lt;&gt;"",H630&lt;&gt;0,H630&lt;&gt;1)),"Flags devem ser 0 ou 1",IF(AND(H630=1,LEN(TRIM(I630))=0),"Preencher nome do indicante",IF(AND(H630&lt;&gt;1,I630&lt;&gt;""),"Nome sem indicação interna",IF(AND(G630=1,F630=""),"Fechamento sem conversa",IF(OR(AND(E630&lt;&gt;"",E630&lt;B630),AND(F630&lt;&gt;"",F630&lt;B630)),"Evento anterior à entrada",IF(AND(F630&lt;&gt;"",E630=""),"Conversa sem agendamento",IF(OR(E630&gt;TODAY(),F630&gt;TODAY()),"Verificar evento futuro","OK"))))))))))</f>
        <v/>
      </c>
    </row>
    <row r="631" spans="12:15">
      <c r="L631" s="5">
        <f>IF(OR(A631="",B631=""),"",B631-WEEKDAY(B631,2)+1)</f>
        <v/>
      </c>
      <c r="M631" s="5">
        <f>IF(L631="","",L631+6)</f>
        <v/>
      </c>
      <c r="N631" s="6">
        <f>IF(OR(A631="",B631=""),"",DATE(YEAR(B631),MONTH(B631),1))</f>
        <v/>
      </c>
      <c r="O631" s="7">
        <f>IF(COUNTA(A631:K631)=0,"",IF(OR(A631="",B631=""),"Preencher CPF e entrada",IF(COUNTIFS($A$12:$A$5011,A631,$B$12:$B$5011,B631)&gt;1,"CPF + dia duplicado",IF(OR(AND(G631&lt;&gt;"",G631&lt;&gt;0,G631&lt;&gt;1),AND(H631&lt;&gt;"",H631&lt;&gt;0,H631&lt;&gt;1)),"Flags devem ser 0 ou 1",IF(AND(H631=1,LEN(TRIM(I631))=0),"Preencher nome do indicante",IF(AND(H631&lt;&gt;1,I631&lt;&gt;""),"Nome sem indicação interna",IF(AND(G631=1,F631=""),"Fechamento sem conversa",IF(OR(AND(E631&lt;&gt;"",E631&lt;B631),AND(F631&lt;&gt;"",F631&lt;B631)),"Evento anterior à entrada",IF(AND(F631&lt;&gt;"",E631=""),"Conversa sem agendamento",IF(OR(E631&gt;TODAY(),F631&gt;TODAY()),"Verificar evento futuro","OK"))))))))))</f>
        <v/>
      </c>
    </row>
    <row r="632" spans="12:15">
      <c r="L632" s="5">
        <f>IF(OR(A632="",B632=""),"",B632-WEEKDAY(B632,2)+1)</f>
        <v/>
      </c>
      <c r="M632" s="5">
        <f>IF(L632="","",L632+6)</f>
        <v/>
      </c>
      <c r="N632" s="6">
        <f>IF(OR(A632="",B632=""),"",DATE(YEAR(B632),MONTH(B632),1))</f>
        <v/>
      </c>
      <c r="O632" s="7">
        <f>IF(COUNTA(A632:K632)=0,"",IF(OR(A632="",B632=""),"Preencher CPF e entrada",IF(COUNTIFS($A$12:$A$5011,A632,$B$12:$B$5011,B632)&gt;1,"CPF + dia duplicado",IF(OR(AND(G632&lt;&gt;"",G632&lt;&gt;0,G632&lt;&gt;1),AND(H632&lt;&gt;"",H632&lt;&gt;0,H632&lt;&gt;1)),"Flags devem ser 0 ou 1",IF(AND(H632=1,LEN(TRIM(I632))=0),"Preencher nome do indicante",IF(AND(H632&lt;&gt;1,I632&lt;&gt;""),"Nome sem indicação interna",IF(AND(G632=1,F632=""),"Fechamento sem conversa",IF(OR(AND(E632&lt;&gt;"",E632&lt;B632),AND(F632&lt;&gt;"",F632&lt;B632)),"Evento anterior à entrada",IF(AND(F632&lt;&gt;"",E632=""),"Conversa sem agendamento",IF(OR(E632&gt;TODAY(),F632&gt;TODAY()),"Verificar evento futuro","OK"))))))))))</f>
        <v/>
      </c>
    </row>
    <row r="633" spans="12:15">
      <c r="L633" s="5">
        <f>IF(OR(A633="",B633=""),"",B633-WEEKDAY(B633,2)+1)</f>
        <v/>
      </c>
      <c r="M633" s="5">
        <f>IF(L633="","",L633+6)</f>
        <v/>
      </c>
      <c r="N633" s="6">
        <f>IF(OR(A633="",B633=""),"",DATE(YEAR(B633),MONTH(B633),1))</f>
        <v/>
      </c>
      <c r="O633" s="7">
        <f>IF(COUNTA(A633:K633)=0,"",IF(OR(A633="",B633=""),"Preencher CPF e entrada",IF(COUNTIFS($A$12:$A$5011,A633,$B$12:$B$5011,B633)&gt;1,"CPF + dia duplicado",IF(OR(AND(G633&lt;&gt;"",G633&lt;&gt;0,G633&lt;&gt;1),AND(H633&lt;&gt;"",H633&lt;&gt;0,H633&lt;&gt;1)),"Flags devem ser 0 ou 1",IF(AND(H633=1,LEN(TRIM(I633))=0),"Preencher nome do indicante",IF(AND(H633&lt;&gt;1,I633&lt;&gt;""),"Nome sem indicação interna",IF(AND(G633=1,F633=""),"Fechamento sem conversa",IF(OR(AND(E633&lt;&gt;"",E633&lt;B633),AND(F633&lt;&gt;"",F633&lt;B633)),"Evento anterior à entrada",IF(AND(F633&lt;&gt;"",E633=""),"Conversa sem agendamento",IF(OR(E633&gt;TODAY(),F633&gt;TODAY()),"Verificar evento futuro","OK"))))))))))</f>
        <v/>
      </c>
    </row>
    <row r="634" spans="12:15">
      <c r="L634" s="5">
        <f>IF(OR(A634="",B634=""),"",B634-WEEKDAY(B634,2)+1)</f>
        <v/>
      </c>
      <c r="M634" s="5">
        <f>IF(L634="","",L634+6)</f>
        <v/>
      </c>
      <c r="N634" s="6">
        <f>IF(OR(A634="",B634=""),"",DATE(YEAR(B634),MONTH(B634),1))</f>
        <v/>
      </c>
      <c r="O634" s="7">
        <f>IF(COUNTA(A634:K634)=0,"",IF(OR(A634="",B634=""),"Preencher CPF e entrada",IF(COUNTIFS($A$12:$A$5011,A634,$B$12:$B$5011,B634)&gt;1,"CPF + dia duplicado",IF(OR(AND(G634&lt;&gt;"",G634&lt;&gt;0,G634&lt;&gt;1),AND(H634&lt;&gt;"",H634&lt;&gt;0,H634&lt;&gt;1)),"Flags devem ser 0 ou 1",IF(AND(H634=1,LEN(TRIM(I634))=0),"Preencher nome do indicante",IF(AND(H634&lt;&gt;1,I634&lt;&gt;""),"Nome sem indicação interna",IF(AND(G634=1,F634=""),"Fechamento sem conversa",IF(OR(AND(E634&lt;&gt;"",E634&lt;B634),AND(F634&lt;&gt;"",F634&lt;B634)),"Evento anterior à entrada",IF(AND(F634&lt;&gt;"",E634=""),"Conversa sem agendamento",IF(OR(E634&gt;TODAY(),F634&gt;TODAY()),"Verificar evento futuro","OK"))))))))))</f>
        <v/>
      </c>
    </row>
    <row r="635" spans="12:15">
      <c r="L635" s="5">
        <f>IF(OR(A635="",B635=""),"",B635-WEEKDAY(B635,2)+1)</f>
        <v/>
      </c>
      <c r="M635" s="5">
        <f>IF(L635="","",L635+6)</f>
        <v/>
      </c>
      <c r="N635" s="6">
        <f>IF(OR(A635="",B635=""),"",DATE(YEAR(B635),MONTH(B635),1))</f>
        <v/>
      </c>
      <c r="O635" s="7">
        <f>IF(COUNTA(A635:K635)=0,"",IF(OR(A635="",B635=""),"Preencher CPF e entrada",IF(COUNTIFS($A$12:$A$5011,A635,$B$12:$B$5011,B635)&gt;1,"CPF + dia duplicado",IF(OR(AND(G635&lt;&gt;"",G635&lt;&gt;0,G635&lt;&gt;1),AND(H635&lt;&gt;"",H635&lt;&gt;0,H635&lt;&gt;1)),"Flags devem ser 0 ou 1",IF(AND(H635=1,LEN(TRIM(I635))=0),"Preencher nome do indicante",IF(AND(H635&lt;&gt;1,I635&lt;&gt;""),"Nome sem indicação interna",IF(AND(G635=1,F635=""),"Fechamento sem conversa",IF(OR(AND(E635&lt;&gt;"",E635&lt;B635),AND(F635&lt;&gt;"",F635&lt;B635)),"Evento anterior à entrada",IF(AND(F635&lt;&gt;"",E635=""),"Conversa sem agendamento",IF(OR(E635&gt;TODAY(),F635&gt;TODAY()),"Verificar evento futuro","OK"))))))))))</f>
        <v/>
      </c>
    </row>
    <row r="636" spans="12:15">
      <c r="L636" s="5">
        <f>IF(OR(A636="",B636=""),"",B636-WEEKDAY(B636,2)+1)</f>
        <v/>
      </c>
      <c r="M636" s="5">
        <f>IF(L636="","",L636+6)</f>
        <v/>
      </c>
      <c r="N636" s="6">
        <f>IF(OR(A636="",B636=""),"",DATE(YEAR(B636),MONTH(B636),1))</f>
        <v/>
      </c>
      <c r="O636" s="7">
        <f>IF(COUNTA(A636:K636)=0,"",IF(OR(A636="",B636=""),"Preencher CPF e entrada",IF(COUNTIFS($A$12:$A$5011,A636,$B$12:$B$5011,B636)&gt;1,"CPF + dia duplicado",IF(OR(AND(G636&lt;&gt;"",G636&lt;&gt;0,G636&lt;&gt;1),AND(H636&lt;&gt;"",H636&lt;&gt;0,H636&lt;&gt;1)),"Flags devem ser 0 ou 1",IF(AND(H636=1,LEN(TRIM(I636))=0),"Preencher nome do indicante",IF(AND(H636&lt;&gt;1,I636&lt;&gt;""),"Nome sem indicação interna",IF(AND(G636=1,F636=""),"Fechamento sem conversa",IF(OR(AND(E636&lt;&gt;"",E636&lt;B636),AND(F636&lt;&gt;"",F636&lt;B636)),"Evento anterior à entrada",IF(AND(F636&lt;&gt;"",E636=""),"Conversa sem agendamento",IF(OR(E636&gt;TODAY(),F636&gt;TODAY()),"Verificar evento futuro","OK"))))))))))</f>
        <v/>
      </c>
    </row>
    <row r="637" spans="12:15">
      <c r="L637" s="5">
        <f>IF(OR(A637="",B637=""),"",B637-WEEKDAY(B637,2)+1)</f>
        <v/>
      </c>
      <c r="M637" s="5">
        <f>IF(L637="","",L637+6)</f>
        <v/>
      </c>
      <c r="N637" s="6">
        <f>IF(OR(A637="",B637=""),"",DATE(YEAR(B637),MONTH(B637),1))</f>
        <v/>
      </c>
      <c r="O637" s="7">
        <f>IF(COUNTA(A637:K637)=0,"",IF(OR(A637="",B637=""),"Preencher CPF e entrada",IF(COUNTIFS($A$12:$A$5011,A637,$B$12:$B$5011,B637)&gt;1,"CPF + dia duplicado",IF(OR(AND(G637&lt;&gt;"",G637&lt;&gt;0,G637&lt;&gt;1),AND(H637&lt;&gt;"",H637&lt;&gt;0,H637&lt;&gt;1)),"Flags devem ser 0 ou 1",IF(AND(H637=1,LEN(TRIM(I637))=0),"Preencher nome do indicante",IF(AND(H637&lt;&gt;1,I637&lt;&gt;""),"Nome sem indicação interna",IF(AND(G637=1,F637=""),"Fechamento sem conversa",IF(OR(AND(E637&lt;&gt;"",E637&lt;B637),AND(F637&lt;&gt;"",F637&lt;B637)),"Evento anterior à entrada",IF(AND(F637&lt;&gt;"",E637=""),"Conversa sem agendamento",IF(OR(E637&gt;TODAY(),F637&gt;TODAY()),"Verificar evento futuro","OK"))))))))))</f>
        <v/>
      </c>
    </row>
    <row r="638" spans="12:15">
      <c r="L638" s="5">
        <f>IF(OR(A638="",B638=""),"",B638-WEEKDAY(B638,2)+1)</f>
        <v/>
      </c>
      <c r="M638" s="5">
        <f>IF(L638="","",L638+6)</f>
        <v/>
      </c>
      <c r="N638" s="6">
        <f>IF(OR(A638="",B638=""),"",DATE(YEAR(B638),MONTH(B638),1))</f>
        <v/>
      </c>
      <c r="O638" s="7">
        <f>IF(COUNTA(A638:K638)=0,"",IF(OR(A638="",B638=""),"Preencher CPF e entrada",IF(COUNTIFS($A$12:$A$5011,A638,$B$12:$B$5011,B638)&gt;1,"CPF + dia duplicado",IF(OR(AND(G638&lt;&gt;"",G638&lt;&gt;0,G638&lt;&gt;1),AND(H638&lt;&gt;"",H638&lt;&gt;0,H638&lt;&gt;1)),"Flags devem ser 0 ou 1",IF(AND(H638=1,LEN(TRIM(I638))=0),"Preencher nome do indicante",IF(AND(H638&lt;&gt;1,I638&lt;&gt;""),"Nome sem indicação interna",IF(AND(G638=1,F638=""),"Fechamento sem conversa",IF(OR(AND(E638&lt;&gt;"",E638&lt;B638),AND(F638&lt;&gt;"",F638&lt;B638)),"Evento anterior à entrada",IF(AND(F638&lt;&gt;"",E638=""),"Conversa sem agendamento",IF(OR(E638&gt;TODAY(),F638&gt;TODAY()),"Verificar evento futuro","OK"))))))))))</f>
        <v/>
      </c>
    </row>
    <row r="639" spans="12:15">
      <c r="L639" s="5">
        <f>IF(OR(A639="",B639=""),"",B639-WEEKDAY(B639,2)+1)</f>
        <v/>
      </c>
      <c r="M639" s="5">
        <f>IF(L639="","",L639+6)</f>
        <v/>
      </c>
      <c r="N639" s="6">
        <f>IF(OR(A639="",B639=""),"",DATE(YEAR(B639),MONTH(B639),1))</f>
        <v/>
      </c>
      <c r="O639" s="7">
        <f>IF(COUNTA(A639:K639)=0,"",IF(OR(A639="",B639=""),"Preencher CPF e entrada",IF(COUNTIFS($A$12:$A$5011,A639,$B$12:$B$5011,B639)&gt;1,"CPF + dia duplicado",IF(OR(AND(G639&lt;&gt;"",G639&lt;&gt;0,G639&lt;&gt;1),AND(H639&lt;&gt;"",H639&lt;&gt;0,H639&lt;&gt;1)),"Flags devem ser 0 ou 1",IF(AND(H639=1,LEN(TRIM(I639))=0),"Preencher nome do indicante",IF(AND(H639&lt;&gt;1,I639&lt;&gt;""),"Nome sem indicação interna",IF(AND(G639=1,F639=""),"Fechamento sem conversa",IF(OR(AND(E639&lt;&gt;"",E639&lt;B639),AND(F639&lt;&gt;"",F639&lt;B639)),"Evento anterior à entrada",IF(AND(F639&lt;&gt;"",E639=""),"Conversa sem agendamento",IF(OR(E639&gt;TODAY(),F639&gt;TODAY()),"Verificar evento futuro","OK"))))))))))</f>
        <v/>
      </c>
    </row>
    <row r="640" spans="12:15">
      <c r="L640" s="5">
        <f>IF(OR(A640="",B640=""),"",B640-WEEKDAY(B640,2)+1)</f>
        <v/>
      </c>
      <c r="M640" s="5">
        <f>IF(L640="","",L640+6)</f>
        <v/>
      </c>
      <c r="N640" s="6">
        <f>IF(OR(A640="",B640=""),"",DATE(YEAR(B640),MONTH(B640),1))</f>
        <v/>
      </c>
      <c r="O640" s="7">
        <f>IF(COUNTA(A640:K640)=0,"",IF(OR(A640="",B640=""),"Preencher CPF e entrada",IF(COUNTIFS($A$12:$A$5011,A640,$B$12:$B$5011,B640)&gt;1,"CPF + dia duplicado",IF(OR(AND(G640&lt;&gt;"",G640&lt;&gt;0,G640&lt;&gt;1),AND(H640&lt;&gt;"",H640&lt;&gt;0,H640&lt;&gt;1)),"Flags devem ser 0 ou 1",IF(AND(H640=1,LEN(TRIM(I640))=0),"Preencher nome do indicante",IF(AND(H640&lt;&gt;1,I640&lt;&gt;""),"Nome sem indicação interna",IF(AND(G640=1,F640=""),"Fechamento sem conversa",IF(OR(AND(E640&lt;&gt;"",E640&lt;B640),AND(F640&lt;&gt;"",F640&lt;B640)),"Evento anterior à entrada",IF(AND(F640&lt;&gt;"",E640=""),"Conversa sem agendamento",IF(OR(E640&gt;TODAY(),F640&gt;TODAY()),"Verificar evento futuro","OK"))))))))))</f>
        <v/>
      </c>
    </row>
    <row r="641" spans="12:15">
      <c r="L641" s="5">
        <f>IF(OR(A641="",B641=""),"",B641-WEEKDAY(B641,2)+1)</f>
        <v/>
      </c>
      <c r="M641" s="5">
        <f>IF(L641="","",L641+6)</f>
        <v/>
      </c>
      <c r="N641" s="6">
        <f>IF(OR(A641="",B641=""),"",DATE(YEAR(B641),MONTH(B641),1))</f>
        <v/>
      </c>
      <c r="O641" s="7">
        <f>IF(COUNTA(A641:K641)=0,"",IF(OR(A641="",B641=""),"Preencher CPF e entrada",IF(COUNTIFS($A$12:$A$5011,A641,$B$12:$B$5011,B641)&gt;1,"CPF + dia duplicado",IF(OR(AND(G641&lt;&gt;"",G641&lt;&gt;0,G641&lt;&gt;1),AND(H641&lt;&gt;"",H641&lt;&gt;0,H641&lt;&gt;1)),"Flags devem ser 0 ou 1",IF(AND(H641=1,LEN(TRIM(I641))=0),"Preencher nome do indicante",IF(AND(H641&lt;&gt;1,I641&lt;&gt;""),"Nome sem indicação interna",IF(AND(G641=1,F641=""),"Fechamento sem conversa",IF(OR(AND(E641&lt;&gt;"",E641&lt;B641),AND(F641&lt;&gt;"",F641&lt;B641)),"Evento anterior à entrada",IF(AND(F641&lt;&gt;"",E641=""),"Conversa sem agendamento",IF(OR(E641&gt;TODAY(),F641&gt;TODAY()),"Verificar evento futuro","OK"))))))))))</f>
        <v/>
      </c>
    </row>
    <row r="642" spans="12:15">
      <c r="L642" s="5">
        <f>IF(OR(A642="",B642=""),"",B642-WEEKDAY(B642,2)+1)</f>
        <v/>
      </c>
      <c r="M642" s="5">
        <f>IF(L642="","",L642+6)</f>
        <v/>
      </c>
      <c r="N642" s="6">
        <f>IF(OR(A642="",B642=""),"",DATE(YEAR(B642),MONTH(B642),1))</f>
        <v/>
      </c>
      <c r="O642" s="7">
        <f>IF(COUNTA(A642:K642)=0,"",IF(OR(A642="",B642=""),"Preencher CPF e entrada",IF(COUNTIFS($A$12:$A$5011,A642,$B$12:$B$5011,B642)&gt;1,"CPF + dia duplicado",IF(OR(AND(G642&lt;&gt;"",G642&lt;&gt;0,G642&lt;&gt;1),AND(H642&lt;&gt;"",H642&lt;&gt;0,H642&lt;&gt;1)),"Flags devem ser 0 ou 1",IF(AND(H642=1,LEN(TRIM(I642))=0),"Preencher nome do indicante",IF(AND(H642&lt;&gt;1,I642&lt;&gt;""),"Nome sem indicação interna",IF(AND(G642=1,F642=""),"Fechamento sem conversa",IF(OR(AND(E642&lt;&gt;"",E642&lt;B642),AND(F642&lt;&gt;"",F642&lt;B642)),"Evento anterior à entrada",IF(AND(F642&lt;&gt;"",E642=""),"Conversa sem agendamento",IF(OR(E642&gt;TODAY(),F642&gt;TODAY()),"Verificar evento futuro","OK"))))))))))</f>
        <v/>
      </c>
    </row>
    <row r="643" spans="12:15">
      <c r="L643" s="5">
        <f>IF(OR(A643="",B643=""),"",B643-WEEKDAY(B643,2)+1)</f>
        <v/>
      </c>
      <c r="M643" s="5">
        <f>IF(L643="","",L643+6)</f>
        <v/>
      </c>
      <c r="N643" s="6">
        <f>IF(OR(A643="",B643=""),"",DATE(YEAR(B643),MONTH(B643),1))</f>
        <v/>
      </c>
      <c r="O643" s="7">
        <f>IF(COUNTA(A643:K643)=0,"",IF(OR(A643="",B643=""),"Preencher CPF e entrada",IF(COUNTIFS($A$12:$A$5011,A643,$B$12:$B$5011,B643)&gt;1,"CPF + dia duplicado",IF(OR(AND(G643&lt;&gt;"",G643&lt;&gt;0,G643&lt;&gt;1),AND(H643&lt;&gt;"",H643&lt;&gt;0,H643&lt;&gt;1)),"Flags devem ser 0 ou 1",IF(AND(H643=1,LEN(TRIM(I643))=0),"Preencher nome do indicante",IF(AND(H643&lt;&gt;1,I643&lt;&gt;""),"Nome sem indicação interna",IF(AND(G643=1,F643=""),"Fechamento sem conversa",IF(OR(AND(E643&lt;&gt;"",E643&lt;B643),AND(F643&lt;&gt;"",F643&lt;B643)),"Evento anterior à entrada",IF(AND(F643&lt;&gt;"",E643=""),"Conversa sem agendamento",IF(OR(E643&gt;TODAY(),F643&gt;TODAY()),"Verificar evento futuro","OK"))))))))))</f>
        <v/>
      </c>
    </row>
    <row r="644" spans="12:15">
      <c r="L644" s="5">
        <f>IF(OR(A644="",B644=""),"",B644-WEEKDAY(B644,2)+1)</f>
        <v/>
      </c>
      <c r="M644" s="5">
        <f>IF(L644="","",L644+6)</f>
        <v/>
      </c>
      <c r="N644" s="6">
        <f>IF(OR(A644="",B644=""),"",DATE(YEAR(B644),MONTH(B644),1))</f>
        <v/>
      </c>
      <c r="O644" s="7">
        <f>IF(COUNTA(A644:K644)=0,"",IF(OR(A644="",B644=""),"Preencher CPF e entrada",IF(COUNTIFS($A$12:$A$5011,A644,$B$12:$B$5011,B644)&gt;1,"CPF + dia duplicado",IF(OR(AND(G644&lt;&gt;"",G644&lt;&gt;0,G644&lt;&gt;1),AND(H644&lt;&gt;"",H644&lt;&gt;0,H644&lt;&gt;1)),"Flags devem ser 0 ou 1",IF(AND(H644=1,LEN(TRIM(I644))=0),"Preencher nome do indicante",IF(AND(H644&lt;&gt;1,I644&lt;&gt;""),"Nome sem indicação interna",IF(AND(G644=1,F644=""),"Fechamento sem conversa",IF(OR(AND(E644&lt;&gt;"",E644&lt;B644),AND(F644&lt;&gt;"",F644&lt;B644)),"Evento anterior à entrada",IF(AND(F644&lt;&gt;"",E644=""),"Conversa sem agendamento",IF(OR(E644&gt;TODAY(),F644&gt;TODAY()),"Verificar evento futuro","OK"))))))))))</f>
        <v/>
      </c>
    </row>
    <row r="645" spans="12:15">
      <c r="L645" s="5">
        <f>IF(OR(A645="",B645=""),"",B645-WEEKDAY(B645,2)+1)</f>
        <v/>
      </c>
      <c r="M645" s="5">
        <f>IF(L645="","",L645+6)</f>
        <v/>
      </c>
      <c r="N645" s="6">
        <f>IF(OR(A645="",B645=""),"",DATE(YEAR(B645),MONTH(B645),1))</f>
        <v/>
      </c>
      <c r="O645" s="7">
        <f>IF(COUNTA(A645:K645)=0,"",IF(OR(A645="",B645=""),"Preencher CPF e entrada",IF(COUNTIFS($A$12:$A$5011,A645,$B$12:$B$5011,B645)&gt;1,"CPF + dia duplicado",IF(OR(AND(G645&lt;&gt;"",G645&lt;&gt;0,G645&lt;&gt;1),AND(H645&lt;&gt;"",H645&lt;&gt;0,H645&lt;&gt;1)),"Flags devem ser 0 ou 1",IF(AND(H645=1,LEN(TRIM(I645))=0),"Preencher nome do indicante",IF(AND(H645&lt;&gt;1,I645&lt;&gt;""),"Nome sem indicação interna",IF(AND(G645=1,F645=""),"Fechamento sem conversa",IF(OR(AND(E645&lt;&gt;"",E645&lt;B645),AND(F645&lt;&gt;"",F645&lt;B645)),"Evento anterior à entrada",IF(AND(F645&lt;&gt;"",E645=""),"Conversa sem agendamento",IF(OR(E645&gt;TODAY(),F645&gt;TODAY()),"Verificar evento futuro","OK"))))))))))</f>
        <v/>
      </c>
    </row>
    <row r="646" spans="12:15">
      <c r="L646" s="5">
        <f>IF(OR(A646="",B646=""),"",B646-WEEKDAY(B646,2)+1)</f>
        <v/>
      </c>
      <c r="M646" s="5">
        <f>IF(L646="","",L646+6)</f>
        <v/>
      </c>
      <c r="N646" s="6">
        <f>IF(OR(A646="",B646=""),"",DATE(YEAR(B646),MONTH(B646),1))</f>
        <v/>
      </c>
      <c r="O646" s="7">
        <f>IF(COUNTA(A646:K646)=0,"",IF(OR(A646="",B646=""),"Preencher CPF e entrada",IF(COUNTIFS($A$12:$A$5011,A646,$B$12:$B$5011,B646)&gt;1,"CPF + dia duplicado",IF(OR(AND(G646&lt;&gt;"",G646&lt;&gt;0,G646&lt;&gt;1),AND(H646&lt;&gt;"",H646&lt;&gt;0,H646&lt;&gt;1)),"Flags devem ser 0 ou 1",IF(AND(H646=1,LEN(TRIM(I646))=0),"Preencher nome do indicante",IF(AND(H646&lt;&gt;1,I646&lt;&gt;""),"Nome sem indicação interna",IF(AND(G646=1,F646=""),"Fechamento sem conversa",IF(OR(AND(E646&lt;&gt;"",E646&lt;B646),AND(F646&lt;&gt;"",F646&lt;B646)),"Evento anterior à entrada",IF(AND(F646&lt;&gt;"",E646=""),"Conversa sem agendamento",IF(OR(E646&gt;TODAY(),F646&gt;TODAY()),"Verificar evento futuro","OK"))))))))))</f>
        <v/>
      </c>
    </row>
    <row r="647" spans="12:15">
      <c r="L647" s="5">
        <f>IF(OR(A647="",B647=""),"",B647-WEEKDAY(B647,2)+1)</f>
        <v/>
      </c>
      <c r="M647" s="5">
        <f>IF(L647="","",L647+6)</f>
        <v/>
      </c>
      <c r="N647" s="6">
        <f>IF(OR(A647="",B647=""),"",DATE(YEAR(B647),MONTH(B647),1))</f>
        <v/>
      </c>
      <c r="O647" s="7">
        <f>IF(COUNTA(A647:K647)=0,"",IF(OR(A647="",B647=""),"Preencher CPF e entrada",IF(COUNTIFS($A$12:$A$5011,A647,$B$12:$B$5011,B647)&gt;1,"CPF + dia duplicado",IF(OR(AND(G647&lt;&gt;"",G647&lt;&gt;0,G647&lt;&gt;1),AND(H647&lt;&gt;"",H647&lt;&gt;0,H647&lt;&gt;1)),"Flags devem ser 0 ou 1",IF(AND(H647=1,LEN(TRIM(I647))=0),"Preencher nome do indicante",IF(AND(H647&lt;&gt;1,I647&lt;&gt;""),"Nome sem indicação interna",IF(AND(G647=1,F647=""),"Fechamento sem conversa",IF(OR(AND(E647&lt;&gt;"",E647&lt;B647),AND(F647&lt;&gt;"",F647&lt;B647)),"Evento anterior à entrada",IF(AND(F647&lt;&gt;"",E647=""),"Conversa sem agendamento",IF(OR(E647&gt;TODAY(),F647&gt;TODAY()),"Verificar evento futuro","OK"))))))))))</f>
        <v/>
      </c>
    </row>
    <row r="648" spans="12:15">
      <c r="L648" s="5">
        <f>IF(OR(A648="",B648=""),"",B648-WEEKDAY(B648,2)+1)</f>
        <v/>
      </c>
      <c r="M648" s="5">
        <f>IF(L648="","",L648+6)</f>
        <v/>
      </c>
      <c r="N648" s="6">
        <f>IF(OR(A648="",B648=""),"",DATE(YEAR(B648),MONTH(B648),1))</f>
        <v/>
      </c>
      <c r="O648" s="7">
        <f>IF(COUNTA(A648:K648)=0,"",IF(OR(A648="",B648=""),"Preencher CPF e entrada",IF(COUNTIFS($A$12:$A$5011,A648,$B$12:$B$5011,B648)&gt;1,"CPF + dia duplicado",IF(OR(AND(G648&lt;&gt;"",G648&lt;&gt;0,G648&lt;&gt;1),AND(H648&lt;&gt;"",H648&lt;&gt;0,H648&lt;&gt;1)),"Flags devem ser 0 ou 1",IF(AND(H648=1,LEN(TRIM(I648))=0),"Preencher nome do indicante",IF(AND(H648&lt;&gt;1,I648&lt;&gt;""),"Nome sem indicação interna",IF(AND(G648=1,F648=""),"Fechamento sem conversa",IF(OR(AND(E648&lt;&gt;"",E648&lt;B648),AND(F648&lt;&gt;"",F648&lt;B648)),"Evento anterior à entrada",IF(AND(F648&lt;&gt;"",E648=""),"Conversa sem agendamento",IF(OR(E648&gt;TODAY(),F648&gt;TODAY()),"Verificar evento futuro","OK"))))))))))</f>
        <v/>
      </c>
    </row>
    <row r="649" spans="12:15">
      <c r="L649" s="5">
        <f>IF(OR(A649="",B649=""),"",B649-WEEKDAY(B649,2)+1)</f>
        <v/>
      </c>
      <c r="M649" s="5">
        <f>IF(L649="","",L649+6)</f>
        <v/>
      </c>
      <c r="N649" s="6">
        <f>IF(OR(A649="",B649=""),"",DATE(YEAR(B649),MONTH(B649),1))</f>
        <v/>
      </c>
      <c r="O649" s="7">
        <f>IF(COUNTA(A649:K649)=0,"",IF(OR(A649="",B649=""),"Preencher CPF e entrada",IF(COUNTIFS($A$12:$A$5011,A649,$B$12:$B$5011,B649)&gt;1,"CPF + dia duplicado",IF(OR(AND(G649&lt;&gt;"",G649&lt;&gt;0,G649&lt;&gt;1),AND(H649&lt;&gt;"",H649&lt;&gt;0,H649&lt;&gt;1)),"Flags devem ser 0 ou 1",IF(AND(H649=1,LEN(TRIM(I649))=0),"Preencher nome do indicante",IF(AND(H649&lt;&gt;1,I649&lt;&gt;""),"Nome sem indicação interna",IF(AND(G649=1,F649=""),"Fechamento sem conversa",IF(OR(AND(E649&lt;&gt;"",E649&lt;B649),AND(F649&lt;&gt;"",F649&lt;B649)),"Evento anterior à entrada",IF(AND(F649&lt;&gt;"",E649=""),"Conversa sem agendamento",IF(OR(E649&gt;TODAY(),F649&gt;TODAY()),"Verificar evento futuro","OK"))))))))))</f>
        <v/>
      </c>
    </row>
    <row r="650" spans="12:15">
      <c r="L650" s="5">
        <f>IF(OR(A650="",B650=""),"",B650-WEEKDAY(B650,2)+1)</f>
        <v/>
      </c>
      <c r="M650" s="5">
        <f>IF(L650="","",L650+6)</f>
        <v/>
      </c>
      <c r="N650" s="6">
        <f>IF(OR(A650="",B650=""),"",DATE(YEAR(B650),MONTH(B650),1))</f>
        <v/>
      </c>
      <c r="O650" s="7">
        <f>IF(COUNTA(A650:K650)=0,"",IF(OR(A650="",B650=""),"Preencher CPF e entrada",IF(COUNTIFS($A$12:$A$5011,A650,$B$12:$B$5011,B650)&gt;1,"CPF + dia duplicado",IF(OR(AND(G650&lt;&gt;"",G650&lt;&gt;0,G650&lt;&gt;1),AND(H650&lt;&gt;"",H650&lt;&gt;0,H650&lt;&gt;1)),"Flags devem ser 0 ou 1",IF(AND(H650=1,LEN(TRIM(I650))=0),"Preencher nome do indicante",IF(AND(H650&lt;&gt;1,I650&lt;&gt;""),"Nome sem indicação interna",IF(AND(G650=1,F650=""),"Fechamento sem conversa",IF(OR(AND(E650&lt;&gt;"",E650&lt;B650),AND(F650&lt;&gt;"",F650&lt;B650)),"Evento anterior à entrada",IF(AND(F650&lt;&gt;"",E650=""),"Conversa sem agendamento",IF(OR(E650&gt;TODAY(),F650&gt;TODAY()),"Verificar evento futuro","OK"))))))))))</f>
        <v/>
      </c>
    </row>
    <row r="651" spans="12:15">
      <c r="L651" s="5">
        <f>IF(OR(A651="",B651=""),"",B651-WEEKDAY(B651,2)+1)</f>
        <v/>
      </c>
      <c r="M651" s="5">
        <f>IF(L651="","",L651+6)</f>
        <v/>
      </c>
      <c r="N651" s="6">
        <f>IF(OR(A651="",B651=""),"",DATE(YEAR(B651),MONTH(B651),1))</f>
        <v/>
      </c>
      <c r="O651" s="7">
        <f>IF(COUNTA(A651:K651)=0,"",IF(OR(A651="",B651=""),"Preencher CPF e entrada",IF(COUNTIFS($A$12:$A$5011,A651,$B$12:$B$5011,B651)&gt;1,"CPF + dia duplicado",IF(OR(AND(G651&lt;&gt;"",G651&lt;&gt;0,G651&lt;&gt;1),AND(H651&lt;&gt;"",H651&lt;&gt;0,H651&lt;&gt;1)),"Flags devem ser 0 ou 1",IF(AND(H651=1,LEN(TRIM(I651))=0),"Preencher nome do indicante",IF(AND(H651&lt;&gt;1,I651&lt;&gt;""),"Nome sem indicação interna",IF(AND(G651=1,F651=""),"Fechamento sem conversa",IF(OR(AND(E651&lt;&gt;"",E651&lt;B651),AND(F651&lt;&gt;"",F651&lt;B651)),"Evento anterior à entrada",IF(AND(F651&lt;&gt;"",E651=""),"Conversa sem agendamento",IF(OR(E651&gt;TODAY(),F651&gt;TODAY()),"Verificar evento futuro","OK"))))))))))</f>
        <v/>
      </c>
    </row>
    <row r="652" spans="12:15">
      <c r="L652" s="5">
        <f>IF(OR(A652="",B652=""),"",B652-WEEKDAY(B652,2)+1)</f>
        <v/>
      </c>
      <c r="M652" s="5">
        <f>IF(L652="","",L652+6)</f>
        <v/>
      </c>
      <c r="N652" s="6">
        <f>IF(OR(A652="",B652=""),"",DATE(YEAR(B652),MONTH(B652),1))</f>
        <v/>
      </c>
      <c r="O652" s="7">
        <f>IF(COUNTA(A652:K652)=0,"",IF(OR(A652="",B652=""),"Preencher CPF e entrada",IF(COUNTIFS($A$12:$A$5011,A652,$B$12:$B$5011,B652)&gt;1,"CPF + dia duplicado",IF(OR(AND(G652&lt;&gt;"",G652&lt;&gt;0,G652&lt;&gt;1),AND(H652&lt;&gt;"",H652&lt;&gt;0,H652&lt;&gt;1)),"Flags devem ser 0 ou 1",IF(AND(H652=1,LEN(TRIM(I652))=0),"Preencher nome do indicante",IF(AND(H652&lt;&gt;1,I652&lt;&gt;""),"Nome sem indicação interna",IF(AND(G652=1,F652=""),"Fechamento sem conversa",IF(OR(AND(E652&lt;&gt;"",E652&lt;B652),AND(F652&lt;&gt;"",F652&lt;B652)),"Evento anterior à entrada",IF(AND(F652&lt;&gt;"",E652=""),"Conversa sem agendamento",IF(OR(E652&gt;TODAY(),F652&gt;TODAY()),"Verificar evento futuro","OK"))))))))))</f>
        <v/>
      </c>
    </row>
    <row r="653" spans="12:15">
      <c r="L653" s="5">
        <f>IF(OR(A653="",B653=""),"",B653-WEEKDAY(B653,2)+1)</f>
        <v/>
      </c>
      <c r="M653" s="5">
        <f>IF(L653="","",L653+6)</f>
        <v/>
      </c>
      <c r="N653" s="6">
        <f>IF(OR(A653="",B653=""),"",DATE(YEAR(B653),MONTH(B653),1))</f>
        <v/>
      </c>
      <c r="O653" s="7">
        <f>IF(COUNTA(A653:K653)=0,"",IF(OR(A653="",B653=""),"Preencher CPF e entrada",IF(COUNTIFS($A$12:$A$5011,A653,$B$12:$B$5011,B653)&gt;1,"CPF + dia duplicado",IF(OR(AND(G653&lt;&gt;"",G653&lt;&gt;0,G653&lt;&gt;1),AND(H653&lt;&gt;"",H653&lt;&gt;0,H653&lt;&gt;1)),"Flags devem ser 0 ou 1",IF(AND(H653=1,LEN(TRIM(I653))=0),"Preencher nome do indicante",IF(AND(H653&lt;&gt;1,I653&lt;&gt;""),"Nome sem indicação interna",IF(AND(G653=1,F653=""),"Fechamento sem conversa",IF(OR(AND(E653&lt;&gt;"",E653&lt;B653),AND(F653&lt;&gt;"",F653&lt;B653)),"Evento anterior à entrada",IF(AND(F653&lt;&gt;"",E653=""),"Conversa sem agendamento",IF(OR(E653&gt;TODAY(),F653&gt;TODAY()),"Verificar evento futuro","OK"))))))))))</f>
        <v/>
      </c>
    </row>
    <row r="654" spans="12:15">
      <c r="L654" s="5">
        <f>IF(OR(A654="",B654=""),"",B654-WEEKDAY(B654,2)+1)</f>
        <v/>
      </c>
      <c r="M654" s="5">
        <f>IF(L654="","",L654+6)</f>
        <v/>
      </c>
      <c r="N654" s="6">
        <f>IF(OR(A654="",B654=""),"",DATE(YEAR(B654),MONTH(B654),1))</f>
        <v/>
      </c>
      <c r="O654" s="7">
        <f>IF(COUNTA(A654:K654)=0,"",IF(OR(A654="",B654=""),"Preencher CPF e entrada",IF(COUNTIFS($A$12:$A$5011,A654,$B$12:$B$5011,B654)&gt;1,"CPF + dia duplicado",IF(OR(AND(G654&lt;&gt;"",G654&lt;&gt;0,G654&lt;&gt;1),AND(H654&lt;&gt;"",H654&lt;&gt;0,H654&lt;&gt;1)),"Flags devem ser 0 ou 1",IF(AND(H654=1,LEN(TRIM(I654))=0),"Preencher nome do indicante",IF(AND(H654&lt;&gt;1,I654&lt;&gt;""),"Nome sem indicação interna",IF(AND(G654=1,F654=""),"Fechamento sem conversa",IF(OR(AND(E654&lt;&gt;"",E654&lt;B654),AND(F654&lt;&gt;"",F654&lt;B654)),"Evento anterior à entrada",IF(AND(F654&lt;&gt;"",E654=""),"Conversa sem agendamento",IF(OR(E654&gt;TODAY(),F654&gt;TODAY()),"Verificar evento futuro","OK"))))))))))</f>
        <v/>
      </c>
    </row>
    <row r="655" spans="12:15">
      <c r="L655" s="5">
        <f>IF(OR(A655="",B655=""),"",B655-WEEKDAY(B655,2)+1)</f>
        <v/>
      </c>
      <c r="M655" s="5">
        <f>IF(L655="","",L655+6)</f>
        <v/>
      </c>
      <c r="N655" s="6">
        <f>IF(OR(A655="",B655=""),"",DATE(YEAR(B655),MONTH(B655),1))</f>
        <v/>
      </c>
      <c r="O655" s="7">
        <f>IF(COUNTA(A655:K655)=0,"",IF(OR(A655="",B655=""),"Preencher CPF e entrada",IF(COUNTIFS($A$12:$A$5011,A655,$B$12:$B$5011,B655)&gt;1,"CPF + dia duplicado",IF(OR(AND(G655&lt;&gt;"",G655&lt;&gt;0,G655&lt;&gt;1),AND(H655&lt;&gt;"",H655&lt;&gt;0,H655&lt;&gt;1)),"Flags devem ser 0 ou 1",IF(AND(H655=1,LEN(TRIM(I655))=0),"Preencher nome do indicante",IF(AND(H655&lt;&gt;1,I655&lt;&gt;""),"Nome sem indicação interna",IF(AND(G655=1,F655=""),"Fechamento sem conversa",IF(OR(AND(E655&lt;&gt;"",E655&lt;B655),AND(F655&lt;&gt;"",F655&lt;B655)),"Evento anterior à entrada",IF(AND(F655&lt;&gt;"",E655=""),"Conversa sem agendamento",IF(OR(E655&gt;TODAY(),F655&gt;TODAY()),"Verificar evento futuro","OK"))))))))))</f>
        <v/>
      </c>
    </row>
    <row r="656" spans="12:15">
      <c r="L656" s="5">
        <f>IF(OR(A656="",B656=""),"",B656-WEEKDAY(B656,2)+1)</f>
        <v/>
      </c>
      <c r="M656" s="5">
        <f>IF(L656="","",L656+6)</f>
        <v/>
      </c>
      <c r="N656" s="6">
        <f>IF(OR(A656="",B656=""),"",DATE(YEAR(B656),MONTH(B656),1))</f>
        <v/>
      </c>
      <c r="O656" s="7">
        <f>IF(COUNTA(A656:K656)=0,"",IF(OR(A656="",B656=""),"Preencher CPF e entrada",IF(COUNTIFS($A$12:$A$5011,A656,$B$12:$B$5011,B656)&gt;1,"CPF + dia duplicado",IF(OR(AND(G656&lt;&gt;"",G656&lt;&gt;0,G656&lt;&gt;1),AND(H656&lt;&gt;"",H656&lt;&gt;0,H656&lt;&gt;1)),"Flags devem ser 0 ou 1",IF(AND(H656=1,LEN(TRIM(I656))=0),"Preencher nome do indicante",IF(AND(H656&lt;&gt;1,I656&lt;&gt;""),"Nome sem indicação interna",IF(AND(G656=1,F656=""),"Fechamento sem conversa",IF(OR(AND(E656&lt;&gt;"",E656&lt;B656),AND(F656&lt;&gt;"",F656&lt;B656)),"Evento anterior à entrada",IF(AND(F656&lt;&gt;"",E656=""),"Conversa sem agendamento",IF(OR(E656&gt;TODAY(),F656&gt;TODAY()),"Verificar evento futuro","OK"))))))))))</f>
        <v/>
      </c>
    </row>
    <row r="657" spans="12:15">
      <c r="L657" s="5">
        <f>IF(OR(A657="",B657=""),"",B657-WEEKDAY(B657,2)+1)</f>
        <v/>
      </c>
      <c r="M657" s="5">
        <f>IF(L657="","",L657+6)</f>
        <v/>
      </c>
      <c r="N657" s="6">
        <f>IF(OR(A657="",B657=""),"",DATE(YEAR(B657),MONTH(B657),1))</f>
        <v/>
      </c>
      <c r="O657" s="7">
        <f>IF(COUNTA(A657:K657)=0,"",IF(OR(A657="",B657=""),"Preencher CPF e entrada",IF(COUNTIFS($A$12:$A$5011,A657,$B$12:$B$5011,B657)&gt;1,"CPF + dia duplicado",IF(OR(AND(G657&lt;&gt;"",G657&lt;&gt;0,G657&lt;&gt;1),AND(H657&lt;&gt;"",H657&lt;&gt;0,H657&lt;&gt;1)),"Flags devem ser 0 ou 1",IF(AND(H657=1,LEN(TRIM(I657))=0),"Preencher nome do indicante",IF(AND(H657&lt;&gt;1,I657&lt;&gt;""),"Nome sem indicação interna",IF(AND(G657=1,F657=""),"Fechamento sem conversa",IF(OR(AND(E657&lt;&gt;"",E657&lt;B657),AND(F657&lt;&gt;"",F657&lt;B657)),"Evento anterior à entrada",IF(AND(F657&lt;&gt;"",E657=""),"Conversa sem agendamento",IF(OR(E657&gt;TODAY(),F657&gt;TODAY()),"Verificar evento futuro","OK"))))))))))</f>
        <v/>
      </c>
    </row>
    <row r="658" spans="12:15">
      <c r="L658" s="5">
        <f>IF(OR(A658="",B658=""),"",B658-WEEKDAY(B658,2)+1)</f>
        <v/>
      </c>
      <c r="M658" s="5">
        <f>IF(L658="","",L658+6)</f>
        <v/>
      </c>
      <c r="N658" s="6">
        <f>IF(OR(A658="",B658=""),"",DATE(YEAR(B658),MONTH(B658),1))</f>
        <v/>
      </c>
      <c r="O658" s="7">
        <f>IF(COUNTA(A658:K658)=0,"",IF(OR(A658="",B658=""),"Preencher CPF e entrada",IF(COUNTIFS($A$12:$A$5011,A658,$B$12:$B$5011,B658)&gt;1,"CPF + dia duplicado",IF(OR(AND(G658&lt;&gt;"",G658&lt;&gt;0,G658&lt;&gt;1),AND(H658&lt;&gt;"",H658&lt;&gt;0,H658&lt;&gt;1)),"Flags devem ser 0 ou 1",IF(AND(H658=1,LEN(TRIM(I658))=0),"Preencher nome do indicante",IF(AND(H658&lt;&gt;1,I658&lt;&gt;""),"Nome sem indicação interna",IF(AND(G658=1,F658=""),"Fechamento sem conversa",IF(OR(AND(E658&lt;&gt;"",E658&lt;B658),AND(F658&lt;&gt;"",F658&lt;B658)),"Evento anterior à entrada",IF(AND(F658&lt;&gt;"",E658=""),"Conversa sem agendamento",IF(OR(E658&gt;TODAY(),F658&gt;TODAY()),"Verificar evento futuro","OK"))))))))))</f>
        <v/>
      </c>
    </row>
    <row r="659" spans="12:15">
      <c r="L659" s="5">
        <f>IF(OR(A659="",B659=""),"",B659-WEEKDAY(B659,2)+1)</f>
        <v/>
      </c>
      <c r="M659" s="5">
        <f>IF(L659="","",L659+6)</f>
        <v/>
      </c>
      <c r="N659" s="6">
        <f>IF(OR(A659="",B659=""),"",DATE(YEAR(B659),MONTH(B659),1))</f>
        <v/>
      </c>
      <c r="O659" s="7">
        <f>IF(COUNTA(A659:K659)=0,"",IF(OR(A659="",B659=""),"Preencher CPF e entrada",IF(COUNTIFS($A$12:$A$5011,A659,$B$12:$B$5011,B659)&gt;1,"CPF + dia duplicado",IF(OR(AND(G659&lt;&gt;"",G659&lt;&gt;0,G659&lt;&gt;1),AND(H659&lt;&gt;"",H659&lt;&gt;0,H659&lt;&gt;1)),"Flags devem ser 0 ou 1",IF(AND(H659=1,LEN(TRIM(I659))=0),"Preencher nome do indicante",IF(AND(H659&lt;&gt;1,I659&lt;&gt;""),"Nome sem indicação interna",IF(AND(G659=1,F659=""),"Fechamento sem conversa",IF(OR(AND(E659&lt;&gt;"",E659&lt;B659),AND(F659&lt;&gt;"",F659&lt;B659)),"Evento anterior à entrada",IF(AND(F659&lt;&gt;"",E659=""),"Conversa sem agendamento",IF(OR(E659&gt;TODAY(),F659&gt;TODAY()),"Verificar evento futuro","OK"))))))))))</f>
        <v/>
      </c>
    </row>
    <row r="660" spans="12:15">
      <c r="L660" s="5">
        <f>IF(OR(A660="",B660=""),"",B660-WEEKDAY(B660,2)+1)</f>
        <v/>
      </c>
      <c r="M660" s="5">
        <f>IF(L660="","",L660+6)</f>
        <v/>
      </c>
      <c r="N660" s="6">
        <f>IF(OR(A660="",B660=""),"",DATE(YEAR(B660),MONTH(B660),1))</f>
        <v/>
      </c>
      <c r="O660" s="7">
        <f>IF(COUNTA(A660:K660)=0,"",IF(OR(A660="",B660=""),"Preencher CPF e entrada",IF(COUNTIFS($A$12:$A$5011,A660,$B$12:$B$5011,B660)&gt;1,"CPF + dia duplicado",IF(OR(AND(G660&lt;&gt;"",G660&lt;&gt;0,G660&lt;&gt;1),AND(H660&lt;&gt;"",H660&lt;&gt;0,H660&lt;&gt;1)),"Flags devem ser 0 ou 1",IF(AND(H660=1,LEN(TRIM(I660))=0),"Preencher nome do indicante",IF(AND(H660&lt;&gt;1,I660&lt;&gt;""),"Nome sem indicação interna",IF(AND(G660=1,F660=""),"Fechamento sem conversa",IF(OR(AND(E660&lt;&gt;"",E660&lt;B660),AND(F660&lt;&gt;"",F660&lt;B660)),"Evento anterior à entrada",IF(AND(F660&lt;&gt;"",E660=""),"Conversa sem agendamento",IF(OR(E660&gt;TODAY(),F660&gt;TODAY()),"Verificar evento futuro","OK"))))))))))</f>
        <v/>
      </c>
    </row>
    <row r="661" spans="12:15">
      <c r="L661" s="5">
        <f>IF(OR(A661="",B661=""),"",B661-WEEKDAY(B661,2)+1)</f>
        <v/>
      </c>
      <c r="M661" s="5">
        <f>IF(L661="","",L661+6)</f>
        <v/>
      </c>
      <c r="N661" s="6">
        <f>IF(OR(A661="",B661=""),"",DATE(YEAR(B661),MONTH(B661),1))</f>
        <v/>
      </c>
      <c r="O661" s="7">
        <f>IF(COUNTA(A661:K661)=0,"",IF(OR(A661="",B661=""),"Preencher CPF e entrada",IF(COUNTIFS($A$12:$A$5011,A661,$B$12:$B$5011,B661)&gt;1,"CPF + dia duplicado",IF(OR(AND(G661&lt;&gt;"",G661&lt;&gt;0,G661&lt;&gt;1),AND(H661&lt;&gt;"",H661&lt;&gt;0,H661&lt;&gt;1)),"Flags devem ser 0 ou 1",IF(AND(H661=1,LEN(TRIM(I661))=0),"Preencher nome do indicante",IF(AND(H661&lt;&gt;1,I661&lt;&gt;""),"Nome sem indicação interna",IF(AND(G661=1,F661=""),"Fechamento sem conversa",IF(OR(AND(E661&lt;&gt;"",E661&lt;B661),AND(F661&lt;&gt;"",F661&lt;B661)),"Evento anterior à entrada",IF(AND(F661&lt;&gt;"",E661=""),"Conversa sem agendamento",IF(OR(E661&gt;TODAY(),F661&gt;TODAY()),"Verificar evento futuro","OK"))))))))))</f>
        <v/>
      </c>
    </row>
    <row r="662" spans="12:15">
      <c r="L662" s="5">
        <f>IF(OR(A662="",B662=""),"",B662-WEEKDAY(B662,2)+1)</f>
        <v/>
      </c>
      <c r="M662" s="5">
        <f>IF(L662="","",L662+6)</f>
        <v/>
      </c>
      <c r="N662" s="6">
        <f>IF(OR(A662="",B662=""),"",DATE(YEAR(B662),MONTH(B662),1))</f>
        <v/>
      </c>
      <c r="O662" s="7">
        <f>IF(COUNTA(A662:K662)=0,"",IF(OR(A662="",B662=""),"Preencher CPF e entrada",IF(COUNTIFS($A$12:$A$5011,A662,$B$12:$B$5011,B662)&gt;1,"CPF + dia duplicado",IF(OR(AND(G662&lt;&gt;"",G662&lt;&gt;0,G662&lt;&gt;1),AND(H662&lt;&gt;"",H662&lt;&gt;0,H662&lt;&gt;1)),"Flags devem ser 0 ou 1",IF(AND(H662=1,LEN(TRIM(I662))=0),"Preencher nome do indicante",IF(AND(H662&lt;&gt;1,I662&lt;&gt;""),"Nome sem indicação interna",IF(AND(G662=1,F662=""),"Fechamento sem conversa",IF(OR(AND(E662&lt;&gt;"",E662&lt;B662),AND(F662&lt;&gt;"",F662&lt;B662)),"Evento anterior à entrada",IF(AND(F662&lt;&gt;"",E662=""),"Conversa sem agendamento",IF(OR(E662&gt;TODAY(),F662&gt;TODAY()),"Verificar evento futuro","OK"))))))))))</f>
        <v/>
      </c>
    </row>
    <row r="663" spans="12:15">
      <c r="L663" s="5">
        <f>IF(OR(A663="",B663=""),"",B663-WEEKDAY(B663,2)+1)</f>
        <v/>
      </c>
      <c r="M663" s="5">
        <f>IF(L663="","",L663+6)</f>
        <v/>
      </c>
      <c r="N663" s="6">
        <f>IF(OR(A663="",B663=""),"",DATE(YEAR(B663),MONTH(B663),1))</f>
        <v/>
      </c>
      <c r="O663" s="7">
        <f>IF(COUNTA(A663:K663)=0,"",IF(OR(A663="",B663=""),"Preencher CPF e entrada",IF(COUNTIFS($A$12:$A$5011,A663,$B$12:$B$5011,B663)&gt;1,"CPF + dia duplicado",IF(OR(AND(G663&lt;&gt;"",G663&lt;&gt;0,G663&lt;&gt;1),AND(H663&lt;&gt;"",H663&lt;&gt;0,H663&lt;&gt;1)),"Flags devem ser 0 ou 1",IF(AND(H663=1,LEN(TRIM(I663))=0),"Preencher nome do indicante",IF(AND(H663&lt;&gt;1,I663&lt;&gt;""),"Nome sem indicação interna",IF(AND(G663=1,F663=""),"Fechamento sem conversa",IF(OR(AND(E663&lt;&gt;"",E663&lt;B663),AND(F663&lt;&gt;"",F663&lt;B663)),"Evento anterior à entrada",IF(AND(F663&lt;&gt;"",E663=""),"Conversa sem agendamento",IF(OR(E663&gt;TODAY(),F663&gt;TODAY()),"Verificar evento futuro","OK"))))))))))</f>
        <v/>
      </c>
    </row>
    <row r="664" spans="12:15">
      <c r="L664" s="5">
        <f>IF(OR(A664="",B664=""),"",B664-WEEKDAY(B664,2)+1)</f>
        <v/>
      </c>
      <c r="M664" s="5">
        <f>IF(L664="","",L664+6)</f>
        <v/>
      </c>
      <c r="N664" s="6">
        <f>IF(OR(A664="",B664=""),"",DATE(YEAR(B664),MONTH(B664),1))</f>
        <v/>
      </c>
      <c r="O664" s="7">
        <f>IF(COUNTA(A664:K664)=0,"",IF(OR(A664="",B664=""),"Preencher CPF e entrada",IF(COUNTIFS($A$12:$A$5011,A664,$B$12:$B$5011,B664)&gt;1,"CPF + dia duplicado",IF(OR(AND(G664&lt;&gt;"",G664&lt;&gt;0,G664&lt;&gt;1),AND(H664&lt;&gt;"",H664&lt;&gt;0,H664&lt;&gt;1)),"Flags devem ser 0 ou 1",IF(AND(H664=1,LEN(TRIM(I664))=0),"Preencher nome do indicante",IF(AND(H664&lt;&gt;1,I664&lt;&gt;""),"Nome sem indicação interna",IF(AND(G664=1,F664=""),"Fechamento sem conversa",IF(OR(AND(E664&lt;&gt;"",E664&lt;B664),AND(F664&lt;&gt;"",F664&lt;B664)),"Evento anterior à entrada",IF(AND(F664&lt;&gt;"",E664=""),"Conversa sem agendamento",IF(OR(E664&gt;TODAY(),F664&gt;TODAY()),"Verificar evento futuro","OK"))))))))))</f>
        <v/>
      </c>
    </row>
    <row r="665" spans="12:15">
      <c r="L665" s="5">
        <f>IF(OR(A665="",B665=""),"",B665-WEEKDAY(B665,2)+1)</f>
        <v/>
      </c>
      <c r="M665" s="5">
        <f>IF(L665="","",L665+6)</f>
        <v/>
      </c>
      <c r="N665" s="6">
        <f>IF(OR(A665="",B665=""),"",DATE(YEAR(B665),MONTH(B665),1))</f>
        <v/>
      </c>
      <c r="O665" s="7">
        <f>IF(COUNTA(A665:K665)=0,"",IF(OR(A665="",B665=""),"Preencher CPF e entrada",IF(COUNTIFS($A$12:$A$5011,A665,$B$12:$B$5011,B665)&gt;1,"CPF + dia duplicado",IF(OR(AND(G665&lt;&gt;"",G665&lt;&gt;0,G665&lt;&gt;1),AND(H665&lt;&gt;"",H665&lt;&gt;0,H665&lt;&gt;1)),"Flags devem ser 0 ou 1",IF(AND(H665=1,LEN(TRIM(I665))=0),"Preencher nome do indicante",IF(AND(H665&lt;&gt;1,I665&lt;&gt;""),"Nome sem indicação interna",IF(AND(G665=1,F665=""),"Fechamento sem conversa",IF(OR(AND(E665&lt;&gt;"",E665&lt;B665),AND(F665&lt;&gt;"",F665&lt;B665)),"Evento anterior à entrada",IF(AND(F665&lt;&gt;"",E665=""),"Conversa sem agendamento",IF(OR(E665&gt;TODAY(),F665&gt;TODAY()),"Verificar evento futuro","OK"))))))))))</f>
        <v/>
      </c>
    </row>
    <row r="666" spans="12:15">
      <c r="L666" s="5">
        <f>IF(OR(A666="",B666=""),"",B666-WEEKDAY(B666,2)+1)</f>
        <v/>
      </c>
      <c r="M666" s="5">
        <f>IF(L666="","",L666+6)</f>
        <v/>
      </c>
      <c r="N666" s="6">
        <f>IF(OR(A666="",B666=""),"",DATE(YEAR(B666),MONTH(B666),1))</f>
        <v/>
      </c>
      <c r="O666" s="7">
        <f>IF(COUNTA(A666:K666)=0,"",IF(OR(A666="",B666=""),"Preencher CPF e entrada",IF(COUNTIFS($A$12:$A$5011,A666,$B$12:$B$5011,B666)&gt;1,"CPF + dia duplicado",IF(OR(AND(G666&lt;&gt;"",G666&lt;&gt;0,G666&lt;&gt;1),AND(H666&lt;&gt;"",H666&lt;&gt;0,H666&lt;&gt;1)),"Flags devem ser 0 ou 1",IF(AND(H666=1,LEN(TRIM(I666))=0),"Preencher nome do indicante",IF(AND(H666&lt;&gt;1,I666&lt;&gt;""),"Nome sem indicação interna",IF(AND(G666=1,F666=""),"Fechamento sem conversa",IF(OR(AND(E666&lt;&gt;"",E666&lt;B666),AND(F666&lt;&gt;"",F666&lt;B666)),"Evento anterior à entrada",IF(AND(F666&lt;&gt;"",E666=""),"Conversa sem agendamento",IF(OR(E666&gt;TODAY(),F666&gt;TODAY()),"Verificar evento futuro","OK"))))))))))</f>
        <v/>
      </c>
    </row>
    <row r="667" spans="12:15">
      <c r="L667" s="5">
        <f>IF(OR(A667="",B667=""),"",B667-WEEKDAY(B667,2)+1)</f>
        <v/>
      </c>
      <c r="M667" s="5">
        <f>IF(L667="","",L667+6)</f>
        <v/>
      </c>
      <c r="N667" s="6">
        <f>IF(OR(A667="",B667=""),"",DATE(YEAR(B667),MONTH(B667),1))</f>
        <v/>
      </c>
      <c r="O667" s="7">
        <f>IF(COUNTA(A667:K667)=0,"",IF(OR(A667="",B667=""),"Preencher CPF e entrada",IF(COUNTIFS($A$12:$A$5011,A667,$B$12:$B$5011,B667)&gt;1,"CPF + dia duplicado",IF(OR(AND(G667&lt;&gt;"",G667&lt;&gt;0,G667&lt;&gt;1),AND(H667&lt;&gt;"",H667&lt;&gt;0,H667&lt;&gt;1)),"Flags devem ser 0 ou 1",IF(AND(H667=1,LEN(TRIM(I667))=0),"Preencher nome do indicante",IF(AND(H667&lt;&gt;1,I667&lt;&gt;""),"Nome sem indicação interna",IF(AND(G667=1,F667=""),"Fechamento sem conversa",IF(OR(AND(E667&lt;&gt;"",E667&lt;B667),AND(F667&lt;&gt;"",F667&lt;B667)),"Evento anterior à entrada",IF(AND(F667&lt;&gt;"",E667=""),"Conversa sem agendamento",IF(OR(E667&gt;TODAY(),F667&gt;TODAY()),"Verificar evento futuro","OK"))))))))))</f>
        <v/>
      </c>
    </row>
    <row r="668" spans="12:15">
      <c r="L668" s="5">
        <f>IF(OR(A668="",B668=""),"",B668-WEEKDAY(B668,2)+1)</f>
        <v/>
      </c>
      <c r="M668" s="5">
        <f>IF(L668="","",L668+6)</f>
        <v/>
      </c>
      <c r="N668" s="6">
        <f>IF(OR(A668="",B668=""),"",DATE(YEAR(B668),MONTH(B668),1))</f>
        <v/>
      </c>
      <c r="O668" s="7">
        <f>IF(COUNTA(A668:K668)=0,"",IF(OR(A668="",B668=""),"Preencher CPF e entrada",IF(COUNTIFS($A$12:$A$5011,A668,$B$12:$B$5011,B668)&gt;1,"CPF + dia duplicado",IF(OR(AND(G668&lt;&gt;"",G668&lt;&gt;0,G668&lt;&gt;1),AND(H668&lt;&gt;"",H668&lt;&gt;0,H668&lt;&gt;1)),"Flags devem ser 0 ou 1",IF(AND(H668=1,LEN(TRIM(I668))=0),"Preencher nome do indicante",IF(AND(H668&lt;&gt;1,I668&lt;&gt;""),"Nome sem indicação interna",IF(AND(G668=1,F668=""),"Fechamento sem conversa",IF(OR(AND(E668&lt;&gt;"",E668&lt;B668),AND(F668&lt;&gt;"",F668&lt;B668)),"Evento anterior à entrada",IF(AND(F668&lt;&gt;"",E668=""),"Conversa sem agendamento",IF(OR(E668&gt;TODAY(),F668&gt;TODAY()),"Verificar evento futuro","OK"))))))))))</f>
        <v/>
      </c>
    </row>
    <row r="669" spans="12:15">
      <c r="L669" s="5">
        <f>IF(OR(A669="",B669=""),"",B669-WEEKDAY(B669,2)+1)</f>
        <v/>
      </c>
      <c r="M669" s="5">
        <f>IF(L669="","",L669+6)</f>
        <v/>
      </c>
      <c r="N669" s="6">
        <f>IF(OR(A669="",B669=""),"",DATE(YEAR(B669),MONTH(B669),1))</f>
        <v/>
      </c>
      <c r="O669" s="7">
        <f>IF(COUNTA(A669:K669)=0,"",IF(OR(A669="",B669=""),"Preencher CPF e entrada",IF(COUNTIFS($A$12:$A$5011,A669,$B$12:$B$5011,B669)&gt;1,"CPF + dia duplicado",IF(OR(AND(G669&lt;&gt;"",G669&lt;&gt;0,G669&lt;&gt;1),AND(H669&lt;&gt;"",H669&lt;&gt;0,H669&lt;&gt;1)),"Flags devem ser 0 ou 1",IF(AND(H669=1,LEN(TRIM(I669))=0),"Preencher nome do indicante",IF(AND(H669&lt;&gt;1,I669&lt;&gt;""),"Nome sem indicação interna",IF(AND(G669=1,F669=""),"Fechamento sem conversa",IF(OR(AND(E669&lt;&gt;"",E669&lt;B669),AND(F669&lt;&gt;"",F669&lt;B669)),"Evento anterior à entrada",IF(AND(F669&lt;&gt;"",E669=""),"Conversa sem agendamento",IF(OR(E669&gt;TODAY(),F669&gt;TODAY()),"Verificar evento futuro","OK"))))))))))</f>
        <v/>
      </c>
    </row>
    <row r="670" spans="12:15">
      <c r="L670" s="5">
        <f>IF(OR(A670="",B670=""),"",B670-WEEKDAY(B670,2)+1)</f>
        <v/>
      </c>
      <c r="M670" s="5">
        <f>IF(L670="","",L670+6)</f>
        <v/>
      </c>
      <c r="N670" s="6">
        <f>IF(OR(A670="",B670=""),"",DATE(YEAR(B670),MONTH(B670),1))</f>
        <v/>
      </c>
      <c r="O670" s="7">
        <f>IF(COUNTA(A670:K670)=0,"",IF(OR(A670="",B670=""),"Preencher CPF e entrada",IF(COUNTIFS($A$12:$A$5011,A670,$B$12:$B$5011,B670)&gt;1,"CPF + dia duplicado",IF(OR(AND(G670&lt;&gt;"",G670&lt;&gt;0,G670&lt;&gt;1),AND(H670&lt;&gt;"",H670&lt;&gt;0,H670&lt;&gt;1)),"Flags devem ser 0 ou 1",IF(AND(H670=1,LEN(TRIM(I670))=0),"Preencher nome do indicante",IF(AND(H670&lt;&gt;1,I670&lt;&gt;""),"Nome sem indicação interna",IF(AND(G670=1,F670=""),"Fechamento sem conversa",IF(OR(AND(E670&lt;&gt;"",E670&lt;B670),AND(F670&lt;&gt;"",F670&lt;B670)),"Evento anterior à entrada",IF(AND(F670&lt;&gt;"",E670=""),"Conversa sem agendamento",IF(OR(E670&gt;TODAY(),F670&gt;TODAY()),"Verificar evento futuro","OK"))))))))))</f>
        <v/>
      </c>
    </row>
    <row r="671" spans="12:15">
      <c r="L671" s="5">
        <f>IF(OR(A671="",B671=""),"",B671-WEEKDAY(B671,2)+1)</f>
        <v/>
      </c>
      <c r="M671" s="5">
        <f>IF(L671="","",L671+6)</f>
        <v/>
      </c>
      <c r="N671" s="6">
        <f>IF(OR(A671="",B671=""),"",DATE(YEAR(B671),MONTH(B671),1))</f>
        <v/>
      </c>
      <c r="O671" s="7">
        <f>IF(COUNTA(A671:K671)=0,"",IF(OR(A671="",B671=""),"Preencher CPF e entrada",IF(COUNTIFS($A$12:$A$5011,A671,$B$12:$B$5011,B671)&gt;1,"CPF + dia duplicado",IF(OR(AND(G671&lt;&gt;"",G671&lt;&gt;0,G671&lt;&gt;1),AND(H671&lt;&gt;"",H671&lt;&gt;0,H671&lt;&gt;1)),"Flags devem ser 0 ou 1",IF(AND(H671=1,LEN(TRIM(I671))=0),"Preencher nome do indicante",IF(AND(H671&lt;&gt;1,I671&lt;&gt;""),"Nome sem indicação interna",IF(AND(G671=1,F671=""),"Fechamento sem conversa",IF(OR(AND(E671&lt;&gt;"",E671&lt;B671),AND(F671&lt;&gt;"",F671&lt;B671)),"Evento anterior à entrada",IF(AND(F671&lt;&gt;"",E671=""),"Conversa sem agendamento",IF(OR(E671&gt;TODAY(),F671&gt;TODAY()),"Verificar evento futuro","OK"))))))))))</f>
        <v/>
      </c>
    </row>
    <row r="672" spans="12:15">
      <c r="L672" s="5">
        <f>IF(OR(A672="",B672=""),"",B672-WEEKDAY(B672,2)+1)</f>
        <v/>
      </c>
      <c r="M672" s="5">
        <f>IF(L672="","",L672+6)</f>
        <v/>
      </c>
      <c r="N672" s="6">
        <f>IF(OR(A672="",B672=""),"",DATE(YEAR(B672),MONTH(B672),1))</f>
        <v/>
      </c>
      <c r="O672" s="7">
        <f>IF(COUNTA(A672:K672)=0,"",IF(OR(A672="",B672=""),"Preencher CPF e entrada",IF(COUNTIFS($A$12:$A$5011,A672,$B$12:$B$5011,B672)&gt;1,"CPF + dia duplicado",IF(OR(AND(G672&lt;&gt;"",G672&lt;&gt;0,G672&lt;&gt;1),AND(H672&lt;&gt;"",H672&lt;&gt;0,H672&lt;&gt;1)),"Flags devem ser 0 ou 1",IF(AND(H672=1,LEN(TRIM(I672))=0),"Preencher nome do indicante",IF(AND(H672&lt;&gt;1,I672&lt;&gt;""),"Nome sem indicação interna",IF(AND(G672=1,F672=""),"Fechamento sem conversa",IF(OR(AND(E672&lt;&gt;"",E672&lt;B672),AND(F672&lt;&gt;"",F672&lt;B672)),"Evento anterior à entrada",IF(AND(F672&lt;&gt;"",E672=""),"Conversa sem agendamento",IF(OR(E672&gt;TODAY(),F672&gt;TODAY()),"Verificar evento futuro","OK"))))))))))</f>
        <v/>
      </c>
    </row>
    <row r="673" spans="12:15">
      <c r="L673" s="5">
        <f>IF(OR(A673="",B673=""),"",B673-WEEKDAY(B673,2)+1)</f>
        <v/>
      </c>
      <c r="M673" s="5">
        <f>IF(L673="","",L673+6)</f>
        <v/>
      </c>
      <c r="N673" s="6">
        <f>IF(OR(A673="",B673=""),"",DATE(YEAR(B673),MONTH(B673),1))</f>
        <v/>
      </c>
      <c r="O673" s="7">
        <f>IF(COUNTA(A673:K673)=0,"",IF(OR(A673="",B673=""),"Preencher CPF e entrada",IF(COUNTIFS($A$12:$A$5011,A673,$B$12:$B$5011,B673)&gt;1,"CPF + dia duplicado",IF(OR(AND(G673&lt;&gt;"",G673&lt;&gt;0,G673&lt;&gt;1),AND(H673&lt;&gt;"",H673&lt;&gt;0,H673&lt;&gt;1)),"Flags devem ser 0 ou 1",IF(AND(H673=1,LEN(TRIM(I673))=0),"Preencher nome do indicante",IF(AND(H673&lt;&gt;1,I673&lt;&gt;""),"Nome sem indicação interna",IF(AND(G673=1,F673=""),"Fechamento sem conversa",IF(OR(AND(E673&lt;&gt;"",E673&lt;B673),AND(F673&lt;&gt;"",F673&lt;B673)),"Evento anterior à entrada",IF(AND(F673&lt;&gt;"",E673=""),"Conversa sem agendamento",IF(OR(E673&gt;TODAY(),F673&gt;TODAY()),"Verificar evento futuro","OK"))))))))))</f>
        <v/>
      </c>
    </row>
    <row r="674" spans="12:15">
      <c r="L674" s="5">
        <f>IF(OR(A674="",B674=""),"",B674-WEEKDAY(B674,2)+1)</f>
        <v/>
      </c>
      <c r="M674" s="5">
        <f>IF(L674="","",L674+6)</f>
        <v/>
      </c>
      <c r="N674" s="6">
        <f>IF(OR(A674="",B674=""),"",DATE(YEAR(B674),MONTH(B674),1))</f>
        <v/>
      </c>
      <c r="O674" s="7">
        <f>IF(COUNTA(A674:K674)=0,"",IF(OR(A674="",B674=""),"Preencher CPF e entrada",IF(COUNTIFS($A$12:$A$5011,A674,$B$12:$B$5011,B674)&gt;1,"CPF + dia duplicado",IF(OR(AND(G674&lt;&gt;"",G674&lt;&gt;0,G674&lt;&gt;1),AND(H674&lt;&gt;"",H674&lt;&gt;0,H674&lt;&gt;1)),"Flags devem ser 0 ou 1",IF(AND(H674=1,LEN(TRIM(I674))=0),"Preencher nome do indicante",IF(AND(H674&lt;&gt;1,I674&lt;&gt;""),"Nome sem indicação interna",IF(AND(G674=1,F674=""),"Fechamento sem conversa",IF(OR(AND(E674&lt;&gt;"",E674&lt;B674),AND(F674&lt;&gt;"",F674&lt;B674)),"Evento anterior à entrada",IF(AND(F674&lt;&gt;"",E674=""),"Conversa sem agendamento",IF(OR(E674&gt;TODAY(),F674&gt;TODAY()),"Verificar evento futuro","OK"))))))))))</f>
        <v/>
      </c>
    </row>
    <row r="675" spans="12:15">
      <c r="L675" s="5">
        <f>IF(OR(A675="",B675=""),"",B675-WEEKDAY(B675,2)+1)</f>
        <v/>
      </c>
      <c r="M675" s="5">
        <f>IF(L675="","",L675+6)</f>
        <v/>
      </c>
      <c r="N675" s="6">
        <f>IF(OR(A675="",B675=""),"",DATE(YEAR(B675),MONTH(B675),1))</f>
        <v/>
      </c>
      <c r="O675" s="7">
        <f>IF(COUNTA(A675:K675)=0,"",IF(OR(A675="",B675=""),"Preencher CPF e entrada",IF(COUNTIFS($A$12:$A$5011,A675,$B$12:$B$5011,B675)&gt;1,"CPF + dia duplicado",IF(OR(AND(G675&lt;&gt;"",G675&lt;&gt;0,G675&lt;&gt;1),AND(H675&lt;&gt;"",H675&lt;&gt;0,H675&lt;&gt;1)),"Flags devem ser 0 ou 1",IF(AND(H675=1,LEN(TRIM(I675))=0),"Preencher nome do indicante",IF(AND(H675&lt;&gt;1,I675&lt;&gt;""),"Nome sem indicação interna",IF(AND(G675=1,F675=""),"Fechamento sem conversa",IF(OR(AND(E675&lt;&gt;"",E675&lt;B675),AND(F675&lt;&gt;"",F675&lt;B675)),"Evento anterior à entrada",IF(AND(F675&lt;&gt;"",E675=""),"Conversa sem agendamento",IF(OR(E675&gt;TODAY(),F675&gt;TODAY()),"Verificar evento futuro","OK"))))))))))</f>
        <v/>
      </c>
    </row>
    <row r="676" spans="12:15">
      <c r="L676" s="5">
        <f>IF(OR(A676="",B676=""),"",B676-WEEKDAY(B676,2)+1)</f>
        <v/>
      </c>
      <c r="M676" s="5">
        <f>IF(L676="","",L676+6)</f>
        <v/>
      </c>
      <c r="N676" s="6">
        <f>IF(OR(A676="",B676=""),"",DATE(YEAR(B676),MONTH(B676),1))</f>
        <v/>
      </c>
      <c r="O676" s="7">
        <f>IF(COUNTA(A676:K676)=0,"",IF(OR(A676="",B676=""),"Preencher CPF e entrada",IF(COUNTIFS($A$12:$A$5011,A676,$B$12:$B$5011,B676)&gt;1,"CPF + dia duplicado",IF(OR(AND(G676&lt;&gt;"",G676&lt;&gt;0,G676&lt;&gt;1),AND(H676&lt;&gt;"",H676&lt;&gt;0,H676&lt;&gt;1)),"Flags devem ser 0 ou 1",IF(AND(H676=1,LEN(TRIM(I676))=0),"Preencher nome do indicante",IF(AND(H676&lt;&gt;1,I676&lt;&gt;""),"Nome sem indicação interna",IF(AND(G676=1,F676=""),"Fechamento sem conversa",IF(OR(AND(E676&lt;&gt;"",E676&lt;B676),AND(F676&lt;&gt;"",F676&lt;B676)),"Evento anterior à entrada",IF(AND(F676&lt;&gt;"",E676=""),"Conversa sem agendamento",IF(OR(E676&gt;TODAY(),F676&gt;TODAY()),"Verificar evento futuro","OK"))))))))))</f>
        <v/>
      </c>
    </row>
    <row r="677" spans="12:15">
      <c r="L677" s="5">
        <f>IF(OR(A677="",B677=""),"",B677-WEEKDAY(B677,2)+1)</f>
        <v/>
      </c>
      <c r="M677" s="5">
        <f>IF(L677="","",L677+6)</f>
        <v/>
      </c>
      <c r="N677" s="6">
        <f>IF(OR(A677="",B677=""),"",DATE(YEAR(B677),MONTH(B677),1))</f>
        <v/>
      </c>
      <c r="O677" s="7">
        <f>IF(COUNTA(A677:K677)=0,"",IF(OR(A677="",B677=""),"Preencher CPF e entrada",IF(COUNTIFS($A$12:$A$5011,A677,$B$12:$B$5011,B677)&gt;1,"CPF + dia duplicado",IF(OR(AND(G677&lt;&gt;"",G677&lt;&gt;0,G677&lt;&gt;1),AND(H677&lt;&gt;"",H677&lt;&gt;0,H677&lt;&gt;1)),"Flags devem ser 0 ou 1",IF(AND(H677=1,LEN(TRIM(I677))=0),"Preencher nome do indicante",IF(AND(H677&lt;&gt;1,I677&lt;&gt;""),"Nome sem indicação interna",IF(AND(G677=1,F677=""),"Fechamento sem conversa",IF(OR(AND(E677&lt;&gt;"",E677&lt;B677),AND(F677&lt;&gt;"",F677&lt;B677)),"Evento anterior à entrada",IF(AND(F677&lt;&gt;"",E677=""),"Conversa sem agendamento",IF(OR(E677&gt;TODAY(),F677&gt;TODAY()),"Verificar evento futuro","OK"))))))))))</f>
        <v/>
      </c>
    </row>
    <row r="678" spans="12:15">
      <c r="L678" s="5">
        <f>IF(OR(A678="",B678=""),"",B678-WEEKDAY(B678,2)+1)</f>
        <v/>
      </c>
      <c r="M678" s="5">
        <f>IF(L678="","",L678+6)</f>
        <v/>
      </c>
      <c r="N678" s="6">
        <f>IF(OR(A678="",B678=""),"",DATE(YEAR(B678),MONTH(B678),1))</f>
        <v/>
      </c>
      <c r="O678" s="7">
        <f>IF(COUNTA(A678:K678)=0,"",IF(OR(A678="",B678=""),"Preencher CPF e entrada",IF(COUNTIFS($A$12:$A$5011,A678,$B$12:$B$5011,B678)&gt;1,"CPF + dia duplicado",IF(OR(AND(G678&lt;&gt;"",G678&lt;&gt;0,G678&lt;&gt;1),AND(H678&lt;&gt;"",H678&lt;&gt;0,H678&lt;&gt;1)),"Flags devem ser 0 ou 1",IF(AND(H678=1,LEN(TRIM(I678))=0),"Preencher nome do indicante",IF(AND(H678&lt;&gt;1,I678&lt;&gt;""),"Nome sem indicação interna",IF(AND(G678=1,F678=""),"Fechamento sem conversa",IF(OR(AND(E678&lt;&gt;"",E678&lt;B678),AND(F678&lt;&gt;"",F678&lt;B678)),"Evento anterior à entrada",IF(AND(F678&lt;&gt;"",E678=""),"Conversa sem agendamento",IF(OR(E678&gt;TODAY(),F678&gt;TODAY()),"Verificar evento futuro","OK"))))))))))</f>
        <v/>
      </c>
    </row>
    <row r="679" spans="12:15">
      <c r="L679" s="5">
        <f>IF(OR(A679="",B679=""),"",B679-WEEKDAY(B679,2)+1)</f>
        <v/>
      </c>
      <c r="M679" s="5">
        <f>IF(L679="","",L679+6)</f>
        <v/>
      </c>
      <c r="N679" s="6">
        <f>IF(OR(A679="",B679=""),"",DATE(YEAR(B679),MONTH(B679),1))</f>
        <v/>
      </c>
      <c r="O679" s="7">
        <f>IF(COUNTA(A679:K679)=0,"",IF(OR(A679="",B679=""),"Preencher CPF e entrada",IF(COUNTIFS($A$12:$A$5011,A679,$B$12:$B$5011,B679)&gt;1,"CPF + dia duplicado",IF(OR(AND(G679&lt;&gt;"",G679&lt;&gt;0,G679&lt;&gt;1),AND(H679&lt;&gt;"",H679&lt;&gt;0,H679&lt;&gt;1)),"Flags devem ser 0 ou 1",IF(AND(H679=1,LEN(TRIM(I679))=0),"Preencher nome do indicante",IF(AND(H679&lt;&gt;1,I679&lt;&gt;""),"Nome sem indicação interna",IF(AND(G679=1,F679=""),"Fechamento sem conversa",IF(OR(AND(E679&lt;&gt;"",E679&lt;B679),AND(F679&lt;&gt;"",F679&lt;B679)),"Evento anterior à entrada",IF(AND(F679&lt;&gt;"",E679=""),"Conversa sem agendamento",IF(OR(E679&gt;TODAY(),F679&gt;TODAY()),"Verificar evento futuro","OK"))))))))))</f>
        <v/>
      </c>
    </row>
    <row r="680" spans="12:15">
      <c r="L680" s="5">
        <f>IF(OR(A680="",B680=""),"",B680-WEEKDAY(B680,2)+1)</f>
        <v/>
      </c>
      <c r="M680" s="5">
        <f>IF(L680="","",L680+6)</f>
        <v/>
      </c>
      <c r="N680" s="6">
        <f>IF(OR(A680="",B680=""),"",DATE(YEAR(B680),MONTH(B680),1))</f>
        <v/>
      </c>
      <c r="O680" s="7">
        <f>IF(COUNTA(A680:K680)=0,"",IF(OR(A680="",B680=""),"Preencher CPF e entrada",IF(COUNTIFS($A$12:$A$5011,A680,$B$12:$B$5011,B680)&gt;1,"CPF + dia duplicado",IF(OR(AND(G680&lt;&gt;"",G680&lt;&gt;0,G680&lt;&gt;1),AND(H680&lt;&gt;"",H680&lt;&gt;0,H680&lt;&gt;1)),"Flags devem ser 0 ou 1",IF(AND(H680=1,LEN(TRIM(I680))=0),"Preencher nome do indicante",IF(AND(H680&lt;&gt;1,I680&lt;&gt;""),"Nome sem indicação interna",IF(AND(G680=1,F680=""),"Fechamento sem conversa",IF(OR(AND(E680&lt;&gt;"",E680&lt;B680),AND(F680&lt;&gt;"",F680&lt;B680)),"Evento anterior à entrada",IF(AND(F680&lt;&gt;"",E680=""),"Conversa sem agendamento",IF(OR(E680&gt;TODAY(),F680&gt;TODAY()),"Verificar evento futuro","OK"))))))))))</f>
        <v/>
      </c>
    </row>
    <row r="681" spans="12:15">
      <c r="L681" s="5">
        <f>IF(OR(A681="",B681=""),"",B681-WEEKDAY(B681,2)+1)</f>
        <v/>
      </c>
      <c r="M681" s="5">
        <f>IF(L681="","",L681+6)</f>
        <v/>
      </c>
      <c r="N681" s="6">
        <f>IF(OR(A681="",B681=""),"",DATE(YEAR(B681),MONTH(B681),1))</f>
        <v/>
      </c>
      <c r="O681" s="7">
        <f>IF(COUNTA(A681:K681)=0,"",IF(OR(A681="",B681=""),"Preencher CPF e entrada",IF(COUNTIFS($A$12:$A$5011,A681,$B$12:$B$5011,B681)&gt;1,"CPF + dia duplicado",IF(OR(AND(G681&lt;&gt;"",G681&lt;&gt;0,G681&lt;&gt;1),AND(H681&lt;&gt;"",H681&lt;&gt;0,H681&lt;&gt;1)),"Flags devem ser 0 ou 1",IF(AND(H681=1,LEN(TRIM(I681))=0),"Preencher nome do indicante",IF(AND(H681&lt;&gt;1,I681&lt;&gt;""),"Nome sem indicação interna",IF(AND(G681=1,F681=""),"Fechamento sem conversa",IF(OR(AND(E681&lt;&gt;"",E681&lt;B681),AND(F681&lt;&gt;"",F681&lt;B681)),"Evento anterior à entrada",IF(AND(F681&lt;&gt;"",E681=""),"Conversa sem agendamento",IF(OR(E681&gt;TODAY(),F681&gt;TODAY()),"Verificar evento futuro","OK"))))))))))</f>
        <v/>
      </c>
    </row>
    <row r="682" spans="12:15">
      <c r="L682" s="5">
        <f>IF(OR(A682="",B682=""),"",B682-WEEKDAY(B682,2)+1)</f>
        <v/>
      </c>
      <c r="M682" s="5">
        <f>IF(L682="","",L682+6)</f>
        <v/>
      </c>
      <c r="N682" s="6">
        <f>IF(OR(A682="",B682=""),"",DATE(YEAR(B682),MONTH(B682),1))</f>
        <v/>
      </c>
      <c r="O682" s="7">
        <f>IF(COUNTA(A682:K682)=0,"",IF(OR(A682="",B682=""),"Preencher CPF e entrada",IF(COUNTIFS($A$12:$A$5011,A682,$B$12:$B$5011,B682)&gt;1,"CPF + dia duplicado",IF(OR(AND(G682&lt;&gt;"",G682&lt;&gt;0,G682&lt;&gt;1),AND(H682&lt;&gt;"",H682&lt;&gt;0,H682&lt;&gt;1)),"Flags devem ser 0 ou 1",IF(AND(H682=1,LEN(TRIM(I682))=0),"Preencher nome do indicante",IF(AND(H682&lt;&gt;1,I682&lt;&gt;""),"Nome sem indicação interna",IF(AND(G682=1,F682=""),"Fechamento sem conversa",IF(OR(AND(E682&lt;&gt;"",E682&lt;B682),AND(F682&lt;&gt;"",F682&lt;B682)),"Evento anterior à entrada",IF(AND(F682&lt;&gt;"",E682=""),"Conversa sem agendamento",IF(OR(E682&gt;TODAY(),F682&gt;TODAY()),"Verificar evento futuro","OK"))))))))))</f>
        <v/>
      </c>
    </row>
    <row r="683" spans="12:15">
      <c r="L683" s="5">
        <f>IF(OR(A683="",B683=""),"",B683-WEEKDAY(B683,2)+1)</f>
        <v/>
      </c>
      <c r="M683" s="5">
        <f>IF(L683="","",L683+6)</f>
        <v/>
      </c>
      <c r="N683" s="6">
        <f>IF(OR(A683="",B683=""),"",DATE(YEAR(B683),MONTH(B683),1))</f>
        <v/>
      </c>
      <c r="O683" s="7">
        <f>IF(COUNTA(A683:K683)=0,"",IF(OR(A683="",B683=""),"Preencher CPF e entrada",IF(COUNTIFS($A$12:$A$5011,A683,$B$12:$B$5011,B683)&gt;1,"CPF + dia duplicado",IF(OR(AND(G683&lt;&gt;"",G683&lt;&gt;0,G683&lt;&gt;1),AND(H683&lt;&gt;"",H683&lt;&gt;0,H683&lt;&gt;1)),"Flags devem ser 0 ou 1",IF(AND(H683=1,LEN(TRIM(I683))=0),"Preencher nome do indicante",IF(AND(H683&lt;&gt;1,I683&lt;&gt;""),"Nome sem indicação interna",IF(AND(G683=1,F683=""),"Fechamento sem conversa",IF(OR(AND(E683&lt;&gt;"",E683&lt;B683),AND(F683&lt;&gt;"",F683&lt;B683)),"Evento anterior à entrada",IF(AND(F683&lt;&gt;"",E683=""),"Conversa sem agendamento",IF(OR(E683&gt;TODAY(),F683&gt;TODAY()),"Verificar evento futuro","OK"))))))))))</f>
        <v/>
      </c>
    </row>
    <row r="684" spans="12:15">
      <c r="L684" s="5">
        <f>IF(OR(A684="",B684=""),"",B684-WEEKDAY(B684,2)+1)</f>
        <v/>
      </c>
      <c r="M684" s="5">
        <f>IF(L684="","",L684+6)</f>
        <v/>
      </c>
      <c r="N684" s="6">
        <f>IF(OR(A684="",B684=""),"",DATE(YEAR(B684),MONTH(B684),1))</f>
        <v/>
      </c>
      <c r="O684" s="7">
        <f>IF(COUNTA(A684:K684)=0,"",IF(OR(A684="",B684=""),"Preencher CPF e entrada",IF(COUNTIFS($A$12:$A$5011,A684,$B$12:$B$5011,B684)&gt;1,"CPF + dia duplicado",IF(OR(AND(G684&lt;&gt;"",G684&lt;&gt;0,G684&lt;&gt;1),AND(H684&lt;&gt;"",H684&lt;&gt;0,H684&lt;&gt;1)),"Flags devem ser 0 ou 1",IF(AND(H684=1,LEN(TRIM(I684))=0),"Preencher nome do indicante",IF(AND(H684&lt;&gt;1,I684&lt;&gt;""),"Nome sem indicação interna",IF(AND(G684=1,F684=""),"Fechamento sem conversa",IF(OR(AND(E684&lt;&gt;"",E684&lt;B684),AND(F684&lt;&gt;"",F684&lt;B684)),"Evento anterior à entrada",IF(AND(F684&lt;&gt;"",E684=""),"Conversa sem agendamento",IF(OR(E684&gt;TODAY(),F684&gt;TODAY()),"Verificar evento futuro","OK"))))))))))</f>
        <v/>
      </c>
    </row>
    <row r="685" spans="12:15">
      <c r="L685" s="5">
        <f>IF(OR(A685="",B685=""),"",B685-WEEKDAY(B685,2)+1)</f>
        <v/>
      </c>
      <c r="M685" s="5">
        <f>IF(L685="","",L685+6)</f>
        <v/>
      </c>
      <c r="N685" s="6">
        <f>IF(OR(A685="",B685=""),"",DATE(YEAR(B685),MONTH(B685),1))</f>
        <v/>
      </c>
      <c r="O685" s="7">
        <f>IF(COUNTA(A685:K685)=0,"",IF(OR(A685="",B685=""),"Preencher CPF e entrada",IF(COUNTIFS($A$12:$A$5011,A685,$B$12:$B$5011,B685)&gt;1,"CPF + dia duplicado",IF(OR(AND(G685&lt;&gt;"",G685&lt;&gt;0,G685&lt;&gt;1),AND(H685&lt;&gt;"",H685&lt;&gt;0,H685&lt;&gt;1)),"Flags devem ser 0 ou 1",IF(AND(H685=1,LEN(TRIM(I685))=0),"Preencher nome do indicante",IF(AND(H685&lt;&gt;1,I685&lt;&gt;""),"Nome sem indicação interna",IF(AND(G685=1,F685=""),"Fechamento sem conversa",IF(OR(AND(E685&lt;&gt;"",E685&lt;B685),AND(F685&lt;&gt;"",F685&lt;B685)),"Evento anterior à entrada",IF(AND(F685&lt;&gt;"",E685=""),"Conversa sem agendamento",IF(OR(E685&gt;TODAY(),F685&gt;TODAY()),"Verificar evento futuro","OK"))))))))))</f>
        <v/>
      </c>
    </row>
    <row r="686" spans="12:15">
      <c r="L686" s="5">
        <f>IF(OR(A686="",B686=""),"",B686-WEEKDAY(B686,2)+1)</f>
        <v/>
      </c>
      <c r="M686" s="5">
        <f>IF(L686="","",L686+6)</f>
        <v/>
      </c>
      <c r="N686" s="6">
        <f>IF(OR(A686="",B686=""),"",DATE(YEAR(B686),MONTH(B686),1))</f>
        <v/>
      </c>
      <c r="O686" s="7">
        <f>IF(COUNTA(A686:K686)=0,"",IF(OR(A686="",B686=""),"Preencher CPF e entrada",IF(COUNTIFS($A$12:$A$5011,A686,$B$12:$B$5011,B686)&gt;1,"CPF + dia duplicado",IF(OR(AND(G686&lt;&gt;"",G686&lt;&gt;0,G686&lt;&gt;1),AND(H686&lt;&gt;"",H686&lt;&gt;0,H686&lt;&gt;1)),"Flags devem ser 0 ou 1",IF(AND(H686=1,LEN(TRIM(I686))=0),"Preencher nome do indicante",IF(AND(H686&lt;&gt;1,I686&lt;&gt;""),"Nome sem indicação interna",IF(AND(G686=1,F686=""),"Fechamento sem conversa",IF(OR(AND(E686&lt;&gt;"",E686&lt;B686),AND(F686&lt;&gt;"",F686&lt;B686)),"Evento anterior à entrada",IF(AND(F686&lt;&gt;"",E686=""),"Conversa sem agendamento",IF(OR(E686&gt;TODAY(),F686&gt;TODAY()),"Verificar evento futuro","OK"))))))))))</f>
        <v/>
      </c>
    </row>
    <row r="687" spans="12:15">
      <c r="L687" s="5">
        <f>IF(OR(A687="",B687=""),"",B687-WEEKDAY(B687,2)+1)</f>
        <v/>
      </c>
      <c r="M687" s="5">
        <f>IF(L687="","",L687+6)</f>
        <v/>
      </c>
      <c r="N687" s="6">
        <f>IF(OR(A687="",B687=""),"",DATE(YEAR(B687),MONTH(B687),1))</f>
        <v/>
      </c>
      <c r="O687" s="7">
        <f>IF(COUNTA(A687:K687)=0,"",IF(OR(A687="",B687=""),"Preencher CPF e entrada",IF(COUNTIFS($A$12:$A$5011,A687,$B$12:$B$5011,B687)&gt;1,"CPF + dia duplicado",IF(OR(AND(G687&lt;&gt;"",G687&lt;&gt;0,G687&lt;&gt;1),AND(H687&lt;&gt;"",H687&lt;&gt;0,H687&lt;&gt;1)),"Flags devem ser 0 ou 1",IF(AND(H687=1,LEN(TRIM(I687))=0),"Preencher nome do indicante",IF(AND(H687&lt;&gt;1,I687&lt;&gt;""),"Nome sem indicação interna",IF(AND(G687=1,F687=""),"Fechamento sem conversa",IF(OR(AND(E687&lt;&gt;"",E687&lt;B687),AND(F687&lt;&gt;"",F687&lt;B687)),"Evento anterior à entrada",IF(AND(F687&lt;&gt;"",E687=""),"Conversa sem agendamento",IF(OR(E687&gt;TODAY(),F687&gt;TODAY()),"Verificar evento futuro","OK"))))))))))</f>
        <v/>
      </c>
    </row>
    <row r="688" spans="12:15">
      <c r="L688" s="5">
        <f>IF(OR(A688="",B688=""),"",B688-WEEKDAY(B688,2)+1)</f>
        <v/>
      </c>
      <c r="M688" s="5">
        <f>IF(L688="","",L688+6)</f>
        <v/>
      </c>
      <c r="N688" s="6">
        <f>IF(OR(A688="",B688=""),"",DATE(YEAR(B688),MONTH(B688),1))</f>
        <v/>
      </c>
      <c r="O688" s="7">
        <f>IF(COUNTA(A688:K688)=0,"",IF(OR(A688="",B688=""),"Preencher CPF e entrada",IF(COUNTIFS($A$12:$A$5011,A688,$B$12:$B$5011,B688)&gt;1,"CPF + dia duplicado",IF(OR(AND(G688&lt;&gt;"",G688&lt;&gt;0,G688&lt;&gt;1),AND(H688&lt;&gt;"",H688&lt;&gt;0,H688&lt;&gt;1)),"Flags devem ser 0 ou 1",IF(AND(H688=1,LEN(TRIM(I688))=0),"Preencher nome do indicante",IF(AND(H688&lt;&gt;1,I688&lt;&gt;""),"Nome sem indicação interna",IF(AND(G688=1,F688=""),"Fechamento sem conversa",IF(OR(AND(E688&lt;&gt;"",E688&lt;B688),AND(F688&lt;&gt;"",F688&lt;B688)),"Evento anterior à entrada",IF(AND(F688&lt;&gt;"",E688=""),"Conversa sem agendamento",IF(OR(E688&gt;TODAY(),F688&gt;TODAY()),"Verificar evento futuro","OK"))))))))))</f>
        <v/>
      </c>
    </row>
    <row r="689" spans="12:15">
      <c r="L689" s="5">
        <f>IF(OR(A689="",B689=""),"",B689-WEEKDAY(B689,2)+1)</f>
        <v/>
      </c>
      <c r="M689" s="5">
        <f>IF(L689="","",L689+6)</f>
        <v/>
      </c>
      <c r="N689" s="6">
        <f>IF(OR(A689="",B689=""),"",DATE(YEAR(B689),MONTH(B689),1))</f>
        <v/>
      </c>
      <c r="O689" s="7">
        <f>IF(COUNTA(A689:K689)=0,"",IF(OR(A689="",B689=""),"Preencher CPF e entrada",IF(COUNTIFS($A$12:$A$5011,A689,$B$12:$B$5011,B689)&gt;1,"CPF + dia duplicado",IF(OR(AND(G689&lt;&gt;"",G689&lt;&gt;0,G689&lt;&gt;1),AND(H689&lt;&gt;"",H689&lt;&gt;0,H689&lt;&gt;1)),"Flags devem ser 0 ou 1",IF(AND(H689=1,LEN(TRIM(I689))=0),"Preencher nome do indicante",IF(AND(H689&lt;&gt;1,I689&lt;&gt;""),"Nome sem indicação interna",IF(AND(G689=1,F689=""),"Fechamento sem conversa",IF(OR(AND(E689&lt;&gt;"",E689&lt;B689),AND(F689&lt;&gt;"",F689&lt;B689)),"Evento anterior à entrada",IF(AND(F689&lt;&gt;"",E689=""),"Conversa sem agendamento",IF(OR(E689&gt;TODAY(),F689&gt;TODAY()),"Verificar evento futuro","OK"))))))))))</f>
        <v/>
      </c>
    </row>
    <row r="690" spans="12:15">
      <c r="L690" s="5">
        <f>IF(OR(A690="",B690=""),"",B690-WEEKDAY(B690,2)+1)</f>
        <v/>
      </c>
      <c r="M690" s="5">
        <f>IF(L690="","",L690+6)</f>
        <v/>
      </c>
      <c r="N690" s="6">
        <f>IF(OR(A690="",B690=""),"",DATE(YEAR(B690),MONTH(B690),1))</f>
        <v/>
      </c>
      <c r="O690" s="7">
        <f>IF(COUNTA(A690:K690)=0,"",IF(OR(A690="",B690=""),"Preencher CPF e entrada",IF(COUNTIFS($A$12:$A$5011,A690,$B$12:$B$5011,B690)&gt;1,"CPF + dia duplicado",IF(OR(AND(G690&lt;&gt;"",G690&lt;&gt;0,G690&lt;&gt;1),AND(H690&lt;&gt;"",H690&lt;&gt;0,H690&lt;&gt;1)),"Flags devem ser 0 ou 1",IF(AND(H690=1,LEN(TRIM(I690))=0),"Preencher nome do indicante",IF(AND(H690&lt;&gt;1,I690&lt;&gt;""),"Nome sem indicação interna",IF(AND(G690=1,F690=""),"Fechamento sem conversa",IF(OR(AND(E690&lt;&gt;"",E690&lt;B690),AND(F690&lt;&gt;"",F690&lt;B690)),"Evento anterior à entrada",IF(AND(F690&lt;&gt;"",E690=""),"Conversa sem agendamento",IF(OR(E690&gt;TODAY(),F690&gt;TODAY()),"Verificar evento futuro","OK"))))))))))</f>
        <v/>
      </c>
    </row>
    <row r="691" spans="12:15">
      <c r="L691" s="5">
        <f>IF(OR(A691="",B691=""),"",B691-WEEKDAY(B691,2)+1)</f>
        <v/>
      </c>
      <c r="M691" s="5">
        <f>IF(L691="","",L691+6)</f>
        <v/>
      </c>
      <c r="N691" s="6">
        <f>IF(OR(A691="",B691=""),"",DATE(YEAR(B691),MONTH(B691),1))</f>
        <v/>
      </c>
      <c r="O691" s="7">
        <f>IF(COUNTA(A691:K691)=0,"",IF(OR(A691="",B691=""),"Preencher CPF e entrada",IF(COUNTIFS($A$12:$A$5011,A691,$B$12:$B$5011,B691)&gt;1,"CPF + dia duplicado",IF(OR(AND(G691&lt;&gt;"",G691&lt;&gt;0,G691&lt;&gt;1),AND(H691&lt;&gt;"",H691&lt;&gt;0,H691&lt;&gt;1)),"Flags devem ser 0 ou 1",IF(AND(H691=1,LEN(TRIM(I691))=0),"Preencher nome do indicante",IF(AND(H691&lt;&gt;1,I691&lt;&gt;""),"Nome sem indicação interna",IF(AND(G691=1,F691=""),"Fechamento sem conversa",IF(OR(AND(E691&lt;&gt;"",E691&lt;B691),AND(F691&lt;&gt;"",F691&lt;B691)),"Evento anterior à entrada",IF(AND(F691&lt;&gt;"",E691=""),"Conversa sem agendamento",IF(OR(E691&gt;TODAY(),F691&gt;TODAY()),"Verificar evento futuro","OK"))))))))))</f>
        <v/>
      </c>
    </row>
    <row r="692" spans="12:15">
      <c r="L692" s="5">
        <f>IF(OR(A692="",B692=""),"",B692-WEEKDAY(B692,2)+1)</f>
        <v/>
      </c>
      <c r="M692" s="5">
        <f>IF(L692="","",L692+6)</f>
        <v/>
      </c>
      <c r="N692" s="6">
        <f>IF(OR(A692="",B692=""),"",DATE(YEAR(B692),MONTH(B692),1))</f>
        <v/>
      </c>
      <c r="O692" s="7">
        <f>IF(COUNTA(A692:K692)=0,"",IF(OR(A692="",B692=""),"Preencher CPF e entrada",IF(COUNTIFS($A$12:$A$5011,A692,$B$12:$B$5011,B692)&gt;1,"CPF + dia duplicado",IF(OR(AND(G692&lt;&gt;"",G692&lt;&gt;0,G692&lt;&gt;1),AND(H692&lt;&gt;"",H692&lt;&gt;0,H692&lt;&gt;1)),"Flags devem ser 0 ou 1",IF(AND(H692=1,LEN(TRIM(I692))=0),"Preencher nome do indicante",IF(AND(H692&lt;&gt;1,I692&lt;&gt;""),"Nome sem indicação interna",IF(AND(G692=1,F692=""),"Fechamento sem conversa",IF(OR(AND(E692&lt;&gt;"",E692&lt;B692),AND(F692&lt;&gt;"",F692&lt;B692)),"Evento anterior à entrada",IF(AND(F692&lt;&gt;"",E692=""),"Conversa sem agendamento",IF(OR(E692&gt;TODAY(),F692&gt;TODAY()),"Verificar evento futuro","OK"))))))))))</f>
        <v/>
      </c>
    </row>
    <row r="693" spans="12:15">
      <c r="L693" s="5">
        <f>IF(OR(A693="",B693=""),"",B693-WEEKDAY(B693,2)+1)</f>
        <v/>
      </c>
      <c r="M693" s="5">
        <f>IF(L693="","",L693+6)</f>
        <v/>
      </c>
      <c r="N693" s="6">
        <f>IF(OR(A693="",B693=""),"",DATE(YEAR(B693),MONTH(B693),1))</f>
        <v/>
      </c>
      <c r="O693" s="7">
        <f>IF(COUNTA(A693:K693)=0,"",IF(OR(A693="",B693=""),"Preencher CPF e entrada",IF(COUNTIFS($A$12:$A$5011,A693,$B$12:$B$5011,B693)&gt;1,"CPF + dia duplicado",IF(OR(AND(G693&lt;&gt;"",G693&lt;&gt;0,G693&lt;&gt;1),AND(H693&lt;&gt;"",H693&lt;&gt;0,H693&lt;&gt;1)),"Flags devem ser 0 ou 1",IF(AND(H693=1,LEN(TRIM(I693))=0),"Preencher nome do indicante",IF(AND(H693&lt;&gt;1,I693&lt;&gt;""),"Nome sem indicação interna",IF(AND(G693=1,F693=""),"Fechamento sem conversa",IF(OR(AND(E693&lt;&gt;"",E693&lt;B693),AND(F693&lt;&gt;"",F693&lt;B693)),"Evento anterior à entrada",IF(AND(F693&lt;&gt;"",E693=""),"Conversa sem agendamento",IF(OR(E693&gt;TODAY(),F693&gt;TODAY()),"Verificar evento futuro","OK"))))))))))</f>
        <v/>
      </c>
    </row>
    <row r="694" spans="12:15">
      <c r="L694" s="5">
        <f>IF(OR(A694="",B694=""),"",B694-WEEKDAY(B694,2)+1)</f>
        <v/>
      </c>
      <c r="M694" s="5">
        <f>IF(L694="","",L694+6)</f>
        <v/>
      </c>
      <c r="N694" s="6">
        <f>IF(OR(A694="",B694=""),"",DATE(YEAR(B694),MONTH(B694),1))</f>
        <v/>
      </c>
      <c r="O694" s="7">
        <f>IF(COUNTA(A694:K694)=0,"",IF(OR(A694="",B694=""),"Preencher CPF e entrada",IF(COUNTIFS($A$12:$A$5011,A694,$B$12:$B$5011,B694)&gt;1,"CPF + dia duplicado",IF(OR(AND(G694&lt;&gt;"",G694&lt;&gt;0,G694&lt;&gt;1),AND(H694&lt;&gt;"",H694&lt;&gt;0,H694&lt;&gt;1)),"Flags devem ser 0 ou 1",IF(AND(H694=1,LEN(TRIM(I694))=0),"Preencher nome do indicante",IF(AND(H694&lt;&gt;1,I694&lt;&gt;""),"Nome sem indicação interna",IF(AND(G694=1,F694=""),"Fechamento sem conversa",IF(OR(AND(E694&lt;&gt;"",E694&lt;B694),AND(F694&lt;&gt;"",F694&lt;B694)),"Evento anterior à entrada",IF(AND(F694&lt;&gt;"",E694=""),"Conversa sem agendamento",IF(OR(E694&gt;TODAY(),F694&gt;TODAY()),"Verificar evento futuro","OK"))))))))))</f>
        <v/>
      </c>
    </row>
    <row r="695" spans="12:15">
      <c r="L695" s="5">
        <f>IF(OR(A695="",B695=""),"",B695-WEEKDAY(B695,2)+1)</f>
        <v/>
      </c>
      <c r="M695" s="5">
        <f>IF(L695="","",L695+6)</f>
        <v/>
      </c>
      <c r="N695" s="6">
        <f>IF(OR(A695="",B695=""),"",DATE(YEAR(B695),MONTH(B695),1))</f>
        <v/>
      </c>
      <c r="O695" s="7">
        <f>IF(COUNTA(A695:K695)=0,"",IF(OR(A695="",B695=""),"Preencher CPF e entrada",IF(COUNTIFS($A$12:$A$5011,A695,$B$12:$B$5011,B695)&gt;1,"CPF + dia duplicado",IF(OR(AND(G695&lt;&gt;"",G695&lt;&gt;0,G695&lt;&gt;1),AND(H695&lt;&gt;"",H695&lt;&gt;0,H695&lt;&gt;1)),"Flags devem ser 0 ou 1",IF(AND(H695=1,LEN(TRIM(I695))=0),"Preencher nome do indicante",IF(AND(H695&lt;&gt;1,I695&lt;&gt;""),"Nome sem indicação interna",IF(AND(G695=1,F695=""),"Fechamento sem conversa",IF(OR(AND(E695&lt;&gt;"",E695&lt;B695),AND(F695&lt;&gt;"",F695&lt;B695)),"Evento anterior à entrada",IF(AND(F695&lt;&gt;"",E695=""),"Conversa sem agendamento",IF(OR(E695&gt;TODAY(),F695&gt;TODAY()),"Verificar evento futuro","OK"))))))))))</f>
        <v/>
      </c>
    </row>
    <row r="696" spans="12:15">
      <c r="L696" s="5">
        <f>IF(OR(A696="",B696=""),"",B696-WEEKDAY(B696,2)+1)</f>
        <v/>
      </c>
      <c r="M696" s="5">
        <f>IF(L696="","",L696+6)</f>
        <v/>
      </c>
      <c r="N696" s="6">
        <f>IF(OR(A696="",B696=""),"",DATE(YEAR(B696),MONTH(B696),1))</f>
        <v/>
      </c>
      <c r="O696" s="7">
        <f>IF(COUNTA(A696:K696)=0,"",IF(OR(A696="",B696=""),"Preencher CPF e entrada",IF(COUNTIFS($A$12:$A$5011,A696,$B$12:$B$5011,B696)&gt;1,"CPF + dia duplicado",IF(OR(AND(G696&lt;&gt;"",G696&lt;&gt;0,G696&lt;&gt;1),AND(H696&lt;&gt;"",H696&lt;&gt;0,H696&lt;&gt;1)),"Flags devem ser 0 ou 1",IF(AND(H696=1,LEN(TRIM(I696))=0),"Preencher nome do indicante",IF(AND(H696&lt;&gt;1,I696&lt;&gt;""),"Nome sem indicação interna",IF(AND(G696=1,F696=""),"Fechamento sem conversa",IF(OR(AND(E696&lt;&gt;"",E696&lt;B696),AND(F696&lt;&gt;"",F696&lt;B696)),"Evento anterior à entrada",IF(AND(F696&lt;&gt;"",E696=""),"Conversa sem agendamento",IF(OR(E696&gt;TODAY(),F696&gt;TODAY()),"Verificar evento futuro","OK"))))))))))</f>
        <v/>
      </c>
    </row>
    <row r="697" spans="12:15">
      <c r="L697" s="5">
        <f>IF(OR(A697="",B697=""),"",B697-WEEKDAY(B697,2)+1)</f>
        <v/>
      </c>
      <c r="M697" s="5">
        <f>IF(L697="","",L697+6)</f>
        <v/>
      </c>
      <c r="N697" s="6">
        <f>IF(OR(A697="",B697=""),"",DATE(YEAR(B697),MONTH(B697),1))</f>
        <v/>
      </c>
      <c r="O697" s="7">
        <f>IF(COUNTA(A697:K697)=0,"",IF(OR(A697="",B697=""),"Preencher CPF e entrada",IF(COUNTIFS($A$12:$A$5011,A697,$B$12:$B$5011,B697)&gt;1,"CPF + dia duplicado",IF(OR(AND(G697&lt;&gt;"",G697&lt;&gt;0,G697&lt;&gt;1),AND(H697&lt;&gt;"",H697&lt;&gt;0,H697&lt;&gt;1)),"Flags devem ser 0 ou 1",IF(AND(H697=1,LEN(TRIM(I697))=0),"Preencher nome do indicante",IF(AND(H697&lt;&gt;1,I697&lt;&gt;""),"Nome sem indicação interna",IF(AND(G697=1,F697=""),"Fechamento sem conversa",IF(OR(AND(E697&lt;&gt;"",E697&lt;B697),AND(F697&lt;&gt;"",F697&lt;B697)),"Evento anterior à entrada",IF(AND(F697&lt;&gt;"",E697=""),"Conversa sem agendamento",IF(OR(E697&gt;TODAY(),F697&gt;TODAY()),"Verificar evento futuro","OK"))))))))))</f>
        <v/>
      </c>
    </row>
    <row r="698" spans="12:15">
      <c r="L698" s="5">
        <f>IF(OR(A698="",B698=""),"",B698-WEEKDAY(B698,2)+1)</f>
        <v/>
      </c>
      <c r="M698" s="5">
        <f>IF(L698="","",L698+6)</f>
        <v/>
      </c>
      <c r="N698" s="6">
        <f>IF(OR(A698="",B698=""),"",DATE(YEAR(B698),MONTH(B698),1))</f>
        <v/>
      </c>
      <c r="O698" s="7">
        <f>IF(COUNTA(A698:K698)=0,"",IF(OR(A698="",B698=""),"Preencher CPF e entrada",IF(COUNTIFS($A$12:$A$5011,A698,$B$12:$B$5011,B698)&gt;1,"CPF + dia duplicado",IF(OR(AND(G698&lt;&gt;"",G698&lt;&gt;0,G698&lt;&gt;1),AND(H698&lt;&gt;"",H698&lt;&gt;0,H698&lt;&gt;1)),"Flags devem ser 0 ou 1",IF(AND(H698=1,LEN(TRIM(I698))=0),"Preencher nome do indicante",IF(AND(H698&lt;&gt;1,I698&lt;&gt;""),"Nome sem indicação interna",IF(AND(G698=1,F698=""),"Fechamento sem conversa",IF(OR(AND(E698&lt;&gt;"",E698&lt;B698),AND(F698&lt;&gt;"",F698&lt;B698)),"Evento anterior à entrada",IF(AND(F698&lt;&gt;"",E698=""),"Conversa sem agendamento",IF(OR(E698&gt;TODAY(),F698&gt;TODAY()),"Verificar evento futuro","OK"))))))))))</f>
        <v/>
      </c>
    </row>
    <row r="699" spans="12:15">
      <c r="L699" s="5">
        <f>IF(OR(A699="",B699=""),"",B699-WEEKDAY(B699,2)+1)</f>
        <v/>
      </c>
      <c r="M699" s="5">
        <f>IF(L699="","",L699+6)</f>
        <v/>
      </c>
      <c r="N699" s="6">
        <f>IF(OR(A699="",B699=""),"",DATE(YEAR(B699),MONTH(B699),1))</f>
        <v/>
      </c>
      <c r="O699" s="7">
        <f>IF(COUNTA(A699:K699)=0,"",IF(OR(A699="",B699=""),"Preencher CPF e entrada",IF(COUNTIFS($A$12:$A$5011,A699,$B$12:$B$5011,B699)&gt;1,"CPF + dia duplicado",IF(OR(AND(G699&lt;&gt;"",G699&lt;&gt;0,G699&lt;&gt;1),AND(H699&lt;&gt;"",H699&lt;&gt;0,H699&lt;&gt;1)),"Flags devem ser 0 ou 1",IF(AND(H699=1,LEN(TRIM(I699))=0),"Preencher nome do indicante",IF(AND(H699&lt;&gt;1,I699&lt;&gt;""),"Nome sem indicação interna",IF(AND(G699=1,F699=""),"Fechamento sem conversa",IF(OR(AND(E699&lt;&gt;"",E699&lt;B699),AND(F699&lt;&gt;"",F699&lt;B699)),"Evento anterior à entrada",IF(AND(F699&lt;&gt;"",E699=""),"Conversa sem agendamento",IF(OR(E699&gt;TODAY(),F699&gt;TODAY()),"Verificar evento futuro","OK"))))))))))</f>
        <v/>
      </c>
    </row>
    <row r="700" spans="12:15">
      <c r="L700" s="5">
        <f>IF(OR(A700="",B700=""),"",B700-WEEKDAY(B700,2)+1)</f>
        <v/>
      </c>
      <c r="M700" s="5">
        <f>IF(L700="","",L700+6)</f>
        <v/>
      </c>
      <c r="N700" s="6">
        <f>IF(OR(A700="",B700=""),"",DATE(YEAR(B700),MONTH(B700),1))</f>
        <v/>
      </c>
      <c r="O700" s="7">
        <f>IF(COUNTA(A700:K700)=0,"",IF(OR(A700="",B700=""),"Preencher CPF e entrada",IF(COUNTIFS($A$12:$A$5011,A700,$B$12:$B$5011,B700)&gt;1,"CPF + dia duplicado",IF(OR(AND(G700&lt;&gt;"",G700&lt;&gt;0,G700&lt;&gt;1),AND(H700&lt;&gt;"",H700&lt;&gt;0,H700&lt;&gt;1)),"Flags devem ser 0 ou 1",IF(AND(H700=1,LEN(TRIM(I700))=0),"Preencher nome do indicante",IF(AND(H700&lt;&gt;1,I700&lt;&gt;""),"Nome sem indicação interna",IF(AND(G700=1,F700=""),"Fechamento sem conversa",IF(OR(AND(E700&lt;&gt;"",E700&lt;B700),AND(F700&lt;&gt;"",F700&lt;B700)),"Evento anterior à entrada",IF(AND(F700&lt;&gt;"",E700=""),"Conversa sem agendamento",IF(OR(E700&gt;TODAY(),F700&gt;TODAY()),"Verificar evento futuro","OK"))))))))))</f>
        <v/>
      </c>
    </row>
    <row r="701" spans="12:15">
      <c r="L701" s="5">
        <f>IF(OR(A701="",B701=""),"",B701-WEEKDAY(B701,2)+1)</f>
        <v/>
      </c>
      <c r="M701" s="5">
        <f>IF(L701="","",L701+6)</f>
        <v/>
      </c>
      <c r="N701" s="6">
        <f>IF(OR(A701="",B701=""),"",DATE(YEAR(B701),MONTH(B701),1))</f>
        <v/>
      </c>
      <c r="O701" s="7">
        <f>IF(COUNTA(A701:K701)=0,"",IF(OR(A701="",B701=""),"Preencher CPF e entrada",IF(COUNTIFS($A$12:$A$5011,A701,$B$12:$B$5011,B701)&gt;1,"CPF + dia duplicado",IF(OR(AND(G701&lt;&gt;"",G701&lt;&gt;0,G701&lt;&gt;1),AND(H701&lt;&gt;"",H701&lt;&gt;0,H701&lt;&gt;1)),"Flags devem ser 0 ou 1",IF(AND(H701=1,LEN(TRIM(I701))=0),"Preencher nome do indicante",IF(AND(H701&lt;&gt;1,I701&lt;&gt;""),"Nome sem indicação interna",IF(AND(G701=1,F701=""),"Fechamento sem conversa",IF(OR(AND(E701&lt;&gt;"",E701&lt;B701),AND(F701&lt;&gt;"",F701&lt;B701)),"Evento anterior à entrada",IF(AND(F701&lt;&gt;"",E701=""),"Conversa sem agendamento",IF(OR(E701&gt;TODAY(),F701&gt;TODAY()),"Verificar evento futuro","OK"))))))))))</f>
        <v/>
      </c>
    </row>
    <row r="702" spans="12:15">
      <c r="L702" s="5">
        <f>IF(OR(A702="",B702=""),"",B702-WEEKDAY(B702,2)+1)</f>
        <v/>
      </c>
      <c r="M702" s="5">
        <f>IF(L702="","",L702+6)</f>
        <v/>
      </c>
      <c r="N702" s="6">
        <f>IF(OR(A702="",B702=""),"",DATE(YEAR(B702),MONTH(B702),1))</f>
        <v/>
      </c>
      <c r="O702" s="7">
        <f>IF(COUNTA(A702:K702)=0,"",IF(OR(A702="",B702=""),"Preencher CPF e entrada",IF(COUNTIFS($A$12:$A$5011,A702,$B$12:$B$5011,B702)&gt;1,"CPF + dia duplicado",IF(OR(AND(G702&lt;&gt;"",G702&lt;&gt;0,G702&lt;&gt;1),AND(H702&lt;&gt;"",H702&lt;&gt;0,H702&lt;&gt;1)),"Flags devem ser 0 ou 1",IF(AND(H702=1,LEN(TRIM(I702))=0),"Preencher nome do indicante",IF(AND(H702&lt;&gt;1,I702&lt;&gt;""),"Nome sem indicação interna",IF(AND(G702=1,F702=""),"Fechamento sem conversa",IF(OR(AND(E702&lt;&gt;"",E702&lt;B702),AND(F702&lt;&gt;"",F702&lt;B702)),"Evento anterior à entrada",IF(AND(F702&lt;&gt;"",E702=""),"Conversa sem agendamento",IF(OR(E702&gt;TODAY(),F702&gt;TODAY()),"Verificar evento futuro","OK"))))))))))</f>
        <v/>
      </c>
    </row>
    <row r="703" spans="12:15">
      <c r="L703" s="5">
        <f>IF(OR(A703="",B703=""),"",B703-WEEKDAY(B703,2)+1)</f>
        <v/>
      </c>
      <c r="M703" s="5">
        <f>IF(L703="","",L703+6)</f>
        <v/>
      </c>
      <c r="N703" s="6">
        <f>IF(OR(A703="",B703=""),"",DATE(YEAR(B703),MONTH(B703),1))</f>
        <v/>
      </c>
      <c r="O703" s="7">
        <f>IF(COUNTA(A703:K703)=0,"",IF(OR(A703="",B703=""),"Preencher CPF e entrada",IF(COUNTIFS($A$12:$A$5011,A703,$B$12:$B$5011,B703)&gt;1,"CPF + dia duplicado",IF(OR(AND(G703&lt;&gt;"",G703&lt;&gt;0,G703&lt;&gt;1),AND(H703&lt;&gt;"",H703&lt;&gt;0,H703&lt;&gt;1)),"Flags devem ser 0 ou 1",IF(AND(H703=1,LEN(TRIM(I703))=0),"Preencher nome do indicante",IF(AND(H703&lt;&gt;1,I703&lt;&gt;""),"Nome sem indicação interna",IF(AND(G703=1,F703=""),"Fechamento sem conversa",IF(OR(AND(E703&lt;&gt;"",E703&lt;B703),AND(F703&lt;&gt;"",F703&lt;B703)),"Evento anterior à entrada",IF(AND(F703&lt;&gt;"",E703=""),"Conversa sem agendamento",IF(OR(E703&gt;TODAY(),F703&gt;TODAY()),"Verificar evento futuro","OK"))))))))))</f>
        <v/>
      </c>
    </row>
    <row r="704" spans="12:15">
      <c r="L704" s="5">
        <f>IF(OR(A704="",B704=""),"",B704-WEEKDAY(B704,2)+1)</f>
        <v/>
      </c>
      <c r="M704" s="5">
        <f>IF(L704="","",L704+6)</f>
        <v/>
      </c>
      <c r="N704" s="6">
        <f>IF(OR(A704="",B704=""),"",DATE(YEAR(B704),MONTH(B704),1))</f>
        <v/>
      </c>
      <c r="O704" s="7">
        <f>IF(COUNTA(A704:K704)=0,"",IF(OR(A704="",B704=""),"Preencher CPF e entrada",IF(COUNTIFS($A$12:$A$5011,A704,$B$12:$B$5011,B704)&gt;1,"CPF + dia duplicado",IF(OR(AND(G704&lt;&gt;"",G704&lt;&gt;0,G704&lt;&gt;1),AND(H704&lt;&gt;"",H704&lt;&gt;0,H704&lt;&gt;1)),"Flags devem ser 0 ou 1",IF(AND(H704=1,LEN(TRIM(I704))=0),"Preencher nome do indicante",IF(AND(H704&lt;&gt;1,I704&lt;&gt;""),"Nome sem indicação interna",IF(AND(G704=1,F704=""),"Fechamento sem conversa",IF(OR(AND(E704&lt;&gt;"",E704&lt;B704),AND(F704&lt;&gt;"",F704&lt;B704)),"Evento anterior à entrada",IF(AND(F704&lt;&gt;"",E704=""),"Conversa sem agendamento",IF(OR(E704&gt;TODAY(),F704&gt;TODAY()),"Verificar evento futuro","OK"))))))))))</f>
        <v/>
      </c>
    </row>
    <row r="705" spans="12:15">
      <c r="L705" s="5">
        <f>IF(OR(A705="",B705=""),"",B705-WEEKDAY(B705,2)+1)</f>
        <v/>
      </c>
      <c r="M705" s="5">
        <f>IF(L705="","",L705+6)</f>
        <v/>
      </c>
      <c r="N705" s="6">
        <f>IF(OR(A705="",B705=""),"",DATE(YEAR(B705),MONTH(B705),1))</f>
        <v/>
      </c>
      <c r="O705" s="7">
        <f>IF(COUNTA(A705:K705)=0,"",IF(OR(A705="",B705=""),"Preencher CPF e entrada",IF(COUNTIFS($A$12:$A$5011,A705,$B$12:$B$5011,B705)&gt;1,"CPF + dia duplicado",IF(OR(AND(G705&lt;&gt;"",G705&lt;&gt;0,G705&lt;&gt;1),AND(H705&lt;&gt;"",H705&lt;&gt;0,H705&lt;&gt;1)),"Flags devem ser 0 ou 1",IF(AND(H705=1,LEN(TRIM(I705))=0),"Preencher nome do indicante",IF(AND(H705&lt;&gt;1,I705&lt;&gt;""),"Nome sem indicação interna",IF(AND(G705=1,F705=""),"Fechamento sem conversa",IF(OR(AND(E705&lt;&gt;"",E705&lt;B705),AND(F705&lt;&gt;"",F705&lt;B705)),"Evento anterior à entrada",IF(AND(F705&lt;&gt;"",E705=""),"Conversa sem agendamento",IF(OR(E705&gt;TODAY(),F705&gt;TODAY()),"Verificar evento futuro","OK"))))))))))</f>
        <v/>
      </c>
    </row>
    <row r="706" spans="12:15">
      <c r="L706" s="5">
        <f>IF(OR(A706="",B706=""),"",B706-WEEKDAY(B706,2)+1)</f>
        <v/>
      </c>
      <c r="M706" s="5">
        <f>IF(L706="","",L706+6)</f>
        <v/>
      </c>
      <c r="N706" s="6">
        <f>IF(OR(A706="",B706=""),"",DATE(YEAR(B706),MONTH(B706),1))</f>
        <v/>
      </c>
      <c r="O706" s="7">
        <f>IF(COUNTA(A706:K706)=0,"",IF(OR(A706="",B706=""),"Preencher CPF e entrada",IF(COUNTIFS($A$12:$A$5011,A706,$B$12:$B$5011,B706)&gt;1,"CPF + dia duplicado",IF(OR(AND(G706&lt;&gt;"",G706&lt;&gt;0,G706&lt;&gt;1),AND(H706&lt;&gt;"",H706&lt;&gt;0,H706&lt;&gt;1)),"Flags devem ser 0 ou 1",IF(AND(H706=1,LEN(TRIM(I706))=0),"Preencher nome do indicante",IF(AND(H706&lt;&gt;1,I706&lt;&gt;""),"Nome sem indicação interna",IF(AND(G706=1,F706=""),"Fechamento sem conversa",IF(OR(AND(E706&lt;&gt;"",E706&lt;B706),AND(F706&lt;&gt;"",F706&lt;B706)),"Evento anterior à entrada",IF(AND(F706&lt;&gt;"",E706=""),"Conversa sem agendamento",IF(OR(E706&gt;TODAY(),F706&gt;TODAY()),"Verificar evento futuro","OK"))))))))))</f>
        <v/>
      </c>
    </row>
    <row r="707" spans="12:15">
      <c r="L707" s="5">
        <f>IF(OR(A707="",B707=""),"",B707-WEEKDAY(B707,2)+1)</f>
        <v/>
      </c>
      <c r="M707" s="5">
        <f>IF(L707="","",L707+6)</f>
        <v/>
      </c>
      <c r="N707" s="6">
        <f>IF(OR(A707="",B707=""),"",DATE(YEAR(B707),MONTH(B707),1))</f>
        <v/>
      </c>
      <c r="O707" s="7">
        <f>IF(COUNTA(A707:K707)=0,"",IF(OR(A707="",B707=""),"Preencher CPF e entrada",IF(COUNTIFS($A$12:$A$5011,A707,$B$12:$B$5011,B707)&gt;1,"CPF + dia duplicado",IF(OR(AND(G707&lt;&gt;"",G707&lt;&gt;0,G707&lt;&gt;1),AND(H707&lt;&gt;"",H707&lt;&gt;0,H707&lt;&gt;1)),"Flags devem ser 0 ou 1",IF(AND(H707=1,LEN(TRIM(I707))=0),"Preencher nome do indicante",IF(AND(H707&lt;&gt;1,I707&lt;&gt;""),"Nome sem indicação interna",IF(AND(G707=1,F707=""),"Fechamento sem conversa",IF(OR(AND(E707&lt;&gt;"",E707&lt;B707),AND(F707&lt;&gt;"",F707&lt;B707)),"Evento anterior à entrada",IF(AND(F707&lt;&gt;"",E707=""),"Conversa sem agendamento",IF(OR(E707&gt;TODAY(),F707&gt;TODAY()),"Verificar evento futuro","OK"))))))))))</f>
        <v/>
      </c>
    </row>
    <row r="708" spans="12:15">
      <c r="L708" s="5">
        <f>IF(OR(A708="",B708=""),"",B708-WEEKDAY(B708,2)+1)</f>
        <v/>
      </c>
      <c r="M708" s="5">
        <f>IF(L708="","",L708+6)</f>
        <v/>
      </c>
      <c r="N708" s="6">
        <f>IF(OR(A708="",B708=""),"",DATE(YEAR(B708),MONTH(B708),1))</f>
        <v/>
      </c>
      <c r="O708" s="7">
        <f>IF(COUNTA(A708:K708)=0,"",IF(OR(A708="",B708=""),"Preencher CPF e entrada",IF(COUNTIFS($A$12:$A$5011,A708,$B$12:$B$5011,B708)&gt;1,"CPF + dia duplicado",IF(OR(AND(G708&lt;&gt;"",G708&lt;&gt;0,G708&lt;&gt;1),AND(H708&lt;&gt;"",H708&lt;&gt;0,H708&lt;&gt;1)),"Flags devem ser 0 ou 1",IF(AND(H708=1,LEN(TRIM(I708))=0),"Preencher nome do indicante",IF(AND(H708&lt;&gt;1,I708&lt;&gt;""),"Nome sem indicação interna",IF(AND(G708=1,F708=""),"Fechamento sem conversa",IF(OR(AND(E708&lt;&gt;"",E708&lt;B708),AND(F708&lt;&gt;"",F708&lt;B708)),"Evento anterior à entrada",IF(AND(F708&lt;&gt;"",E708=""),"Conversa sem agendamento",IF(OR(E708&gt;TODAY(),F708&gt;TODAY()),"Verificar evento futuro","OK"))))))))))</f>
        <v/>
      </c>
    </row>
    <row r="709" spans="12:15">
      <c r="L709" s="5">
        <f>IF(OR(A709="",B709=""),"",B709-WEEKDAY(B709,2)+1)</f>
        <v/>
      </c>
      <c r="M709" s="5">
        <f>IF(L709="","",L709+6)</f>
        <v/>
      </c>
      <c r="N709" s="6">
        <f>IF(OR(A709="",B709=""),"",DATE(YEAR(B709),MONTH(B709),1))</f>
        <v/>
      </c>
      <c r="O709" s="7">
        <f>IF(COUNTA(A709:K709)=0,"",IF(OR(A709="",B709=""),"Preencher CPF e entrada",IF(COUNTIFS($A$12:$A$5011,A709,$B$12:$B$5011,B709)&gt;1,"CPF + dia duplicado",IF(OR(AND(G709&lt;&gt;"",G709&lt;&gt;0,G709&lt;&gt;1),AND(H709&lt;&gt;"",H709&lt;&gt;0,H709&lt;&gt;1)),"Flags devem ser 0 ou 1",IF(AND(H709=1,LEN(TRIM(I709))=0),"Preencher nome do indicante",IF(AND(H709&lt;&gt;1,I709&lt;&gt;""),"Nome sem indicação interna",IF(AND(G709=1,F709=""),"Fechamento sem conversa",IF(OR(AND(E709&lt;&gt;"",E709&lt;B709),AND(F709&lt;&gt;"",F709&lt;B709)),"Evento anterior à entrada",IF(AND(F709&lt;&gt;"",E709=""),"Conversa sem agendamento",IF(OR(E709&gt;TODAY(),F709&gt;TODAY()),"Verificar evento futuro","OK"))))))))))</f>
        <v/>
      </c>
    </row>
    <row r="710" spans="12:15">
      <c r="L710" s="5">
        <f>IF(OR(A710="",B710=""),"",B710-WEEKDAY(B710,2)+1)</f>
        <v/>
      </c>
      <c r="M710" s="5">
        <f>IF(L710="","",L710+6)</f>
        <v/>
      </c>
      <c r="N710" s="6">
        <f>IF(OR(A710="",B710=""),"",DATE(YEAR(B710),MONTH(B710),1))</f>
        <v/>
      </c>
      <c r="O710" s="7">
        <f>IF(COUNTA(A710:K710)=0,"",IF(OR(A710="",B710=""),"Preencher CPF e entrada",IF(COUNTIFS($A$12:$A$5011,A710,$B$12:$B$5011,B710)&gt;1,"CPF + dia duplicado",IF(OR(AND(G710&lt;&gt;"",G710&lt;&gt;0,G710&lt;&gt;1),AND(H710&lt;&gt;"",H710&lt;&gt;0,H710&lt;&gt;1)),"Flags devem ser 0 ou 1",IF(AND(H710=1,LEN(TRIM(I710))=0),"Preencher nome do indicante",IF(AND(H710&lt;&gt;1,I710&lt;&gt;""),"Nome sem indicação interna",IF(AND(G710=1,F710=""),"Fechamento sem conversa",IF(OR(AND(E710&lt;&gt;"",E710&lt;B710),AND(F710&lt;&gt;"",F710&lt;B710)),"Evento anterior à entrada",IF(AND(F710&lt;&gt;"",E710=""),"Conversa sem agendamento",IF(OR(E710&gt;TODAY(),F710&gt;TODAY()),"Verificar evento futuro","OK"))))))))))</f>
        <v/>
      </c>
    </row>
    <row r="711" spans="12:15">
      <c r="L711" s="5">
        <f>IF(OR(A711="",B711=""),"",B711-WEEKDAY(B711,2)+1)</f>
        <v/>
      </c>
      <c r="M711" s="5">
        <f>IF(L711="","",L711+6)</f>
        <v/>
      </c>
      <c r="N711" s="6">
        <f>IF(OR(A711="",B711=""),"",DATE(YEAR(B711),MONTH(B711),1))</f>
        <v/>
      </c>
      <c r="O711" s="7">
        <f>IF(COUNTA(A711:K711)=0,"",IF(OR(A711="",B711=""),"Preencher CPF e entrada",IF(COUNTIFS($A$12:$A$5011,A711,$B$12:$B$5011,B711)&gt;1,"CPF + dia duplicado",IF(OR(AND(G711&lt;&gt;"",G711&lt;&gt;0,G711&lt;&gt;1),AND(H711&lt;&gt;"",H711&lt;&gt;0,H711&lt;&gt;1)),"Flags devem ser 0 ou 1",IF(AND(H711=1,LEN(TRIM(I711))=0),"Preencher nome do indicante",IF(AND(H711&lt;&gt;1,I711&lt;&gt;""),"Nome sem indicação interna",IF(AND(G711=1,F711=""),"Fechamento sem conversa",IF(OR(AND(E711&lt;&gt;"",E711&lt;B711),AND(F711&lt;&gt;"",F711&lt;B711)),"Evento anterior à entrada",IF(AND(F711&lt;&gt;"",E711=""),"Conversa sem agendamento",IF(OR(E711&gt;TODAY(),F711&gt;TODAY()),"Verificar evento futuro","OK"))))))))))</f>
        <v/>
      </c>
    </row>
    <row r="712" spans="12:15">
      <c r="L712" s="5">
        <f>IF(OR(A712="",B712=""),"",B712-WEEKDAY(B712,2)+1)</f>
        <v/>
      </c>
      <c r="M712" s="5">
        <f>IF(L712="","",L712+6)</f>
        <v/>
      </c>
      <c r="N712" s="6">
        <f>IF(OR(A712="",B712=""),"",DATE(YEAR(B712),MONTH(B712),1))</f>
        <v/>
      </c>
      <c r="O712" s="7">
        <f>IF(COUNTA(A712:K712)=0,"",IF(OR(A712="",B712=""),"Preencher CPF e entrada",IF(COUNTIFS($A$12:$A$5011,A712,$B$12:$B$5011,B712)&gt;1,"CPF + dia duplicado",IF(OR(AND(G712&lt;&gt;"",G712&lt;&gt;0,G712&lt;&gt;1),AND(H712&lt;&gt;"",H712&lt;&gt;0,H712&lt;&gt;1)),"Flags devem ser 0 ou 1",IF(AND(H712=1,LEN(TRIM(I712))=0),"Preencher nome do indicante",IF(AND(H712&lt;&gt;1,I712&lt;&gt;""),"Nome sem indicação interna",IF(AND(G712=1,F712=""),"Fechamento sem conversa",IF(OR(AND(E712&lt;&gt;"",E712&lt;B712),AND(F712&lt;&gt;"",F712&lt;B712)),"Evento anterior à entrada",IF(AND(F712&lt;&gt;"",E712=""),"Conversa sem agendamento",IF(OR(E712&gt;TODAY(),F712&gt;TODAY()),"Verificar evento futuro","OK"))))))))))</f>
        <v/>
      </c>
    </row>
    <row r="713" spans="12:15">
      <c r="L713" s="5">
        <f>IF(OR(A713="",B713=""),"",B713-WEEKDAY(B713,2)+1)</f>
        <v/>
      </c>
      <c r="M713" s="5">
        <f>IF(L713="","",L713+6)</f>
        <v/>
      </c>
      <c r="N713" s="6">
        <f>IF(OR(A713="",B713=""),"",DATE(YEAR(B713),MONTH(B713),1))</f>
        <v/>
      </c>
      <c r="O713" s="7">
        <f>IF(COUNTA(A713:K713)=0,"",IF(OR(A713="",B713=""),"Preencher CPF e entrada",IF(COUNTIFS($A$12:$A$5011,A713,$B$12:$B$5011,B713)&gt;1,"CPF + dia duplicado",IF(OR(AND(G713&lt;&gt;"",G713&lt;&gt;0,G713&lt;&gt;1),AND(H713&lt;&gt;"",H713&lt;&gt;0,H713&lt;&gt;1)),"Flags devem ser 0 ou 1",IF(AND(H713=1,LEN(TRIM(I713))=0),"Preencher nome do indicante",IF(AND(H713&lt;&gt;1,I713&lt;&gt;""),"Nome sem indicação interna",IF(AND(G713=1,F713=""),"Fechamento sem conversa",IF(OR(AND(E713&lt;&gt;"",E713&lt;B713),AND(F713&lt;&gt;"",F713&lt;B713)),"Evento anterior à entrada",IF(AND(F713&lt;&gt;"",E713=""),"Conversa sem agendamento",IF(OR(E713&gt;TODAY(),F713&gt;TODAY()),"Verificar evento futuro","OK"))))))))))</f>
        <v/>
      </c>
    </row>
    <row r="714" spans="12:15">
      <c r="L714" s="5">
        <f>IF(OR(A714="",B714=""),"",B714-WEEKDAY(B714,2)+1)</f>
        <v/>
      </c>
      <c r="M714" s="5">
        <f>IF(L714="","",L714+6)</f>
        <v/>
      </c>
      <c r="N714" s="6">
        <f>IF(OR(A714="",B714=""),"",DATE(YEAR(B714),MONTH(B714),1))</f>
        <v/>
      </c>
      <c r="O714" s="7">
        <f>IF(COUNTA(A714:K714)=0,"",IF(OR(A714="",B714=""),"Preencher CPF e entrada",IF(COUNTIFS($A$12:$A$5011,A714,$B$12:$B$5011,B714)&gt;1,"CPF + dia duplicado",IF(OR(AND(G714&lt;&gt;"",G714&lt;&gt;0,G714&lt;&gt;1),AND(H714&lt;&gt;"",H714&lt;&gt;0,H714&lt;&gt;1)),"Flags devem ser 0 ou 1",IF(AND(H714=1,LEN(TRIM(I714))=0),"Preencher nome do indicante",IF(AND(H714&lt;&gt;1,I714&lt;&gt;""),"Nome sem indicação interna",IF(AND(G714=1,F714=""),"Fechamento sem conversa",IF(OR(AND(E714&lt;&gt;"",E714&lt;B714),AND(F714&lt;&gt;"",F714&lt;B714)),"Evento anterior à entrada",IF(AND(F714&lt;&gt;"",E714=""),"Conversa sem agendamento",IF(OR(E714&gt;TODAY(),F714&gt;TODAY()),"Verificar evento futuro","OK"))))))))))</f>
        <v/>
      </c>
    </row>
    <row r="715" spans="12:15">
      <c r="L715" s="5">
        <f>IF(OR(A715="",B715=""),"",B715-WEEKDAY(B715,2)+1)</f>
        <v/>
      </c>
      <c r="M715" s="5">
        <f>IF(L715="","",L715+6)</f>
        <v/>
      </c>
      <c r="N715" s="6">
        <f>IF(OR(A715="",B715=""),"",DATE(YEAR(B715),MONTH(B715),1))</f>
        <v/>
      </c>
      <c r="O715" s="7">
        <f>IF(COUNTA(A715:K715)=0,"",IF(OR(A715="",B715=""),"Preencher CPF e entrada",IF(COUNTIFS($A$12:$A$5011,A715,$B$12:$B$5011,B715)&gt;1,"CPF + dia duplicado",IF(OR(AND(G715&lt;&gt;"",G715&lt;&gt;0,G715&lt;&gt;1),AND(H715&lt;&gt;"",H715&lt;&gt;0,H715&lt;&gt;1)),"Flags devem ser 0 ou 1",IF(AND(H715=1,LEN(TRIM(I715))=0),"Preencher nome do indicante",IF(AND(H715&lt;&gt;1,I715&lt;&gt;""),"Nome sem indicação interna",IF(AND(G715=1,F715=""),"Fechamento sem conversa",IF(OR(AND(E715&lt;&gt;"",E715&lt;B715),AND(F715&lt;&gt;"",F715&lt;B715)),"Evento anterior à entrada",IF(AND(F715&lt;&gt;"",E715=""),"Conversa sem agendamento",IF(OR(E715&gt;TODAY(),F715&gt;TODAY()),"Verificar evento futuro","OK"))))))))))</f>
        <v/>
      </c>
    </row>
    <row r="716" spans="12:15">
      <c r="L716" s="5">
        <f>IF(OR(A716="",B716=""),"",B716-WEEKDAY(B716,2)+1)</f>
        <v/>
      </c>
      <c r="M716" s="5">
        <f>IF(L716="","",L716+6)</f>
        <v/>
      </c>
      <c r="N716" s="6">
        <f>IF(OR(A716="",B716=""),"",DATE(YEAR(B716),MONTH(B716),1))</f>
        <v/>
      </c>
      <c r="O716" s="7">
        <f>IF(COUNTA(A716:K716)=0,"",IF(OR(A716="",B716=""),"Preencher CPF e entrada",IF(COUNTIFS($A$12:$A$5011,A716,$B$12:$B$5011,B716)&gt;1,"CPF + dia duplicado",IF(OR(AND(G716&lt;&gt;"",G716&lt;&gt;0,G716&lt;&gt;1),AND(H716&lt;&gt;"",H716&lt;&gt;0,H716&lt;&gt;1)),"Flags devem ser 0 ou 1",IF(AND(H716=1,LEN(TRIM(I716))=0),"Preencher nome do indicante",IF(AND(H716&lt;&gt;1,I716&lt;&gt;""),"Nome sem indicação interna",IF(AND(G716=1,F716=""),"Fechamento sem conversa",IF(OR(AND(E716&lt;&gt;"",E716&lt;B716),AND(F716&lt;&gt;"",F716&lt;B716)),"Evento anterior à entrada",IF(AND(F716&lt;&gt;"",E716=""),"Conversa sem agendamento",IF(OR(E716&gt;TODAY(),F716&gt;TODAY()),"Verificar evento futuro","OK"))))))))))</f>
        <v/>
      </c>
    </row>
    <row r="717" spans="12:15">
      <c r="L717" s="5">
        <f>IF(OR(A717="",B717=""),"",B717-WEEKDAY(B717,2)+1)</f>
        <v/>
      </c>
      <c r="M717" s="5">
        <f>IF(L717="","",L717+6)</f>
        <v/>
      </c>
      <c r="N717" s="6">
        <f>IF(OR(A717="",B717=""),"",DATE(YEAR(B717),MONTH(B717),1))</f>
        <v/>
      </c>
      <c r="O717" s="7">
        <f>IF(COUNTA(A717:K717)=0,"",IF(OR(A717="",B717=""),"Preencher CPF e entrada",IF(COUNTIFS($A$12:$A$5011,A717,$B$12:$B$5011,B717)&gt;1,"CPF + dia duplicado",IF(OR(AND(G717&lt;&gt;"",G717&lt;&gt;0,G717&lt;&gt;1),AND(H717&lt;&gt;"",H717&lt;&gt;0,H717&lt;&gt;1)),"Flags devem ser 0 ou 1",IF(AND(H717=1,LEN(TRIM(I717))=0),"Preencher nome do indicante",IF(AND(H717&lt;&gt;1,I717&lt;&gt;""),"Nome sem indicação interna",IF(AND(G717=1,F717=""),"Fechamento sem conversa",IF(OR(AND(E717&lt;&gt;"",E717&lt;B717),AND(F717&lt;&gt;"",F717&lt;B717)),"Evento anterior à entrada",IF(AND(F717&lt;&gt;"",E717=""),"Conversa sem agendamento",IF(OR(E717&gt;TODAY(),F717&gt;TODAY()),"Verificar evento futuro","OK"))))))))))</f>
        <v/>
      </c>
    </row>
    <row r="718" spans="12:15">
      <c r="L718" s="5">
        <f>IF(OR(A718="",B718=""),"",B718-WEEKDAY(B718,2)+1)</f>
        <v/>
      </c>
      <c r="M718" s="5">
        <f>IF(L718="","",L718+6)</f>
        <v/>
      </c>
      <c r="N718" s="6">
        <f>IF(OR(A718="",B718=""),"",DATE(YEAR(B718),MONTH(B718),1))</f>
        <v/>
      </c>
      <c r="O718" s="7">
        <f>IF(COUNTA(A718:K718)=0,"",IF(OR(A718="",B718=""),"Preencher CPF e entrada",IF(COUNTIFS($A$12:$A$5011,A718,$B$12:$B$5011,B718)&gt;1,"CPF + dia duplicado",IF(OR(AND(G718&lt;&gt;"",G718&lt;&gt;0,G718&lt;&gt;1),AND(H718&lt;&gt;"",H718&lt;&gt;0,H718&lt;&gt;1)),"Flags devem ser 0 ou 1",IF(AND(H718=1,LEN(TRIM(I718))=0),"Preencher nome do indicante",IF(AND(H718&lt;&gt;1,I718&lt;&gt;""),"Nome sem indicação interna",IF(AND(G718=1,F718=""),"Fechamento sem conversa",IF(OR(AND(E718&lt;&gt;"",E718&lt;B718),AND(F718&lt;&gt;"",F718&lt;B718)),"Evento anterior à entrada",IF(AND(F718&lt;&gt;"",E718=""),"Conversa sem agendamento",IF(OR(E718&gt;TODAY(),F718&gt;TODAY()),"Verificar evento futuro","OK"))))))))))</f>
        <v/>
      </c>
    </row>
    <row r="719" spans="12:15">
      <c r="L719" s="5">
        <f>IF(OR(A719="",B719=""),"",B719-WEEKDAY(B719,2)+1)</f>
        <v/>
      </c>
      <c r="M719" s="5">
        <f>IF(L719="","",L719+6)</f>
        <v/>
      </c>
      <c r="N719" s="6">
        <f>IF(OR(A719="",B719=""),"",DATE(YEAR(B719),MONTH(B719),1))</f>
        <v/>
      </c>
      <c r="O719" s="7">
        <f>IF(COUNTA(A719:K719)=0,"",IF(OR(A719="",B719=""),"Preencher CPF e entrada",IF(COUNTIFS($A$12:$A$5011,A719,$B$12:$B$5011,B719)&gt;1,"CPF + dia duplicado",IF(OR(AND(G719&lt;&gt;"",G719&lt;&gt;0,G719&lt;&gt;1),AND(H719&lt;&gt;"",H719&lt;&gt;0,H719&lt;&gt;1)),"Flags devem ser 0 ou 1",IF(AND(H719=1,LEN(TRIM(I719))=0),"Preencher nome do indicante",IF(AND(H719&lt;&gt;1,I719&lt;&gt;""),"Nome sem indicação interna",IF(AND(G719=1,F719=""),"Fechamento sem conversa",IF(OR(AND(E719&lt;&gt;"",E719&lt;B719),AND(F719&lt;&gt;"",F719&lt;B719)),"Evento anterior à entrada",IF(AND(F719&lt;&gt;"",E719=""),"Conversa sem agendamento",IF(OR(E719&gt;TODAY(),F719&gt;TODAY()),"Verificar evento futuro","OK"))))))))))</f>
        <v/>
      </c>
    </row>
    <row r="720" spans="12:15">
      <c r="L720" s="5">
        <f>IF(OR(A720="",B720=""),"",B720-WEEKDAY(B720,2)+1)</f>
        <v/>
      </c>
      <c r="M720" s="5">
        <f>IF(L720="","",L720+6)</f>
        <v/>
      </c>
      <c r="N720" s="6">
        <f>IF(OR(A720="",B720=""),"",DATE(YEAR(B720),MONTH(B720),1))</f>
        <v/>
      </c>
      <c r="O720" s="7">
        <f>IF(COUNTA(A720:K720)=0,"",IF(OR(A720="",B720=""),"Preencher CPF e entrada",IF(COUNTIFS($A$12:$A$5011,A720,$B$12:$B$5011,B720)&gt;1,"CPF + dia duplicado",IF(OR(AND(G720&lt;&gt;"",G720&lt;&gt;0,G720&lt;&gt;1),AND(H720&lt;&gt;"",H720&lt;&gt;0,H720&lt;&gt;1)),"Flags devem ser 0 ou 1",IF(AND(H720=1,LEN(TRIM(I720))=0),"Preencher nome do indicante",IF(AND(H720&lt;&gt;1,I720&lt;&gt;""),"Nome sem indicação interna",IF(AND(G720=1,F720=""),"Fechamento sem conversa",IF(OR(AND(E720&lt;&gt;"",E720&lt;B720),AND(F720&lt;&gt;"",F720&lt;B720)),"Evento anterior à entrada",IF(AND(F720&lt;&gt;"",E720=""),"Conversa sem agendamento",IF(OR(E720&gt;TODAY(),F720&gt;TODAY()),"Verificar evento futuro","OK"))))))))))</f>
        <v/>
      </c>
    </row>
    <row r="721" spans="12:15">
      <c r="L721" s="5">
        <f>IF(OR(A721="",B721=""),"",B721-WEEKDAY(B721,2)+1)</f>
        <v/>
      </c>
      <c r="M721" s="5">
        <f>IF(L721="","",L721+6)</f>
        <v/>
      </c>
      <c r="N721" s="6">
        <f>IF(OR(A721="",B721=""),"",DATE(YEAR(B721),MONTH(B721),1))</f>
        <v/>
      </c>
      <c r="O721" s="7">
        <f>IF(COUNTA(A721:K721)=0,"",IF(OR(A721="",B721=""),"Preencher CPF e entrada",IF(COUNTIFS($A$12:$A$5011,A721,$B$12:$B$5011,B721)&gt;1,"CPF + dia duplicado",IF(OR(AND(G721&lt;&gt;"",G721&lt;&gt;0,G721&lt;&gt;1),AND(H721&lt;&gt;"",H721&lt;&gt;0,H721&lt;&gt;1)),"Flags devem ser 0 ou 1",IF(AND(H721=1,LEN(TRIM(I721))=0),"Preencher nome do indicante",IF(AND(H721&lt;&gt;1,I721&lt;&gt;""),"Nome sem indicação interna",IF(AND(G721=1,F721=""),"Fechamento sem conversa",IF(OR(AND(E721&lt;&gt;"",E721&lt;B721),AND(F721&lt;&gt;"",F721&lt;B721)),"Evento anterior à entrada",IF(AND(F721&lt;&gt;"",E721=""),"Conversa sem agendamento",IF(OR(E721&gt;TODAY(),F721&gt;TODAY()),"Verificar evento futuro","OK"))))))))))</f>
        <v/>
      </c>
    </row>
    <row r="722" spans="12:15">
      <c r="L722" s="5">
        <f>IF(OR(A722="",B722=""),"",B722-WEEKDAY(B722,2)+1)</f>
        <v/>
      </c>
      <c r="M722" s="5">
        <f>IF(L722="","",L722+6)</f>
        <v/>
      </c>
      <c r="N722" s="6">
        <f>IF(OR(A722="",B722=""),"",DATE(YEAR(B722),MONTH(B722),1))</f>
        <v/>
      </c>
      <c r="O722" s="7">
        <f>IF(COUNTA(A722:K722)=0,"",IF(OR(A722="",B722=""),"Preencher CPF e entrada",IF(COUNTIFS($A$12:$A$5011,A722,$B$12:$B$5011,B722)&gt;1,"CPF + dia duplicado",IF(OR(AND(G722&lt;&gt;"",G722&lt;&gt;0,G722&lt;&gt;1),AND(H722&lt;&gt;"",H722&lt;&gt;0,H722&lt;&gt;1)),"Flags devem ser 0 ou 1",IF(AND(H722=1,LEN(TRIM(I722))=0),"Preencher nome do indicante",IF(AND(H722&lt;&gt;1,I722&lt;&gt;""),"Nome sem indicação interna",IF(AND(G722=1,F722=""),"Fechamento sem conversa",IF(OR(AND(E722&lt;&gt;"",E722&lt;B722),AND(F722&lt;&gt;"",F722&lt;B722)),"Evento anterior à entrada",IF(AND(F722&lt;&gt;"",E722=""),"Conversa sem agendamento",IF(OR(E722&gt;TODAY(),F722&gt;TODAY()),"Verificar evento futuro","OK"))))))))))</f>
        <v/>
      </c>
    </row>
    <row r="723" spans="12:15">
      <c r="L723" s="5">
        <f>IF(OR(A723="",B723=""),"",B723-WEEKDAY(B723,2)+1)</f>
        <v/>
      </c>
      <c r="M723" s="5">
        <f>IF(L723="","",L723+6)</f>
        <v/>
      </c>
      <c r="N723" s="6">
        <f>IF(OR(A723="",B723=""),"",DATE(YEAR(B723),MONTH(B723),1))</f>
        <v/>
      </c>
      <c r="O723" s="7">
        <f>IF(COUNTA(A723:K723)=0,"",IF(OR(A723="",B723=""),"Preencher CPF e entrada",IF(COUNTIFS($A$12:$A$5011,A723,$B$12:$B$5011,B723)&gt;1,"CPF + dia duplicado",IF(OR(AND(G723&lt;&gt;"",G723&lt;&gt;0,G723&lt;&gt;1),AND(H723&lt;&gt;"",H723&lt;&gt;0,H723&lt;&gt;1)),"Flags devem ser 0 ou 1",IF(AND(H723=1,LEN(TRIM(I723))=0),"Preencher nome do indicante",IF(AND(H723&lt;&gt;1,I723&lt;&gt;""),"Nome sem indicação interna",IF(AND(G723=1,F723=""),"Fechamento sem conversa",IF(OR(AND(E723&lt;&gt;"",E723&lt;B723),AND(F723&lt;&gt;"",F723&lt;B723)),"Evento anterior à entrada",IF(AND(F723&lt;&gt;"",E723=""),"Conversa sem agendamento",IF(OR(E723&gt;TODAY(),F723&gt;TODAY()),"Verificar evento futuro","OK"))))))))))</f>
        <v/>
      </c>
    </row>
    <row r="724" spans="12:15">
      <c r="L724" s="5">
        <f>IF(OR(A724="",B724=""),"",B724-WEEKDAY(B724,2)+1)</f>
        <v/>
      </c>
      <c r="M724" s="5">
        <f>IF(L724="","",L724+6)</f>
        <v/>
      </c>
      <c r="N724" s="6">
        <f>IF(OR(A724="",B724=""),"",DATE(YEAR(B724),MONTH(B724),1))</f>
        <v/>
      </c>
      <c r="O724" s="7">
        <f>IF(COUNTA(A724:K724)=0,"",IF(OR(A724="",B724=""),"Preencher CPF e entrada",IF(COUNTIFS($A$12:$A$5011,A724,$B$12:$B$5011,B724)&gt;1,"CPF + dia duplicado",IF(OR(AND(G724&lt;&gt;"",G724&lt;&gt;0,G724&lt;&gt;1),AND(H724&lt;&gt;"",H724&lt;&gt;0,H724&lt;&gt;1)),"Flags devem ser 0 ou 1",IF(AND(H724=1,LEN(TRIM(I724))=0),"Preencher nome do indicante",IF(AND(H724&lt;&gt;1,I724&lt;&gt;""),"Nome sem indicação interna",IF(AND(G724=1,F724=""),"Fechamento sem conversa",IF(OR(AND(E724&lt;&gt;"",E724&lt;B724),AND(F724&lt;&gt;"",F724&lt;B724)),"Evento anterior à entrada",IF(AND(F724&lt;&gt;"",E724=""),"Conversa sem agendamento",IF(OR(E724&gt;TODAY(),F724&gt;TODAY()),"Verificar evento futuro","OK"))))))))))</f>
        <v/>
      </c>
    </row>
    <row r="725" spans="12:15">
      <c r="L725" s="5">
        <f>IF(OR(A725="",B725=""),"",B725-WEEKDAY(B725,2)+1)</f>
        <v/>
      </c>
      <c r="M725" s="5">
        <f>IF(L725="","",L725+6)</f>
        <v/>
      </c>
      <c r="N725" s="6">
        <f>IF(OR(A725="",B725=""),"",DATE(YEAR(B725),MONTH(B725),1))</f>
        <v/>
      </c>
      <c r="O725" s="7">
        <f>IF(COUNTA(A725:K725)=0,"",IF(OR(A725="",B725=""),"Preencher CPF e entrada",IF(COUNTIFS($A$12:$A$5011,A725,$B$12:$B$5011,B725)&gt;1,"CPF + dia duplicado",IF(OR(AND(G725&lt;&gt;"",G725&lt;&gt;0,G725&lt;&gt;1),AND(H725&lt;&gt;"",H725&lt;&gt;0,H725&lt;&gt;1)),"Flags devem ser 0 ou 1",IF(AND(H725=1,LEN(TRIM(I725))=0),"Preencher nome do indicante",IF(AND(H725&lt;&gt;1,I725&lt;&gt;""),"Nome sem indicação interna",IF(AND(G725=1,F725=""),"Fechamento sem conversa",IF(OR(AND(E725&lt;&gt;"",E725&lt;B725),AND(F725&lt;&gt;"",F725&lt;B725)),"Evento anterior à entrada",IF(AND(F725&lt;&gt;"",E725=""),"Conversa sem agendamento",IF(OR(E725&gt;TODAY(),F725&gt;TODAY()),"Verificar evento futuro","OK"))))))))))</f>
        <v/>
      </c>
    </row>
    <row r="726" spans="12:15">
      <c r="L726" s="5">
        <f>IF(OR(A726="",B726=""),"",B726-WEEKDAY(B726,2)+1)</f>
        <v/>
      </c>
      <c r="M726" s="5">
        <f>IF(L726="","",L726+6)</f>
        <v/>
      </c>
      <c r="N726" s="6">
        <f>IF(OR(A726="",B726=""),"",DATE(YEAR(B726),MONTH(B726),1))</f>
        <v/>
      </c>
      <c r="O726" s="7">
        <f>IF(COUNTA(A726:K726)=0,"",IF(OR(A726="",B726=""),"Preencher CPF e entrada",IF(COUNTIFS($A$12:$A$5011,A726,$B$12:$B$5011,B726)&gt;1,"CPF + dia duplicado",IF(OR(AND(G726&lt;&gt;"",G726&lt;&gt;0,G726&lt;&gt;1),AND(H726&lt;&gt;"",H726&lt;&gt;0,H726&lt;&gt;1)),"Flags devem ser 0 ou 1",IF(AND(H726=1,LEN(TRIM(I726))=0),"Preencher nome do indicante",IF(AND(H726&lt;&gt;1,I726&lt;&gt;""),"Nome sem indicação interna",IF(AND(G726=1,F726=""),"Fechamento sem conversa",IF(OR(AND(E726&lt;&gt;"",E726&lt;B726),AND(F726&lt;&gt;"",F726&lt;B726)),"Evento anterior à entrada",IF(AND(F726&lt;&gt;"",E726=""),"Conversa sem agendamento",IF(OR(E726&gt;TODAY(),F726&gt;TODAY()),"Verificar evento futuro","OK"))))))))))</f>
        <v/>
      </c>
    </row>
    <row r="727" spans="12:15">
      <c r="L727" s="5">
        <f>IF(OR(A727="",B727=""),"",B727-WEEKDAY(B727,2)+1)</f>
        <v/>
      </c>
      <c r="M727" s="5">
        <f>IF(L727="","",L727+6)</f>
        <v/>
      </c>
      <c r="N727" s="6">
        <f>IF(OR(A727="",B727=""),"",DATE(YEAR(B727),MONTH(B727),1))</f>
        <v/>
      </c>
      <c r="O727" s="7">
        <f>IF(COUNTA(A727:K727)=0,"",IF(OR(A727="",B727=""),"Preencher CPF e entrada",IF(COUNTIFS($A$12:$A$5011,A727,$B$12:$B$5011,B727)&gt;1,"CPF + dia duplicado",IF(OR(AND(G727&lt;&gt;"",G727&lt;&gt;0,G727&lt;&gt;1),AND(H727&lt;&gt;"",H727&lt;&gt;0,H727&lt;&gt;1)),"Flags devem ser 0 ou 1",IF(AND(H727=1,LEN(TRIM(I727))=0),"Preencher nome do indicante",IF(AND(H727&lt;&gt;1,I727&lt;&gt;""),"Nome sem indicação interna",IF(AND(G727=1,F727=""),"Fechamento sem conversa",IF(OR(AND(E727&lt;&gt;"",E727&lt;B727),AND(F727&lt;&gt;"",F727&lt;B727)),"Evento anterior à entrada",IF(AND(F727&lt;&gt;"",E727=""),"Conversa sem agendamento",IF(OR(E727&gt;TODAY(),F727&gt;TODAY()),"Verificar evento futuro","OK"))))))))))</f>
        <v/>
      </c>
    </row>
    <row r="728" spans="12:15">
      <c r="L728" s="5">
        <f>IF(OR(A728="",B728=""),"",B728-WEEKDAY(B728,2)+1)</f>
        <v/>
      </c>
      <c r="M728" s="5">
        <f>IF(L728="","",L728+6)</f>
        <v/>
      </c>
      <c r="N728" s="6">
        <f>IF(OR(A728="",B728=""),"",DATE(YEAR(B728),MONTH(B728),1))</f>
        <v/>
      </c>
      <c r="O728" s="7">
        <f>IF(COUNTA(A728:K728)=0,"",IF(OR(A728="",B728=""),"Preencher CPF e entrada",IF(COUNTIFS($A$12:$A$5011,A728,$B$12:$B$5011,B728)&gt;1,"CPF + dia duplicado",IF(OR(AND(G728&lt;&gt;"",G728&lt;&gt;0,G728&lt;&gt;1),AND(H728&lt;&gt;"",H728&lt;&gt;0,H728&lt;&gt;1)),"Flags devem ser 0 ou 1",IF(AND(H728=1,LEN(TRIM(I728))=0),"Preencher nome do indicante",IF(AND(H728&lt;&gt;1,I728&lt;&gt;""),"Nome sem indicação interna",IF(AND(G728=1,F728=""),"Fechamento sem conversa",IF(OR(AND(E728&lt;&gt;"",E728&lt;B728),AND(F728&lt;&gt;"",F728&lt;B728)),"Evento anterior à entrada",IF(AND(F728&lt;&gt;"",E728=""),"Conversa sem agendamento",IF(OR(E728&gt;TODAY(),F728&gt;TODAY()),"Verificar evento futuro","OK"))))))))))</f>
        <v/>
      </c>
    </row>
    <row r="729" spans="12:15">
      <c r="L729" s="5">
        <f>IF(OR(A729="",B729=""),"",B729-WEEKDAY(B729,2)+1)</f>
        <v/>
      </c>
      <c r="M729" s="5">
        <f>IF(L729="","",L729+6)</f>
        <v/>
      </c>
      <c r="N729" s="6">
        <f>IF(OR(A729="",B729=""),"",DATE(YEAR(B729),MONTH(B729),1))</f>
        <v/>
      </c>
      <c r="O729" s="7">
        <f>IF(COUNTA(A729:K729)=0,"",IF(OR(A729="",B729=""),"Preencher CPF e entrada",IF(COUNTIFS($A$12:$A$5011,A729,$B$12:$B$5011,B729)&gt;1,"CPF + dia duplicado",IF(OR(AND(G729&lt;&gt;"",G729&lt;&gt;0,G729&lt;&gt;1),AND(H729&lt;&gt;"",H729&lt;&gt;0,H729&lt;&gt;1)),"Flags devem ser 0 ou 1",IF(AND(H729=1,LEN(TRIM(I729))=0),"Preencher nome do indicante",IF(AND(H729&lt;&gt;1,I729&lt;&gt;""),"Nome sem indicação interna",IF(AND(G729=1,F729=""),"Fechamento sem conversa",IF(OR(AND(E729&lt;&gt;"",E729&lt;B729),AND(F729&lt;&gt;"",F729&lt;B729)),"Evento anterior à entrada",IF(AND(F729&lt;&gt;"",E729=""),"Conversa sem agendamento",IF(OR(E729&gt;TODAY(),F729&gt;TODAY()),"Verificar evento futuro","OK"))))))))))</f>
        <v/>
      </c>
    </row>
    <row r="730" spans="12:15">
      <c r="L730" s="5">
        <f>IF(OR(A730="",B730=""),"",B730-WEEKDAY(B730,2)+1)</f>
        <v/>
      </c>
      <c r="M730" s="5">
        <f>IF(L730="","",L730+6)</f>
        <v/>
      </c>
      <c r="N730" s="6">
        <f>IF(OR(A730="",B730=""),"",DATE(YEAR(B730),MONTH(B730),1))</f>
        <v/>
      </c>
      <c r="O730" s="7">
        <f>IF(COUNTA(A730:K730)=0,"",IF(OR(A730="",B730=""),"Preencher CPF e entrada",IF(COUNTIFS($A$12:$A$5011,A730,$B$12:$B$5011,B730)&gt;1,"CPF + dia duplicado",IF(OR(AND(G730&lt;&gt;"",G730&lt;&gt;0,G730&lt;&gt;1),AND(H730&lt;&gt;"",H730&lt;&gt;0,H730&lt;&gt;1)),"Flags devem ser 0 ou 1",IF(AND(H730=1,LEN(TRIM(I730))=0),"Preencher nome do indicante",IF(AND(H730&lt;&gt;1,I730&lt;&gt;""),"Nome sem indicação interna",IF(AND(G730=1,F730=""),"Fechamento sem conversa",IF(OR(AND(E730&lt;&gt;"",E730&lt;B730),AND(F730&lt;&gt;"",F730&lt;B730)),"Evento anterior à entrada",IF(AND(F730&lt;&gt;"",E730=""),"Conversa sem agendamento",IF(OR(E730&gt;TODAY(),F730&gt;TODAY()),"Verificar evento futuro","OK"))))))))))</f>
        <v/>
      </c>
    </row>
    <row r="731" spans="12:15">
      <c r="L731" s="5">
        <f>IF(OR(A731="",B731=""),"",B731-WEEKDAY(B731,2)+1)</f>
        <v/>
      </c>
      <c r="M731" s="5">
        <f>IF(L731="","",L731+6)</f>
        <v/>
      </c>
      <c r="N731" s="6">
        <f>IF(OR(A731="",B731=""),"",DATE(YEAR(B731),MONTH(B731),1))</f>
        <v/>
      </c>
      <c r="O731" s="7">
        <f>IF(COUNTA(A731:K731)=0,"",IF(OR(A731="",B731=""),"Preencher CPF e entrada",IF(COUNTIFS($A$12:$A$5011,A731,$B$12:$B$5011,B731)&gt;1,"CPF + dia duplicado",IF(OR(AND(G731&lt;&gt;"",G731&lt;&gt;0,G731&lt;&gt;1),AND(H731&lt;&gt;"",H731&lt;&gt;0,H731&lt;&gt;1)),"Flags devem ser 0 ou 1",IF(AND(H731=1,LEN(TRIM(I731))=0),"Preencher nome do indicante",IF(AND(H731&lt;&gt;1,I731&lt;&gt;""),"Nome sem indicação interna",IF(AND(G731=1,F731=""),"Fechamento sem conversa",IF(OR(AND(E731&lt;&gt;"",E731&lt;B731),AND(F731&lt;&gt;"",F731&lt;B731)),"Evento anterior à entrada",IF(AND(F731&lt;&gt;"",E731=""),"Conversa sem agendamento",IF(OR(E731&gt;TODAY(),F731&gt;TODAY()),"Verificar evento futuro","OK"))))))))))</f>
        <v/>
      </c>
    </row>
    <row r="732" spans="12:15">
      <c r="L732" s="5">
        <f>IF(OR(A732="",B732=""),"",B732-WEEKDAY(B732,2)+1)</f>
        <v/>
      </c>
      <c r="M732" s="5">
        <f>IF(L732="","",L732+6)</f>
        <v/>
      </c>
      <c r="N732" s="6">
        <f>IF(OR(A732="",B732=""),"",DATE(YEAR(B732),MONTH(B732),1))</f>
        <v/>
      </c>
      <c r="O732" s="7">
        <f>IF(COUNTA(A732:K732)=0,"",IF(OR(A732="",B732=""),"Preencher CPF e entrada",IF(COUNTIFS($A$12:$A$5011,A732,$B$12:$B$5011,B732)&gt;1,"CPF + dia duplicado",IF(OR(AND(G732&lt;&gt;"",G732&lt;&gt;0,G732&lt;&gt;1),AND(H732&lt;&gt;"",H732&lt;&gt;0,H732&lt;&gt;1)),"Flags devem ser 0 ou 1",IF(AND(H732=1,LEN(TRIM(I732))=0),"Preencher nome do indicante",IF(AND(H732&lt;&gt;1,I732&lt;&gt;""),"Nome sem indicação interna",IF(AND(G732=1,F732=""),"Fechamento sem conversa",IF(OR(AND(E732&lt;&gt;"",E732&lt;B732),AND(F732&lt;&gt;"",F732&lt;B732)),"Evento anterior à entrada",IF(AND(F732&lt;&gt;"",E732=""),"Conversa sem agendamento",IF(OR(E732&gt;TODAY(),F732&gt;TODAY()),"Verificar evento futuro","OK"))))))))))</f>
        <v/>
      </c>
    </row>
    <row r="733" spans="12:15">
      <c r="L733" s="5">
        <f>IF(OR(A733="",B733=""),"",B733-WEEKDAY(B733,2)+1)</f>
        <v/>
      </c>
      <c r="M733" s="5">
        <f>IF(L733="","",L733+6)</f>
        <v/>
      </c>
      <c r="N733" s="6">
        <f>IF(OR(A733="",B733=""),"",DATE(YEAR(B733),MONTH(B733),1))</f>
        <v/>
      </c>
      <c r="O733" s="7">
        <f>IF(COUNTA(A733:K733)=0,"",IF(OR(A733="",B733=""),"Preencher CPF e entrada",IF(COUNTIFS($A$12:$A$5011,A733,$B$12:$B$5011,B733)&gt;1,"CPF + dia duplicado",IF(OR(AND(G733&lt;&gt;"",G733&lt;&gt;0,G733&lt;&gt;1),AND(H733&lt;&gt;"",H733&lt;&gt;0,H733&lt;&gt;1)),"Flags devem ser 0 ou 1",IF(AND(H733=1,LEN(TRIM(I733))=0),"Preencher nome do indicante",IF(AND(H733&lt;&gt;1,I733&lt;&gt;""),"Nome sem indicação interna",IF(AND(G733=1,F733=""),"Fechamento sem conversa",IF(OR(AND(E733&lt;&gt;"",E733&lt;B733),AND(F733&lt;&gt;"",F733&lt;B733)),"Evento anterior à entrada",IF(AND(F733&lt;&gt;"",E733=""),"Conversa sem agendamento",IF(OR(E733&gt;TODAY(),F733&gt;TODAY()),"Verificar evento futuro","OK"))))))))))</f>
        <v/>
      </c>
    </row>
    <row r="734" spans="12:15">
      <c r="L734" s="5">
        <f>IF(OR(A734="",B734=""),"",B734-WEEKDAY(B734,2)+1)</f>
        <v/>
      </c>
      <c r="M734" s="5">
        <f>IF(L734="","",L734+6)</f>
        <v/>
      </c>
      <c r="N734" s="6">
        <f>IF(OR(A734="",B734=""),"",DATE(YEAR(B734),MONTH(B734),1))</f>
        <v/>
      </c>
      <c r="O734" s="7">
        <f>IF(COUNTA(A734:K734)=0,"",IF(OR(A734="",B734=""),"Preencher CPF e entrada",IF(COUNTIFS($A$12:$A$5011,A734,$B$12:$B$5011,B734)&gt;1,"CPF + dia duplicado",IF(OR(AND(G734&lt;&gt;"",G734&lt;&gt;0,G734&lt;&gt;1),AND(H734&lt;&gt;"",H734&lt;&gt;0,H734&lt;&gt;1)),"Flags devem ser 0 ou 1",IF(AND(H734=1,LEN(TRIM(I734))=0),"Preencher nome do indicante",IF(AND(H734&lt;&gt;1,I734&lt;&gt;""),"Nome sem indicação interna",IF(AND(G734=1,F734=""),"Fechamento sem conversa",IF(OR(AND(E734&lt;&gt;"",E734&lt;B734),AND(F734&lt;&gt;"",F734&lt;B734)),"Evento anterior à entrada",IF(AND(F734&lt;&gt;"",E734=""),"Conversa sem agendamento",IF(OR(E734&gt;TODAY(),F734&gt;TODAY()),"Verificar evento futuro","OK"))))))))))</f>
        <v/>
      </c>
    </row>
    <row r="735" spans="12:15">
      <c r="L735" s="5">
        <f>IF(OR(A735="",B735=""),"",B735-WEEKDAY(B735,2)+1)</f>
        <v/>
      </c>
      <c r="M735" s="5">
        <f>IF(L735="","",L735+6)</f>
        <v/>
      </c>
      <c r="N735" s="6">
        <f>IF(OR(A735="",B735=""),"",DATE(YEAR(B735),MONTH(B735),1))</f>
        <v/>
      </c>
      <c r="O735" s="7">
        <f>IF(COUNTA(A735:K735)=0,"",IF(OR(A735="",B735=""),"Preencher CPF e entrada",IF(COUNTIFS($A$12:$A$5011,A735,$B$12:$B$5011,B735)&gt;1,"CPF + dia duplicado",IF(OR(AND(G735&lt;&gt;"",G735&lt;&gt;0,G735&lt;&gt;1),AND(H735&lt;&gt;"",H735&lt;&gt;0,H735&lt;&gt;1)),"Flags devem ser 0 ou 1",IF(AND(H735=1,LEN(TRIM(I735))=0),"Preencher nome do indicante",IF(AND(H735&lt;&gt;1,I735&lt;&gt;""),"Nome sem indicação interna",IF(AND(G735=1,F735=""),"Fechamento sem conversa",IF(OR(AND(E735&lt;&gt;"",E735&lt;B735),AND(F735&lt;&gt;"",F735&lt;B735)),"Evento anterior à entrada",IF(AND(F735&lt;&gt;"",E735=""),"Conversa sem agendamento",IF(OR(E735&gt;TODAY(),F735&gt;TODAY()),"Verificar evento futuro","OK"))))))))))</f>
        <v/>
      </c>
    </row>
    <row r="736" spans="12:15">
      <c r="L736" s="5">
        <f>IF(OR(A736="",B736=""),"",B736-WEEKDAY(B736,2)+1)</f>
        <v/>
      </c>
      <c r="M736" s="5">
        <f>IF(L736="","",L736+6)</f>
        <v/>
      </c>
      <c r="N736" s="6">
        <f>IF(OR(A736="",B736=""),"",DATE(YEAR(B736),MONTH(B736),1))</f>
        <v/>
      </c>
      <c r="O736" s="7">
        <f>IF(COUNTA(A736:K736)=0,"",IF(OR(A736="",B736=""),"Preencher CPF e entrada",IF(COUNTIFS($A$12:$A$5011,A736,$B$12:$B$5011,B736)&gt;1,"CPF + dia duplicado",IF(OR(AND(G736&lt;&gt;"",G736&lt;&gt;0,G736&lt;&gt;1),AND(H736&lt;&gt;"",H736&lt;&gt;0,H736&lt;&gt;1)),"Flags devem ser 0 ou 1",IF(AND(H736=1,LEN(TRIM(I736))=0),"Preencher nome do indicante",IF(AND(H736&lt;&gt;1,I736&lt;&gt;""),"Nome sem indicação interna",IF(AND(G736=1,F736=""),"Fechamento sem conversa",IF(OR(AND(E736&lt;&gt;"",E736&lt;B736),AND(F736&lt;&gt;"",F736&lt;B736)),"Evento anterior à entrada",IF(AND(F736&lt;&gt;"",E736=""),"Conversa sem agendamento",IF(OR(E736&gt;TODAY(),F736&gt;TODAY()),"Verificar evento futuro","OK"))))))))))</f>
        <v/>
      </c>
    </row>
    <row r="737" spans="12:15">
      <c r="L737" s="5">
        <f>IF(OR(A737="",B737=""),"",B737-WEEKDAY(B737,2)+1)</f>
        <v/>
      </c>
      <c r="M737" s="5">
        <f>IF(L737="","",L737+6)</f>
        <v/>
      </c>
      <c r="N737" s="6">
        <f>IF(OR(A737="",B737=""),"",DATE(YEAR(B737),MONTH(B737),1))</f>
        <v/>
      </c>
      <c r="O737" s="7">
        <f>IF(COUNTA(A737:K737)=0,"",IF(OR(A737="",B737=""),"Preencher CPF e entrada",IF(COUNTIFS($A$12:$A$5011,A737,$B$12:$B$5011,B737)&gt;1,"CPF + dia duplicado",IF(OR(AND(G737&lt;&gt;"",G737&lt;&gt;0,G737&lt;&gt;1),AND(H737&lt;&gt;"",H737&lt;&gt;0,H737&lt;&gt;1)),"Flags devem ser 0 ou 1",IF(AND(H737=1,LEN(TRIM(I737))=0),"Preencher nome do indicante",IF(AND(H737&lt;&gt;1,I737&lt;&gt;""),"Nome sem indicação interna",IF(AND(G737=1,F737=""),"Fechamento sem conversa",IF(OR(AND(E737&lt;&gt;"",E737&lt;B737),AND(F737&lt;&gt;"",F737&lt;B737)),"Evento anterior à entrada",IF(AND(F737&lt;&gt;"",E737=""),"Conversa sem agendamento",IF(OR(E737&gt;TODAY(),F737&gt;TODAY()),"Verificar evento futuro","OK"))))))))))</f>
        <v/>
      </c>
    </row>
    <row r="738" spans="12:15">
      <c r="L738" s="5">
        <f>IF(OR(A738="",B738=""),"",B738-WEEKDAY(B738,2)+1)</f>
        <v/>
      </c>
      <c r="M738" s="5">
        <f>IF(L738="","",L738+6)</f>
        <v/>
      </c>
      <c r="N738" s="6">
        <f>IF(OR(A738="",B738=""),"",DATE(YEAR(B738),MONTH(B738),1))</f>
        <v/>
      </c>
      <c r="O738" s="7">
        <f>IF(COUNTA(A738:K738)=0,"",IF(OR(A738="",B738=""),"Preencher CPF e entrada",IF(COUNTIFS($A$12:$A$5011,A738,$B$12:$B$5011,B738)&gt;1,"CPF + dia duplicado",IF(OR(AND(G738&lt;&gt;"",G738&lt;&gt;0,G738&lt;&gt;1),AND(H738&lt;&gt;"",H738&lt;&gt;0,H738&lt;&gt;1)),"Flags devem ser 0 ou 1",IF(AND(H738=1,LEN(TRIM(I738))=0),"Preencher nome do indicante",IF(AND(H738&lt;&gt;1,I738&lt;&gt;""),"Nome sem indicação interna",IF(AND(G738=1,F738=""),"Fechamento sem conversa",IF(OR(AND(E738&lt;&gt;"",E738&lt;B738),AND(F738&lt;&gt;"",F738&lt;B738)),"Evento anterior à entrada",IF(AND(F738&lt;&gt;"",E738=""),"Conversa sem agendamento",IF(OR(E738&gt;TODAY(),F738&gt;TODAY()),"Verificar evento futuro","OK"))))))))))</f>
        <v/>
      </c>
    </row>
    <row r="739" spans="12:15">
      <c r="L739" s="5">
        <f>IF(OR(A739="",B739=""),"",B739-WEEKDAY(B739,2)+1)</f>
        <v/>
      </c>
      <c r="M739" s="5">
        <f>IF(L739="","",L739+6)</f>
        <v/>
      </c>
      <c r="N739" s="6">
        <f>IF(OR(A739="",B739=""),"",DATE(YEAR(B739),MONTH(B739),1))</f>
        <v/>
      </c>
      <c r="O739" s="7">
        <f>IF(COUNTA(A739:K739)=0,"",IF(OR(A739="",B739=""),"Preencher CPF e entrada",IF(COUNTIFS($A$12:$A$5011,A739,$B$12:$B$5011,B739)&gt;1,"CPF + dia duplicado",IF(OR(AND(G739&lt;&gt;"",G739&lt;&gt;0,G739&lt;&gt;1),AND(H739&lt;&gt;"",H739&lt;&gt;0,H739&lt;&gt;1)),"Flags devem ser 0 ou 1",IF(AND(H739=1,LEN(TRIM(I739))=0),"Preencher nome do indicante",IF(AND(H739&lt;&gt;1,I739&lt;&gt;""),"Nome sem indicação interna",IF(AND(G739=1,F739=""),"Fechamento sem conversa",IF(OR(AND(E739&lt;&gt;"",E739&lt;B739),AND(F739&lt;&gt;"",F739&lt;B739)),"Evento anterior à entrada",IF(AND(F739&lt;&gt;"",E739=""),"Conversa sem agendamento",IF(OR(E739&gt;TODAY(),F739&gt;TODAY()),"Verificar evento futuro","OK"))))))))))</f>
        <v/>
      </c>
    </row>
    <row r="740" spans="12:15">
      <c r="L740" s="5">
        <f>IF(OR(A740="",B740=""),"",B740-WEEKDAY(B740,2)+1)</f>
        <v/>
      </c>
      <c r="M740" s="5">
        <f>IF(L740="","",L740+6)</f>
        <v/>
      </c>
      <c r="N740" s="6">
        <f>IF(OR(A740="",B740=""),"",DATE(YEAR(B740),MONTH(B740),1))</f>
        <v/>
      </c>
      <c r="O740" s="7">
        <f>IF(COUNTA(A740:K740)=0,"",IF(OR(A740="",B740=""),"Preencher CPF e entrada",IF(COUNTIFS($A$12:$A$5011,A740,$B$12:$B$5011,B740)&gt;1,"CPF + dia duplicado",IF(OR(AND(G740&lt;&gt;"",G740&lt;&gt;0,G740&lt;&gt;1),AND(H740&lt;&gt;"",H740&lt;&gt;0,H740&lt;&gt;1)),"Flags devem ser 0 ou 1",IF(AND(H740=1,LEN(TRIM(I740))=0),"Preencher nome do indicante",IF(AND(H740&lt;&gt;1,I740&lt;&gt;""),"Nome sem indicação interna",IF(AND(G740=1,F740=""),"Fechamento sem conversa",IF(OR(AND(E740&lt;&gt;"",E740&lt;B740),AND(F740&lt;&gt;"",F740&lt;B740)),"Evento anterior à entrada",IF(AND(F740&lt;&gt;"",E740=""),"Conversa sem agendamento",IF(OR(E740&gt;TODAY(),F740&gt;TODAY()),"Verificar evento futuro","OK"))))))))))</f>
        <v/>
      </c>
    </row>
    <row r="741" spans="12:15">
      <c r="L741" s="5">
        <f>IF(OR(A741="",B741=""),"",B741-WEEKDAY(B741,2)+1)</f>
        <v/>
      </c>
      <c r="M741" s="5">
        <f>IF(L741="","",L741+6)</f>
        <v/>
      </c>
      <c r="N741" s="6">
        <f>IF(OR(A741="",B741=""),"",DATE(YEAR(B741),MONTH(B741),1))</f>
        <v/>
      </c>
      <c r="O741" s="7">
        <f>IF(COUNTA(A741:K741)=0,"",IF(OR(A741="",B741=""),"Preencher CPF e entrada",IF(COUNTIFS($A$12:$A$5011,A741,$B$12:$B$5011,B741)&gt;1,"CPF + dia duplicado",IF(OR(AND(G741&lt;&gt;"",G741&lt;&gt;0,G741&lt;&gt;1),AND(H741&lt;&gt;"",H741&lt;&gt;0,H741&lt;&gt;1)),"Flags devem ser 0 ou 1",IF(AND(H741=1,LEN(TRIM(I741))=0),"Preencher nome do indicante",IF(AND(H741&lt;&gt;1,I741&lt;&gt;""),"Nome sem indicação interna",IF(AND(G741=1,F741=""),"Fechamento sem conversa",IF(OR(AND(E741&lt;&gt;"",E741&lt;B741),AND(F741&lt;&gt;"",F741&lt;B741)),"Evento anterior à entrada",IF(AND(F741&lt;&gt;"",E741=""),"Conversa sem agendamento",IF(OR(E741&gt;TODAY(),F741&gt;TODAY()),"Verificar evento futuro","OK"))))))))))</f>
        <v/>
      </c>
    </row>
    <row r="742" spans="12:15">
      <c r="L742" s="5">
        <f>IF(OR(A742="",B742=""),"",B742-WEEKDAY(B742,2)+1)</f>
        <v/>
      </c>
      <c r="M742" s="5">
        <f>IF(L742="","",L742+6)</f>
        <v/>
      </c>
      <c r="N742" s="6">
        <f>IF(OR(A742="",B742=""),"",DATE(YEAR(B742),MONTH(B742),1))</f>
        <v/>
      </c>
      <c r="O742" s="7">
        <f>IF(COUNTA(A742:K742)=0,"",IF(OR(A742="",B742=""),"Preencher CPF e entrada",IF(COUNTIFS($A$12:$A$5011,A742,$B$12:$B$5011,B742)&gt;1,"CPF + dia duplicado",IF(OR(AND(G742&lt;&gt;"",G742&lt;&gt;0,G742&lt;&gt;1),AND(H742&lt;&gt;"",H742&lt;&gt;0,H742&lt;&gt;1)),"Flags devem ser 0 ou 1",IF(AND(H742=1,LEN(TRIM(I742))=0),"Preencher nome do indicante",IF(AND(H742&lt;&gt;1,I742&lt;&gt;""),"Nome sem indicação interna",IF(AND(G742=1,F742=""),"Fechamento sem conversa",IF(OR(AND(E742&lt;&gt;"",E742&lt;B742),AND(F742&lt;&gt;"",F742&lt;B742)),"Evento anterior à entrada",IF(AND(F742&lt;&gt;"",E742=""),"Conversa sem agendamento",IF(OR(E742&gt;TODAY(),F742&gt;TODAY()),"Verificar evento futuro","OK"))))))))))</f>
        <v/>
      </c>
    </row>
    <row r="743" spans="12:15">
      <c r="L743" s="5">
        <f>IF(OR(A743="",B743=""),"",B743-WEEKDAY(B743,2)+1)</f>
        <v/>
      </c>
      <c r="M743" s="5">
        <f>IF(L743="","",L743+6)</f>
        <v/>
      </c>
      <c r="N743" s="6">
        <f>IF(OR(A743="",B743=""),"",DATE(YEAR(B743),MONTH(B743),1))</f>
        <v/>
      </c>
      <c r="O743" s="7">
        <f>IF(COUNTA(A743:K743)=0,"",IF(OR(A743="",B743=""),"Preencher CPF e entrada",IF(COUNTIFS($A$12:$A$5011,A743,$B$12:$B$5011,B743)&gt;1,"CPF + dia duplicado",IF(OR(AND(G743&lt;&gt;"",G743&lt;&gt;0,G743&lt;&gt;1),AND(H743&lt;&gt;"",H743&lt;&gt;0,H743&lt;&gt;1)),"Flags devem ser 0 ou 1",IF(AND(H743=1,LEN(TRIM(I743))=0),"Preencher nome do indicante",IF(AND(H743&lt;&gt;1,I743&lt;&gt;""),"Nome sem indicação interna",IF(AND(G743=1,F743=""),"Fechamento sem conversa",IF(OR(AND(E743&lt;&gt;"",E743&lt;B743),AND(F743&lt;&gt;"",F743&lt;B743)),"Evento anterior à entrada",IF(AND(F743&lt;&gt;"",E743=""),"Conversa sem agendamento",IF(OR(E743&gt;TODAY(),F743&gt;TODAY()),"Verificar evento futuro","OK"))))))))))</f>
        <v/>
      </c>
    </row>
    <row r="744" spans="12:15">
      <c r="L744" s="5">
        <f>IF(OR(A744="",B744=""),"",B744-WEEKDAY(B744,2)+1)</f>
        <v/>
      </c>
      <c r="M744" s="5">
        <f>IF(L744="","",L744+6)</f>
        <v/>
      </c>
      <c r="N744" s="6">
        <f>IF(OR(A744="",B744=""),"",DATE(YEAR(B744),MONTH(B744),1))</f>
        <v/>
      </c>
      <c r="O744" s="7">
        <f>IF(COUNTA(A744:K744)=0,"",IF(OR(A744="",B744=""),"Preencher CPF e entrada",IF(COUNTIFS($A$12:$A$5011,A744,$B$12:$B$5011,B744)&gt;1,"CPF + dia duplicado",IF(OR(AND(G744&lt;&gt;"",G744&lt;&gt;0,G744&lt;&gt;1),AND(H744&lt;&gt;"",H744&lt;&gt;0,H744&lt;&gt;1)),"Flags devem ser 0 ou 1",IF(AND(H744=1,LEN(TRIM(I744))=0),"Preencher nome do indicante",IF(AND(H744&lt;&gt;1,I744&lt;&gt;""),"Nome sem indicação interna",IF(AND(G744=1,F744=""),"Fechamento sem conversa",IF(OR(AND(E744&lt;&gt;"",E744&lt;B744),AND(F744&lt;&gt;"",F744&lt;B744)),"Evento anterior à entrada",IF(AND(F744&lt;&gt;"",E744=""),"Conversa sem agendamento",IF(OR(E744&gt;TODAY(),F744&gt;TODAY()),"Verificar evento futuro","OK"))))))))))</f>
        <v/>
      </c>
    </row>
    <row r="745" spans="12:15">
      <c r="L745" s="5">
        <f>IF(OR(A745="",B745=""),"",B745-WEEKDAY(B745,2)+1)</f>
        <v/>
      </c>
      <c r="M745" s="5">
        <f>IF(L745="","",L745+6)</f>
        <v/>
      </c>
      <c r="N745" s="6">
        <f>IF(OR(A745="",B745=""),"",DATE(YEAR(B745),MONTH(B745),1))</f>
        <v/>
      </c>
      <c r="O745" s="7">
        <f>IF(COUNTA(A745:K745)=0,"",IF(OR(A745="",B745=""),"Preencher CPF e entrada",IF(COUNTIFS($A$12:$A$5011,A745,$B$12:$B$5011,B745)&gt;1,"CPF + dia duplicado",IF(OR(AND(G745&lt;&gt;"",G745&lt;&gt;0,G745&lt;&gt;1),AND(H745&lt;&gt;"",H745&lt;&gt;0,H745&lt;&gt;1)),"Flags devem ser 0 ou 1",IF(AND(H745=1,LEN(TRIM(I745))=0),"Preencher nome do indicante",IF(AND(H745&lt;&gt;1,I745&lt;&gt;""),"Nome sem indicação interna",IF(AND(G745=1,F745=""),"Fechamento sem conversa",IF(OR(AND(E745&lt;&gt;"",E745&lt;B745),AND(F745&lt;&gt;"",F745&lt;B745)),"Evento anterior à entrada",IF(AND(F745&lt;&gt;"",E745=""),"Conversa sem agendamento",IF(OR(E745&gt;TODAY(),F745&gt;TODAY()),"Verificar evento futuro","OK"))))))))))</f>
        <v/>
      </c>
    </row>
    <row r="746" spans="12:15">
      <c r="L746" s="5">
        <f>IF(OR(A746="",B746=""),"",B746-WEEKDAY(B746,2)+1)</f>
        <v/>
      </c>
      <c r="M746" s="5">
        <f>IF(L746="","",L746+6)</f>
        <v/>
      </c>
      <c r="N746" s="6">
        <f>IF(OR(A746="",B746=""),"",DATE(YEAR(B746),MONTH(B746),1))</f>
        <v/>
      </c>
      <c r="O746" s="7">
        <f>IF(COUNTA(A746:K746)=0,"",IF(OR(A746="",B746=""),"Preencher CPF e entrada",IF(COUNTIFS($A$12:$A$5011,A746,$B$12:$B$5011,B746)&gt;1,"CPF + dia duplicado",IF(OR(AND(G746&lt;&gt;"",G746&lt;&gt;0,G746&lt;&gt;1),AND(H746&lt;&gt;"",H746&lt;&gt;0,H746&lt;&gt;1)),"Flags devem ser 0 ou 1",IF(AND(H746=1,LEN(TRIM(I746))=0),"Preencher nome do indicante",IF(AND(H746&lt;&gt;1,I746&lt;&gt;""),"Nome sem indicação interna",IF(AND(G746=1,F746=""),"Fechamento sem conversa",IF(OR(AND(E746&lt;&gt;"",E746&lt;B746),AND(F746&lt;&gt;"",F746&lt;B746)),"Evento anterior à entrada",IF(AND(F746&lt;&gt;"",E746=""),"Conversa sem agendamento",IF(OR(E746&gt;TODAY(),F746&gt;TODAY()),"Verificar evento futuro","OK"))))))))))</f>
        <v/>
      </c>
    </row>
    <row r="747" spans="12:15">
      <c r="L747" s="5">
        <f>IF(OR(A747="",B747=""),"",B747-WEEKDAY(B747,2)+1)</f>
        <v/>
      </c>
      <c r="M747" s="5">
        <f>IF(L747="","",L747+6)</f>
        <v/>
      </c>
      <c r="N747" s="6">
        <f>IF(OR(A747="",B747=""),"",DATE(YEAR(B747),MONTH(B747),1))</f>
        <v/>
      </c>
      <c r="O747" s="7">
        <f>IF(COUNTA(A747:K747)=0,"",IF(OR(A747="",B747=""),"Preencher CPF e entrada",IF(COUNTIFS($A$12:$A$5011,A747,$B$12:$B$5011,B747)&gt;1,"CPF + dia duplicado",IF(OR(AND(G747&lt;&gt;"",G747&lt;&gt;0,G747&lt;&gt;1),AND(H747&lt;&gt;"",H747&lt;&gt;0,H747&lt;&gt;1)),"Flags devem ser 0 ou 1",IF(AND(H747=1,LEN(TRIM(I747))=0),"Preencher nome do indicante",IF(AND(H747&lt;&gt;1,I747&lt;&gt;""),"Nome sem indicação interna",IF(AND(G747=1,F747=""),"Fechamento sem conversa",IF(OR(AND(E747&lt;&gt;"",E747&lt;B747),AND(F747&lt;&gt;"",F747&lt;B747)),"Evento anterior à entrada",IF(AND(F747&lt;&gt;"",E747=""),"Conversa sem agendamento",IF(OR(E747&gt;TODAY(),F747&gt;TODAY()),"Verificar evento futuro","OK"))))))))))</f>
        <v/>
      </c>
    </row>
    <row r="748" spans="12:15">
      <c r="L748" s="5">
        <f>IF(OR(A748="",B748=""),"",B748-WEEKDAY(B748,2)+1)</f>
        <v/>
      </c>
      <c r="M748" s="5">
        <f>IF(L748="","",L748+6)</f>
        <v/>
      </c>
      <c r="N748" s="6">
        <f>IF(OR(A748="",B748=""),"",DATE(YEAR(B748),MONTH(B748),1))</f>
        <v/>
      </c>
      <c r="O748" s="7">
        <f>IF(COUNTA(A748:K748)=0,"",IF(OR(A748="",B748=""),"Preencher CPF e entrada",IF(COUNTIFS($A$12:$A$5011,A748,$B$12:$B$5011,B748)&gt;1,"CPF + dia duplicado",IF(OR(AND(G748&lt;&gt;"",G748&lt;&gt;0,G748&lt;&gt;1),AND(H748&lt;&gt;"",H748&lt;&gt;0,H748&lt;&gt;1)),"Flags devem ser 0 ou 1",IF(AND(H748=1,LEN(TRIM(I748))=0),"Preencher nome do indicante",IF(AND(H748&lt;&gt;1,I748&lt;&gt;""),"Nome sem indicação interna",IF(AND(G748=1,F748=""),"Fechamento sem conversa",IF(OR(AND(E748&lt;&gt;"",E748&lt;B748),AND(F748&lt;&gt;"",F748&lt;B748)),"Evento anterior à entrada",IF(AND(F748&lt;&gt;"",E748=""),"Conversa sem agendamento",IF(OR(E748&gt;TODAY(),F748&gt;TODAY()),"Verificar evento futuro","OK"))))))))))</f>
        <v/>
      </c>
    </row>
    <row r="749" spans="12:15">
      <c r="L749" s="5">
        <f>IF(OR(A749="",B749=""),"",B749-WEEKDAY(B749,2)+1)</f>
        <v/>
      </c>
      <c r="M749" s="5">
        <f>IF(L749="","",L749+6)</f>
        <v/>
      </c>
      <c r="N749" s="6">
        <f>IF(OR(A749="",B749=""),"",DATE(YEAR(B749),MONTH(B749),1))</f>
        <v/>
      </c>
      <c r="O749" s="7">
        <f>IF(COUNTA(A749:K749)=0,"",IF(OR(A749="",B749=""),"Preencher CPF e entrada",IF(COUNTIFS($A$12:$A$5011,A749,$B$12:$B$5011,B749)&gt;1,"CPF + dia duplicado",IF(OR(AND(G749&lt;&gt;"",G749&lt;&gt;0,G749&lt;&gt;1),AND(H749&lt;&gt;"",H749&lt;&gt;0,H749&lt;&gt;1)),"Flags devem ser 0 ou 1",IF(AND(H749=1,LEN(TRIM(I749))=0),"Preencher nome do indicante",IF(AND(H749&lt;&gt;1,I749&lt;&gt;""),"Nome sem indicação interna",IF(AND(G749=1,F749=""),"Fechamento sem conversa",IF(OR(AND(E749&lt;&gt;"",E749&lt;B749),AND(F749&lt;&gt;"",F749&lt;B749)),"Evento anterior à entrada",IF(AND(F749&lt;&gt;"",E749=""),"Conversa sem agendamento",IF(OR(E749&gt;TODAY(),F749&gt;TODAY()),"Verificar evento futuro","OK"))))))))))</f>
        <v/>
      </c>
    </row>
    <row r="750" spans="12:15">
      <c r="L750" s="5">
        <f>IF(OR(A750="",B750=""),"",B750-WEEKDAY(B750,2)+1)</f>
        <v/>
      </c>
      <c r="M750" s="5">
        <f>IF(L750="","",L750+6)</f>
        <v/>
      </c>
      <c r="N750" s="6">
        <f>IF(OR(A750="",B750=""),"",DATE(YEAR(B750),MONTH(B750),1))</f>
        <v/>
      </c>
      <c r="O750" s="7">
        <f>IF(COUNTA(A750:K750)=0,"",IF(OR(A750="",B750=""),"Preencher CPF e entrada",IF(COUNTIFS($A$12:$A$5011,A750,$B$12:$B$5011,B750)&gt;1,"CPF + dia duplicado",IF(OR(AND(G750&lt;&gt;"",G750&lt;&gt;0,G750&lt;&gt;1),AND(H750&lt;&gt;"",H750&lt;&gt;0,H750&lt;&gt;1)),"Flags devem ser 0 ou 1",IF(AND(H750=1,LEN(TRIM(I750))=0),"Preencher nome do indicante",IF(AND(H750&lt;&gt;1,I750&lt;&gt;""),"Nome sem indicação interna",IF(AND(G750=1,F750=""),"Fechamento sem conversa",IF(OR(AND(E750&lt;&gt;"",E750&lt;B750),AND(F750&lt;&gt;"",F750&lt;B750)),"Evento anterior à entrada",IF(AND(F750&lt;&gt;"",E750=""),"Conversa sem agendamento",IF(OR(E750&gt;TODAY(),F750&gt;TODAY()),"Verificar evento futuro","OK"))))))))))</f>
        <v/>
      </c>
    </row>
    <row r="751" spans="12:15">
      <c r="L751" s="5">
        <f>IF(OR(A751="",B751=""),"",B751-WEEKDAY(B751,2)+1)</f>
        <v/>
      </c>
      <c r="M751" s="5">
        <f>IF(L751="","",L751+6)</f>
        <v/>
      </c>
      <c r="N751" s="6">
        <f>IF(OR(A751="",B751=""),"",DATE(YEAR(B751),MONTH(B751),1))</f>
        <v/>
      </c>
      <c r="O751" s="7">
        <f>IF(COUNTA(A751:K751)=0,"",IF(OR(A751="",B751=""),"Preencher CPF e entrada",IF(COUNTIFS($A$12:$A$5011,A751,$B$12:$B$5011,B751)&gt;1,"CPF + dia duplicado",IF(OR(AND(G751&lt;&gt;"",G751&lt;&gt;0,G751&lt;&gt;1),AND(H751&lt;&gt;"",H751&lt;&gt;0,H751&lt;&gt;1)),"Flags devem ser 0 ou 1",IF(AND(H751=1,LEN(TRIM(I751))=0),"Preencher nome do indicante",IF(AND(H751&lt;&gt;1,I751&lt;&gt;""),"Nome sem indicação interna",IF(AND(G751=1,F751=""),"Fechamento sem conversa",IF(OR(AND(E751&lt;&gt;"",E751&lt;B751),AND(F751&lt;&gt;"",F751&lt;B751)),"Evento anterior à entrada",IF(AND(F751&lt;&gt;"",E751=""),"Conversa sem agendamento",IF(OR(E751&gt;TODAY(),F751&gt;TODAY()),"Verificar evento futuro","OK"))))))))))</f>
        <v/>
      </c>
    </row>
    <row r="752" spans="12:15">
      <c r="L752" s="5">
        <f>IF(OR(A752="",B752=""),"",B752-WEEKDAY(B752,2)+1)</f>
        <v/>
      </c>
      <c r="M752" s="5">
        <f>IF(L752="","",L752+6)</f>
        <v/>
      </c>
      <c r="N752" s="6">
        <f>IF(OR(A752="",B752=""),"",DATE(YEAR(B752),MONTH(B752),1))</f>
        <v/>
      </c>
      <c r="O752" s="7">
        <f>IF(COUNTA(A752:K752)=0,"",IF(OR(A752="",B752=""),"Preencher CPF e entrada",IF(COUNTIFS($A$12:$A$5011,A752,$B$12:$B$5011,B752)&gt;1,"CPF + dia duplicado",IF(OR(AND(G752&lt;&gt;"",G752&lt;&gt;0,G752&lt;&gt;1),AND(H752&lt;&gt;"",H752&lt;&gt;0,H752&lt;&gt;1)),"Flags devem ser 0 ou 1",IF(AND(H752=1,LEN(TRIM(I752))=0),"Preencher nome do indicante",IF(AND(H752&lt;&gt;1,I752&lt;&gt;""),"Nome sem indicação interna",IF(AND(G752=1,F752=""),"Fechamento sem conversa",IF(OR(AND(E752&lt;&gt;"",E752&lt;B752),AND(F752&lt;&gt;"",F752&lt;B752)),"Evento anterior à entrada",IF(AND(F752&lt;&gt;"",E752=""),"Conversa sem agendamento",IF(OR(E752&gt;TODAY(),F752&gt;TODAY()),"Verificar evento futuro","OK"))))))))))</f>
        <v/>
      </c>
    </row>
    <row r="753" spans="12:15">
      <c r="L753" s="5">
        <f>IF(OR(A753="",B753=""),"",B753-WEEKDAY(B753,2)+1)</f>
        <v/>
      </c>
      <c r="M753" s="5">
        <f>IF(L753="","",L753+6)</f>
        <v/>
      </c>
      <c r="N753" s="6">
        <f>IF(OR(A753="",B753=""),"",DATE(YEAR(B753),MONTH(B753),1))</f>
        <v/>
      </c>
      <c r="O753" s="7">
        <f>IF(COUNTA(A753:K753)=0,"",IF(OR(A753="",B753=""),"Preencher CPF e entrada",IF(COUNTIFS($A$12:$A$5011,A753,$B$12:$B$5011,B753)&gt;1,"CPF + dia duplicado",IF(OR(AND(G753&lt;&gt;"",G753&lt;&gt;0,G753&lt;&gt;1),AND(H753&lt;&gt;"",H753&lt;&gt;0,H753&lt;&gt;1)),"Flags devem ser 0 ou 1",IF(AND(H753=1,LEN(TRIM(I753))=0),"Preencher nome do indicante",IF(AND(H753&lt;&gt;1,I753&lt;&gt;""),"Nome sem indicação interna",IF(AND(G753=1,F753=""),"Fechamento sem conversa",IF(OR(AND(E753&lt;&gt;"",E753&lt;B753),AND(F753&lt;&gt;"",F753&lt;B753)),"Evento anterior à entrada",IF(AND(F753&lt;&gt;"",E753=""),"Conversa sem agendamento",IF(OR(E753&gt;TODAY(),F753&gt;TODAY()),"Verificar evento futuro","OK"))))))))))</f>
        <v/>
      </c>
    </row>
    <row r="754" spans="12:15">
      <c r="L754" s="5">
        <f>IF(OR(A754="",B754=""),"",B754-WEEKDAY(B754,2)+1)</f>
        <v/>
      </c>
      <c r="M754" s="5">
        <f>IF(L754="","",L754+6)</f>
        <v/>
      </c>
      <c r="N754" s="6">
        <f>IF(OR(A754="",B754=""),"",DATE(YEAR(B754),MONTH(B754),1))</f>
        <v/>
      </c>
      <c r="O754" s="7">
        <f>IF(COUNTA(A754:K754)=0,"",IF(OR(A754="",B754=""),"Preencher CPF e entrada",IF(COUNTIFS($A$12:$A$5011,A754,$B$12:$B$5011,B754)&gt;1,"CPF + dia duplicado",IF(OR(AND(G754&lt;&gt;"",G754&lt;&gt;0,G754&lt;&gt;1),AND(H754&lt;&gt;"",H754&lt;&gt;0,H754&lt;&gt;1)),"Flags devem ser 0 ou 1",IF(AND(H754=1,LEN(TRIM(I754))=0),"Preencher nome do indicante",IF(AND(H754&lt;&gt;1,I754&lt;&gt;""),"Nome sem indicação interna",IF(AND(G754=1,F754=""),"Fechamento sem conversa",IF(OR(AND(E754&lt;&gt;"",E754&lt;B754),AND(F754&lt;&gt;"",F754&lt;B754)),"Evento anterior à entrada",IF(AND(F754&lt;&gt;"",E754=""),"Conversa sem agendamento",IF(OR(E754&gt;TODAY(),F754&gt;TODAY()),"Verificar evento futuro","OK"))))))))))</f>
        <v/>
      </c>
    </row>
    <row r="755" spans="12:15">
      <c r="L755" s="5">
        <f>IF(OR(A755="",B755=""),"",B755-WEEKDAY(B755,2)+1)</f>
        <v/>
      </c>
      <c r="M755" s="5">
        <f>IF(L755="","",L755+6)</f>
        <v/>
      </c>
      <c r="N755" s="6">
        <f>IF(OR(A755="",B755=""),"",DATE(YEAR(B755),MONTH(B755),1))</f>
        <v/>
      </c>
      <c r="O755" s="7">
        <f>IF(COUNTA(A755:K755)=0,"",IF(OR(A755="",B755=""),"Preencher CPF e entrada",IF(COUNTIFS($A$12:$A$5011,A755,$B$12:$B$5011,B755)&gt;1,"CPF + dia duplicado",IF(OR(AND(G755&lt;&gt;"",G755&lt;&gt;0,G755&lt;&gt;1),AND(H755&lt;&gt;"",H755&lt;&gt;0,H755&lt;&gt;1)),"Flags devem ser 0 ou 1",IF(AND(H755=1,LEN(TRIM(I755))=0),"Preencher nome do indicante",IF(AND(H755&lt;&gt;1,I755&lt;&gt;""),"Nome sem indicação interna",IF(AND(G755=1,F755=""),"Fechamento sem conversa",IF(OR(AND(E755&lt;&gt;"",E755&lt;B755),AND(F755&lt;&gt;"",F755&lt;B755)),"Evento anterior à entrada",IF(AND(F755&lt;&gt;"",E755=""),"Conversa sem agendamento",IF(OR(E755&gt;TODAY(),F755&gt;TODAY()),"Verificar evento futuro","OK"))))))))))</f>
        <v/>
      </c>
    </row>
    <row r="756" spans="12:15">
      <c r="L756" s="5">
        <f>IF(OR(A756="",B756=""),"",B756-WEEKDAY(B756,2)+1)</f>
        <v/>
      </c>
      <c r="M756" s="5">
        <f>IF(L756="","",L756+6)</f>
        <v/>
      </c>
      <c r="N756" s="6">
        <f>IF(OR(A756="",B756=""),"",DATE(YEAR(B756),MONTH(B756),1))</f>
        <v/>
      </c>
      <c r="O756" s="7">
        <f>IF(COUNTA(A756:K756)=0,"",IF(OR(A756="",B756=""),"Preencher CPF e entrada",IF(COUNTIFS($A$12:$A$5011,A756,$B$12:$B$5011,B756)&gt;1,"CPF + dia duplicado",IF(OR(AND(G756&lt;&gt;"",G756&lt;&gt;0,G756&lt;&gt;1),AND(H756&lt;&gt;"",H756&lt;&gt;0,H756&lt;&gt;1)),"Flags devem ser 0 ou 1",IF(AND(H756=1,LEN(TRIM(I756))=0),"Preencher nome do indicante",IF(AND(H756&lt;&gt;1,I756&lt;&gt;""),"Nome sem indicação interna",IF(AND(G756=1,F756=""),"Fechamento sem conversa",IF(OR(AND(E756&lt;&gt;"",E756&lt;B756),AND(F756&lt;&gt;"",F756&lt;B756)),"Evento anterior à entrada",IF(AND(F756&lt;&gt;"",E756=""),"Conversa sem agendamento",IF(OR(E756&gt;TODAY(),F756&gt;TODAY()),"Verificar evento futuro","OK"))))))))))</f>
        <v/>
      </c>
    </row>
    <row r="757" spans="12:15">
      <c r="L757" s="5">
        <f>IF(OR(A757="",B757=""),"",B757-WEEKDAY(B757,2)+1)</f>
        <v/>
      </c>
      <c r="M757" s="5">
        <f>IF(L757="","",L757+6)</f>
        <v/>
      </c>
      <c r="N757" s="6">
        <f>IF(OR(A757="",B757=""),"",DATE(YEAR(B757),MONTH(B757),1))</f>
        <v/>
      </c>
      <c r="O757" s="7">
        <f>IF(COUNTA(A757:K757)=0,"",IF(OR(A757="",B757=""),"Preencher CPF e entrada",IF(COUNTIFS($A$12:$A$5011,A757,$B$12:$B$5011,B757)&gt;1,"CPF + dia duplicado",IF(OR(AND(G757&lt;&gt;"",G757&lt;&gt;0,G757&lt;&gt;1),AND(H757&lt;&gt;"",H757&lt;&gt;0,H757&lt;&gt;1)),"Flags devem ser 0 ou 1",IF(AND(H757=1,LEN(TRIM(I757))=0),"Preencher nome do indicante",IF(AND(H757&lt;&gt;1,I757&lt;&gt;""),"Nome sem indicação interna",IF(AND(G757=1,F757=""),"Fechamento sem conversa",IF(OR(AND(E757&lt;&gt;"",E757&lt;B757),AND(F757&lt;&gt;"",F757&lt;B757)),"Evento anterior à entrada",IF(AND(F757&lt;&gt;"",E757=""),"Conversa sem agendamento",IF(OR(E757&gt;TODAY(),F757&gt;TODAY()),"Verificar evento futuro","OK"))))))))))</f>
        <v/>
      </c>
    </row>
    <row r="758" spans="12:15">
      <c r="L758" s="5">
        <f>IF(OR(A758="",B758=""),"",B758-WEEKDAY(B758,2)+1)</f>
        <v/>
      </c>
      <c r="M758" s="5">
        <f>IF(L758="","",L758+6)</f>
        <v/>
      </c>
      <c r="N758" s="6">
        <f>IF(OR(A758="",B758=""),"",DATE(YEAR(B758),MONTH(B758),1))</f>
        <v/>
      </c>
      <c r="O758" s="7">
        <f>IF(COUNTA(A758:K758)=0,"",IF(OR(A758="",B758=""),"Preencher CPF e entrada",IF(COUNTIFS($A$12:$A$5011,A758,$B$12:$B$5011,B758)&gt;1,"CPF + dia duplicado",IF(OR(AND(G758&lt;&gt;"",G758&lt;&gt;0,G758&lt;&gt;1),AND(H758&lt;&gt;"",H758&lt;&gt;0,H758&lt;&gt;1)),"Flags devem ser 0 ou 1",IF(AND(H758=1,LEN(TRIM(I758))=0),"Preencher nome do indicante",IF(AND(H758&lt;&gt;1,I758&lt;&gt;""),"Nome sem indicação interna",IF(AND(G758=1,F758=""),"Fechamento sem conversa",IF(OR(AND(E758&lt;&gt;"",E758&lt;B758),AND(F758&lt;&gt;"",F758&lt;B758)),"Evento anterior à entrada",IF(AND(F758&lt;&gt;"",E758=""),"Conversa sem agendamento",IF(OR(E758&gt;TODAY(),F758&gt;TODAY()),"Verificar evento futuro","OK"))))))))))</f>
        <v/>
      </c>
    </row>
    <row r="759" spans="12:15">
      <c r="L759" s="5">
        <f>IF(OR(A759="",B759=""),"",B759-WEEKDAY(B759,2)+1)</f>
        <v/>
      </c>
      <c r="M759" s="5">
        <f>IF(L759="","",L759+6)</f>
        <v/>
      </c>
      <c r="N759" s="6">
        <f>IF(OR(A759="",B759=""),"",DATE(YEAR(B759),MONTH(B759),1))</f>
        <v/>
      </c>
      <c r="O759" s="7">
        <f>IF(COUNTA(A759:K759)=0,"",IF(OR(A759="",B759=""),"Preencher CPF e entrada",IF(COUNTIFS($A$12:$A$5011,A759,$B$12:$B$5011,B759)&gt;1,"CPF + dia duplicado",IF(OR(AND(G759&lt;&gt;"",G759&lt;&gt;0,G759&lt;&gt;1),AND(H759&lt;&gt;"",H759&lt;&gt;0,H759&lt;&gt;1)),"Flags devem ser 0 ou 1",IF(AND(H759=1,LEN(TRIM(I759))=0),"Preencher nome do indicante",IF(AND(H759&lt;&gt;1,I759&lt;&gt;""),"Nome sem indicação interna",IF(AND(G759=1,F759=""),"Fechamento sem conversa",IF(OR(AND(E759&lt;&gt;"",E759&lt;B759),AND(F759&lt;&gt;"",F759&lt;B759)),"Evento anterior à entrada",IF(AND(F759&lt;&gt;"",E759=""),"Conversa sem agendamento",IF(OR(E759&gt;TODAY(),F759&gt;TODAY()),"Verificar evento futuro","OK"))))))))))</f>
        <v/>
      </c>
    </row>
    <row r="760" spans="12:15">
      <c r="L760" s="5">
        <f>IF(OR(A760="",B760=""),"",B760-WEEKDAY(B760,2)+1)</f>
        <v/>
      </c>
      <c r="M760" s="5">
        <f>IF(L760="","",L760+6)</f>
        <v/>
      </c>
      <c r="N760" s="6">
        <f>IF(OR(A760="",B760=""),"",DATE(YEAR(B760),MONTH(B760),1))</f>
        <v/>
      </c>
      <c r="O760" s="7">
        <f>IF(COUNTA(A760:K760)=0,"",IF(OR(A760="",B760=""),"Preencher CPF e entrada",IF(COUNTIFS($A$12:$A$5011,A760,$B$12:$B$5011,B760)&gt;1,"CPF + dia duplicado",IF(OR(AND(G760&lt;&gt;"",G760&lt;&gt;0,G760&lt;&gt;1),AND(H760&lt;&gt;"",H760&lt;&gt;0,H760&lt;&gt;1)),"Flags devem ser 0 ou 1",IF(AND(H760=1,LEN(TRIM(I760))=0),"Preencher nome do indicante",IF(AND(H760&lt;&gt;1,I760&lt;&gt;""),"Nome sem indicação interna",IF(AND(G760=1,F760=""),"Fechamento sem conversa",IF(OR(AND(E760&lt;&gt;"",E760&lt;B760),AND(F760&lt;&gt;"",F760&lt;B760)),"Evento anterior à entrada",IF(AND(F760&lt;&gt;"",E760=""),"Conversa sem agendamento",IF(OR(E760&gt;TODAY(),F760&gt;TODAY()),"Verificar evento futuro","OK"))))))))))</f>
        <v/>
      </c>
    </row>
    <row r="761" spans="12:15">
      <c r="L761" s="5">
        <f>IF(OR(A761="",B761=""),"",B761-WEEKDAY(B761,2)+1)</f>
        <v/>
      </c>
      <c r="M761" s="5">
        <f>IF(L761="","",L761+6)</f>
        <v/>
      </c>
      <c r="N761" s="6">
        <f>IF(OR(A761="",B761=""),"",DATE(YEAR(B761),MONTH(B761),1))</f>
        <v/>
      </c>
      <c r="O761" s="7">
        <f>IF(COUNTA(A761:K761)=0,"",IF(OR(A761="",B761=""),"Preencher CPF e entrada",IF(COUNTIFS($A$12:$A$5011,A761,$B$12:$B$5011,B761)&gt;1,"CPF + dia duplicado",IF(OR(AND(G761&lt;&gt;"",G761&lt;&gt;0,G761&lt;&gt;1),AND(H761&lt;&gt;"",H761&lt;&gt;0,H761&lt;&gt;1)),"Flags devem ser 0 ou 1",IF(AND(H761=1,LEN(TRIM(I761))=0),"Preencher nome do indicante",IF(AND(H761&lt;&gt;1,I761&lt;&gt;""),"Nome sem indicação interna",IF(AND(G761=1,F761=""),"Fechamento sem conversa",IF(OR(AND(E761&lt;&gt;"",E761&lt;B761),AND(F761&lt;&gt;"",F761&lt;B761)),"Evento anterior à entrada",IF(AND(F761&lt;&gt;"",E761=""),"Conversa sem agendamento",IF(OR(E761&gt;TODAY(),F761&gt;TODAY()),"Verificar evento futuro","OK"))))))))))</f>
        <v/>
      </c>
    </row>
    <row r="762" spans="12:15">
      <c r="L762" s="5">
        <f>IF(OR(A762="",B762=""),"",B762-WEEKDAY(B762,2)+1)</f>
        <v/>
      </c>
      <c r="M762" s="5">
        <f>IF(L762="","",L762+6)</f>
        <v/>
      </c>
      <c r="N762" s="6">
        <f>IF(OR(A762="",B762=""),"",DATE(YEAR(B762),MONTH(B762),1))</f>
        <v/>
      </c>
      <c r="O762" s="7">
        <f>IF(COUNTA(A762:K762)=0,"",IF(OR(A762="",B762=""),"Preencher CPF e entrada",IF(COUNTIFS($A$12:$A$5011,A762,$B$12:$B$5011,B762)&gt;1,"CPF + dia duplicado",IF(OR(AND(G762&lt;&gt;"",G762&lt;&gt;0,G762&lt;&gt;1),AND(H762&lt;&gt;"",H762&lt;&gt;0,H762&lt;&gt;1)),"Flags devem ser 0 ou 1",IF(AND(H762=1,LEN(TRIM(I762))=0),"Preencher nome do indicante",IF(AND(H762&lt;&gt;1,I762&lt;&gt;""),"Nome sem indicação interna",IF(AND(G762=1,F762=""),"Fechamento sem conversa",IF(OR(AND(E762&lt;&gt;"",E762&lt;B762),AND(F762&lt;&gt;"",F762&lt;B762)),"Evento anterior à entrada",IF(AND(F762&lt;&gt;"",E762=""),"Conversa sem agendamento",IF(OR(E762&gt;TODAY(),F762&gt;TODAY()),"Verificar evento futuro","OK"))))))))))</f>
        <v/>
      </c>
    </row>
    <row r="763" spans="12:15">
      <c r="L763" s="5">
        <f>IF(OR(A763="",B763=""),"",B763-WEEKDAY(B763,2)+1)</f>
        <v/>
      </c>
      <c r="M763" s="5">
        <f>IF(L763="","",L763+6)</f>
        <v/>
      </c>
      <c r="N763" s="6">
        <f>IF(OR(A763="",B763=""),"",DATE(YEAR(B763),MONTH(B763),1))</f>
        <v/>
      </c>
      <c r="O763" s="7">
        <f>IF(COUNTA(A763:K763)=0,"",IF(OR(A763="",B763=""),"Preencher CPF e entrada",IF(COUNTIFS($A$12:$A$5011,A763,$B$12:$B$5011,B763)&gt;1,"CPF + dia duplicado",IF(OR(AND(G763&lt;&gt;"",G763&lt;&gt;0,G763&lt;&gt;1),AND(H763&lt;&gt;"",H763&lt;&gt;0,H763&lt;&gt;1)),"Flags devem ser 0 ou 1",IF(AND(H763=1,LEN(TRIM(I763))=0),"Preencher nome do indicante",IF(AND(H763&lt;&gt;1,I763&lt;&gt;""),"Nome sem indicação interna",IF(AND(G763=1,F763=""),"Fechamento sem conversa",IF(OR(AND(E763&lt;&gt;"",E763&lt;B763),AND(F763&lt;&gt;"",F763&lt;B763)),"Evento anterior à entrada",IF(AND(F763&lt;&gt;"",E763=""),"Conversa sem agendamento",IF(OR(E763&gt;TODAY(),F763&gt;TODAY()),"Verificar evento futuro","OK"))))))))))</f>
        <v/>
      </c>
    </row>
    <row r="764" spans="12:15">
      <c r="L764" s="5">
        <f>IF(OR(A764="",B764=""),"",B764-WEEKDAY(B764,2)+1)</f>
        <v/>
      </c>
      <c r="M764" s="5">
        <f>IF(L764="","",L764+6)</f>
        <v/>
      </c>
      <c r="N764" s="6">
        <f>IF(OR(A764="",B764=""),"",DATE(YEAR(B764),MONTH(B764),1))</f>
        <v/>
      </c>
      <c r="O764" s="7">
        <f>IF(COUNTA(A764:K764)=0,"",IF(OR(A764="",B764=""),"Preencher CPF e entrada",IF(COUNTIFS($A$12:$A$5011,A764,$B$12:$B$5011,B764)&gt;1,"CPF + dia duplicado",IF(OR(AND(G764&lt;&gt;"",G764&lt;&gt;0,G764&lt;&gt;1),AND(H764&lt;&gt;"",H764&lt;&gt;0,H764&lt;&gt;1)),"Flags devem ser 0 ou 1",IF(AND(H764=1,LEN(TRIM(I764))=0),"Preencher nome do indicante",IF(AND(H764&lt;&gt;1,I764&lt;&gt;""),"Nome sem indicação interna",IF(AND(G764=1,F764=""),"Fechamento sem conversa",IF(OR(AND(E764&lt;&gt;"",E764&lt;B764),AND(F764&lt;&gt;"",F764&lt;B764)),"Evento anterior à entrada",IF(AND(F764&lt;&gt;"",E764=""),"Conversa sem agendamento",IF(OR(E764&gt;TODAY(),F764&gt;TODAY()),"Verificar evento futuro","OK"))))))))))</f>
        <v/>
      </c>
    </row>
    <row r="765" spans="12:15">
      <c r="L765" s="5">
        <f>IF(OR(A765="",B765=""),"",B765-WEEKDAY(B765,2)+1)</f>
        <v/>
      </c>
      <c r="M765" s="5">
        <f>IF(L765="","",L765+6)</f>
        <v/>
      </c>
      <c r="N765" s="6">
        <f>IF(OR(A765="",B765=""),"",DATE(YEAR(B765),MONTH(B765),1))</f>
        <v/>
      </c>
      <c r="O765" s="7">
        <f>IF(COUNTA(A765:K765)=0,"",IF(OR(A765="",B765=""),"Preencher CPF e entrada",IF(COUNTIFS($A$12:$A$5011,A765,$B$12:$B$5011,B765)&gt;1,"CPF + dia duplicado",IF(OR(AND(G765&lt;&gt;"",G765&lt;&gt;0,G765&lt;&gt;1),AND(H765&lt;&gt;"",H765&lt;&gt;0,H765&lt;&gt;1)),"Flags devem ser 0 ou 1",IF(AND(H765=1,LEN(TRIM(I765))=0),"Preencher nome do indicante",IF(AND(H765&lt;&gt;1,I765&lt;&gt;""),"Nome sem indicação interna",IF(AND(G765=1,F765=""),"Fechamento sem conversa",IF(OR(AND(E765&lt;&gt;"",E765&lt;B765),AND(F765&lt;&gt;"",F765&lt;B765)),"Evento anterior à entrada",IF(AND(F765&lt;&gt;"",E765=""),"Conversa sem agendamento",IF(OR(E765&gt;TODAY(),F765&gt;TODAY()),"Verificar evento futuro","OK"))))))))))</f>
        <v/>
      </c>
    </row>
    <row r="766" spans="12:15">
      <c r="L766" s="5">
        <f>IF(OR(A766="",B766=""),"",B766-WEEKDAY(B766,2)+1)</f>
        <v/>
      </c>
      <c r="M766" s="5">
        <f>IF(L766="","",L766+6)</f>
        <v/>
      </c>
      <c r="N766" s="6">
        <f>IF(OR(A766="",B766=""),"",DATE(YEAR(B766),MONTH(B766),1))</f>
        <v/>
      </c>
      <c r="O766" s="7">
        <f>IF(COUNTA(A766:K766)=0,"",IF(OR(A766="",B766=""),"Preencher CPF e entrada",IF(COUNTIFS($A$12:$A$5011,A766,$B$12:$B$5011,B766)&gt;1,"CPF + dia duplicado",IF(OR(AND(G766&lt;&gt;"",G766&lt;&gt;0,G766&lt;&gt;1),AND(H766&lt;&gt;"",H766&lt;&gt;0,H766&lt;&gt;1)),"Flags devem ser 0 ou 1",IF(AND(H766=1,LEN(TRIM(I766))=0),"Preencher nome do indicante",IF(AND(H766&lt;&gt;1,I766&lt;&gt;""),"Nome sem indicação interna",IF(AND(G766=1,F766=""),"Fechamento sem conversa",IF(OR(AND(E766&lt;&gt;"",E766&lt;B766),AND(F766&lt;&gt;"",F766&lt;B766)),"Evento anterior à entrada",IF(AND(F766&lt;&gt;"",E766=""),"Conversa sem agendamento",IF(OR(E766&gt;TODAY(),F766&gt;TODAY()),"Verificar evento futuro","OK"))))))))))</f>
        <v/>
      </c>
    </row>
    <row r="767" spans="12:15">
      <c r="L767" s="5">
        <f>IF(OR(A767="",B767=""),"",B767-WEEKDAY(B767,2)+1)</f>
        <v/>
      </c>
      <c r="M767" s="5">
        <f>IF(L767="","",L767+6)</f>
        <v/>
      </c>
      <c r="N767" s="6">
        <f>IF(OR(A767="",B767=""),"",DATE(YEAR(B767),MONTH(B767),1))</f>
        <v/>
      </c>
      <c r="O767" s="7">
        <f>IF(COUNTA(A767:K767)=0,"",IF(OR(A767="",B767=""),"Preencher CPF e entrada",IF(COUNTIFS($A$12:$A$5011,A767,$B$12:$B$5011,B767)&gt;1,"CPF + dia duplicado",IF(OR(AND(G767&lt;&gt;"",G767&lt;&gt;0,G767&lt;&gt;1),AND(H767&lt;&gt;"",H767&lt;&gt;0,H767&lt;&gt;1)),"Flags devem ser 0 ou 1",IF(AND(H767=1,LEN(TRIM(I767))=0),"Preencher nome do indicante",IF(AND(H767&lt;&gt;1,I767&lt;&gt;""),"Nome sem indicação interna",IF(AND(G767=1,F767=""),"Fechamento sem conversa",IF(OR(AND(E767&lt;&gt;"",E767&lt;B767),AND(F767&lt;&gt;"",F767&lt;B767)),"Evento anterior à entrada",IF(AND(F767&lt;&gt;"",E767=""),"Conversa sem agendamento",IF(OR(E767&gt;TODAY(),F767&gt;TODAY()),"Verificar evento futuro","OK"))))))))))</f>
        <v/>
      </c>
    </row>
    <row r="768" spans="12:15">
      <c r="L768" s="5">
        <f>IF(OR(A768="",B768=""),"",B768-WEEKDAY(B768,2)+1)</f>
        <v/>
      </c>
      <c r="M768" s="5">
        <f>IF(L768="","",L768+6)</f>
        <v/>
      </c>
      <c r="N768" s="6">
        <f>IF(OR(A768="",B768=""),"",DATE(YEAR(B768),MONTH(B768),1))</f>
        <v/>
      </c>
      <c r="O768" s="7">
        <f>IF(COUNTA(A768:K768)=0,"",IF(OR(A768="",B768=""),"Preencher CPF e entrada",IF(COUNTIFS($A$12:$A$5011,A768,$B$12:$B$5011,B768)&gt;1,"CPF + dia duplicado",IF(OR(AND(G768&lt;&gt;"",G768&lt;&gt;0,G768&lt;&gt;1),AND(H768&lt;&gt;"",H768&lt;&gt;0,H768&lt;&gt;1)),"Flags devem ser 0 ou 1",IF(AND(H768=1,LEN(TRIM(I768))=0),"Preencher nome do indicante",IF(AND(H768&lt;&gt;1,I768&lt;&gt;""),"Nome sem indicação interna",IF(AND(G768=1,F768=""),"Fechamento sem conversa",IF(OR(AND(E768&lt;&gt;"",E768&lt;B768),AND(F768&lt;&gt;"",F768&lt;B768)),"Evento anterior à entrada",IF(AND(F768&lt;&gt;"",E768=""),"Conversa sem agendamento",IF(OR(E768&gt;TODAY(),F768&gt;TODAY()),"Verificar evento futuro","OK"))))))))))</f>
        <v/>
      </c>
    </row>
    <row r="769" spans="12:15">
      <c r="L769" s="5">
        <f>IF(OR(A769="",B769=""),"",B769-WEEKDAY(B769,2)+1)</f>
        <v/>
      </c>
      <c r="M769" s="5">
        <f>IF(L769="","",L769+6)</f>
        <v/>
      </c>
      <c r="N769" s="6">
        <f>IF(OR(A769="",B769=""),"",DATE(YEAR(B769),MONTH(B769),1))</f>
        <v/>
      </c>
      <c r="O769" s="7">
        <f>IF(COUNTA(A769:K769)=0,"",IF(OR(A769="",B769=""),"Preencher CPF e entrada",IF(COUNTIFS($A$12:$A$5011,A769,$B$12:$B$5011,B769)&gt;1,"CPF + dia duplicado",IF(OR(AND(G769&lt;&gt;"",G769&lt;&gt;0,G769&lt;&gt;1),AND(H769&lt;&gt;"",H769&lt;&gt;0,H769&lt;&gt;1)),"Flags devem ser 0 ou 1",IF(AND(H769=1,LEN(TRIM(I769))=0),"Preencher nome do indicante",IF(AND(H769&lt;&gt;1,I769&lt;&gt;""),"Nome sem indicação interna",IF(AND(G769=1,F769=""),"Fechamento sem conversa",IF(OR(AND(E769&lt;&gt;"",E769&lt;B769),AND(F769&lt;&gt;"",F769&lt;B769)),"Evento anterior à entrada",IF(AND(F769&lt;&gt;"",E769=""),"Conversa sem agendamento",IF(OR(E769&gt;TODAY(),F769&gt;TODAY()),"Verificar evento futuro","OK"))))))))))</f>
        <v/>
      </c>
    </row>
    <row r="770" spans="12:15">
      <c r="L770" s="5">
        <f>IF(OR(A770="",B770=""),"",B770-WEEKDAY(B770,2)+1)</f>
        <v/>
      </c>
      <c r="M770" s="5">
        <f>IF(L770="","",L770+6)</f>
        <v/>
      </c>
      <c r="N770" s="6">
        <f>IF(OR(A770="",B770=""),"",DATE(YEAR(B770),MONTH(B770),1))</f>
        <v/>
      </c>
      <c r="O770" s="7">
        <f>IF(COUNTA(A770:K770)=0,"",IF(OR(A770="",B770=""),"Preencher CPF e entrada",IF(COUNTIFS($A$12:$A$5011,A770,$B$12:$B$5011,B770)&gt;1,"CPF + dia duplicado",IF(OR(AND(G770&lt;&gt;"",G770&lt;&gt;0,G770&lt;&gt;1),AND(H770&lt;&gt;"",H770&lt;&gt;0,H770&lt;&gt;1)),"Flags devem ser 0 ou 1",IF(AND(H770=1,LEN(TRIM(I770))=0),"Preencher nome do indicante",IF(AND(H770&lt;&gt;1,I770&lt;&gt;""),"Nome sem indicação interna",IF(AND(G770=1,F770=""),"Fechamento sem conversa",IF(OR(AND(E770&lt;&gt;"",E770&lt;B770),AND(F770&lt;&gt;"",F770&lt;B770)),"Evento anterior à entrada",IF(AND(F770&lt;&gt;"",E770=""),"Conversa sem agendamento",IF(OR(E770&gt;TODAY(),F770&gt;TODAY()),"Verificar evento futuro","OK"))))))))))</f>
        <v/>
      </c>
    </row>
    <row r="771" spans="12:15">
      <c r="L771" s="5">
        <f>IF(OR(A771="",B771=""),"",B771-WEEKDAY(B771,2)+1)</f>
        <v/>
      </c>
      <c r="M771" s="5">
        <f>IF(L771="","",L771+6)</f>
        <v/>
      </c>
      <c r="N771" s="6">
        <f>IF(OR(A771="",B771=""),"",DATE(YEAR(B771),MONTH(B771),1))</f>
        <v/>
      </c>
      <c r="O771" s="7">
        <f>IF(COUNTA(A771:K771)=0,"",IF(OR(A771="",B771=""),"Preencher CPF e entrada",IF(COUNTIFS($A$12:$A$5011,A771,$B$12:$B$5011,B771)&gt;1,"CPF + dia duplicado",IF(OR(AND(G771&lt;&gt;"",G771&lt;&gt;0,G771&lt;&gt;1),AND(H771&lt;&gt;"",H771&lt;&gt;0,H771&lt;&gt;1)),"Flags devem ser 0 ou 1",IF(AND(H771=1,LEN(TRIM(I771))=0),"Preencher nome do indicante",IF(AND(H771&lt;&gt;1,I771&lt;&gt;""),"Nome sem indicação interna",IF(AND(G771=1,F771=""),"Fechamento sem conversa",IF(OR(AND(E771&lt;&gt;"",E771&lt;B771),AND(F771&lt;&gt;"",F771&lt;B771)),"Evento anterior à entrada",IF(AND(F771&lt;&gt;"",E771=""),"Conversa sem agendamento",IF(OR(E771&gt;TODAY(),F771&gt;TODAY()),"Verificar evento futuro","OK"))))))))))</f>
        <v/>
      </c>
    </row>
    <row r="772" spans="12:15">
      <c r="L772" s="5">
        <f>IF(OR(A772="",B772=""),"",B772-WEEKDAY(B772,2)+1)</f>
        <v/>
      </c>
      <c r="M772" s="5">
        <f>IF(L772="","",L772+6)</f>
        <v/>
      </c>
      <c r="N772" s="6">
        <f>IF(OR(A772="",B772=""),"",DATE(YEAR(B772),MONTH(B772),1))</f>
        <v/>
      </c>
      <c r="O772" s="7">
        <f>IF(COUNTA(A772:K772)=0,"",IF(OR(A772="",B772=""),"Preencher CPF e entrada",IF(COUNTIFS($A$12:$A$5011,A772,$B$12:$B$5011,B772)&gt;1,"CPF + dia duplicado",IF(OR(AND(G772&lt;&gt;"",G772&lt;&gt;0,G772&lt;&gt;1),AND(H772&lt;&gt;"",H772&lt;&gt;0,H772&lt;&gt;1)),"Flags devem ser 0 ou 1",IF(AND(H772=1,LEN(TRIM(I772))=0),"Preencher nome do indicante",IF(AND(H772&lt;&gt;1,I772&lt;&gt;""),"Nome sem indicação interna",IF(AND(G772=1,F772=""),"Fechamento sem conversa",IF(OR(AND(E772&lt;&gt;"",E772&lt;B772),AND(F772&lt;&gt;"",F772&lt;B772)),"Evento anterior à entrada",IF(AND(F772&lt;&gt;"",E772=""),"Conversa sem agendamento",IF(OR(E772&gt;TODAY(),F772&gt;TODAY()),"Verificar evento futuro","OK"))))))))))</f>
        <v/>
      </c>
    </row>
    <row r="773" spans="12:15">
      <c r="L773" s="5">
        <f>IF(OR(A773="",B773=""),"",B773-WEEKDAY(B773,2)+1)</f>
        <v/>
      </c>
      <c r="M773" s="5">
        <f>IF(L773="","",L773+6)</f>
        <v/>
      </c>
      <c r="N773" s="6">
        <f>IF(OR(A773="",B773=""),"",DATE(YEAR(B773),MONTH(B773),1))</f>
        <v/>
      </c>
      <c r="O773" s="7">
        <f>IF(COUNTA(A773:K773)=0,"",IF(OR(A773="",B773=""),"Preencher CPF e entrada",IF(COUNTIFS($A$12:$A$5011,A773,$B$12:$B$5011,B773)&gt;1,"CPF + dia duplicado",IF(OR(AND(G773&lt;&gt;"",G773&lt;&gt;0,G773&lt;&gt;1),AND(H773&lt;&gt;"",H773&lt;&gt;0,H773&lt;&gt;1)),"Flags devem ser 0 ou 1",IF(AND(H773=1,LEN(TRIM(I773))=0),"Preencher nome do indicante",IF(AND(H773&lt;&gt;1,I773&lt;&gt;""),"Nome sem indicação interna",IF(AND(G773=1,F773=""),"Fechamento sem conversa",IF(OR(AND(E773&lt;&gt;"",E773&lt;B773),AND(F773&lt;&gt;"",F773&lt;B773)),"Evento anterior à entrada",IF(AND(F773&lt;&gt;"",E773=""),"Conversa sem agendamento",IF(OR(E773&gt;TODAY(),F773&gt;TODAY()),"Verificar evento futuro","OK"))))))))))</f>
        <v/>
      </c>
    </row>
    <row r="774" spans="12:15">
      <c r="L774" s="5">
        <f>IF(OR(A774="",B774=""),"",B774-WEEKDAY(B774,2)+1)</f>
        <v/>
      </c>
      <c r="M774" s="5">
        <f>IF(L774="","",L774+6)</f>
        <v/>
      </c>
      <c r="N774" s="6">
        <f>IF(OR(A774="",B774=""),"",DATE(YEAR(B774),MONTH(B774),1))</f>
        <v/>
      </c>
      <c r="O774" s="7">
        <f>IF(COUNTA(A774:K774)=0,"",IF(OR(A774="",B774=""),"Preencher CPF e entrada",IF(COUNTIFS($A$12:$A$5011,A774,$B$12:$B$5011,B774)&gt;1,"CPF + dia duplicado",IF(OR(AND(G774&lt;&gt;"",G774&lt;&gt;0,G774&lt;&gt;1),AND(H774&lt;&gt;"",H774&lt;&gt;0,H774&lt;&gt;1)),"Flags devem ser 0 ou 1",IF(AND(H774=1,LEN(TRIM(I774))=0),"Preencher nome do indicante",IF(AND(H774&lt;&gt;1,I774&lt;&gt;""),"Nome sem indicação interna",IF(AND(G774=1,F774=""),"Fechamento sem conversa",IF(OR(AND(E774&lt;&gt;"",E774&lt;B774),AND(F774&lt;&gt;"",F774&lt;B774)),"Evento anterior à entrada",IF(AND(F774&lt;&gt;"",E774=""),"Conversa sem agendamento",IF(OR(E774&gt;TODAY(),F774&gt;TODAY()),"Verificar evento futuro","OK"))))))))))</f>
        <v/>
      </c>
    </row>
    <row r="775" spans="12:15">
      <c r="L775" s="5">
        <f>IF(OR(A775="",B775=""),"",B775-WEEKDAY(B775,2)+1)</f>
        <v/>
      </c>
      <c r="M775" s="5">
        <f>IF(L775="","",L775+6)</f>
        <v/>
      </c>
      <c r="N775" s="6">
        <f>IF(OR(A775="",B775=""),"",DATE(YEAR(B775),MONTH(B775),1))</f>
        <v/>
      </c>
      <c r="O775" s="7">
        <f>IF(COUNTA(A775:K775)=0,"",IF(OR(A775="",B775=""),"Preencher CPF e entrada",IF(COUNTIFS($A$12:$A$5011,A775,$B$12:$B$5011,B775)&gt;1,"CPF + dia duplicado",IF(OR(AND(G775&lt;&gt;"",G775&lt;&gt;0,G775&lt;&gt;1),AND(H775&lt;&gt;"",H775&lt;&gt;0,H775&lt;&gt;1)),"Flags devem ser 0 ou 1",IF(AND(H775=1,LEN(TRIM(I775))=0),"Preencher nome do indicante",IF(AND(H775&lt;&gt;1,I775&lt;&gt;""),"Nome sem indicação interna",IF(AND(G775=1,F775=""),"Fechamento sem conversa",IF(OR(AND(E775&lt;&gt;"",E775&lt;B775),AND(F775&lt;&gt;"",F775&lt;B775)),"Evento anterior à entrada",IF(AND(F775&lt;&gt;"",E775=""),"Conversa sem agendamento",IF(OR(E775&gt;TODAY(),F775&gt;TODAY()),"Verificar evento futuro","OK"))))))))))</f>
        <v/>
      </c>
    </row>
    <row r="776" spans="12:15">
      <c r="L776" s="5">
        <f>IF(OR(A776="",B776=""),"",B776-WEEKDAY(B776,2)+1)</f>
        <v/>
      </c>
      <c r="M776" s="5">
        <f>IF(L776="","",L776+6)</f>
        <v/>
      </c>
      <c r="N776" s="6">
        <f>IF(OR(A776="",B776=""),"",DATE(YEAR(B776),MONTH(B776),1))</f>
        <v/>
      </c>
      <c r="O776" s="7">
        <f>IF(COUNTA(A776:K776)=0,"",IF(OR(A776="",B776=""),"Preencher CPF e entrada",IF(COUNTIFS($A$12:$A$5011,A776,$B$12:$B$5011,B776)&gt;1,"CPF + dia duplicado",IF(OR(AND(G776&lt;&gt;"",G776&lt;&gt;0,G776&lt;&gt;1),AND(H776&lt;&gt;"",H776&lt;&gt;0,H776&lt;&gt;1)),"Flags devem ser 0 ou 1",IF(AND(H776=1,LEN(TRIM(I776))=0),"Preencher nome do indicante",IF(AND(H776&lt;&gt;1,I776&lt;&gt;""),"Nome sem indicação interna",IF(AND(G776=1,F776=""),"Fechamento sem conversa",IF(OR(AND(E776&lt;&gt;"",E776&lt;B776),AND(F776&lt;&gt;"",F776&lt;B776)),"Evento anterior à entrada",IF(AND(F776&lt;&gt;"",E776=""),"Conversa sem agendamento",IF(OR(E776&gt;TODAY(),F776&gt;TODAY()),"Verificar evento futuro","OK"))))))))))</f>
        <v/>
      </c>
    </row>
    <row r="777" spans="12:15">
      <c r="L777" s="5">
        <f>IF(OR(A777="",B777=""),"",B777-WEEKDAY(B777,2)+1)</f>
        <v/>
      </c>
      <c r="M777" s="5">
        <f>IF(L777="","",L777+6)</f>
        <v/>
      </c>
      <c r="N777" s="6">
        <f>IF(OR(A777="",B777=""),"",DATE(YEAR(B777),MONTH(B777),1))</f>
        <v/>
      </c>
      <c r="O777" s="7">
        <f>IF(COUNTA(A777:K777)=0,"",IF(OR(A777="",B777=""),"Preencher CPF e entrada",IF(COUNTIFS($A$12:$A$5011,A777,$B$12:$B$5011,B777)&gt;1,"CPF + dia duplicado",IF(OR(AND(G777&lt;&gt;"",G777&lt;&gt;0,G777&lt;&gt;1),AND(H777&lt;&gt;"",H777&lt;&gt;0,H777&lt;&gt;1)),"Flags devem ser 0 ou 1",IF(AND(H777=1,LEN(TRIM(I777))=0),"Preencher nome do indicante",IF(AND(H777&lt;&gt;1,I777&lt;&gt;""),"Nome sem indicação interna",IF(AND(G777=1,F777=""),"Fechamento sem conversa",IF(OR(AND(E777&lt;&gt;"",E777&lt;B777),AND(F777&lt;&gt;"",F777&lt;B777)),"Evento anterior à entrada",IF(AND(F777&lt;&gt;"",E777=""),"Conversa sem agendamento",IF(OR(E777&gt;TODAY(),F777&gt;TODAY()),"Verificar evento futuro","OK"))))))))))</f>
        <v/>
      </c>
    </row>
    <row r="778" spans="12:15">
      <c r="L778" s="5">
        <f>IF(OR(A778="",B778=""),"",B778-WEEKDAY(B778,2)+1)</f>
        <v/>
      </c>
      <c r="M778" s="5">
        <f>IF(L778="","",L778+6)</f>
        <v/>
      </c>
      <c r="N778" s="6">
        <f>IF(OR(A778="",B778=""),"",DATE(YEAR(B778),MONTH(B778),1))</f>
        <v/>
      </c>
      <c r="O778" s="7">
        <f>IF(COUNTA(A778:K778)=0,"",IF(OR(A778="",B778=""),"Preencher CPF e entrada",IF(COUNTIFS($A$12:$A$5011,A778,$B$12:$B$5011,B778)&gt;1,"CPF + dia duplicado",IF(OR(AND(G778&lt;&gt;"",G778&lt;&gt;0,G778&lt;&gt;1),AND(H778&lt;&gt;"",H778&lt;&gt;0,H778&lt;&gt;1)),"Flags devem ser 0 ou 1",IF(AND(H778=1,LEN(TRIM(I778))=0),"Preencher nome do indicante",IF(AND(H778&lt;&gt;1,I778&lt;&gt;""),"Nome sem indicação interna",IF(AND(G778=1,F778=""),"Fechamento sem conversa",IF(OR(AND(E778&lt;&gt;"",E778&lt;B778),AND(F778&lt;&gt;"",F778&lt;B778)),"Evento anterior à entrada",IF(AND(F778&lt;&gt;"",E778=""),"Conversa sem agendamento",IF(OR(E778&gt;TODAY(),F778&gt;TODAY()),"Verificar evento futuro","OK"))))))))))</f>
        <v/>
      </c>
    </row>
    <row r="779" spans="12:15">
      <c r="L779" s="5">
        <f>IF(OR(A779="",B779=""),"",B779-WEEKDAY(B779,2)+1)</f>
        <v/>
      </c>
      <c r="M779" s="5">
        <f>IF(L779="","",L779+6)</f>
        <v/>
      </c>
      <c r="N779" s="6">
        <f>IF(OR(A779="",B779=""),"",DATE(YEAR(B779),MONTH(B779),1))</f>
        <v/>
      </c>
      <c r="O779" s="7">
        <f>IF(COUNTA(A779:K779)=0,"",IF(OR(A779="",B779=""),"Preencher CPF e entrada",IF(COUNTIFS($A$12:$A$5011,A779,$B$12:$B$5011,B779)&gt;1,"CPF + dia duplicado",IF(OR(AND(G779&lt;&gt;"",G779&lt;&gt;0,G779&lt;&gt;1),AND(H779&lt;&gt;"",H779&lt;&gt;0,H779&lt;&gt;1)),"Flags devem ser 0 ou 1",IF(AND(H779=1,LEN(TRIM(I779))=0),"Preencher nome do indicante",IF(AND(H779&lt;&gt;1,I779&lt;&gt;""),"Nome sem indicação interna",IF(AND(G779=1,F779=""),"Fechamento sem conversa",IF(OR(AND(E779&lt;&gt;"",E779&lt;B779),AND(F779&lt;&gt;"",F779&lt;B779)),"Evento anterior à entrada",IF(AND(F779&lt;&gt;"",E779=""),"Conversa sem agendamento",IF(OR(E779&gt;TODAY(),F779&gt;TODAY()),"Verificar evento futuro","OK"))))))))))</f>
        <v/>
      </c>
    </row>
    <row r="780" spans="12:15">
      <c r="L780" s="5">
        <f>IF(OR(A780="",B780=""),"",B780-WEEKDAY(B780,2)+1)</f>
        <v/>
      </c>
      <c r="M780" s="5">
        <f>IF(L780="","",L780+6)</f>
        <v/>
      </c>
      <c r="N780" s="6">
        <f>IF(OR(A780="",B780=""),"",DATE(YEAR(B780),MONTH(B780),1))</f>
        <v/>
      </c>
      <c r="O780" s="7">
        <f>IF(COUNTA(A780:K780)=0,"",IF(OR(A780="",B780=""),"Preencher CPF e entrada",IF(COUNTIFS($A$12:$A$5011,A780,$B$12:$B$5011,B780)&gt;1,"CPF + dia duplicado",IF(OR(AND(G780&lt;&gt;"",G780&lt;&gt;0,G780&lt;&gt;1),AND(H780&lt;&gt;"",H780&lt;&gt;0,H780&lt;&gt;1)),"Flags devem ser 0 ou 1",IF(AND(H780=1,LEN(TRIM(I780))=0),"Preencher nome do indicante",IF(AND(H780&lt;&gt;1,I780&lt;&gt;""),"Nome sem indicação interna",IF(AND(G780=1,F780=""),"Fechamento sem conversa",IF(OR(AND(E780&lt;&gt;"",E780&lt;B780),AND(F780&lt;&gt;"",F780&lt;B780)),"Evento anterior à entrada",IF(AND(F780&lt;&gt;"",E780=""),"Conversa sem agendamento",IF(OR(E780&gt;TODAY(),F780&gt;TODAY()),"Verificar evento futuro","OK"))))))))))</f>
        <v/>
      </c>
    </row>
    <row r="781" spans="12:15">
      <c r="L781" s="5">
        <f>IF(OR(A781="",B781=""),"",B781-WEEKDAY(B781,2)+1)</f>
        <v/>
      </c>
      <c r="M781" s="5">
        <f>IF(L781="","",L781+6)</f>
        <v/>
      </c>
      <c r="N781" s="6">
        <f>IF(OR(A781="",B781=""),"",DATE(YEAR(B781),MONTH(B781),1))</f>
        <v/>
      </c>
      <c r="O781" s="7">
        <f>IF(COUNTA(A781:K781)=0,"",IF(OR(A781="",B781=""),"Preencher CPF e entrada",IF(COUNTIFS($A$12:$A$5011,A781,$B$12:$B$5011,B781)&gt;1,"CPF + dia duplicado",IF(OR(AND(G781&lt;&gt;"",G781&lt;&gt;0,G781&lt;&gt;1),AND(H781&lt;&gt;"",H781&lt;&gt;0,H781&lt;&gt;1)),"Flags devem ser 0 ou 1",IF(AND(H781=1,LEN(TRIM(I781))=0),"Preencher nome do indicante",IF(AND(H781&lt;&gt;1,I781&lt;&gt;""),"Nome sem indicação interna",IF(AND(G781=1,F781=""),"Fechamento sem conversa",IF(OR(AND(E781&lt;&gt;"",E781&lt;B781),AND(F781&lt;&gt;"",F781&lt;B781)),"Evento anterior à entrada",IF(AND(F781&lt;&gt;"",E781=""),"Conversa sem agendamento",IF(OR(E781&gt;TODAY(),F781&gt;TODAY()),"Verificar evento futuro","OK"))))))))))</f>
        <v/>
      </c>
    </row>
    <row r="782" spans="12:15">
      <c r="L782" s="5">
        <f>IF(OR(A782="",B782=""),"",B782-WEEKDAY(B782,2)+1)</f>
        <v/>
      </c>
      <c r="M782" s="5">
        <f>IF(L782="","",L782+6)</f>
        <v/>
      </c>
      <c r="N782" s="6">
        <f>IF(OR(A782="",B782=""),"",DATE(YEAR(B782),MONTH(B782),1))</f>
        <v/>
      </c>
      <c r="O782" s="7">
        <f>IF(COUNTA(A782:K782)=0,"",IF(OR(A782="",B782=""),"Preencher CPF e entrada",IF(COUNTIFS($A$12:$A$5011,A782,$B$12:$B$5011,B782)&gt;1,"CPF + dia duplicado",IF(OR(AND(G782&lt;&gt;"",G782&lt;&gt;0,G782&lt;&gt;1),AND(H782&lt;&gt;"",H782&lt;&gt;0,H782&lt;&gt;1)),"Flags devem ser 0 ou 1",IF(AND(H782=1,LEN(TRIM(I782))=0),"Preencher nome do indicante",IF(AND(H782&lt;&gt;1,I782&lt;&gt;""),"Nome sem indicação interna",IF(AND(G782=1,F782=""),"Fechamento sem conversa",IF(OR(AND(E782&lt;&gt;"",E782&lt;B782),AND(F782&lt;&gt;"",F782&lt;B782)),"Evento anterior à entrada",IF(AND(F782&lt;&gt;"",E782=""),"Conversa sem agendamento",IF(OR(E782&gt;TODAY(),F782&gt;TODAY()),"Verificar evento futuro","OK"))))))))))</f>
        <v/>
      </c>
    </row>
    <row r="783" spans="12:15">
      <c r="L783" s="5">
        <f>IF(OR(A783="",B783=""),"",B783-WEEKDAY(B783,2)+1)</f>
        <v/>
      </c>
      <c r="M783" s="5">
        <f>IF(L783="","",L783+6)</f>
        <v/>
      </c>
      <c r="N783" s="6">
        <f>IF(OR(A783="",B783=""),"",DATE(YEAR(B783),MONTH(B783),1))</f>
        <v/>
      </c>
      <c r="O783" s="7">
        <f>IF(COUNTA(A783:K783)=0,"",IF(OR(A783="",B783=""),"Preencher CPF e entrada",IF(COUNTIFS($A$12:$A$5011,A783,$B$12:$B$5011,B783)&gt;1,"CPF + dia duplicado",IF(OR(AND(G783&lt;&gt;"",G783&lt;&gt;0,G783&lt;&gt;1),AND(H783&lt;&gt;"",H783&lt;&gt;0,H783&lt;&gt;1)),"Flags devem ser 0 ou 1",IF(AND(H783=1,LEN(TRIM(I783))=0),"Preencher nome do indicante",IF(AND(H783&lt;&gt;1,I783&lt;&gt;""),"Nome sem indicação interna",IF(AND(G783=1,F783=""),"Fechamento sem conversa",IF(OR(AND(E783&lt;&gt;"",E783&lt;B783),AND(F783&lt;&gt;"",F783&lt;B783)),"Evento anterior à entrada",IF(AND(F783&lt;&gt;"",E783=""),"Conversa sem agendamento",IF(OR(E783&gt;TODAY(),F783&gt;TODAY()),"Verificar evento futuro","OK"))))))))))</f>
        <v/>
      </c>
    </row>
    <row r="784" spans="12:15">
      <c r="L784" s="5">
        <f>IF(OR(A784="",B784=""),"",B784-WEEKDAY(B784,2)+1)</f>
        <v/>
      </c>
      <c r="M784" s="5">
        <f>IF(L784="","",L784+6)</f>
        <v/>
      </c>
      <c r="N784" s="6">
        <f>IF(OR(A784="",B784=""),"",DATE(YEAR(B784),MONTH(B784),1))</f>
        <v/>
      </c>
      <c r="O784" s="7">
        <f>IF(COUNTA(A784:K784)=0,"",IF(OR(A784="",B784=""),"Preencher CPF e entrada",IF(COUNTIFS($A$12:$A$5011,A784,$B$12:$B$5011,B784)&gt;1,"CPF + dia duplicado",IF(OR(AND(G784&lt;&gt;"",G784&lt;&gt;0,G784&lt;&gt;1),AND(H784&lt;&gt;"",H784&lt;&gt;0,H784&lt;&gt;1)),"Flags devem ser 0 ou 1",IF(AND(H784=1,LEN(TRIM(I784))=0),"Preencher nome do indicante",IF(AND(H784&lt;&gt;1,I784&lt;&gt;""),"Nome sem indicação interna",IF(AND(G784=1,F784=""),"Fechamento sem conversa",IF(OR(AND(E784&lt;&gt;"",E784&lt;B784),AND(F784&lt;&gt;"",F784&lt;B784)),"Evento anterior à entrada",IF(AND(F784&lt;&gt;"",E784=""),"Conversa sem agendamento",IF(OR(E784&gt;TODAY(),F784&gt;TODAY()),"Verificar evento futuro","OK"))))))))))</f>
        <v/>
      </c>
    </row>
    <row r="785" spans="12:15">
      <c r="L785" s="5">
        <f>IF(OR(A785="",B785=""),"",B785-WEEKDAY(B785,2)+1)</f>
        <v/>
      </c>
      <c r="M785" s="5">
        <f>IF(L785="","",L785+6)</f>
        <v/>
      </c>
      <c r="N785" s="6">
        <f>IF(OR(A785="",B785=""),"",DATE(YEAR(B785),MONTH(B785),1))</f>
        <v/>
      </c>
      <c r="O785" s="7">
        <f>IF(COUNTA(A785:K785)=0,"",IF(OR(A785="",B785=""),"Preencher CPF e entrada",IF(COUNTIFS($A$12:$A$5011,A785,$B$12:$B$5011,B785)&gt;1,"CPF + dia duplicado",IF(OR(AND(G785&lt;&gt;"",G785&lt;&gt;0,G785&lt;&gt;1),AND(H785&lt;&gt;"",H785&lt;&gt;0,H785&lt;&gt;1)),"Flags devem ser 0 ou 1",IF(AND(H785=1,LEN(TRIM(I785))=0),"Preencher nome do indicante",IF(AND(H785&lt;&gt;1,I785&lt;&gt;""),"Nome sem indicação interna",IF(AND(G785=1,F785=""),"Fechamento sem conversa",IF(OR(AND(E785&lt;&gt;"",E785&lt;B785),AND(F785&lt;&gt;"",F785&lt;B785)),"Evento anterior à entrada",IF(AND(F785&lt;&gt;"",E785=""),"Conversa sem agendamento",IF(OR(E785&gt;TODAY(),F785&gt;TODAY()),"Verificar evento futuro","OK"))))))))))</f>
        <v/>
      </c>
    </row>
    <row r="786" spans="12:15">
      <c r="L786" s="5">
        <f>IF(OR(A786="",B786=""),"",B786-WEEKDAY(B786,2)+1)</f>
        <v/>
      </c>
      <c r="M786" s="5">
        <f>IF(L786="","",L786+6)</f>
        <v/>
      </c>
      <c r="N786" s="6">
        <f>IF(OR(A786="",B786=""),"",DATE(YEAR(B786),MONTH(B786),1))</f>
        <v/>
      </c>
      <c r="O786" s="7">
        <f>IF(COUNTA(A786:K786)=0,"",IF(OR(A786="",B786=""),"Preencher CPF e entrada",IF(COUNTIFS($A$12:$A$5011,A786,$B$12:$B$5011,B786)&gt;1,"CPF + dia duplicado",IF(OR(AND(G786&lt;&gt;"",G786&lt;&gt;0,G786&lt;&gt;1),AND(H786&lt;&gt;"",H786&lt;&gt;0,H786&lt;&gt;1)),"Flags devem ser 0 ou 1",IF(AND(H786=1,LEN(TRIM(I786))=0),"Preencher nome do indicante",IF(AND(H786&lt;&gt;1,I786&lt;&gt;""),"Nome sem indicação interna",IF(AND(G786=1,F786=""),"Fechamento sem conversa",IF(OR(AND(E786&lt;&gt;"",E786&lt;B786),AND(F786&lt;&gt;"",F786&lt;B786)),"Evento anterior à entrada",IF(AND(F786&lt;&gt;"",E786=""),"Conversa sem agendamento",IF(OR(E786&gt;TODAY(),F786&gt;TODAY()),"Verificar evento futuro","OK"))))))))))</f>
        <v/>
      </c>
    </row>
    <row r="787" spans="12:15">
      <c r="L787" s="5">
        <f>IF(OR(A787="",B787=""),"",B787-WEEKDAY(B787,2)+1)</f>
        <v/>
      </c>
      <c r="M787" s="5">
        <f>IF(L787="","",L787+6)</f>
        <v/>
      </c>
      <c r="N787" s="6">
        <f>IF(OR(A787="",B787=""),"",DATE(YEAR(B787),MONTH(B787),1))</f>
        <v/>
      </c>
      <c r="O787" s="7">
        <f>IF(COUNTA(A787:K787)=0,"",IF(OR(A787="",B787=""),"Preencher CPF e entrada",IF(COUNTIFS($A$12:$A$5011,A787,$B$12:$B$5011,B787)&gt;1,"CPF + dia duplicado",IF(OR(AND(G787&lt;&gt;"",G787&lt;&gt;0,G787&lt;&gt;1),AND(H787&lt;&gt;"",H787&lt;&gt;0,H787&lt;&gt;1)),"Flags devem ser 0 ou 1",IF(AND(H787=1,LEN(TRIM(I787))=0),"Preencher nome do indicante",IF(AND(H787&lt;&gt;1,I787&lt;&gt;""),"Nome sem indicação interna",IF(AND(G787=1,F787=""),"Fechamento sem conversa",IF(OR(AND(E787&lt;&gt;"",E787&lt;B787),AND(F787&lt;&gt;"",F787&lt;B787)),"Evento anterior à entrada",IF(AND(F787&lt;&gt;"",E787=""),"Conversa sem agendamento",IF(OR(E787&gt;TODAY(),F787&gt;TODAY()),"Verificar evento futuro","OK"))))))))))</f>
        <v/>
      </c>
    </row>
    <row r="788" spans="12:15">
      <c r="L788" s="5">
        <f>IF(OR(A788="",B788=""),"",B788-WEEKDAY(B788,2)+1)</f>
        <v/>
      </c>
      <c r="M788" s="5">
        <f>IF(L788="","",L788+6)</f>
        <v/>
      </c>
      <c r="N788" s="6">
        <f>IF(OR(A788="",B788=""),"",DATE(YEAR(B788),MONTH(B788),1))</f>
        <v/>
      </c>
      <c r="O788" s="7">
        <f>IF(COUNTA(A788:K788)=0,"",IF(OR(A788="",B788=""),"Preencher CPF e entrada",IF(COUNTIFS($A$12:$A$5011,A788,$B$12:$B$5011,B788)&gt;1,"CPF + dia duplicado",IF(OR(AND(G788&lt;&gt;"",G788&lt;&gt;0,G788&lt;&gt;1),AND(H788&lt;&gt;"",H788&lt;&gt;0,H788&lt;&gt;1)),"Flags devem ser 0 ou 1",IF(AND(H788=1,LEN(TRIM(I788))=0),"Preencher nome do indicante",IF(AND(H788&lt;&gt;1,I788&lt;&gt;""),"Nome sem indicação interna",IF(AND(G788=1,F788=""),"Fechamento sem conversa",IF(OR(AND(E788&lt;&gt;"",E788&lt;B788),AND(F788&lt;&gt;"",F788&lt;B788)),"Evento anterior à entrada",IF(AND(F788&lt;&gt;"",E788=""),"Conversa sem agendamento",IF(OR(E788&gt;TODAY(),F788&gt;TODAY()),"Verificar evento futuro","OK"))))))))))</f>
        <v/>
      </c>
    </row>
    <row r="789" spans="12:15">
      <c r="L789" s="5">
        <f>IF(OR(A789="",B789=""),"",B789-WEEKDAY(B789,2)+1)</f>
        <v/>
      </c>
      <c r="M789" s="5">
        <f>IF(L789="","",L789+6)</f>
        <v/>
      </c>
      <c r="N789" s="6">
        <f>IF(OR(A789="",B789=""),"",DATE(YEAR(B789),MONTH(B789),1))</f>
        <v/>
      </c>
      <c r="O789" s="7">
        <f>IF(COUNTA(A789:K789)=0,"",IF(OR(A789="",B789=""),"Preencher CPF e entrada",IF(COUNTIFS($A$12:$A$5011,A789,$B$12:$B$5011,B789)&gt;1,"CPF + dia duplicado",IF(OR(AND(G789&lt;&gt;"",G789&lt;&gt;0,G789&lt;&gt;1),AND(H789&lt;&gt;"",H789&lt;&gt;0,H789&lt;&gt;1)),"Flags devem ser 0 ou 1",IF(AND(H789=1,LEN(TRIM(I789))=0),"Preencher nome do indicante",IF(AND(H789&lt;&gt;1,I789&lt;&gt;""),"Nome sem indicação interna",IF(AND(G789=1,F789=""),"Fechamento sem conversa",IF(OR(AND(E789&lt;&gt;"",E789&lt;B789),AND(F789&lt;&gt;"",F789&lt;B789)),"Evento anterior à entrada",IF(AND(F789&lt;&gt;"",E789=""),"Conversa sem agendamento",IF(OR(E789&gt;TODAY(),F789&gt;TODAY()),"Verificar evento futuro","OK"))))))))))</f>
        <v/>
      </c>
    </row>
    <row r="790" spans="12:15">
      <c r="L790" s="5">
        <f>IF(OR(A790="",B790=""),"",B790-WEEKDAY(B790,2)+1)</f>
        <v/>
      </c>
      <c r="M790" s="5">
        <f>IF(L790="","",L790+6)</f>
        <v/>
      </c>
      <c r="N790" s="6">
        <f>IF(OR(A790="",B790=""),"",DATE(YEAR(B790),MONTH(B790),1))</f>
        <v/>
      </c>
      <c r="O790" s="7">
        <f>IF(COUNTA(A790:K790)=0,"",IF(OR(A790="",B790=""),"Preencher CPF e entrada",IF(COUNTIFS($A$12:$A$5011,A790,$B$12:$B$5011,B790)&gt;1,"CPF + dia duplicado",IF(OR(AND(G790&lt;&gt;"",G790&lt;&gt;0,G790&lt;&gt;1),AND(H790&lt;&gt;"",H790&lt;&gt;0,H790&lt;&gt;1)),"Flags devem ser 0 ou 1",IF(AND(H790=1,LEN(TRIM(I790))=0),"Preencher nome do indicante",IF(AND(H790&lt;&gt;1,I790&lt;&gt;""),"Nome sem indicação interna",IF(AND(G790=1,F790=""),"Fechamento sem conversa",IF(OR(AND(E790&lt;&gt;"",E790&lt;B790),AND(F790&lt;&gt;"",F790&lt;B790)),"Evento anterior à entrada",IF(AND(F790&lt;&gt;"",E790=""),"Conversa sem agendamento",IF(OR(E790&gt;TODAY(),F790&gt;TODAY()),"Verificar evento futuro","OK"))))))))))</f>
        <v/>
      </c>
    </row>
    <row r="791" spans="12:15">
      <c r="L791" s="5">
        <f>IF(OR(A791="",B791=""),"",B791-WEEKDAY(B791,2)+1)</f>
        <v/>
      </c>
      <c r="M791" s="5">
        <f>IF(L791="","",L791+6)</f>
        <v/>
      </c>
      <c r="N791" s="6">
        <f>IF(OR(A791="",B791=""),"",DATE(YEAR(B791),MONTH(B791),1))</f>
        <v/>
      </c>
      <c r="O791" s="7">
        <f>IF(COUNTA(A791:K791)=0,"",IF(OR(A791="",B791=""),"Preencher CPF e entrada",IF(COUNTIFS($A$12:$A$5011,A791,$B$12:$B$5011,B791)&gt;1,"CPF + dia duplicado",IF(OR(AND(G791&lt;&gt;"",G791&lt;&gt;0,G791&lt;&gt;1),AND(H791&lt;&gt;"",H791&lt;&gt;0,H791&lt;&gt;1)),"Flags devem ser 0 ou 1",IF(AND(H791=1,LEN(TRIM(I791))=0),"Preencher nome do indicante",IF(AND(H791&lt;&gt;1,I791&lt;&gt;""),"Nome sem indicação interna",IF(AND(G791=1,F791=""),"Fechamento sem conversa",IF(OR(AND(E791&lt;&gt;"",E791&lt;B791),AND(F791&lt;&gt;"",F791&lt;B791)),"Evento anterior à entrada",IF(AND(F791&lt;&gt;"",E791=""),"Conversa sem agendamento",IF(OR(E791&gt;TODAY(),F791&gt;TODAY()),"Verificar evento futuro","OK"))))))))))</f>
        <v/>
      </c>
    </row>
    <row r="792" spans="12:15">
      <c r="L792" s="5">
        <f>IF(OR(A792="",B792=""),"",B792-WEEKDAY(B792,2)+1)</f>
        <v/>
      </c>
      <c r="M792" s="5">
        <f>IF(L792="","",L792+6)</f>
        <v/>
      </c>
      <c r="N792" s="6">
        <f>IF(OR(A792="",B792=""),"",DATE(YEAR(B792),MONTH(B792),1))</f>
        <v/>
      </c>
      <c r="O792" s="7">
        <f>IF(COUNTA(A792:K792)=0,"",IF(OR(A792="",B792=""),"Preencher CPF e entrada",IF(COUNTIFS($A$12:$A$5011,A792,$B$12:$B$5011,B792)&gt;1,"CPF + dia duplicado",IF(OR(AND(G792&lt;&gt;"",G792&lt;&gt;0,G792&lt;&gt;1),AND(H792&lt;&gt;"",H792&lt;&gt;0,H792&lt;&gt;1)),"Flags devem ser 0 ou 1",IF(AND(H792=1,LEN(TRIM(I792))=0),"Preencher nome do indicante",IF(AND(H792&lt;&gt;1,I792&lt;&gt;""),"Nome sem indicação interna",IF(AND(G792=1,F792=""),"Fechamento sem conversa",IF(OR(AND(E792&lt;&gt;"",E792&lt;B792),AND(F792&lt;&gt;"",F792&lt;B792)),"Evento anterior à entrada",IF(AND(F792&lt;&gt;"",E792=""),"Conversa sem agendamento",IF(OR(E792&gt;TODAY(),F792&gt;TODAY()),"Verificar evento futuro","OK"))))))))))</f>
        <v/>
      </c>
    </row>
    <row r="793" spans="12:15">
      <c r="L793" s="5">
        <f>IF(OR(A793="",B793=""),"",B793-WEEKDAY(B793,2)+1)</f>
        <v/>
      </c>
      <c r="M793" s="5">
        <f>IF(L793="","",L793+6)</f>
        <v/>
      </c>
      <c r="N793" s="6">
        <f>IF(OR(A793="",B793=""),"",DATE(YEAR(B793),MONTH(B793),1))</f>
        <v/>
      </c>
      <c r="O793" s="7">
        <f>IF(COUNTA(A793:K793)=0,"",IF(OR(A793="",B793=""),"Preencher CPF e entrada",IF(COUNTIFS($A$12:$A$5011,A793,$B$12:$B$5011,B793)&gt;1,"CPF + dia duplicado",IF(OR(AND(G793&lt;&gt;"",G793&lt;&gt;0,G793&lt;&gt;1),AND(H793&lt;&gt;"",H793&lt;&gt;0,H793&lt;&gt;1)),"Flags devem ser 0 ou 1",IF(AND(H793=1,LEN(TRIM(I793))=0),"Preencher nome do indicante",IF(AND(H793&lt;&gt;1,I793&lt;&gt;""),"Nome sem indicação interna",IF(AND(G793=1,F793=""),"Fechamento sem conversa",IF(OR(AND(E793&lt;&gt;"",E793&lt;B793),AND(F793&lt;&gt;"",F793&lt;B793)),"Evento anterior à entrada",IF(AND(F793&lt;&gt;"",E793=""),"Conversa sem agendamento",IF(OR(E793&gt;TODAY(),F793&gt;TODAY()),"Verificar evento futuro","OK"))))))))))</f>
        <v/>
      </c>
    </row>
    <row r="794" spans="12:15">
      <c r="L794" s="5">
        <f>IF(OR(A794="",B794=""),"",B794-WEEKDAY(B794,2)+1)</f>
        <v/>
      </c>
      <c r="M794" s="5">
        <f>IF(L794="","",L794+6)</f>
        <v/>
      </c>
      <c r="N794" s="6">
        <f>IF(OR(A794="",B794=""),"",DATE(YEAR(B794),MONTH(B794),1))</f>
        <v/>
      </c>
      <c r="O794" s="7">
        <f>IF(COUNTA(A794:K794)=0,"",IF(OR(A794="",B794=""),"Preencher CPF e entrada",IF(COUNTIFS($A$12:$A$5011,A794,$B$12:$B$5011,B794)&gt;1,"CPF + dia duplicado",IF(OR(AND(G794&lt;&gt;"",G794&lt;&gt;0,G794&lt;&gt;1),AND(H794&lt;&gt;"",H794&lt;&gt;0,H794&lt;&gt;1)),"Flags devem ser 0 ou 1",IF(AND(H794=1,LEN(TRIM(I794))=0),"Preencher nome do indicante",IF(AND(H794&lt;&gt;1,I794&lt;&gt;""),"Nome sem indicação interna",IF(AND(G794=1,F794=""),"Fechamento sem conversa",IF(OR(AND(E794&lt;&gt;"",E794&lt;B794),AND(F794&lt;&gt;"",F794&lt;B794)),"Evento anterior à entrada",IF(AND(F794&lt;&gt;"",E794=""),"Conversa sem agendamento",IF(OR(E794&gt;TODAY(),F794&gt;TODAY()),"Verificar evento futuro","OK"))))))))))</f>
        <v/>
      </c>
    </row>
    <row r="795" spans="12:15">
      <c r="L795" s="5">
        <f>IF(OR(A795="",B795=""),"",B795-WEEKDAY(B795,2)+1)</f>
        <v/>
      </c>
      <c r="M795" s="5">
        <f>IF(L795="","",L795+6)</f>
        <v/>
      </c>
      <c r="N795" s="6">
        <f>IF(OR(A795="",B795=""),"",DATE(YEAR(B795),MONTH(B795),1))</f>
        <v/>
      </c>
      <c r="O795" s="7">
        <f>IF(COUNTA(A795:K795)=0,"",IF(OR(A795="",B795=""),"Preencher CPF e entrada",IF(COUNTIFS($A$12:$A$5011,A795,$B$12:$B$5011,B795)&gt;1,"CPF + dia duplicado",IF(OR(AND(G795&lt;&gt;"",G795&lt;&gt;0,G795&lt;&gt;1),AND(H795&lt;&gt;"",H795&lt;&gt;0,H795&lt;&gt;1)),"Flags devem ser 0 ou 1",IF(AND(H795=1,LEN(TRIM(I795))=0),"Preencher nome do indicante",IF(AND(H795&lt;&gt;1,I795&lt;&gt;""),"Nome sem indicação interna",IF(AND(G795=1,F795=""),"Fechamento sem conversa",IF(OR(AND(E795&lt;&gt;"",E795&lt;B795),AND(F795&lt;&gt;"",F795&lt;B795)),"Evento anterior à entrada",IF(AND(F795&lt;&gt;"",E795=""),"Conversa sem agendamento",IF(OR(E795&gt;TODAY(),F795&gt;TODAY()),"Verificar evento futuro","OK"))))))))))</f>
        <v/>
      </c>
    </row>
    <row r="796" spans="12:15">
      <c r="L796" s="5">
        <f>IF(OR(A796="",B796=""),"",B796-WEEKDAY(B796,2)+1)</f>
        <v/>
      </c>
      <c r="M796" s="5">
        <f>IF(L796="","",L796+6)</f>
        <v/>
      </c>
      <c r="N796" s="6">
        <f>IF(OR(A796="",B796=""),"",DATE(YEAR(B796),MONTH(B796),1))</f>
        <v/>
      </c>
      <c r="O796" s="7">
        <f>IF(COUNTA(A796:K796)=0,"",IF(OR(A796="",B796=""),"Preencher CPF e entrada",IF(COUNTIFS($A$12:$A$5011,A796,$B$12:$B$5011,B796)&gt;1,"CPF + dia duplicado",IF(OR(AND(G796&lt;&gt;"",G796&lt;&gt;0,G796&lt;&gt;1),AND(H796&lt;&gt;"",H796&lt;&gt;0,H796&lt;&gt;1)),"Flags devem ser 0 ou 1",IF(AND(H796=1,LEN(TRIM(I796))=0),"Preencher nome do indicante",IF(AND(H796&lt;&gt;1,I796&lt;&gt;""),"Nome sem indicação interna",IF(AND(G796=1,F796=""),"Fechamento sem conversa",IF(OR(AND(E796&lt;&gt;"",E796&lt;B796),AND(F796&lt;&gt;"",F796&lt;B796)),"Evento anterior à entrada",IF(AND(F796&lt;&gt;"",E796=""),"Conversa sem agendamento",IF(OR(E796&gt;TODAY(),F796&gt;TODAY()),"Verificar evento futuro","OK"))))))))))</f>
        <v/>
      </c>
    </row>
    <row r="797" spans="12:15">
      <c r="L797" s="5">
        <f>IF(OR(A797="",B797=""),"",B797-WEEKDAY(B797,2)+1)</f>
        <v/>
      </c>
      <c r="M797" s="5">
        <f>IF(L797="","",L797+6)</f>
        <v/>
      </c>
      <c r="N797" s="6">
        <f>IF(OR(A797="",B797=""),"",DATE(YEAR(B797),MONTH(B797),1))</f>
        <v/>
      </c>
      <c r="O797" s="7">
        <f>IF(COUNTA(A797:K797)=0,"",IF(OR(A797="",B797=""),"Preencher CPF e entrada",IF(COUNTIFS($A$12:$A$5011,A797,$B$12:$B$5011,B797)&gt;1,"CPF + dia duplicado",IF(OR(AND(G797&lt;&gt;"",G797&lt;&gt;0,G797&lt;&gt;1),AND(H797&lt;&gt;"",H797&lt;&gt;0,H797&lt;&gt;1)),"Flags devem ser 0 ou 1",IF(AND(H797=1,LEN(TRIM(I797))=0),"Preencher nome do indicante",IF(AND(H797&lt;&gt;1,I797&lt;&gt;""),"Nome sem indicação interna",IF(AND(G797=1,F797=""),"Fechamento sem conversa",IF(OR(AND(E797&lt;&gt;"",E797&lt;B797),AND(F797&lt;&gt;"",F797&lt;B797)),"Evento anterior à entrada",IF(AND(F797&lt;&gt;"",E797=""),"Conversa sem agendamento",IF(OR(E797&gt;TODAY(),F797&gt;TODAY()),"Verificar evento futuro","OK"))))))))))</f>
        <v/>
      </c>
    </row>
    <row r="798" spans="12:15">
      <c r="L798" s="5">
        <f>IF(OR(A798="",B798=""),"",B798-WEEKDAY(B798,2)+1)</f>
        <v/>
      </c>
      <c r="M798" s="5">
        <f>IF(L798="","",L798+6)</f>
        <v/>
      </c>
      <c r="N798" s="6">
        <f>IF(OR(A798="",B798=""),"",DATE(YEAR(B798),MONTH(B798),1))</f>
        <v/>
      </c>
      <c r="O798" s="7">
        <f>IF(COUNTA(A798:K798)=0,"",IF(OR(A798="",B798=""),"Preencher CPF e entrada",IF(COUNTIFS($A$12:$A$5011,A798,$B$12:$B$5011,B798)&gt;1,"CPF + dia duplicado",IF(OR(AND(G798&lt;&gt;"",G798&lt;&gt;0,G798&lt;&gt;1),AND(H798&lt;&gt;"",H798&lt;&gt;0,H798&lt;&gt;1)),"Flags devem ser 0 ou 1",IF(AND(H798=1,LEN(TRIM(I798))=0),"Preencher nome do indicante",IF(AND(H798&lt;&gt;1,I798&lt;&gt;""),"Nome sem indicação interna",IF(AND(G798=1,F798=""),"Fechamento sem conversa",IF(OR(AND(E798&lt;&gt;"",E798&lt;B798),AND(F798&lt;&gt;"",F798&lt;B798)),"Evento anterior à entrada",IF(AND(F798&lt;&gt;"",E798=""),"Conversa sem agendamento",IF(OR(E798&gt;TODAY(),F798&gt;TODAY()),"Verificar evento futuro","OK"))))))))))</f>
        <v/>
      </c>
    </row>
    <row r="799" spans="12:15">
      <c r="L799" s="5">
        <f>IF(OR(A799="",B799=""),"",B799-WEEKDAY(B799,2)+1)</f>
        <v/>
      </c>
      <c r="M799" s="5">
        <f>IF(L799="","",L799+6)</f>
        <v/>
      </c>
      <c r="N799" s="6">
        <f>IF(OR(A799="",B799=""),"",DATE(YEAR(B799),MONTH(B799),1))</f>
        <v/>
      </c>
      <c r="O799" s="7">
        <f>IF(COUNTA(A799:K799)=0,"",IF(OR(A799="",B799=""),"Preencher CPF e entrada",IF(COUNTIFS($A$12:$A$5011,A799,$B$12:$B$5011,B799)&gt;1,"CPF + dia duplicado",IF(OR(AND(G799&lt;&gt;"",G799&lt;&gt;0,G799&lt;&gt;1),AND(H799&lt;&gt;"",H799&lt;&gt;0,H799&lt;&gt;1)),"Flags devem ser 0 ou 1",IF(AND(H799=1,LEN(TRIM(I799))=0),"Preencher nome do indicante",IF(AND(H799&lt;&gt;1,I799&lt;&gt;""),"Nome sem indicação interna",IF(AND(G799=1,F799=""),"Fechamento sem conversa",IF(OR(AND(E799&lt;&gt;"",E799&lt;B799),AND(F799&lt;&gt;"",F799&lt;B799)),"Evento anterior à entrada",IF(AND(F799&lt;&gt;"",E799=""),"Conversa sem agendamento",IF(OR(E799&gt;TODAY(),F799&gt;TODAY()),"Verificar evento futuro","OK"))))))))))</f>
        <v/>
      </c>
    </row>
    <row r="800" spans="12:15">
      <c r="L800" s="5">
        <f>IF(OR(A800="",B800=""),"",B800-WEEKDAY(B800,2)+1)</f>
        <v/>
      </c>
      <c r="M800" s="5">
        <f>IF(L800="","",L800+6)</f>
        <v/>
      </c>
      <c r="N800" s="6">
        <f>IF(OR(A800="",B800=""),"",DATE(YEAR(B800),MONTH(B800),1))</f>
        <v/>
      </c>
      <c r="O800" s="7">
        <f>IF(COUNTA(A800:K800)=0,"",IF(OR(A800="",B800=""),"Preencher CPF e entrada",IF(COUNTIFS($A$12:$A$5011,A800,$B$12:$B$5011,B800)&gt;1,"CPF + dia duplicado",IF(OR(AND(G800&lt;&gt;"",G800&lt;&gt;0,G800&lt;&gt;1),AND(H800&lt;&gt;"",H800&lt;&gt;0,H800&lt;&gt;1)),"Flags devem ser 0 ou 1",IF(AND(H800=1,LEN(TRIM(I800))=0),"Preencher nome do indicante",IF(AND(H800&lt;&gt;1,I800&lt;&gt;""),"Nome sem indicação interna",IF(AND(G800=1,F800=""),"Fechamento sem conversa",IF(OR(AND(E800&lt;&gt;"",E800&lt;B800),AND(F800&lt;&gt;"",F800&lt;B800)),"Evento anterior à entrada",IF(AND(F800&lt;&gt;"",E800=""),"Conversa sem agendamento",IF(OR(E800&gt;TODAY(),F800&gt;TODAY()),"Verificar evento futuro","OK"))))))))))</f>
        <v/>
      </c>
    </row>
    <row r="801" spans="12:15">
      <c r="L801" s="5">
        <f>IF(OR(A801="",B801=""),"",B801-WEEKDAY(B801,2)+1)</f>
        <v/>
      </c>
      <c r="M801" s="5">
        <f>IF(L801="","",L801+6)</f>
        <v/>
      </c>
      <c r="N801" s="6">
        <f>IF(OR(A801="",B801=""),"",DATE(YEAR(B801),MONTH(B801),1))</f>
        <v/>
      </c>
      <c r="O801" s="7">
        <f>IF(COUNTA(A801:K801)=0,"",IF(OR(A801="",B801=""),"Preencher CPF e entrada",IF(COUNTIFS($A$12:$A$5011,A801,$B$12:$B$5011,B801)&gt;1,"CPF + dia duplicado",IF(OR(AND(G801&lt;&gt;"",G801&lt;&gt;0,G801&lt;&gt;1),AND(H801&lt;&gt;"",H801&lt;&gt;0,H801&lt;&gt;1)),"Flags devem ser 0 ou 1",IF(AND(H801=1,LEN(TRIM(I801))=0),"Preencher nome do indicante",IF(AND(H801&lt;&gt;1,I801&lt;&gt;""),"Nome sem indicação interna",IF(AND(G801=1,F801=""),"Fechamento sem conversa",IF(OR(AND(E801&lt;&gt;"",E801&lt;B801),AND(F801&lt;&gt;"",F801&lt;B801)),"Evento anterior à entrada",IF(AND(F801&lt;&gt;"",E801=""),"Conversa sem agendamento",IF(OR(E801&gt;TODAY(),F801&gt;TODAY()),"Verificar evento futuro","OK"))))))))))</f>
        <v/>
      </c>
    </row>
    <row r="802" spans="12:15">
      <c r="L802" s="5">
        <f>IF(OR(A802="",B802=""),"",B802-WEEKDAY(B802,2)+1)</f>
        <v/>
      </c>
      <c r="M802" s="5">
        <f>IF(L802="","",L802+6)</f>
        <v/>
      </c>
      <c r="N802" s="6">
        <f>IF(OR(A802="",B802=""),"",DATE(YEAR(B802),MONTH(B802),1))</f>
        <v/>
      </c>
      <c r="O802" s="7">
        <f>IF(COUNTA(A802:K802)=0,"",IF(OR(A802="",B802=""),"Preencher CPF e entrada",IF(COUNTIFS($A$12:$A$5011,A802,$B$12:$B$5011,B802)&gt;1,"CPF + dia duplicado",IF(OR(AND(G802&lt;&gt;"",G802&lt;&gt;0,G802&lt;&gt;1),AND(H802&lt;&gt;"",H802&lt;&gt;0,H802&lt;&gt;1)),"Flags devem ser 0 ou 1",IF(AND(H802=1,LEN(TRIM(I802))=0),"Preencher nome do indicante",IF(AND(H802&lt;&gt;1,I802&lt;&gt;""),"Nome sem indicação interna",IF(AND(G802=1,F802=""),"Fechamento sem conversa",IF(OR(AND(E802&lt;&gt;"",E802&lt;B802),AND(F802&lt;&gt;"",F802&lt;B802)),"Evento anterior à entrada",IF(AND(F802&lt;&gt;"",E802=""),"Conversa sem agendamento",IF(OR(E802&gt;TODAY(),F802&gt;TODAY()),"Verificar evento futuro","OK"))))))))))</f>
        <v/>
      </c>
    </row>
    <row r="803" spans="12:15">
      <c r="L803" s="5">
        <f>IF(OR(A803="",B803=""),"",B803-WEEKDAY(B803,2)+1)</f>
        <v/>
      </c>
      <c r="M803" s="5">
        <f>IF(L803="","",L803+6)</f>
        <v/>
      </c>
      <c r="N803" s="6">
        <f>IF(OR(A803="",B803=""),"",DATE(YEAR(B803),MONTH(B803),1))</f>
        <v/>
      </c>
      <c r="O803" s="7">
        <f>IF(COUNTA(A803:K803)=0,"",IF(OR(A803="",B803=""),"Preencher CPF e entrada",IF(COUNTIFS($A$12:$A$5011,A803,$B$12:$B$5011,B803)&gt;1,"CPF + dia duplicado",IF(OR(AND(G803&lt;&gt;"",G803&lt;&gt;0,G803&lt;&gt;1),AND(H803&lt;&gt;"",H803&lt;&gt;0,H803&lt;&gt;1)),"Flags devem ser 0 ou 1",IF(AND(H803=1,LEN(TRIM(I803))=0),"Preencher nome do indicante",IF(AND(H803&lt;&gt;1,I803&lt;&gt;""),"Nome sem indicação interna",IF(AND(G803=1,F803=""),"Fechamento sem conversa",IF(OR(AND(E803&lt;&gt;"",E803&lt;B803),AND(F803&lt;&gt;"",F803&lt;B803)),"Evento anterior à entrada",IF(AND(F803&lt;&gt;"",E803=""),"Conversa sem agendamento",IF(OR(E803&gt;TODAY(),F803&gt;TODAY()),"Verificar evento futuro","OK"))))))))))</f>
        <v/>
      </c>
    </row>
    <row r="804" spans="12:15">
      <c r="L804" s="5">
        <f>IF(OR(A804="",B804=""),"",B804-WEEKDAY(B804,2)+1)</f>
        <v/>
      </c>
      <c r="M804" s="5">
        <f>IF(L804="","",L804+6)</f>
        <v/>
      </c>
      <c r="N804" s="6">
        <f>IF(OR(A804="",B804=""),"",DATE(YEAR(B804),MONTH(B804),1))</f>
        <v/>
      </c>
      <c r="O804" s="7">
        <f>IF(COUNTA(A804:K804)=0,"",IF(OR(A804="",B804=""),"Preencher CPF e entrada",IF(COUNTIFS($A$12:$A$5011,A804,$B$12:$B$5011,B804)&gt;1,"CPF + dia duplicado",IF(OR(AND(G804&lt;&gt;"",G804&lt;&gt;0,G804&lt;&gt;1),AND(H804&lt;&gt;"",H804&lt;&gt;0,H804&lt;&gt;1)),"Flags devem ser 0 ou 1",IF(AND(H804=1,LEN(TRIM(I804))=0),"Preencher nome do indicante",IF(AND(H804&lt;&gt;1,I804&lt;&gt;""),"Nome sem indicação interna",IF(AND(G804=1,F804=""),"Fechamento sem conversa",IF(OR(AND(E804&lt;&gt;"",E804&lt;B804),AND(F804&lt;&gt;"",F804&lt;B804)),"Evento anterior à entrada",IF(AND(F804&lt;&gt;"",E804=""),"Conversa sem agendamento",IF(OR(E804&gt;TODAY(),F804&gt;TODAY()),"Verificar evento futuro","OK"))))))))))</f>
        <v/>
      </c>
    </row>
    <row r="805" spans="12:15">
      <c r="L805" s="5">
        <f>IF(OR(A805="",B805=""),"",B805-WEEKDAY(B805,2)+1)</f>
        <v/>
      </c>
      <c r="M805" s="5">
        <f>IF(L805="","",L805+6)</f>
        <v/>
      </c>
      <c r="N805" s="6">
        <f>IF(OR(A805="",B805=""),"",DATE(YEAR(B805),MONTH(B805),1))</f>
        <v/>
      </c>
      <c r="O805" s="7">
        <f>IF(COUNTA(A805:K805)=0,"",IF(OR(A805="",B805=""),"Preencher CPF e entrada",IF(COUNTIFS($A$12:$A$5011,A805,$B$12:$B$5011,B805)&gt;1,"CPF + dia duplicado",IF(OR(AND(G805&lt;&gt;"",G805&lt;&gt;0,G805&lt;&gt;1),AND(H805&lt;&gt;"",H805&lt;&gt;0,H805&lt;&gt;1)),"Flags devem ser 0 ou 1",IF(AND(H805=1,LEN(TRIM(I805))=0),"Preencher nome do indicante",IF(AND(H805&lt;&gt;1,I805&lt;&gt;""),"Nome sem indicação interna",IF(AND(G805=1,F805=""),"Fechamento sem conversa",IF(OR(AND(E805&lt;&gt;"",E805&lt;B805),AND(F805&lt;&gt;"",F805&lt;B805)),"Evento anterior à entrada",IF(AND(F805&lt;&gt;"",E805=""),"Conversa sem agendamento",IF(OR(E805&gt;TODAY(),F805&gt;TODAY()),"Verificar evento futuro","OK"))))))))))</f>
        <v/>
      </c>
    </row>
    <row r="806" spans="12:15">
      <c r="L806" s="5">
        <f>IF(OR(A806="",B806=""),"",B806-WEEKDAY(B806,2)+1)</f>
        <v/>
      </c>
      <c r="M806" s="5">
        <f>IF(L806="","",L806+6)</f>
        <v/>
      </c>
      <c r="N806" s="6">
        <f>IF(OR(A806="",B806=""),"",DATE(YEAR(B806),MONTH(B806),1))</f>
        <v/>
      </c>
      <c r="O806" s="7">
        <f>IF(COUNTA(A806:K806)=0,"",IF(OR(A806="",B806=""),"Preencher CPF e entrada",IF(COUNTIFS($A$12:$A$5011,A806,$B$12:$B$5011,B806)&gt;1,"CPF + dia duplicado",IF(OR(AND(G806&lt;&gt;"",G806&lt;&gt;0,G806&lt;&gt;1),AND(H806&lt;&gt;"",H806&lt;&gt;0,H806&lt;&gt;1)),"Flags devem ser 0 ou 1",IF(AND(H806=1,LEN(TRIM(I806))=0),"Preencher nome do indicante",IF(AND(H806&lt;&gt;1,I806&lt;&gt;""),"Nome sem indicação interna",IF(AND(G806=1,F806=""),"Fechamento sem conversa",IF(OR(AND(E806&lt;&gt;"",E806&lt;B806),AND(F806&lt;&gt;"",F806&lt;B806)),"Evento anterior à entrada",IF(AND(F806&lt;&gt;"",E806=""),"Conversa sem agendamento",IF(OR(E806&gt;TODAY(),F806&gt;TODAY()),"Verificar evento futuro","OK"))))))))))</f>
        <v/>
      </c>
    </row>
    <row r="807" spans="12:15">
      <c r="L807" s="5">
        <f>IF(OR(A807="",B807=""),"",B807-WEEKDAY(B807,2)+1)</f>
        <v/>
      </c>
      <c r="M807" s="5">
        <f>IF(L807="","",L807+6)</f>
        <v/>
      </c>
      <c r="N807" s="6">
        <f>IF(OR(A807="",B807=""),"",DATE(YEAR(B807),MONTH(B807),1))</f>
        <v/>
      </c>
      <c r="O807" s="7">
        <f>IF(COUNTA(A807:K807)=0,"",IF(OR(A807="",B807=""),"Preencher CPF e entrada",IF(COUNTIFS($A$12:$A$5011,A807,$B$12:$B$5011,B807)&gt;1,"CPF + dia duplicado",IF(OR(AND(G807&lt;&gt;"",G807&lt;&gt;0,G807&lt;&gt;1),AND(H807&lt;&gt;"",H807&lt;&gt;0,H807&lt;&gt;1)),"Flags devem ser 0 ou 1",IF(AND(H807=1,LEN(TRIM(I807))=0),"Preencher nome do indicante",IF(AND(H807&lt;&gt;1,I807&lt;&gt;""),"Nome sem indicação interna",IF(AND(G807=1,F807=""),"Fechamento sem conversa",IF(OR(AND(E807&lt;&gt;"",E807&lt;B807),AND(F807&lt;&gt;"",F807&lt;B807)),"Evento anterior à entrada",IF(AND(F807&lt;&gt;"",E807=""),"Conversa sem agendamento",IF(OR(E807&gt;TODAY(),F807&gt;TODAY()),"Verificar evento futuro","OK"))))))))))</f>
        <v/>
      </c>
    </row>
    <row r="808" spans="12:15">
      <c r="L808" s="5">
        <f>IF(OR(A808="",B808=""),"",B808-WEEKDAY(B808,2)+1)</f>
        <v/>
      </c>
      <c r="M808" s="5">
        <f>IF(L808="","",L808+6)</f>
        <v/>
      </c>
      <c r="N808" s="6">
        <f>IF(OR(A808="",B808=""),"",DATE(YEAR(B808),MONTH(B808),1))</f>
        <v/>
      </c>
      <c r="O808" s="7">
        <f>IF(COUNTA(A808:K808)=0,"",IF(OR(A808="",B808=""),"Preencher CPF e entrada",IF(COUNTIFS($A$12:$A$5011,A808,$B$12:$B$5011,B808)&gt;1,"CPF + dia duplicado",IF(OR(AND(G808&lt;&gt;"",G808&lt;&gt;0,G808&lt;&gt;1),AND(H808&lt;&gt;"",H808&lt;&gt;0,H808&lt;&gt;1)),"Flags devem ser 0 ou 1",IF(AND(H808=1,LEN(TRIM(I808))=0),"Preencher nome do indicante",IF(AND(H808&lt;&gt;1,I808&lt;&gt;""),"Nome sem indicação interna",IF(AND(G808=1,F808=""),"Fechamento sem conversa",IF(OR(AND(E808&lt;&gt;"",E808&lt;B808),AND(F808&lt;&gt;"",F808&lt;B808)),"Evento anterior à entrada",IF(AND(F808&lt;&gt;"",E808=""),"Conversa sem agendamento",IF(OR(E808&gt;TODAY(),F808&gt;TODAY()),"Verificar evento futuro","OK"))))))))))</f>
        <v/>
      </c>
    </row>
    <row r="809" spans="12:15">
      <c r="L809" s="5">
        <f>IF(OR(A809="",B809=""),"",B809-WEEKDAY(B809,2)+1)</f>
        <v/>
      </c>
      <c r="M809" s="5">
        <f>IF(L809="","",L809+6)</f>
        <v/>
      </c>
      <c r="N809" s="6">
        <f>IF(OR(A809="",B809=""),"",DATE(YEAR(B809),MONTH(B809),1))</f>
        <v/>
      </c>
      <c r="O809" s="7">
        <f>IF(COUNTA(A809:K809)=0,"",IF(OR(A809="",B809=""),"Preencher CPF e entrada",IF(COUNTIFS($A$12:$A$5011,A809,$B$12:$B$5011,B809)&gt;1,"CPF + dia duplicado",IF(OR(AND(G809&lt;&gt;"",G809&lt;&gt;0,G809&lt;&gt;1),AND(H809&lt;&gt;"",H809&lt;&gt;0,H809&lt;&gt;1)),"Flags devem ser 0 ou 1",IF(AND(H809=1,LEN(TRIM(I809))=0),"Preencher nome do indicante",IF(AND(H809&lt;&gt;1,I809&lt;&gt;""),"Nome sem indicação interna",IF(AND(G809=1,F809=""),"Fechamento sem conversa",IF(OR(AND(E809&lt;&gt;"",E809&lt;B809),AND(F809&lt;&gt;"",F809&lt;B809)),"Evento anterior à entrada",IF(AND(F809&lt;&gt;"",E809=""),"Conversa sem agendamento",IF(OR(E809&gt;TODAY(),F809&gt;TODAY()),"Verificar evento futuro","OK"))))))))))</f>
        <v/>
      </c>
    </row>
    <row r="810" spans="12:15">
      <c r="L810" s="5">
        <f>IF(OR(A810="",B810=""),"",B810-WEEKDAY(B810,2)+1)</f>
        <v/>
      </c>
      <c r="M810" s="5">
        <f>IF(L810="","",L810+6)</f>
        <v/>
      </c>
      <c r="N810" s="6">
        <f>IF(OR(A810="",B810=""),"",DATE(YEAR(B810),MONTH(B810),1))</f>
        <v/>
      </c>
      <c r="O810" s="7">
        <f>IF(COUNTA(A810:K810)=0,"",IF(OR(A810="",B810=""),"Preencher CPF e entrada",IF(COUNTIFS($A$12:$A$5011,A810,$B$12:$B$5011,B810)&gt;1,"CPF + dia duplicado",IF(OR(AND(G810&lt;&gt;"",G810&lt;&gt;0,G810&lt;&gt;1),AND(H810&lt;&gt;"",H810&lt;&gt;0,H810&lt;&gt;1)),"Flags devem ser 0 ou 1",IF(AND(H810=1,LEN(TRIM(I810))=0),"Preencher nome do indicante",IF(AND(H810&lt;&gt;1,I810&lt;&gt;""),"Nome sem indicação interna",IF(AND(G810=1,F810=""),"Fechamento sem conversa",IF(OR(AND(E810&lt;&gt;"",E810&lt;B810),AND(F810&lt;&gt;"",F810&lt;B810)),"Evento anterior à entrada",IF(AND(F810&lt;&gt;"",E810=""),"Conversa sem agendamento",IF(OR(E810&gt;TODAY(),F810&gt;TODAY()),"Verificar evento futuro","OK"))))))))))</f>
        <v/>
      </c>
    </row>
    <row r="811" spans="12:15">
      <c r="L811" s="5">
        <f>IF(OR(A811="",B811=""),"",B811-WEEKDAY(B811,2)+1)</f>
        <v/>
      </c>
      <c r="M811" s="5">
        <f>IF(L811="","",L811+6)</f>
        <v/>
      </c>
      <c r="N811" s="6">
        <f>IF(OR(A811="",B811=""),"",DATE(YEAR(B811),MONTH(B811),1))</f>
        <v/>
      </c>
      <c r="O811" s="7">
        <f>IF(COUNTA(A811:K811)=0,"",IF(OR(A811="",B811=""),"Preencher CPF e entrada",IF(COUNTIFS($A$12:$A$5011,A811,$B$12:$B$5011,B811)&gt;1,"CPF + dia duplicado",IF(OR(AND(G811&lt;&gt;"",G811&lt;&gt;0,G811&lt;&gt;1),AND(H811&lt;&gt;"",H811&lt;&gt;0,H811&lt;&gt;1)),"Flags devem ser 0 ou 1",IF(AND(H811=1,LEN(TRIM(I811))=0),"Preencher nome do indicante",IF(AND(H811&lt;&gt;1,I811&lt;&gt;""),"Nome sem indicação interna",IF(AND(G811=1,F811=""),"Fechamento sem conversa",IF(OR(AND(E811&lt;&gt;"",E811&lt;B811),AND(F811&lt;&gt;"",F811&lt;B811)),"Evento anterior à entrada",IF(AND(F811&lt;&gt;"",E811=""),"Conversa sem agendamento",IF(OR(E811&gt;TODAY(),F811&gt;TODAY()),"Verificar evento futuro","OK"))))))))))</f>
        <v/>
      </c>
    </row>
    <row r="812" spans="12:15">
      <c r="L812" s="5">
        <f>IF(OR(A812="",B812=""),"",B812-WEEKDAY(B812,2)+1)</f>
        <v/>
      </c>
      <c r="M812" s="5">
        <f>IF(L812="","",L812+6)</f>
        <v/>
      </c>
      <c r="N812" s="6">
        <f>IF(OR(A812="",B812=""),"",DATE(YEAR(B812),MONTH(B812),1))</f>
        <v/>
      </c>
      <c r="O812" s="7">
        <f>IF(COUNTA(A812:K812)=0,"",IF(OR(A812="",B812=""),"Preencher CPF e entrada",IF(COUNTIFS($A$12:$A$5011,A812,$B$12:$B$5011,B812)&gt;1,"CPF + dia duplicado",IF(OR(AND(G812&lt;&gt;"",G812&lt;&gt;0,G812&lt;&gt;1),AND(H812&lt;&gt;"",H812&lt;&gt;0,H812&lt;&gt;1)),"Flags devem ser 0 ou 1",IF(AND(H812=1,LEN(TRIM(I812))=0),"Preencher nome do indicante",IF(AND(H812&lt;&gt;1,I812&lt;&gt;""),"Nome sem indicação interna",IF(AND(G812=1,F812=""),"Fechamento sem conversa",IF(OR(AND(E812&lt;&gt;"",E812&lt;B812),AND(F812&lt;&gt;"",F812&lt;B812)),"Evento anterior à entrada",IF(AND(F812&lt;&gt;"",E812=""),"Conversa sem agendamento",IF(OR(E812&gt;TODAY(),F812&gt;TODAY()),"Verificar evento futuro","OK"))))))))))</f>
        <v/>
      </c>
    </row>
    <row r="813" spans="12:15">
      <c r="L813" s="5">
        <f>IF(OR(A813="",B813=""),"",B813-WEEKDAY(B813,2)+1)</f>
        <v/>
      </c>
      <c r="M813" s="5">
        <f>IF(L813="","",L813+6)</f>
        <v/>
      </c>
      <c r="N813" s="6">
        <f>IF(OR(A813="",B813=""),"",DATE(YEAR(B813),MONTH(B813),1))</f>
        <v/>
      </c>
      <c r="O813" s="7">
        <f>IF(COUNTA(A813:K813)=0,"",IF(OR(A813="",B813=""),"Preencher CPF e entrada",IF(COUNTIFS($A$12:$A$5011,A813,$B$12:$B$5011,B813)&gt;1,"CPF + dia duplicado",IF(OR(AND(G813&lt;&gt;"",G813&lt;&gt;0,G813&lt;&gt;1),AND(H813&lt;&gt;"",H813&lt;&gt;0,H813&lt;&gt;1)),"Flags devem ser 0 ou 1",IF(AND(H813=1,LEN(TRIM(I813))=0),"Preencher nome do indicante",IF(AND(H813&lt;&gt;1,I813&lt;&gt;""),"Nome sem indicação interna",IF(AND(G813=1,F813=""),"Fechamento sem conversa",IF(OR(AND(E813&lt;&gt;"",E813&lt;B813),AND(F813&lt;&gt;"",F813&lt;B813)),"Evento anterior à entrada",IF(AND(F813&lt;&gt;"",E813=""),"Conversa sem agendamento",IF(OR(E813&gt;TODAY(),F813&gt;TODAY()),"Verificar evento futuro","OK"))))))))))</f>
        <v/>
      </c>
    </row>
    <row r="814" spans="12:15">
      <c r="L814" s="5">
        <f>IF(OR(A814="",B814=""),"",B814-WEEKDAY(B814,2)+1)</f>
        <v/>
      </c>
      <c r="M814" s="5">
        <f>IF(L814="","",L814+6)</f>
        <v/>
      </c>
      <c r="N814" s="6">
        <f>IF(OR(A814="",B814=""),"",DATE(YEAR(B814),MONTH(B814),1))</f>
        <v/>
      </c>
      <c r="O814" s="7">
        <f>IF(COUNTA(A814:K814)=0,"",IF(OR(A814="",B814=""),"Preencher CPF e entrada",IF(COUNTIFS($A$12:$A$5011,A814,$B$12:$B$5011,B814)&gt;1,"CPF + dia duplicado",IF(OR(AND(G814&lt;&gt;"",G814&lt;&gt;0,G814&lt;&gt;1),AND(H814&lt;&gt;"",H814&lt;&gt;0,H814&lt;&gt;1)),"Flags devem ser 0 ou 1",IF(AND(H814=1,LEN(TRIM(I814))=0),"Preencher nome do indicante",IF(AND(H814&lt;&gt;1,I814&lt;&gt;""),"Nome sem indicação interna",IF(AND(G814=1,F814=""),"Fechamento sem conversa",IF(OR(AND(E814&lt;&gt;"",E814&lt;B814),AND(F814&lt;&gt;"",F814&lt;B814)),"Evento anterior à entrada",IF(AND(F814&lt;&gt;"",E814=""),"Conversa sem agendamento",IF(OR(E814&gt;TODAY(),F814&gt;TODAY()),"Verificar evento futuro","OK"))))))))))</f>
        <v/>
      </c>
    </row>
    <row r="815" spans="12:15">
      <c r="L815" s="5">
        <f>IF(OR(A815="",B815=""),"",B815-WEEKDAY(B815,2)+1)</f>
        <v/>
      </c>
      <c r="M815" s="5">
        <f>IF(L815="","",L815+6)</f>
        <v/>
      </c>
      <c r="N815" s="6">
        <f>IF(OR(A815="",B815=""),"",DATE(YEAR(B815),MONTH(B815),1))</f>
        <v/>
      </c>
      <c r="O815" s="7">
        <f>IF(COUNTA(A815:K815)=0,"",IF(OR(A815="",B815=""),"Preencher CPF e entrada",IF(COUNTIFS($A$12:$A$5011,A815,$B$12:$B$5011,B815)&gt;1,"CPF + dia duplicado",IF(OR(AND(G815&lt;&gt;"",G815&lt;&gt;0,G815&lt;&gt;1),AND(H815&lt;&gt;"",H815&lt;&gt;0,H815&lt;&gt;1)),"Flags devem ser 0 ou 1",IF(AND(H815=1,LEN(TRIM(I815))=0),"Preencher nome do indicante",IF(AND(H815&lt;&gt;1,I815&lt;&gt;""),"Nome sem indicação interna",IF(AND(G815=1,F815=""),"Fechamento sem conversa",IF(OR(AND(E815&lt;&gt;"",E815&lt;B815),AND(F815&lt;&gt;"",F815&lt;B815)),"Evento anterior à entrada",IF(AND(F815&lt;&gt;"",E815=""),"Conversa sem agendamento",IF(OR(E815&gt;TODAY(),F815&gt;TODAY()),"Verificar evento futuro","OK"))))))))))</f>
        <v/>
      </c>
    </row>
    <row r="816" spans="12:15">
      <c r="L816" s="5">
        <f>IF(OR(A816="",B816=""),"",B816-WEEKDAY(B816,2)+1)</f>
        <v/>
      </c>
      <c r="M816" s="5">
        <f>IF(L816="","",L816+6)</f>
        <v/>
      </c>
      <c r="N816" s="6">
        <f>IF(OR(A816="",B816=""),"",DATE(YEAR(B816),MONTH(B816),1))</f>
        <v/>
      </c>
      <c r="O816" s="7">
        <f>IF(COUNTA(A816:K816)=0,"",IF(OR(A816="",B816=""),"Preencher CPF e entrada",IF(COUNTIFS($A$12:$A$5011,A816,$B$12:$B$5011,B816)&gt;1,"CPF + dia duplicado",IF(OR(AND(G816&lt;&gt;"",G816&lt;&gt;0,G816&lt;&gt;1),AND(H816&lt;&gt;"",H816&lt;&gt;0,H816&lt;&gt;1)),"Flags devem ser 0 ou 1",IF(AND(H816=1,LEN(TRIM(I816))=0),"Preencher nome do indicante",IF(AND(H816&lt;&gt;1,I816&lt;&gt;""),"Nome sem indicação interna",IF(AND(G816=1,F816=""),"Fechamento sem conversa",IF(OR(AND(E816&lt;&gt;"",E816&lt;B816),AND(F816&lt;&gt;"",F816&lt;B816)),"Evento anterior à entrada",IF(AND(F816&lt;&gt;"",E816=""),"Conversa sem agendamento",IF(OR(E816&gt;TODAY(),F816&gt;TODAY()),"Verificar evento futuro","OK"))))))))))</f>
        <v/>
      </c>
    </row>
    <row r="817" spans="12:15">
      <c r="L817" s="5">
        <f>IF(OR(A817="",B817=""),"",B817-WEEKDAY(B817,2)+1)</f>
        <v/>
      </c>
      <c r="M817" s="5">
        <f>IF(L817="","",L817+6)</f>
        <v/>
      </c>
      <c r="N817" s="6">
        <f>IF(OR(A817="",B817=""),"",DATE(YEAR(B817),MONTH(B817),1))</f>
        <v/>
      </c>
      <c r="O817" s="7">
        <f>IF(COUNTA(A817:K817)=0,"",IF(OR(A817="",B817=""),"Preencher CPF e entrada",IF(COUNTIFS($A$12:$A$5011,A817,$B$12:$B$5011,B817)&gt;1,"CPF + dia duplicado",IF(OR(AND(G817&lt;&gt;"",G817&lt;&gt;0,G817&lt;&gt;1),AND(H817&lt;&gt;"",H817&lt;&gt;0,H817&lt;&gt;1)),"Flags devem ser 0 ou 1",IF(AND(H817=1,LEN(TRIM(I817))=0),"Preencher nome do indicante",IF(AND(H817&lt;&gt;1,I817&lt;&gt;""),"Nome sem indicação interna",IF(AND(G817=1,F817=""),"Fechamento sem conversa",IF(OR(AND(E817&lt;&gt;"",E817&lt;B817),AND(F817&lt;&gt;"",F817&lt;B817)),"Evento anterior à entrada",IF(AND(F817&lt;&gt;"",E817=""),"Conversa sem agendamento",IF(OR(E817&gt;TODAY(),F817&gt;TODAY()),"Verificar evento futuro","OK"))))))))))</f>
        <v/>
      </c>
    </row>
    <row r="818" spans="12:15">
      <c r="L818" s="5">
        <f>IF(OR(A818="",B818=""),"",B818-WEEKDAY(B818,2)+1)</f>
        <v/>
      </c>
      <c r="M818" s="5">
        <f>IF(L818="","",L818+6)</f>
        <v/>
      </c>
      <c r="N818" s="6">
        <f>IF(OR(A818="",B818=""),"",DATE(YEAR(B818),MONTH(B818),1))</f>
        <v/>
      </c>
      <c r="O818" s="7">
        <f>IF(COUNTA(A818:K818)=0,"",IF(OR(A818="",B818=""),"Preencher CPF e entrada",IF(COUNTIFS($A$12:$A$5011,A818,$B$12:$B$5011,B818)&gt;1,"CPF + dia duplicado",IF(OR(AND(G818&lt;&gt;"",G818&lt;&gt;0,G818&lt;&gt;1),AND(H818&lt;&gt;"",H818&lt;&gt;0,H818&lt;&gt;1)),"Flags devem ser 0 ou 1",IF(AND(H818=1,LEN(TRIM(I818))=0),"Preencher nome do indicante",IF(AND(H818&lt;&gt;1,I818&lt;&gt;""),"Nome sem indicação interna",IF(AND(G818=1,F818=""),"Fechamento sem conversa",IF(OR(AND(E818&lt;&gt;"",E818&lt;B818),AND(F818&lt;&gt;"",F818&lt;B818)),"Evento anterior à entrada",IF(AND(F818&lt;&gt;"",E818=""),"Conversa sem agendamento",IF(OR(E818&gt;TODAY(),F818&gt;TODAY()),"Verificar evento futuro","OK"))))))))))</f>
        <v/>
      </c>
    </row>
    <row r="819" spans="12:15">
      <c r="L819" s="5">
        <f>IF(OR(A819="",B819=""),"",B819-WEEKDAY(B819,2)+1)</f>
        <v/>
      </c>
      <c r="M819" s="5">
        <f>IF(L819="","",L819+6)</f>
        <v/>
      </c>
      <c r="N819" s="6">
        <f>IF(OR(A819="",B819=""),"",DATE(YEAR(B819),MONTH(B819),1))</f>
        <v/>
      </c>
      <c r="O819" s="7">
        <f>IF(COUNTA(A819:K819)=0,"",IF(OR(A819="",B819=""),"Preencher CPF e entrada",IF(COUNTIFS($A$12:$A$5011,A819,$B$12:$B$5011,B819)&gt;1,"CPF + dia duplicado",IF(OR(AND(G819&lt;&gt;"",G819&lt;&gt;0,G819&lt;&gt;1),AND(H819&lt;&gt;"",H819&lt;&gt;0,H819&lt;&gt;1)),"Flags devem ser 0 ou 1",IF(AND(H819=1,LEN(TRIM(I819))=0),"Preencher nome do indicante",IF(AND(H819&lt;&gt;1,I819&lt;&gt;""),"Nome sem indicação interna",IF(AND(G819=1,F819=""),"Fechamento sem conversa",IF(OR(AND(E819&lt;&gt;"",E819&lt;B819),AND(F819&lt;&gt;"",F819&lt;B819)),"Evento anterior à entrada",IF(AND(F819&lt;&gt;"",E819=""),"Conversa sem agendamento",IF(OR(E819&gt;TODAY(),F819&gt;TODAY()),"Verificar evento futuro","OK"))))))))))</f>
        <v/>
      </c>
    </row>
    <row r="820" spans="12:15">
      <c r="L820" s="5">
        <f>IF(OR(A820="",B820=""),"",B820-WEEKDAY(B820,2)+1)</f>
        <v/>
      </c>
      <c r="M820" s="5">
        <f>IF(L820="","",L820+6)</f>
        <v/>
      </c>
      <c r="N820" s="6">
        <f>IF(OR(A820="",B820=""),"",DATE(YEAR(B820),MONTH(B820),1))</f>
        <v/>
      </c>
      <c r="O820" s="7">
        <f>IF(COUNTA(A820:K820)=0,"",IF(OR(A820="",B820=""),"Preencher CPF e entrada",IF(COUNTIFS($A$12:$A$5011,A820,$B$12:$B$5011,B820)&gt;1,"CPF + dia duplicado",IF(OR(AND(G820&lt;&gt;"",G820&lt;&gt;0,G820&lt;&gt;1),AND(H820&lt;&gt;"",H820&lt;&gt;0,H820&lt;&gt;1)),"Flags devem ser 0 ou 1",IF(AND(H820=1,LEN(TRIM(I820))=0),"Preencher nome do indicante",IF(AND(H820&lt;&gt;1,I820&lt;&gt;""),"Nome sem indicação interna",IF(AND(G820=1,F820=""),"Fechamento sem conversa",IF(OR(AND(E820&lt;&gt;"",E820&lt;B820),AND(F820&lt;&gt;"",F820&lt;B820)),"Evento anterior à entrada",IF(AND(F820&lt;&gt;"",E820=""),"Conversa sem agendamento",IF(OR(E820&gt;TODAY(),F820&gt;TODAY()),"Verificar evento futuro","OK"))))))))))</f>
        <v/>
      </c>
    </row>
    <row r="821" spans="12:15">
      <c r="L821" s="5">
        <f>IF(OR(A821="",B821=""),"",B821-WEEKDAY(B821,2)+1)</f>
        <v/>
      </c>
      <c r="M821" s="5">
        <f>IF(L821="","",L821+6)</f>
        <v/>
      </c>
      <c r="N821" s="6">
        <f>IF(OR(A821="",B821=""),"",DATE(YEAR(B821),MONTH(B821),1))</f>
        <v/>
      </c>
      <c r="O821" s="7">
        <f>IF(COUNTA(A821:K821)=0,"",IF(OR(A821="",B821=""),"Preencher CPF e entrada",IF(COUNTIFS($A$12:$A$5011,A821,$B$12:$B$5011,B821)&gt;1,"CPF + dia duplicado",IF(OR(AND(G821&lt;&gt;"",G821&lt;&gt;0,G821&lt;&gt;1),AND(H821&lt;&gt;"",H821&lt;&gt;0,H821&lt;&gt;1)),"Flags devem ser 0 ou 1",IF(AND(H821=1,LEN(TRIM(I821))=0),"Preencher nome do indicante",IF(AND(H821&lt;&gt;1,I821&lt;&gt;""),"Nome sem indicação interna",IF(AND(G821=1,F821=""),"Fechamento sem conversa",IF(OR(AND(E821&lt;&gt;"",E821&lt;B821),AND(F821&lt;&gt;"",F821&lt;B821)),"Evento anterior à entrada",IF(AND(F821&lt;&gt;"",E821=""),"Conversa sem agendamento",IF(OR(E821&gt;TODAY(),F821&gt;TODAY()),"Verificar evento futuro","OK"))))))))))</f>
        <v/>
      </c>
    </row>
    <row r="822" spans="12:15">
      <c r="L822" s="5">
        <f>IF(OR(A822="",B822=""),"",B822-WEEKDAY(B822,2)+1)</f>
        <v/>
      </c>
      <c r="M822" s="5">
        <f>IF(L822="","",L822+6)</f>
        <v/>
      </c>
      <c r="N822" s="6">
        <f>IF(OR(A822="",B822=""),"",DATE(YEAR(B822),MONTH(B822),1))</f>
        <v/>
      </c>
      <c r="O822" s="7">
        <f>IF(COUNTA(A822:K822)=0,"",IF(OR(A822="",B822=""),"Preencher CPF e entrada",IF(COUNTIFS($A$12:$A$5011,A822,$B$12:$B$5011,B822)&gt;1,"CPF + dia duplicado",IF(OR(AND(G822&lt;&gt;"",G822&lt;&gt;0,G822&lt;&gt;1),AND(H822&lt;&gt;"",H822&lt;&gt;0,H822&lt;&gt;1)),"Flags devem ser 0 ou 1",IF(AND(H822=1,LEN(TRIM(I822))=0),"Preencher nome do indicante",IF(AND(H822&lt;&gt;1,I822&lt;&gt;""),"Nome sem indicação interna",IF(AND(G822=1,F822=""),"Fechamento sem conversa",IF(OR(AND(E822&lt;&gt;"",E822&lt;B822),AND(F822&lt;&gt;"",F822&lt;B822)),"Evento anterior à entrada",IF(AND(F822&lt;&gt;"",E822=""),"Conversa sem agendamento",IF(OR(E822&gt;TODAY(),F822&gt;TODAY()),"Verificar evento futuro","OK"))))))))))</f>
        <v/>
      </c>
    </row>
    <row r="823" spans="12:15">
      <c r="L823" s="5">
        <f>IF(OR(A823="",B823=""),"",B823-WEEKDAY(B823,2)+1)</f>
        <v/>
      </c>
      <c r="M823" s="5">
        <f>IF(L823="","",L823+6)</f>
        <v/>
      </c>
      <c r="N823" s="6">
        <f>IF(OR(A823="",B823=""),"",DATE(YEAR(B823),MONTH(B823),1))</f>
        <v/>
      </c>
      <c r="O823" s="7">
        <f>IF(COUNTA(A823:K823)=0,"",IF(OR(A823="",B823=""),"Preencher CPF e entrada",IF(COUNTIFS($A$12:$A$5011,A823,$B$12:$B$5011,B823)&gt;1,"CPF + dia duplicado",IF(OR(AND(G823&lt;&gt;"",G823&lt;&gt;0,G823&lt;&gt;1),AND(H823&lt;&gt;"",H823&lt;&gt;0,H823&lt;&gt;1)),"Flags devem ser 0 ou 1",IF(AND(H823=1,LEN(TRIM(I823))=0),"Preencher nome do indicante",IF(AND(H823&lt;&gt;1,I823&lt;&gt;""),"Nome sem indicação interna",IF(AND(G823=1,F823=""),"Fechamento sem conversa",IF(OR(AND(E823&lt;&gt;"",E823&lt;B823),AND(F823&lt;&gt;"",F823&lt;B823)),"Evento anterior à entrada",IF(AND(F823&lt;&gt;"",E823=""),"Conversa sem agendamento",IF(OR(E823&gt;TODAY(),F823&gt;TODAY()),"Verificar evento futuro","OK"))))))))))</f>
        <v/>
      </c>
    </row>
    <row r="824" spans="12:15">
      <c r="L824" s="5">
        <f>IF(OR(A824="",B824=""),"",B824-WEEKDAY(B824,2)+1)</f>
        <v/>
      </c>
      <c r="M824" s="5">
        <f>IF(L824="","",L824+6)</f>
        <v/>
      </c>
      <c r="N824" s="6">
        <f>IF(OR(A824="",B824=""),"",DATE(YEAR(B824),MONTH(B824),1))</f>
        <v/>
      </c>
      <c r="O824" s="7">
        <f>IF(COUNTA(A824:K824)=0,"",IF(OR(A824="",B824=""),"Preencher CPF e entrada",IF(COUNTIFS($A$12:$A$5011,A824,$B$12:$B$5011,B824)&gt;1,"CPF + dia duplicado",IF(OR(AND(G824&lt;&gt;"",G824&lt;&gt;0,G824&lt;&gt;1),AND(H824&lt;&gt;"",H824&lt;&gt;0,H824&lt;&gt;1)),"Flags devem ser 0 ou 1",IF(AND(H824=1,LEN(TRIM(I824))=0),"Preencher nome do indicante",IF(AND(H824&lt;&gt;1,I824&lt;&gt;""),"Nome sem indicação interna",IF(AND(G824=1,F824=""),"Fechamento sem conversa",IF(OR(AND(E824&lt;&gt;"",E824&lt;B824),AND(F824&lt;&gt;"",F824&lt;B824)),"Evento anterior à entrada",IF(AND(F824&lt;&gt;"",E824=""),"Conversa sem agendamento",IF(OR(E824&gt;TODAY(),F824&gt;TODAY()),"Verificar evento futuro","OK"))))))))))</f>
        <v/>
      </c>
    </row>
    <row r="825" spans="12:15">
      <c r="L825" s="5">
        <f>IF(OR(A825="",B825=""),"",B825-WEEKDAY(B825,2)+1)</f>
        <v/>
      </c>
      <c r="M825" s="5">
        <f>IF(L825="","",L825+6)</f>
        <v/>
      </c>
      <c r="N825" s="6">
        <f>IF(OR(A825="",B825=""),"",DATE(YEAR(B825),MONTH(B825),1))</f>
        <v/>
      </c>
      <c r="O825" s="7">
        <f>IF(COUNTA(A825:K825)=0,"",IF(OR(A825="",B825=""),"Preencher CPF e entrada",IF(COUNTIFS($A$12:$A$5011,A825,$B$12:$B$5011,B825)&gt;1,"CPF + dia duplicado",IF(OR(AND(G825&lt;&gt;"",G825&lt;&gt;0,G825&lt;&gt;1),AND(H825&lt;&gt;"",H825&lt;&gt;0,H825&lt;&gt;1)),"Flags devem ser 0 ou 1",IF(AND(H825=1,LEN(TRIM(I825))=0),"Preencher nome do indicante",IF(AND(H825&lt;&gt;1,I825&lt;&gt;""),"Nome sem indicação interna",IF(AND(G825=1,F825=""),"Fechamento sem conversa",IF(OR(AND(E825&lt;&gt;"",E825&lt;B825),AND(F825&lt;&gt;"",F825&lt;B825)),"Evento anterior à entrada",IF(AND(F825&lt;&gt;"",E825=""),"Conversa sem agendamento",IF(OR(E825&gt;TODAY(),F825&gt;TODAY()),"Verificar evento futuro","OK"))))))))))</f>
        <v/>
      </c>
    </row>
    <row r="826" spans="12:15">
      <c r="L826" s="5">
        <f>IF(OR(A826="",B826=""),"",B826-WEEKDAY(B826,2)+1)</f>
        <v/>
      </c>
      <c r="M826" s="5">
        <f>IF(L826="","",L826+6)</f>
        <v/>
      </c>
      <c r="N826" s="6">
        <f>IF(OR(A826="",B826=""),"",DATE(YEAR(B826),MONTH(B826),1))</f>
        <v/>
      </c>
      <c r="O826" s="7">
        <f>IF(COUNTA(A826:K826)=0,"",IF(OR(A826="",B826=""),"Preencher CPF e entrada",IF(COUNTIFS($A$12:$A$5011,A826,$B$12:$B$5011,B826)&gt;1,"CPF + dia duplicado",IF(OR(AND(G826&lt;&gt;"",G826&lt;&gt;0,G826&lt;&gt;1),AND(H826&lt;&gt;"",H826&lt;&gt;0,H826&lt;&gt;1)),"Flags devem ser 0 ou 1",IF(AND(H826=1,LEN(TRIM(I826))=0),"Preencher nome do indicante",IF(AND(H826&lt;&gt;1,I826&lt;&gt;""),"Nome sem indicação interna",IF(AND(G826=1,F826=""),"Fechamento sem conversa",IF(OR(AND(E826&lt;&gt;"",E826&lt;B826),AND(F826&lt;&gt;"",F826&lt;B826)),"Evento anterior à entrada",IF(AND(F826&lt;&gt;"",E826=""),"Conversa sem agendamento",IF(OR(E826&gt;TODAY(),F826&gt;TODAY()),"Verificar evento futuro","OK"))))))))))</f>
        <v/>
      </c>
    </row>
    <row r="827" spans="12:15">
      <c r="L827" s="5">
        <f>IF(OR(A827="",B827=""),"",B827-WEEKDAY(B827,2)+1)</f>
        <v/>
      </c>
      <c r="M827" s="5">
        <f>IF(L827="","",L827+6)</f>
        <v/>
      </c>
      <c r="N827" s="6">
        <f>IF(OR(A827="",B827=""),"",DATE(YEAR(B827),MONTH(B827),1))</f>
        <v/>
      </c>
      <c r="O827" s="7">
        <f>IF(COUNTA(A827:K827)=0,"",IF(OR(A827="",B827=""),"Preencher CPF e entrada",IF(COUNTIFS($A$12:$A$5011,A827,$B$12:$B$5011,B827)&gt;1,"CPF + dia duplicado",IF(OR(AND(G827&lt;&gt;"",G827&lt;&gt;0,G827&lt;&gt;1),AND(H827&lt;&gt;"",H827&lt;&gt;0,H827&lt;&gt;1)),"Flags devem ser 0 ou 1",IF(AND(H827=1,LEN(TRIM(I827))=0),"Preencher nome do indicante",IF(AND(H827&lt;&gt;1,I827&lt;&gt;""),"Nome sem indicação interna",IF(AND(G827=1,F827=""),"Fechamento sem conversa",IF(OR(AND(E827&lt;&gt;"",E827&lt;B827),AND(F827&lt;&gt;"",F827&lt;B827)),"Evento anterior à entrada",IF(AND(F827&lt;&gt;"",E827=""),"Conversa sem agendamento",IF(OR(E827&gt;TODAY(),F827&gt;TODAY()),"Verificar evento futuro","OK"))))))))))</f>
        <v/>
      </c>
    </row>
    <row r="828" spans="12:15">
      <c r="L828" s="5">
        <f>IF(OR(A828="",B828=""),"",B828-WEEKDAY(B828,2)+1)</f>
        <v/>
      </c>
      <c r="M828" s="5">
        <f>IF(L828="","",L828+6)</f>
        <v/>
      </c>
      <c r="N828" s="6">
        <f>IF(OR(A828="",B828=""),"",DATE(YEAR(B828),MONTH(B828),1))</f>
        <v/>
      </c>
      <c r="O828" s="7">
        <f>IF(COUNTA(A828:K828)=0,"",IF(OR(A828="",B828=""),"Preencher CPF e entrada",IF(COUNTIFS($A$12:$A$5011,A828,$B$12:$B$5011,B828)&gt;1,"CPF + dia duplicado",IF(OR(AND(G828&lt;&gt;"",G828&lt;&gt;0,G828&lt;&gt;1),AND(H828&lt;&gt;"",H828&lt;&gt;0,H828&lt;&gt;1)),"Flags devem ser 0 ou 1",IF(AND(H828=1,LEN(TRIM(I828))=0),"Preencher nome do indicante",IF(AND(H828&lt;&gt;1,I828&lt;&gt;""),"Nome sem indicação interna",IF(AND(G828=1,F828=""),"Fechamento sem conversa",IF(OR(AND(E828&lt;&gt;"",E828&lt;B828),AND(F828&lt;&gt;"",F828&lt;B828)),"Evento anterior à entrada",IF(AND(F828&lt;&gt;"",E828=""),"Conversa sem agendamento",IF(OR(E828&gt;TODAY(),F828&gt;TODAY()),"Verificar evento futuro","OK"))))))))))</f>
        <v/>
      </c>
    </row>
    <row r="829" spans="12:15">
      <c r="L829" s="5">
        <f>IF(OR(A829="",B829=""),"",B829-WEEKDAY(B829,2)+1)</f>
        <v/>
      </c>
      <c r="M829" s="5">
        <f>IF(L829="","",L829+6)</f>
        <v/>
      </c>
      <c r="N829" s="6">
        <f>IF(OR(A829="",B829=""),"",DATE(YEAR(B829),MONTH(B829),1))</f>
        <v/>
      </c>
      <c r="O829" s="7">
        <f>IF(COUNTA(A829:K829)=0,"",IF(OR(A829="",B829=""),"Preencher CPF e entrada",IF(COUNTIFS($A$12:$A$5011,A829,$B$12:$B$5011,B829)&gt;1,"CPF + dia duplicado",IF(OR(AND(G829&lt;&gt;"",G829&lt;&gt;0,G829&lt;&gt;1),AND(H829&lt;&gt;"",H829&lt;&gt;0,H829&lt;&gt;1)),"Flags devem ser 0 ou 1",IF(AND(H829=1,LEN(TRIM(I829))=0),"Preencher nome do indicante",IF(AND(H829&lt;&gt;1,I829&lt;&gt;""),"Nome sem indicação interna",IF(AND(G829=1,F829=""),"Fechamento sem conversa",IF(OR(AND(E829&lt;&gt;"",E829&lt;B829),AND(F829&lt;&gt;"",F829&lt;B829)),"Evento anterior à entrada",IF(AND(F829&lt;&gt;"",E829=""),"Conversa sem agendamento",IF(OR(E829&gt;TODAY(),F829&gt;TODAY()),"Verificar evento futuro","OK"))))))))))</f>
        <v/>
      </c>
    </row>
    <row r="830" spans="12:15">
      <c r="L830" s="5">
        <f>IF(OR(A830="",B830=""),"",B830-WEEKDAY(B830,2)+1)</f>
        <v/>
      </c>
      <c r="M830" s="5">
        <f>IF(L830="","",L830+6)</f>
        <v/>
      </c>
      <c r="N830" s="6">
        <f>IF(OR(A830="",B830=""),"",DATE(YEAR(B830),MONTH(B830),1))</f>
        <v/>
      </c>
      <c r="O830" s="7">
        <f>IF(COUNTA(A830:K830)=0,"",IF(OR(A830="",B830=""),"Preencher CPF e entrada",IF(COUNTIFS($A$12:$A$5011,A830,$B$12:$B$5011,B830)&gt;1,"CPF + dia duplicado",IF(OR(AND(G830&lt;&gt;"",G830&lt;&gt;0,G830&lt;&gt;1),AND(H830&lt;&gt;"",H830&lt;&gt;0,H830&lt;&gt;1)),"Flags devem ser 0 ou 1",IF(AND(H830=1,LEN(TRIM(I830))=0),"Preencher nome do indicante",IF(AND(H830&lt;&gt;1,I830&lt;&gt;""),"Nome sem indicação interna",IF(AND(G830=1,F830=""),"Fechamento sem conversa",IF(OR(AND(E830&lt;&gt;"",E830&lt;B830),AND(F830&lt;&gt;"",F830&lt;B830)),"Evento anterior à entrada",IF(AND(F830&lt;&gt;"",E830=""),"Conversa sem agendamento",IF(OR(E830&gt;TODAY(),F830&gt;TODAY()),"Verificar evento futuro","OK"))))))))))</f>
        <v/>
      </c>
    </row>
    <row r="831" spans="12:15">
      <c r="L831" s="5">
        <f>IF(OR(A831="",B831=""),"",B831-WEEKDAY(B831,2)+1)</f>
        <v/>
      </c>
      <c r="M831" s="5">
        <f>IF(L831="","",L831+6)</f>
        <v/>
      </c>
      <c r="N831" s="6">
        <f>IF(OR(A831="",B831=""),"",DATE(YEAR(B831),MONTH(B831),1))</f>
        <v/>
      </c>
      <c r="O831" s="7">
        <f>IF(COUNTA(A831:K831)=0,"",IF(OR(A831="",B831=""),"Preencher CPF e entrada",IF(COUNTIFS($A$12:$A$5011,A831,$B$12:$B$5011,B831)&gt;1,"CPF + dia duplicado",IF(OR(AND(G831&lt;&gt;"",G831&lt;&gt;0,G831&lt;&gt;1),AND(H831&lt;&gt;"",H831&lt;&gt;0,H831&lt;&gt;1)),"Flags devem ser 0 ou 1",IF(AND(H831=1,LEN(TRIM(I831))=0),"Preencher nome do indicante",IF(AND(H831&lt;&gt;1,I831&lt;&gt;""),"Nome sem indicação interna",IF(AND(G831=1,F831=""),"Fechamento sem conversa",IF(OR(AND(E831&lt;&gt;"",E831&lt;B831),AND(F831&lt;&gt;"",F831&lt;B831)),"Evento anterior à entrada",IF(AND(F831&lt;&gt;"",E831=""),"Conversa sem agendamento",IF(OR(E831&gt;TODAY(),F831&gt;TODAY()),"Verificar evento futuro","OK"))))))))))</f>
        <v/>
      </c>
    </row>
    <row r="832" spans="12:15">
      <c r="L832" s="5">
        <f>IF(OR(A832="",B832=""),"",B832-WEEKDAY(B832,2)+1)</f>
        <v/>
      </c>
      <c r="M832" s="5">
        <f>IF(L832="","",L832+6)</f>
        <v/>
      </c>
      <c r="N832" s="6">
        <f>IF(OR(A832="",B832=""),"",DATE(YEAR(B832),MONTH(B832),1))</f>
        <v/>
      </c>
      <c r="O832" s="7">
        <f>IF(COUNTA(A832:K832)=0,"",IF(OR(A832="",B832=""),"Preencher CPF e entrada",IF(COUNTIFS($A$12:$A$5011,A832,$B$12:$B$5011,B832)&gt;1,"CPF + dia duplicado",IF(OR(AND(G832&lt;&gt;"",G832&lt;&gt;0,G832&lt;&gt;1),AND(H832&lt;&gt;"",H832&lt;&gt;0,H832&lt;&gt;1)),"Flags devem ser 0 ou 1",IF(AND(H832=1,LEN(TRIM(I832))=0),"Preencher nome do indicante",IF(AND(H832&lt;&gt;1,I832&lt;&gt;""),"Nome sem indicação interna",IF(AND(G832=1,F832=""),"Fechamento sem conversa",IF(OR(AND(E832&lt;&gt;"",E832&lt;B832),AND(F832&lt;&gt;"",F832&lt;B832)),"Evento anterior à entrada",IF(AND(F832&lt;&gt;"",E832=""),"Conversa sem agendamento",IF(OR(E832&gt;TODAY(),F832&gt;TODAY()),"Verificar evento futuro","OK"))))))))))</f>
        <v/>
      </c>
    </row>
    <row r="833" spans="12:15">
      <c r="L833" s="5">
        <f>IF(OR(A833="",B833=""),"",B833-WEEKDAY(B833,2)+1)</f>
        <v/>
      </c>
      <c r="M833" s="5">
        <f>IF(L833="","",L833+6)</f>
        <v/>
      </c>
      <c r="N833" s="6">
        <f>IF(OR(A833="",B833=""),"",DATE(YEAR(B833),MONTH(B833),1))</f>
        <v/>
      </c>
      <c r="O833" s="7">
        <f>IF(COUNTA(A833:K833)=0,"",IF(OR(A833="",B833=""),"Preencher CPF e entrada",IF(COUNTIFS($A$12:$A$5011,A833,$B$12:$B$5011,B833)&gt;1,"CPF + dia duplicado",IF(OR(AND(G833&lt;&gt;"",G833&lt;&gt;0,G833&lt;&gt;1),AND(H833&lt;&gt;"",H833&lt;&gt;0,H833&lt;&gt;1)),"Flags devem ser 0 ou 1",IF(AND(H833=1,LEN(TRIM(I833))=0),"Preencher nome do indicante",IF(AND(H833&lt;&gt;1,I833&lt;&gt;""),"Nome sem indicação interna",IF(AND(G833=1,F833=""),"Fechamento sem conversa",IF(OR(AND(E833&lt;&gt;"",E833&lt;B833),AND(F833&lt;&gt;"",F833&lt;B833)),"Evento anterior à entrada",IF(AND(F833&lt;&gt;"",E833=""),"Conversa sem agendamento",IF(OR(E833&gt;TODAY(),F833&gt;TODAY()),"Verificar evento futuro","OK"))))))))))</f>
        <v/>
      </c>
    </row>
    <row r="834" spans="12:15">
      <c r="L834" s="5">
        <f>IF(OR(A834="",B834=""),"",B834-WEEKDAY(B834,2)+1)</f>
        <v/>
      </c>
      <c r="M834" s="5">
        <f>IF(L834="","",L834+6)</f>
        <v/>
      </c>
      <c r="N834" s="6">
        <f>IF(OR(A834="",B834=""),"",DATE(YEAR(B834),MONTH(B834),1))</f>
        <v/>
      </c>
      <c r="O834" s="7">
        <f>IF(COUNTA(A834:K834)=0,"",IF(OR(A834="",B834=""),"Preencher CPF e entrada",IF(COUNTIFS($A$12:$A$5011,A834,$B$12:$B$5011,B834)&gt;1,"CPF + dia duplicado",IF(OR(AND(G834&lt;&gt;"",G834&lt;&gt;0,G834&lt;&gt;1),AND(H834&lt;&gt;"",H834&lt;&gt;0,H834&lt;&gt;1)),"Flags devem ser 0 ou 1",IF(AND(H834=1,LEN(TRIM(I834))=0),"Preencher nome do indicante",IF(AND(H834&lt;&gt;1,I834&lt;&gt;""),"Nome sem indicação interna",IF(AND(G834=1,F834=""),"Fechamento sem conversa",IF(OR(AND(E834&lt;&gt;"",E834&lt;B834),AND(F834&lt;&gt;"",F834&lt;B834)),"Evento anterior à entrada",IF(AND(F834&lt;&gt;"",E834=""),"Conversa sem agendamento",IF(OR(E834&gt;TODAY(),F834&gt;TODAY()),"Verificar evento futuro","OK"))))))))))</f>
        <v/>
      </c>
    </row>
    <row r="835" spans="12:15">
      <c r="L835" s="5">
        <f>IF(OR(A835="",B835=""),"",B835-WEEKDAY(B835,2)+1)</f>
        <v/>
      </c>
      <c r="M835" s="5">
        <f>IF(L835="","",L835+6)</f>
        <v/>
      </c>
      <c r="N835" s="6">
        <f>IF(OR(A835="",B835=""),"",DATE(YEAR(B835),MONTH(B835),1))</f>
        <v/>
      </c>
      <c r="O835" s="7">
        <f>IF(COUNTA(A835:K835)=0,"",IF(OR(A835="",B835=""),"Preencher CPF e entrada",IF(COUNTIFS($A$12:$A$5011,A835,$B$12:$B$5011,B835)&gt;1,"CPF + dia duplicado",IF(OR(AND(G835&lt;&gt;"",G835&lt;&gt;0,G835&lt;&gt;1),AND(H835&lt;&gt;"",H835&lt;&gt;0,H835&lt;&gt;1)),"Flags devem ser 0 ou 1",IF(AND(H835=1,LEN(TRIM(I835))=0),"Preencher nome do indicante",IF(AND(H835&lt;&gt;1,I835&lt;&gt;""),"Nome sem indicação interna",IF(AND(G835=1,F835=""),"Fechamento sem conversa",IF(OR(AND(E835&lt;&gt;"",E835&lt;B835),AND(F835&lt;&gt;"",F835&lt;B835)),"Evento anterior à entrada",IF(AND(F835&lt;&gt;"",E835=""),"Conversa sem agendamento",IF(OR(E835&gt;TODAY(),F835&gt;TODAY()),"Verificar evento futuro","OK"))))))))))</f>
        <v/>
      </c>
    </row>
    <row r="836" spans="12:15">
      <c r="L836" s="5">
        <f>IF(OR(A836="",B836=""),"",B836-WEEKDAY(B836,2)+1)</f>
        <v/>
      </c>
      <c r="M836" s="5">
        <f>IF(L836="","",L836+6)</f>
        <v/>
      </c>
      <c r="N836" s="6">
        <f>IF(OR(A836="",B836=""),"",DATE(YEAR(B836),MONTH(B836),1))</f>
        <v/>
      </c>
      <c r="O836" s="7">
        <f>IF(COUNTA(A836:K836)=0,"",IF(OR(A836="",B836=""),"Preencher CPF e entrada",IF(COUNTIFS($A$12:$A$5011,A836,$B$12:$B$5011,B836)&gt;1,"CPF + dia duplicado",IF(OR(AND(G836&lt;&gt;"",G836&lt;&gt;0,G836&lt;&gt;1),AND(H836&lt;&gt;"",H836&lt;&gt;0,H836&lt;&gt;1)),"Flags devem ser 0 ou 1",IF(AND(H836=1,LEN(TRIM(I836))=0),"Preencher nome do indicante",IF(AND(H836&lt;&gt;1,I836&lt;&gt;""),"Nome sem indicação interna",IF(AND(G836=1,F836=""),"Fechamento sem conversa",IF(OR(AND(E836&lt;&gt;"",E836&lt;B836),AND(F836&lt;&gt;"",F836&lt;B836)),"Evento anterior à entrada",IF(AND(F836&lt;&gt;"",E836=""),"Conversa sem agendamento",IF(OR(E836&gt;TODAY(),F836&gt;TODAY()),"Verificar evento futuro","OK"))))))))))</f>
        <v/>
      </c>
    </row>
    <row r="837" spans="12:15">
      <c r="L837" s="5">
        <f>IF(OR(A837="",B837=""),"",B837-WEEKDAY(B837,2)+1)</f>
        <v/>
      </c>
      <c r="M837" s="5">
        <f>IF(L837="","",L837+6)</f>
        <v/>
      </c>
      <c r="N837" s="6">
        <f>IF(OR(A837="",B837=""),"",DATE(YEAR(B837),MONTH(B837),1))</f>
        <v/>
      </c>
      <c r="O837" s="7">
        <f>IF(COUNTA(A837:K837)=0,"",IF(OR(A837="",B837=""),"Preencher CPF e entrada",IF(COUNTIFS($A$12:$A$5011,A837,$B$12:$B$5011,B837)&gt;1,"CPF + dia duplicado",IF(OR(AND(G837&lt;&gt;"",G837&lt;&gt;0,G837&lt;&gt;1),AND(H837&lt;&gt;"",H837&lt;&gt;0,H837&lt;&gt;1)),"Flags devem ser 0 ou 1",IF(AND(H837=1,LEN(TRIM(I837))=0),"Preencher nome do indicante",IF(AND(H837&lt;&gt;1,I837&lt;&gt;""),"Nome sem indicação interna",IF(AND(G837=1,F837=""),"Fechamento sem conversa",IF(OR(AND(E837&lt;&gt;"",E837&lt;B837),AND(F837&lt;&gt;"",F837&lt;B837)),"Evento anterior à entrada",IF(AND(F837&lt;&gt;"",E837=""),"Conversa sem agendamento",IF(OR(E837&gt;TODAY(),F837&gt;TODAY()),"Verificar evento futuro","OK"))))))))))</f>
        <v/>
      </c>
    </row>
    <row r="838" spans="12:15">
      <c r="L838" s="5">
        <f>IF(OR(A838="",B838=""),"",B838-WEEKDAY(B838,2)+1)</f>
        <v/>
      </c>
      <c r="M838" s="5">
        <f>IF(L838="","",L838+6)</f>
        <v/>
      </c>
      <c r="N838" s="6">
        <f>IF(OR(A838="",B838=""),"",DATE(YEAR(B838),MONTH(B838),1))</f>
        <v/>
      </c>
      <c r="O838" s="7">
        <f>IF(COUNTA(A838:K838)=0,"",IF(OR(A838="",B838=""),"Preencher CPF e entrada",IF(COUNTIFS($A$12:$A$5011,A838,$B$12:$B$5011,B838)&gt;1,"CPF + dia duplicado",IF(OR(AND(G838&lt;&gt;"",G838&lt;&gt;0,G838&lt;&gt;1),AND(H838&lt;&gt;"",H838&lt;&gt;0,H838&lt;&gt;1)),"Flags devem ser 0 ou 1",IF(AND(H838=1,LEN(TRIM(I838))=0),"Preencher nome do indicante",IF(AND(H838&lt;&gt;1,I838&lt;&gt;""),"Nome sem indicação interna",IF(AND(G838=1,F838=""),"Fechamento sem conversa",IF(OR(AND(E838&lt;&gt;"",E838&lt;B838),AND(F838&lt;&gt;"",F838&lt;B838)),"Evento anterior à entrada",IF(AND(F838&lt;&gt;"",E838=""),"Conversa sem agendamento",IF(OR(E838&gt;TODAY(),F838&gt;TODAY()),"Verificar evento futuro","OK"))))))))))</f>
        <v/>
      </c>
    </row>
    <row r="839" spans="12:15">
      <c r="L839" s="5">
        <f>IF(OR(A839="",B839=""),"",B839-WEEKDAY(B839,2)+1)</f>
        <v/>
      </c>
      <c r="M839" s="5">
        <f>IF(L839="","",L839+6)</f>
        <v/>
      </c>
      <c r="N839" s="6">
        <f>IF(OR(A839="",B839=""),"",DATE(YEAR(B839),MONTH(B839),1))</f>
        <v/>
      </c>
      <c r="O839" s="7">
        <f>IF(COUNTA(A839:K839)=0,"",IF(OR(A839="",B839=""),"Preencher CPF e entrada",IF(COUNTIFS($A$12:$A$5011,A839,$B$12:$B$5011,B839)&gt;1,"CPF + dia duplicado",IF(OR(AND(G839&lt;&gt;"",G839&lt;&gt;0,G839&lt;&gt;1),AND(H839&lt;&gt;"",H839&lt;&gt;0,H839&lt;&gt;1)),"Flags devem ser 0 ou 1",IF(AND(H839=1,LEN(TRIM(I839))=0),"Preencher nome do indicante",IF(AND(H839&lt;&gt;1,I839&lt;&gt;""),"Nome sem indicação interna",IF(AND(G839=1,F839=""),"Fechamento sem conversa",IF(OR(AND(E839&lt;&gt;"",E839&lt;B839),AND(F839&lt;&gt;"",F839&lt;B839)),"Evento anterior à entrada",IF(AND(F839&lt;&gt;"",E839=""),"Conversa sem agendamento",IF(OR(E839&gt;TODAY(),F839&gt;TODAY()),"Verificar evento futuro","OK"))))))))))</f>
        <v/>
      </c>
    </row>
    <row r="840" spans="12:15">
      <c r="L840" s="5">
        <f>IF(OR(A840="",B840=""),"",B840-WEEKDAY(B840,2)+1)</f>
        <v/>
      </c>
      <c r="M840" s="5">
        <f>IF(L840="","",L840+6)</f>
        <v/>
      </c>
      <c r="N840" s="6">
        <f>IF(OR(A840="",B840=""),"",DATE(YEAR(B840),MONTH(B840),1))</f>
        <v/>
      </c>
      <c r="O840" s="7">
        <f>IF(COUNTA(A840:K840)=0,"",IF(OR(A840="",B840=""),"Preencher CPF e entrada",IF(COUNTIFS($A$12:$A$5011,A840,$B$12:$B$5011,B840)&gt;1,"CPF + dia duplicado",IF(OR(AND(G840&lt;&gt;"",G840&lt;&gt;0,G840&lt;&gt;1),AND(H840&lt;&gt;"",H840&lt;&gt;0,H840&lt;&gt;1)),"Flags devem ser 0 ou 1",IF(AND(H840=1,LEN(TRIM(I840))=0),"Preencher nome do indicante",IF(AND(H840&lt;&gt;1,I840&lt;&gt;""),"Nome sem indicação interna",IF(AND(G840=1,F840=""),"Fechamento sem conversa",IF(OR(AND(E840&lt;&gt;"",E840&lt;B840),AND(F840&lt;&gt;"",F840&lt;B840)),"Evento anterior à entrada",IF(AND(F840&lt;&gt;"",E840=""),"Conversa sem agendamento",IF(OR(E840&gt;TODAY(),F840&gt;TODAY()),"Verificar evento futuro","OK"))))))))))</f>
        <v/>
      </c>
    </row>
    <row r="841" spans="12:15">
      <c r="L841" s="5">
        <f>IF(OR(A841="",B841=""),"",B841-WEEKDAY(B841,2)+1)</f>
        <v/>
      </c>
      <c r="M841" s="5">
        <f>IF(L841="","",L841+6)</f>
        <v/>
      </c>
      <c r="N841" s="6">
        <f>IF(OR(A841="",B841=""),"",DATE(YEAR(B841),MONTH(B841),1))</f>
        <v/>
      </c>
      <c r="O841" s="7">
        <f>IF(COUNTA(A841:K841)=0,"",IF(OR(A841="",B841=""),"Preencher CPF e entrada",IF(COUNTIFS($A$12:$A$5011,A841,$B$12:$B$5011,B841)&gt;1,"CPF + dia duplicado",IF(OR(AND(G841&lt;&gt;"",G841&lt;&gt;0,G841&lt;&gt;1),AND(H841&lt;&gt;"",H841&lt;&gt;0,H841&lt;&gt;1)),"Flags devem ser 0 ou 1",IF(AND(H841=1,LEN(TRIM(I841))=0),"Preencher nome do indicante",IF(AND(H841&lt;&gt;1,I841&lt;&gt;""),"Nome sem indicação interna",IF(AND(G841=1,F841=""),"Fechamento sem conversa",IF(OR(AND(E841&lt;&gt;"",E841&lt;B841),AND(F841&lt;&gt;"",F841&lt;B841)),"Evento anterior à entrada",IF(AND(F841&lt;&gt;"",E841=""),"Conversa sem agendamento",IF(OR(E841&gt;TODAY(),F841&gt;TODAY()),"Verificar evento futuro","OK"))))))))))</f>
        <v/>
      </c>
    </row>
    <row r="842" spans="12:15">
      <c r="L842" s="5">
        <f>IF(OR(A842="",B842=""),"",B842-WEEKDAY(B842,2)+1)</f>
        <v/>
      </c>
      <c r="M842" s="5">
        <f>IF(L842="","",L842+6)</f>
        <v/>
      </c>
      <c r="N842" s="6">
        <f>IF(OR(A842="",B842=""),"",DATE(YEAR(B842),MONTH(B842),1))</f>
        <v/>
      </c>
      <c r="O842" s="7">
        <f>IF(COUNTA(A842:K842)=0,"",IF(OR(A842="",B842=""),"Preencher CPF e entrada",IF(COUNTIFS($A$12:$A$5011,A842,$B$12:$B$5011,B842)&gt;1,"CPF + dia duplicado",IF(OR(AND(G842&lt;&gt;"",G842&lt;&gt;0,G842&lt;&gt;1),AND(H842&lt;&gt;"",H842&lt;&gt;0,H842&lt;&gt;1)),"Flags devem ser 0 ou 1",IF(AND(H842=1,LEN(TRIM(I842))=0),"Preencher nome do indicante",IF(AND(H842&lt;&gt;1,I842&lt;&gt;""),"Nome sem indicação interna",IF(AND(G842=1,F842=""),"Fechamento sem conversa",IF(OR(AND(E842&lt;&gt;"",E842&lt;B842),AND(F842&lt;&gt;"",F842&lt;B842)),"Evento anterior à entrada",IF(AND(F842&lt;&gt;"",E842=""),"Conversa sem agendamento",IF(OR(E842&gt;TODAY(),F842&gt;TODAY()),"Verificar evento futuro","OK"))))))))))</f>
        <v/>
      </c>
    </row>
    <row r="843" spans="12:15">
      <c r="L843" s="5">
        <f>IF(OR(A843="",B843=""),"",B843-WEEKDAY(B843,2)+1)</f>
        <v/>
      </c>
      <c r="M843" s="5">
        <f>IF(L843="","",L843+6)</f>
        <v/>
      </c>
      <c r="N843" s="6">
        <f>IF(OR(A843="",B843=""),"",DATE(YEAR(B843),MONTH(B843),1))</f>
        <v/>
      </c>
      <c r="O843" s="7">
        <f>IF(COUNTA(A843:K843)=0,"",IF(OR(A843="",B843=""),"Preencher CPF e entrada",IF(COUNTIFS($A$12:$A$5011,A843,$B$12:$B$5011,B843)&gt;1,"CPF + dia duplicado",IF(OR(AND(G843&lt;&gt;"",G843&lt;&gt;0,G843&lt;&gt;1),AND(H843&lt;&gt;"",H843&lt;&gt;0,H843&lt;&gt;1)),"Flags devem ser 0 ou 1",IF(AND(H843=1,LEN(TRIM(I843))=0),"Preencher nome do indicante",IF(AND(H843&lt;&gt;1,I843&lt;&gt;""),"Nome sem indicação interna",IF(AND(G843=1,F843=""),"Fechamento sem conversa",IF(OR(AND(E843&lt;&gt;"",E843&lt;B843),AND(F843&lt;&gt;"",F843&lt;B843)),"Evento anterior à entrada",IF(AND(F843&lt;&gt;"",E843=""),"Conversa sem agendamento",IF(OR(E843&gt;TODAY(),F843&gt;TODAY()),"Verificar evento futuro","OK"))))))))))</f>
        <v/>
      </c>
    </row>
    <row r="844" spans="12:15">
      <c r="L844" s="5">
        <f>IF(OR(A844="",B844=""),"",B844-WEEKDAY(B844,2)+1)</f>
        <v/>
      </c>
      <c r="M844" s="5">
        <f>IF(L844="","",L844+6)</f>
        <v/>
      </c>
      <c r="N844" s="6">
        <f>IF(OR(A844="",B844=""),"",DATE(YEAR(B844),MONTH(B844),1))</f>
        <v/>
      </c>
      <c r="O844" s="7">
        <f>IF(COUNTA(A844:K844)=0,"",IF(OR(A844="",B844=""),"Preencher CPF e entrada",IF(COUNTIFS($A$12:$A$5011,A844,$B$12:$B$5011,B844)&gt;1,"CPF + dia duplicado",IF(OR(AND(G844&lt;&gt;"",G844&lt;&gt;0,G844&lt;&gt;1),AND(H844&lt;&gt;"",H844&lt;&gt;0,H844&lt;&gt;1)),"Flags devem ser 0 ou 1",IF(AND(H844=1,LEN(TRIM(I844))=0),"Preencher nome do indicante",IF(AND(H844&lt;&gt;1,I844&lt;&gt;""),"Nome sem indicação interna",IF(AND(G844=1,F844=""),"Fechamento sem conversa",IF(OR(AND(E844&lt;&gt;"",E844&lt;B844),AND(F844&lt;&gt;"",F844&lt;B844)),"Evento anterior à entrada",IF(AND(F844&lt;&gt;"",E844=""),"Conversa sem agendamento",IF(OR(E844&gt;TODAY(),F844&gt;TODAY()),"Verificar evento futuro","OK"))))))))))</f>
        <v/>
      </c>
    </row>
    <row r="845" spans="12:15">
      <c r="L845" s="5">
        <f>IF(OR(A845="",B845=""),"",B845-WEEKDAY(B845,2)+1)</f>
        <v/>
      </c>
      <c r="M845" s="5">
        <f>IF(L845="","",L845+6)</f>
        <v/>
      </c>
      <c r="N845" s="6">
        <f>IF(OR(A845="",B845=""),"",DATE(YEAR(B845),MONTH(B845),1))</f>
        <v/>
      </c>
      <c r="O845" s="7">
        <f>IF(COUNTA(A845:K845)=0,"",IF(OR(A845="",B845=""),"Preencher CPF e entrada",IF(COUNTIFS($A$12:$A$5011,A845,$B$12:$B$5011,B845)&gt;1,"CPF + dia duplicado",IF(OR(AND(G845&lt;&gt;"",G845&lt;&gt;0,G845&lt;&gt;1),AND(H845&lt;&gt;"",H845&lt;&gt;0,H845&lt;&gt;1)),"Flags devem ser 0 ou 1",IF(AND(H845=1,LEN(TRIM(I845))=0),"Preencher nome do indicante",IF(AND(H845&lt;&gt;1,I845&lt;&gt;""),"Nome sem indicação interna",IF(AND(G845=1,F845=""),"Fechamento sem conversa",IF(OR(AND(E845&lt;&gt;"",E845&lt;B845),AND(F845&lt;&gt;"",F845&lt;B845)),"Evento anterior à entrada",IF(AND(F845&lt;&gt;"",E845=""),"Conversa sem agendamento",IF(OR(E845&gt;TODAY(),F845&gt;TODAY()),"Verificar evento futuro","OK"))))))))))</f>
        <v/>
      </c>
    </row>
    <row r="846" spans="12:15">
      <c r="L846" s="5">
        <f>IF(OR(A846="",B846=""),"",B846-WEEKDAY(B846,2)+1)</f>
        <v/>
      </c>
      <c r="M846" s="5">
        <f>IF(L846="","",L846+6)</f>
        <v/>
      </c>
      <c r="N846" s="6">
        <f>IF(OR(A846="",B846=""),"",DATE(YEAR(B846),MONTH(B846),1))</f>
        <v/>
      </c>
      <c r="O846" s="7">
        <f>IF(COUNTA(A846:K846)=0,"",IF(OR(A846="",B846=""),"Preencher CPF e entrada",IF(COUNTIFS($A$12:$A$5011,A846,$B$12:$B$5011,B846)&gt;1,"CPF + dia duplicado",IF(OR(AND(G846&lt;&gt;"",G846&lt;&gt;0,G846&lt;&gt;1),AND(H846&lt;&gt;"",H846&lt;&gt;0,H846&lt;&gt;1)),"Flags devem ser 0 ou 1",IF(AND(H846=1,LEN(TRIM(I846))=0),"Preencher nome do indicante",IF(AND(H846&lt;&gt;1,I846&lt;&gt;""),"Nome sem indicação interna",IF(AND(G846=1,F846=""),"Fechamento sem conversa",IF(OR(AND(E846&lt;&gt;"",E846&lt;B846),AND(F846&lt;&gt;"",F846&lt;B846)),"Evento anterior à entrada",IF(AND(F846&lt;&gt;"",E846=""),"Conversa sem agendamento",IF(OR(E846&gt;TODAY(),F846&gt;TODAY()),"Verificar evento futuro","OK"))))))))))</f>
        <v/>
      </c>
    </row>
    <row r="847" spans="12:15">
      <c r="L847" s="5">
        <f>IF(OR(A847="",B847=""),"",B847-WEEKDAY(B847,2)+1)</f>
        <v/>
      </c>
      <c r="M847" s="5">
        <f>IF(L847="","",L847+6)</f>
        <v/>
      </c>
      <c r="N847" s="6">
        <f>IF(OR(A847="",B847=""),"",DATE(YEAR(B847),MONTH(B847),1))</f>
        <v/>
      </c>
      <c r="O847" s="7">
        <f>IF(COUNTA(A847:K847)=0,"",IF(OR(A847="",B847=""),"Preencher CPF e entrada",IF(COUNTIFS($A$12:$A$5011,A847,$B$12:$B$5011,B847)&gt;1,"CPF + dia duplicado",IF(OR(AND(G847&lt;&gt;"",G847&lt;&gt;0,G847&lt;&gt;1),AND(H847&lt;&gt;"",H847&lt;&gt;0,H847&lt;&gt;1)),"Flags devem ser 0 ou 1",IF(AND(H847=1,LEN(TRIM(I847))=0),"Preencher nome do indicante",IF(AND(H847&lt;&gt;1,I847&lt;&gt;""),"Nome sem indicação interna",IF(AND(G847=1,F847=""),"Fechamento sem conversa",IF(OR(AND(E847&lt;&gt;"",E847&lt;B847),AND(F847&lt;&gt;"",F847&lt;B847)),"Evento anterior à entrada",IF(AND(F847&lt;&gt;"",E847=""),"Conversa sem agendamento",IF(OR(E847&gt;TODAY(),F847&gt;TODAY()),"Verificar evento futuro","OK"))))))))))</f>
        <v/>
      </c>
    </row>
    <row r="848" spans="12:15">
      <c r="L848" s="5">
        <f>IF(OR(A848="",B848=""),"",B848-WEEKDAY(B848,2)+1)</f>
        <v/>
      </c>
      <c r="M848" s="5">
        <f>IF(L848="","",L848+6)</f>
        <v/>
      </c>
      <c r="N848" s="6">
        <f>IF(OR(A848="",B848=""),"",DATE(YEAR(B848),MONTH(B848),1))</f>
        <v/>
      </c>
      <c r="O848" s="7">
        <f>IF(COUNTA(A848:K848)=0,"",IF(OR(A848="",B848=""),"Preencher CPF e entrada",IF(COUNTIFS($A$12:$A$5011,A848,$B$12:$B$5011,B848)&gt;1,"CPF + dia duplicado",IF(OR(AND(G848&lt;&gt;"",G848&lt;&gt;0,G848&lt;&gt;1),AND(H848&lt;&gt;"",H848&lt;&gt;0,H848&lt;&gt;1)),"Flags devem ser 0 ou 1",IF(AND(H848=1,LEN(TRIM(I848))=0),"Preencher nome do indicante",IF(AND(H848&lt;&gt;1,I848&lt;&gt;""),"Nome sem indicação interna",IF(AND(G848=1,F848=""),"Fechamento sem conversa",IF(OR(AND(E848&lt;&gt;"",E848&lt;B848),AND(F848&lt;&gt;"",F848&lt;B848)),"Evento anterior à entrada",IF(AND(F848&lt;&gt;"",E848=""),"Conversa sem agendamento",IF(OR(E848&gt;TODAY(),F848&gt;TODAY()),"Verificar evento futuro","OK"))))))))))</f>
        <v/>
      </c>
    </row>
    <row r="849" spans="12:15">
      <c r="L849" s="5">
        <f>IF(OR(A849="",B849=""),"",B849-WEEKDAY(B849,2)+1)</f>
        <v/>
      </c>
      <c r="M849" s="5">
        <f>IF(L849="","",L849+6)</f>
        <v/>
      </c>
      <c r="N849" s="6">
        <f>IF(OR(A849="",B849=""),"",DATE(YEAR(B849),MONTH(B849),1))</f>
        <v/>
      </c>
      <c r="O849" s="7">
        <f>IF(COUNTA(A849:K849)=0,"",IF(OR(A849="",B849=""),"Preencher CPF e entrada",IF(COUNTIFS($A$12:$A$5011,A849,$B$12:$B$5011,B849)&gt;1,"CPF + dia duplicado",IF(OR(AND(G849&lt;&gt;"",G849&lt;&gt;0,G849&lt;&gt;1),AND(H849&lt;&gt;"",H849&lt;&gt;0,H849&lt;&gt;1)),"Flags devem ser 0 ou 1",IF(AND(H849=1,LEN(TRIM(I849))=0),"Preencher nome do indicante",IF(AND(H849&lt;&gt;1,I849&lt;&gt;""),"Nome sem indicação interna",IF(AND(G849=1,F849=""),"Fechamento sem conversa",IF(OR(AND(E849&lt;&gt;"",E849&lt;B849),AND(F849&lt;&gt;"",F849&lt;B849)),"Evento anterior à entrada",IF(AND(F849&lt;&gt;"",E849=""),"Conversa sem agendamento",IF(OR(E849&gt;TODAY(),F849&gt;TODAY()),"Verificar evento futuro","OK"))))))))))</f>
        <v/>
      </c>
    </row>
    <row r="850" spans="12:15">
      <c r="L850" s="5">
        <f>IF(OR(A850="",B850=""),"",B850-WEEKDAY(B850,2)+1)</f>
        <v/>
      </c>
      <c r="M850" s="5">
        <f>IF(L850="","",L850+6)</f>
        <v/>
      </c>
      <c r="N850" s="6">
        <f>IF(OR(A850="",B850=""),"",DATE(YEAR(B850),MONTH(B850),1))</f>
        <v/>
      </c>
      <c r="O850" s="7">
        <f>IF(COUNTA(A850:K850)=0,"",IF(OR(A850="",B850=""),"Preencher CPF e entrada",IF(COUNTIFS($A$12:$A$5011,A850,$B$12:$B$5011,B850)&gt;1,"CPF + dia duplicado",IF(OR(AND(G850&lt;&gt;"",G850&lt;&gt;0,G850&lt;&gt;1),AND(H850&lt;&gt;"",H850&lt;&gt;0,H850&lt;&gt;1)),"Flags devem ser 0 ou 1",IF(AND(H850=1,LEN(TRIM(I850))=0),"Preencher nome do indicante",IF(AND(H850&lt;&gt;1,I850&lt;&gt;""),"Nome sem indicação interna",IF(AND(G850=1,F850=""),"Fechamento sem conversa",IF(OR(AND(E850&lt;&gt;"",E850&lt;B850),AND(F850&lt;&gt;"",F850&lt;B850)),"Evento anterior à entrada",IF(AND(F850&lt;&gt;"",E850=""),"Conversa sem agendamento",IF(OR(E850&gt;TODAY(),F850&gt;TODAY()),"Verificar evento futuro","OK"))))))))))</f>
        <v/>
      </c>
    </row>
    <row r="851" spans="12:15">
      <c r="L851" s="5">
        <f>IF(OR(A851="",B851=""),"",B851-WEEKDAY(B851,2)+1)</f>
        <v/>
      </c>
      <c r="M851" s="5">
        <f>IF(L851="","",L851+6)</f>
        <v/>
      </c>
      <c r="N851" s="6">
        <f>IF(OR(A851="",B851=""),"",DATE(YEAR(B851),MONTH(B851),1))</f>
        <v/>
      </c>
      <c r="O851" s="7">
        <f>IF(COUNTA(A851:K851)=0,"",IF(OR(A851="",B851=""),"Preencher CPF e entrada",IF(COUNTIFS($A$12:$A$5011,A851,$B$12:$B$5011,B851)&gt;1,"CPF + dia duplicado",IF(OR(AND(G851&lt;&gt;"",G851&lt;&gt;0,G851&lt;&gt;1),AND(H851&lt;&gt;"",H851&lt;&gt;0,H851&lt;&gt;1)),"Flags devem ser 0 ou 1",IF(AND(H851=1,LEN(TRIM(I851))=0),"Preencher nome do indicante",IF(AND(H851&lt;&gt;1,I851&lt;&gt;""),"Nome sem indicação interna",IF(AND(G851=1,F851=""),"Fechamento sem conversa",IF(OR(AND(E851&lt;&gt;"",E851&lt;B851),AND(F851&lt;&gt;"",F851&lt;B851)),"Evento anterior à entrada",IF(AND(F851&lt;&gt;"",E851=""),"Conversa sem agendamento",IF(OR(E851&gt;TODAY(),F851&gt;TODAY()),"Verificar evento futuro","OK"))))))))))</f>
        <v/>
      </c>
    </row>
    <row r="852" spans="12:15">
      <c r="L852" s="5">
        <f>IF(OR(A852="",B852=""),"",B852-WEEKDAY(B852,2)+1)</f>
        <v/>
      </c>
      <c r="M852" s="5">
        <f>IF(L852="","",L852+6)</f>
        <v/>
      </c>
      <c r="N852" s="6">
        <f>IF(OR(A852="",B852=""),"",DATE(YEAR(B852),MONTH(B852),1))</f>
        <v/>
      </c>
      <c r="O852" s="7">
        <f>IF(COUNTA(A852:K852)=0,"",IF(OR(A852="",B852=""),"Preencher CPF e entrada",IF(COUNTIFS($A$12:$A$5011,A852,$B$12:$B$5011,B852)&gt;1,"CPF + dia duplicado",IF(OR(AND(G852&lt;&gt;"",G852&lt;&gt;0,G852&lt;&gt;1),AND(H852&lt;&gt;"",H852&lt;&gt;0,H852&lt;&gt;1)),"Flags devem ser 0 ou 1",IF(AND(H852=1,LEN(TRIM(I852))=0),"Preencher nome do indicante",IF(AND(H852&lt;&gt;1,I852&lt;&gt;""),"Nome sem indicação interna",IF(AND(G852=1,F852=""),"Fechamento sem conversa",IF(OR(AND(E852&lt;&gt;"",E852&lt;B852),AND(F852&lt;&gt;"",F852&lt;B852)),"Evento anterior à entrada",IF(AND(F852&lt;&gt;"",E852=""),"Conversa sem agendamento",IF(OR(E852&gt;TODAY(),F852&gt;TODAY()),"Verificar evento futuro","OK"))))))))))</f>
        <v/>
      </c>
    </row>
    <row r="853" spans="12:15">
      <c r="L853" s="5">
        <f>IF(OR(A853="",B853=""),"",B853-WEEKDAY(B853,2)+1)</f>
        <v/>
      </c>
      <c r="M853" s="5">
        <f>IF(L853="","",L853+6)</f>
        <v/>
      </c>
      <c r="N853" s="6">
        <f>IF(OR(A853="",B853=""),"",DATE(YEAR(B853),MONTH(B853),1))</f>
        <v/>
      </c>
      <c r="O853" s="7">
        <f>IF(COUNTA(A853:K853)=0,"",IF(OR(A853="",B853=""),"Preencher CPF e entrada",IF(COUNTIFS($A$12:$A$5011,A853,$B$12:$B$5011,B853)&gt;1,"CPF + dia duplicado",IF(OR(AND(G853&lt;&gt;"",G853&lt;&gt;0,G853&lt;&gt;1),AND(H853&lt;&gt;"",H853&lt;&gt;0,H853&lt;&gt;1)),"Flags devem ser 0 ou 1",IF(AND(H853=1,LEN(TRIM(I853))=0),"Preencher nome do indicante",IF(AND(H853&lt;&gt;1,I853&lt;&gt;""),"Nome sem indicação interna",IF(AND(G853=1,F853=""),"Fechamento sem conversa",IF(OR(AND(E853&lt;&gt;"",E853&lt;B853),AND(F853&lt;&gt;"",F853&lt;B853)),"Evento anterior à entrada",IF(AND(F853&lt;&gt;"",E853=""),"Conversa sem agendamento",IF(OR(E853&gt;TODAY(),F853&gt;TODAY()),"Verificar evento futuro","OK"))))))))))</f>
        <v/>
      </c>
    </row>
    <row r="854" spans="12:15">
      <c r="L854" s="5">
        <f>IF(OR(A854="",B854=""),"",B854-WEEKDAY(B854,2)+1)</f>
        <v/>
      </c>
      <c r="M854" s="5">
        <f>IF(L854="","",L854+6)</f>
        <v/>
      </c>
      <c r="N854" s="6">
        <f>IF(OR(A854="",B854=""),"",DATE(YEAR(B854),MONTH(B854),1))</f>
        <v/>
      </c>
      <c r="O854" s="7">
        <f>IF(COUNTA(A854:K854)=0,"",IF(OR(A854="",B854=""),"Preencher CPF e entrada",IF(COUNTIFS($A$12:$A$5011,A854,$B$12:$B$5011,B854)&gt;1,"CPF + dia duplicado",IF(OR(AND(G854&lt;&gt;"",G854&lt;&gt;0,G854&lt;&gt;1),AND(H854&lt;&gt;"",H854&lt;&gt;0,H854&lt;&gt;1)),"Flags devem ser 0 ou 1",IF(AND(H854=1,LEN(TRIM(I854))=0),"Preencher nome do indicante",IF(AND(H854&lt;&gt;1,I854&lt;&gt;""),"Nome sem indicação interna",IF(AND(G854=1,F854=""),"Fechamento sem conversa",IF(OR(AND(E854&lt;&gt;"",E854&lt;B854),AND(F854&lt;&gt;"",F854&lt;B854)),"Evento anterior à entrada",IF(AND(F854&lt;&gt;"",E854=""),"Conversa sem agendamento",IF(OR(E854&gt;TODAY(),F854&gt;TODAY()),"Verificar evento futuro","OK"))))))))))</f>
        <v/>
      </c>
    </row>
    <row r="855" spans="12:15">
      <c r="L855" s="5">
        <f>IF(OR(A855="",B855=""),"",B855-WEEKDAY(B855,2)+1)</f>
        <v/>
      </c>
      <c r="M855" s="5">
        <f>IF(L855="","",L855+6)</f>
        <v/>
      </c>
      <c r="N855" s="6">
        <f>IF(OR(A855="",B855=""),"",DATE(YEAR(B855),MONTH(B855),1))</f>
        <v/>
      </c>
      <c r="O855" s="7">
        <f>IF(COUNTA(A855:K855)=0,"",IF(OR(A855="",B855=""),"Preencher CPF e entrada",IF(COUNTIFS($A$12:$A$5011,A855,$B$12:$B$5011,B855)&gt;1,"CPF + dia duplicado",IF(OR(AND(G855&lt;&gt;"",G855&lt;&gt;0,G855&lt;&gt;1),AND(H855&lt;&gt;"",H855&lt;&gt;0,H855&lt;&gt;1)),"Flags devem ser 0 ou 1",IF(AND(H855=1,LEN(TRIM(I855))=0),"Preencher nome do indicante",IF(AND(H855&lt;&gt;1,I855&lt;&gt;""),"Nome sem indicação interna",IF(AND(G855=1,F855=""),"Fechamento sem conversa",IF(OR(AND(E855&lt;&gt;"",E855&lt;B855),AND(F855&lt;&gt;"",F855&lt;B855)),"Evento anterior à entrada",IF(AND(F855&lt;&gt;"",E855=""),"Conversa sem agendamento",IF(OR(E855&gt;TODAY(),F855&gt;TODAY()),"Verificar evento futuro","OK"))))))))))</f>
        <v/>
      </c>
    </row>
    <row r="856" spans="12:15">
      <c r="L856" s="5">
        <f>IF(OR(A856="",B856=""),"",B856-WEEKDAY(B856,2)+1)</f>
        <v/>
      </c>
      <c r="M856" s="5">
        <f>IF(L856="","",L856+6)</f>
        <v/>
      </c>
      <c r="N856" s="6">
        <f>IF(OR(A856="",B856=""),"",DATE(YEAR(B856),MONTH(B856),1))</f>
        <v/>
      </c>
      <c r="O856" s="7">
        <f>IF(COUNTA(A856:K856)=0,"",IF(OR(A856="",B856=""),"Preencher CPF e entrada",IF(COUNTIFS($A$12:$A$5011,A856,$B$12:$B$5011,B856)&gt;1,"CPF + dia duplicado",IF(OR(AND(G856&lt;&gt;"",G856&lt;&gt;0,G856&lt;&gt;1),AND(H856&lt;&gt;"",H856&lt;&gt;0,H856&lt;&gt;1)),"Flags devem ser 0 ou 1",IF(AND(H856=1,LEN(TRIM(I856))=0),"Preencher nome do indicante",IF(AND(H856&lt;&gt;1,I856&lt;&gt;""),"Nome sem indicação interna",IF(AND(G856=1,F856=""),"Fechamento sem conversa",IF(OR(AND(E856&lt;&gt;"",E856&lt;B856),AND(F856&lt;&gt;"",F856&lt;B856)),"Evento anterior à entrada",IF(AND(F856&lt;&gt;"",E856=""),"Conversa sem agendamento",IF(OR(E856&gt;TODAY(),F856&gt;TODAY()),"Verificar evento futuro","OK"))))))))))</f>
        <v/>
      </c>
    </row>
    <row r="857" spans="12:15">
      <c r="L857" s="5">
        <f>IF(OR(A857="",B857=""),"",B857-WEEKDAY(B857,2)+1)</f>
        <v/>
      </c>
      <c r="M857" s="5">
        <f>IF(L857="","",L857+6)</f>
        <v/>
      </c>
      <c r="N857" s="6">
        <f>IF(OR(A857="",B857=""),"",DATE(YEAR(B857),MONTH(B857),1))</f>
        <v/>
      </c>
      <c r="O857" s="7">
        <f>IF(COUNTA(A857:K857)=0,"",IF(OR(A857="",B857=""),"Preencher CPF e entrada",IF(COUNTIFS($A$12:$A$5011,A857,$B$12:$B$5011,B857)&gt;1,"CPF + dia duplicado",IF(OR(AND(G857&lt;&gt;"",G857&lt;&gt;0,G857&lt;&gt;1),AND(H857&lt;&gt;"",H857&lt;&gt;0,H857&lt;&gt;1)),"Flags devem ser 0 ou 1",IF(AND(H857=1,LEN(TRIM(I857))=0),"Preencher nome do indicante",IF(AND(H857&lt;&gt;1,I857&lt;&gt;""),"Nome sem indicação interna",IF(AND(G857=1,F857=""),"Fechamento sem conversa",IF(OR(AND(E857&lt;&gt;"",E857&lt;B857),AND(F857&lt;&gt;"",F857&lt;B857)),"Evento anterior à entrada",IF(AND(F857&lt;&gt;"",E857=""),"Conversa sem agendamento",IF(OR(E857&gt;TODAY(),F857&gt;TODAY()),"Verificar evento futuro","OK"))))))))))</f>
        <v/>
      </c>
    </row>
    <row r="858" spans="12:15">
      <c r="L858" s="5">
        <f>IF(OR(A858="",B858=""),"",B858-WEEKDAY(B858,2)+1)</f>
        <v/>
      </c>
      <c r="M858" s="5">
        <f>IF(L858="","",L858+6)</f>
        <v/>
      </c>
      <c r="N858" s="6">
        <f>IF(OR(A858="",B858=""),"",DATE(YEAR(B858),MONTH(B858),1))</f>
        <v/>
      </c>
      <c r="O858" s="7">
        <f>IF(COUNTA(A858:K858)=0,"",IF(OR(A858="",B858=""),"Preencher CPF e entrada",IF(COUNTIFS($A$12:$A$5011,A858,$B$12:$B$5011,B858)&gt;1,"CPF + dia duplicado",IF(OR(AND(G858&lt;&gt;"",G858&lt;&gt;0,G858&lt;&gt;1),AND(H858&lt;&gt;"",H858&lt;&gt;0,H858&lt;&gt;1)),"Flags devem ser 0 ou 1",IF(AND(H858=1,LEN(TRIM(I858))=0),"Preencher nome do indicante",IF(AND(H858&lt;&gt;1,I858&lt;&gt;""),"Nome sem indicação interna",IF(AND(G858=1,F858=""),"Fechamento sem conversa",IF(OR(AND(E858&lt;&gt;"",E858&lt;B858),AND(F858&lt;&gt;"",F858&lt;B858)),"Evento anterior à entrada",IF(AND(F858&lt;&gt;"",E858=""),"Conversa sem agendamento",IF(OR(E858&gt;TODAY(),F858&gt;TODAY()),"Verificar evento futuro","OK"))))))))))</f>
        <v/>
      </c>
    </row>
    <row r="859" spans="12:15">
      <c r="L859" s="5">
        <f>IF(OR(A859="",B859=""),"",B859-WEEKDAY(B859,2)+1)</f>
        <v/>
      </c>
      <c r="M859" s="5">
        <f>IF(L859="","",L859+6)</f>
        <v/>
      </c>
      <c r="N859" s="6">
        <f>IF(OR(A859="",B859=""),"",DATE(YEAR(B859),MONTH(B859),1))</f>
        <v/>
      </c>
      <c r="O859" s="7">
        <f>IF(COUNTA(A859:K859)=0,"",IF(OR(A859="",B859=""),"Preencher CPF e entrada",IF(COUNTIFS($A$12:$A$5011,A859,$B$12:$B$5011,B859)&gt;1,"CPF + dia duplicado",IF(OR(AND(G859&lt;&gt;"",G859&lt;&gt;0,G859&lt;&gt;1),AND(H859&lt;&gt;"",H859&lt;&gt;0,H859&lt;&gt;1)),"Flags devem ser 0 ou 1",IF(AND(H859=1,LEN(TRIM(I859))=0),"Preencher nome do indicante",IF(AND(H859&lt;&gt;1,I859&lt;&gt;""),"Nome sem indicação interna",IF(AND(G859=1,F859=""),"Fechamento sem conversa",IF(OR(AND(E859&lt;&gt;"",E859&lt;B859),AND(F859&lt;&gt;"",F859&lt;B859)),"Evento anterior à entrada",IF(AND(F859&lt;&gt;"",E859=""),"Conversa sem agendamento",IF(OR(E859&gt;TODAY(),F859&gt;TODAY()),"Verificar evento futuro","OK"))))))))))</f>
        <v/>
      </c>
    </row>
    <row r="860" spans="12:15">
      <c r="L860" s="5">
        <f>IF(OR(A860="",B860=""),"",B860-WEEKDAY(B860,2)+1)</f>
        <v/>
      </c>
      <c r="M860" s="5">
        <f>IF(L860="","",L860+6)</f>
        <v/>
      </c>
      <c r="N860" s="6">
        <f>IF(OR(A860="",B860=""),"",DATE(YEAR(B860),MONTH(B860),1))</f>
        <v/>
      </c>
      <c r="O860" s="7">
        <f>IF(COUNTA(A860:K860)=0,"",IF(OR(A860="",B860=""),"Preencher CPF e entrada",IF(COUNTIFS($A$12:$A$5011,A860,$B$12:$B$5011,B860)&gt;1,"CPF + dia duplicado",IF(OR(AND(G860&lt;&gt;"",G860&lt;&gt;0,G860&lt;&gt;1),AND(H860&lt;&gt;"",H860&lt;&gt;0,H860&lt;&gt;1)),"Flags devem ser 0 ou 1",IF(AND(H860=1,LEN(TRIM(I860))=0),"Preencher nome do indicante",IF(AND(H860&lt;&gt;1,I860&lt;&gt;""),"Nome sem indicação interna",IF(AND(G860=1,F860=""),"Fechamento sem conversa",IF(OR(AND(E860&lt;&gt;"",E860&lt;B860),AND(F860&lt;&gt;"",F860&lt;B860)),"Evento anterior à entrada",IF(AND(F860&lt;&gt;"",E860=""),"Conversa sem agendamento",IF(OR(E860&gt;TODAY(),F860&gt;TODAY()),"Verificar evento futuro","OK"))))))))))</f>
        <v/>
      </c>
    </row>
    <row r="861" spans="12:15">
      <c r="L861" s="5">
        <f>IF(OR(A861="",B861=""),"",B861-WEEKDAY(B861,2)+1)</f>
        <v/>
      </c>
      <c r="M861" s="5">
        <f>IF(L861="","",L861+6)</f>
        <v/>
      </c>
      <c r="N861" s="6">
        <f>IF(OR(A861="",B861=""),"",DATE(YEAR(B861),MONTH(B861),1))</f>
        <v/>
      </c>
      <c r="O861" s="7">
        <f>IF(COUNTA(A861:K861)=0,"",IF(OR(A861="",B861=""),"Preencher CPF e entrada",IF(COUNTIFS($A$12:$A$5011,A861,$B$12:$B$5011,B861)&gt;1,"CPF + dia duplicado",IF(OR(AND(G861&lt;&gt;"",G861&lt;&gt;0,G861&lt;&gt;1),AND(H861&lt;&gt;"",H861&lt;&gt;0,H861&lt;&gt;1)),"Flags devem ser 0 ou 1",IF(AND(H861=1,LEN(TRIM(I861))=0),"Preencher nome do indicante",IF(AND(H861&lt;&gt;1,I861&lt;&gt;""),"Nome sem indicação interna",IF(AND(G861=1,F861=""),"Fechamento sem conversa",IF(OR(AND(E861&lt;&gt;"",E861&lt;B861),AND(F861&lt;&gt;"",F861&lt;B861)),"Evento anterior à entrada",IF(AND(F861&lt;&gt;"",E861=""),"Conversa sem agendamento",IF(OR(E861&gt;TODAY(),F861&gt;TODAY()),"Verificar evento futuro","OK"))))))))))</f>
        <v/>
      </c>
    </row>
    <row r="862" spans="12:15">
      <c r="L862" s="5">
        <f>IF(OR(A862="",B862=""),"",B862-WEEKDAY(B862,2)+1)</f>
        <v/>
      </c>
      <c r="M862" s="5">
        <f>IF(L862="","",L862+6)</f>
        <v/>
      </c>
      <c r="N862" s="6">
        <f>IF(OR(A862="",B862=""),"",DATE(YEAR(B862),MONTH(B862),1))</f>
        <v/>
      </c>
      <c r="O862" s="7">
        <f>IF(COUNTA(A862:K862)=0,"",IF(OR(A862="",B862=""),"Preencher CPF e entrada",IF(COUNTIFS($A$12:$A$5011,A862,$B$12:$B$5011,B862)&gt;1,"CPF + dia duplicado",IF(OR(AND(G862&lt;&gt;"",G862&lt;&gt;0,G862&lt;&gt;1),AND(H862&lt;&gt;"",H862&lt;&gt;0,H862&lt;&gt;1)),"Flags devem ser 0 ou 1",IF(AND(H862=1,LEN(TRIM(I862))=0),"Preencher nome do indicante",IF(AND(H862&lt;&gt;1,I862&lt;&gt;""),"Nome sem indicação interna",IF(AND(G862=1,F862=""),"Fechamento sem conversa",IF(OR(AND(E862&lt;&gt;"",E862&lt;B862),AND(F862&lt;&gt;"",F862&lt;B862)),"Evento anterior à entrada",IF(AND(F862&lt;&gt;"",E862=""),"Conversa sem agendamento",IF(OR(E862&gt;TODAY(),F862&gt;TODAY()),"Verificar evento futuro","OK"))))))))))</f>
        <v/>
      </c>
    </row>
    <row r="863" spans="12:15">
      <c r="L863" s="5">
        <f>IF(OR(A863="",B863=""),"",B863-WEEKDAY(B863,2)+1)</f>
        <v/>
      </c>
      <c r="M863" s="5">
        <f>IF(L863="","",L863+6)</f>
        <v/>
      </c>
      <c r="N863" s="6">
        <f>IF(OR(A863="",B863=""),"",DATE(YEAR(B863),MONTH(B863),1))</f>
        <v/>
      </c>
      <c r="O863" s="7">
        <f>IF(COUNTA(A863:K863)=0,"",IF(OR(A863="",B863=""),"Preencher CPF e entrada",IF(COUNTIFS($A$12:$A$5011,A863,$B$12:$B$5011,B863)&gt;1,"CPF + dia duplicado",IF(OR(AND(G863&lt;&gt;"",G863&lt;&gt;0,G863&lt;&gt;1),AND(H863&lt;&gt;"",H863&lt;&gt;0,H863&lt;&gt;1)),"Flags devem ser 0 ou 1",IF(AND(H863=1,LEN(TRIM(I863))=0),"Preencher nome do indicante",IF(AND(H863&lt;&gt;1,I863&lt;&gt;""),"Nome sem indicação interna",IF(AND(G863=1,F863=""),"Fechamento sem conversa",IF(OR(AND(E863&lt;&gt;"",E863&lt;B863),AND(F863&lt;&gt;"",F863&lt;B863)),"Evento anterior à entrada",IF(AND(F863&lt;&gt;"",E863=""),"Conversa sem agendamento",IF(OR(E863&gt;TODAY(),F863&gt;TODAY()),"Verificar evento futuro","OK"))))))))))</f>
        <v/>
      </c>
    </row>
    <row r="864" spans="12:15">
      <c r="L864" s="5">
        <f>IF(OR(A864="",B864=""),"",B864-WEEKDAY(B864,2)+1)</f>
        <v/>
      </c>
      <c r="M864" s="5">
        <f>IF(L864="","",L864+6)</f>
        <v/>
      </c>
      <c r="N864" s="6">
        <f>IF(OR(A864="",B864=""),"",DATE(YEAR(B864),MONTH(B864),1))</f>
        <v/>
      </c>
      <c r="O864" s="7">
        <f>IF(COUNTA(A864:K864)=0,"",IF(OR(A864="",B864=""),"Preencher CPF e entrada",IF(COUNTIFS($A$12:$A$5011,A864,$B$12:$B$5011,B864)&gt;1,"CPF + dia duplicado",IF(OR(AND(G864&lt;&gt;"",G864&lt;&gt;0,G864&lt;&gt;1),AND(H864&lt;&gt;"",H864&lt;&gt;0,H864&lt;&gt;1)),"Flags devem ser 0 ou 1",IF(AND(H864=1,LEN(TRIM(I864))=0),"Preencher nome do indicante",IF(AND(H864&lt;&gt;1,I864&lt;&gt;""),"Nome sem indicação interna",IF(AND(G864=1,F864=""),"Fechamento sem conversa",IF(OR(AND(E864&lt;&gt;"",E864&lt;B864),AND(F864&lt;&gt;"",F864&lt;B864)),"Evento anterior à entrada",IF(AND(F864&lt;&gt;"",E864=""),"Conversa sem agendamento",IF(OR(E864&gt;TODAY(),F864&gt;TODAY()),"Verificar evento futuro","OK"))))))))))</f>
        <v/>
      </c>
    </row>
    <row r="865" spans="12:15">
      <c r="L865" s="5">
        <f>IF(OR(A865="",B865=""),"",B865-WEEKDAY(B865,2)+1)</f>
        <v/>
      </c>
      <c r="M865" s="5">
        <f>IF(L865="","",L865+6)</f>
        <v/>
      </c>
      <c r="N865" s="6">
        <f>IF(OR(A865="",B865=""),"",DATE(YEAR(B865),MONTH(B865),1))</f>
        <v/>
      </c>
      <c r="O865" s="7">
        <f>IF(COUNTA(A865:K865)=0,"",IF(OR(A865="",B865=""),"Preencher CPF e entrada",IF(COUNTIFS($A$12:$A$5011,A865,$B$12:$B$5011,B865)&gt;1,"CPF + dia duplicado",IF(OR(AND(G865&lt;&gt;"",G865&lt;&gt;0,G865&lt;&gt;1),AND(H865&lt;&gt;"",H865&lt;&gt;0,H865&lt;&gt;1)),"Flags devem ser 0 ou 1",IF(AND(H865=1,LEN(TRIM(I865))=0),"Preencher nome do indicante",IF(AND(H865&lt;&gt;1,I865&lt;&gt;""),"Nome sem indicação interna",IF(AND(G865=1,F865=""),"Fechamento sem conversa",IF(OR(AND(E865&lt;&gt;"",E865&lt;B865),AND(F865&lt;&gt;"",F865&lt;B865)),"Evento anterior à entrada",IF(AND(F865&lt;&gt;"",E865=""),"Conversa sem agendamento",IF(OR(E865&gt;TODAY(),F865&gt;TODAY()),"Verificar evento futuro","OK"))))))))))</f>
        <v/>
      </c>
    </row>
    <row r="866" spans="12:15">
      <c r="L866" s="5">
        <f>IF(OR(A866="",B866=""),"",B866-WEEKDAY(B866,2)+1)</f>
        <v/>
      </c>
      <c r="M866" s="5">
        <f>IF(L866="","",L866+6)</f>
        <v/>
      </c>
      <c r="N866" s="6">
        <f>IF(OR(A866="",B866=""),"",DATE(YEAR(B866),MONTH(B866),1))</f>
        <v/>
      </c>
      <c r="O866" s="7">
        <f>IF(COUNTA(A866:K866)=0,"",IF(OR(A866="",B866=""),"Preencher CPF e entrada",IF(COUNTIFS($A$12:$A$5011,A866,$B$12:$B$5011,B866)&gt;1,"CPF + dia duplicado",IF(OR(AND(G866&lt;&gt;"",G866&lt;&gt;0,G866&lt;&gt;1),AND(H866&lt;&gt;"",H866&lt;&gt;0,H866&lt;&gt;1)),"Flags devem ser 0 ou 1",IF(AND(H866=1,LEN(TRIM(I866))=0),"Preencher nome do indicante",IF(AND(H866&lt;&gt;1,I866&lt;&gt;""),"Nome sem indicação interna",IF(AND(G866=1,F866=""),"Fechamento sem conversa",IF(OR(AND(E866&lt;&gt;"",E866&lt;B866),AND(F866&lt;&gt;"",F866&lt;B866)),"Evento anterior à entrada",IF(AND(F866&lt;&gt;"",E866=""),"Conversa sem agendamento",IF(OR(E866&gt;TODAY(),F866&gt;TODAY()),"Verificar evento futuro","OK"))))))))))</f>
        <v/>
      </c>
    </row>
    <row r="867" spans="12:15">
      <c r="L867" s="5">
        <f>IF(OR(A867="",B867=""),"",B867-WEEKDAY(B867,2)+1)</f>
        <v/>
      </c>
      <c r="M867" s="5">
        <f>IF(L867="","",L867+6)</f>
        <v/>
      </c>
      <c r="N867" s="6">
        <f>IF(OR(A867="",B867=""),"",DATE(YEAR(B867),MONTH(B867),1))</f>
        <v/>
      </c>
      <c r="O867" s="7">
        <f>IF(COUNTA(A867:K867)=0,"",IF(OR(A867="",B867=""),"Preencher CPF e entrada",IF(COUNTIFS($A$12:$A$5011,A867,$B$12:$B$5011,B867)&gt;1,"CPF + dia duplicado",IF(OR(AND(G867&lt;&gt;"",G867&lt;&gt;0,G867&lt;&gt;1),AND(H867&lt;&gt;"",H867&lt;&gt;0,H867&lt;&gt;1)),"Flags devem ser 0 ou 1",IF(AND(H867=1,LEN(TRIM(I867))=0),"Preencher nome do indicante",IF(AND(H867&lt;&gt;1,I867&lt;&gt;""),"Nome sem indicação interna",IF(AND(G867=1,F867=""),"Fechamento sem conversa",IF(OR(AND(E867&lt;&gt;"",E867&lt;B867),AND(F867&lt;&gt;"",F867&lt;B867)),"Evento anterior à entrada",IF(AND(F867&lt;&gt;"",E867=""),"Conversa sem agendamento",IF(OR(E867&gt;TODAY(),F867&gt;TODAY()),"Verificar evento futuro","OK"))))))))))</f>
        <v/>
      </c>
    </row>
    <row r="868" spans="12:15">
      <c r="L868" s="5">
        <f>IF(OR(A868="",B868=""),"",B868-WEEKDAY(B868,2)+1)</f>
        <v/>
      </c>
      <c r="M868" s="5">
        <f>IF(L868="","",L868+6)</f>
        <v/>
      </c>
      <c r="N868" s="6">
        <f>IF(OR(A868="",B868=""),"",DATE(YEAR(B868),MONTH(B868),1))</f>
        <v/>
      </c>
      <c r="O868" s="7">
        <f>IF(COUNTA(A868:K868)=0,"",IF(OR(A868="",B868=""),"Preencher CPF e entrada",IF(COUNTIFS($A$12:$A$5011,A868,$B$12:$B$5011,B868)&gt;1,"CPF + dia duplicado",IF(OR(AND(G868&lt;&gt;"",G868&lt;&gt;0,G868&lt;&gt;1),AND(H868&lt;&gt;"",H868&lt;&gt;0,H868&lt;&gt;1)),"Flags devem ser 0 ou 1",IF(AND(H868=1,LEN(TRIM(I868))=0),"Preencher nome do indicante",IF(AND(H868&lt;&gt;1,I868&lt;&gt;""),"Nome sem indicação interna",IF(AND(G868=1,F868=""),"Fechamento sem conversa",IF(OR(AND(E868&lt;&gt;"",E868&lt;B868),AND(F868&lt;&gt;"",F868&lt;B868)),"Evento anterior à entrada",IF(AND(F868&lt;&gt;"",E868=""),"Conversa sem agendamento",IF(OR(E868&gt;TODAY(),F868&gt;TODAY()),"Verificar evento futuro","OK"))))))))))</f>
        <v/>
      </c>
    </row>
    <row r="869" spans="12:15">
      <c r="L869" s="5">
        <f>IF(OR(A869="",B869=""),"",B869-WEEKDAY(B869,2)+1)</f>
        <v/>
      </c>
      <c r="M869" s="5">
        <f>IF(L869="","",L869+6)</f>
        <v/>
      </c>
      <c r="N869" s="6">
        <f>IF(OR(A869="",B869=""),"",DATE(YEAR(B869),MONTH(B869),1))</f>
        <v/>
      </c>
      <c r="O869" s="7">
        <f>IF(COUNTA(A869:K869)=0,"",IF(OR(A869="",B869=""),"Preencher CPF e entrada",IF(COUNTIFS($A$12:$A$5011,A869,$B$12:$B$5011,B869)&gt;1,"CPF + dia duplicado",IF(OR(AND(G869&lt;&gt;"",G869&lt;&gt;0,G869&lt;&gt;1),AND(H869&lt;&gt;"",H869&lt;&gt;0,H869&lt;&gt;1)),"Flags devem ser 0 ou 1",IF(AND(H869=1,LEN(TRIM(I869))=0),"Preencher nome do indicante",IF(AND(H869&lt;&gt;1,I869&lt;&gt;""),"Nome sem indicação interna",IF(AND(G869=1,F869=""),"Fechamento sem conversa",IF(OR(AND(E869&lt;&gt;"",E869&lt;B869),AND(F869&lt;&gt;"",F869&lt;B869)),"Evento anterior à entrada",IF(AND(F869&lt;&gt;"",E869=""),"Conversa sem agendamento",IF(OR(E869&gt;TODAY(),F869&gt;TODAY()),"Verificar evento futuro","OK"))))))))))</f>
        <v/>
      </c>
    </row>
    <row r="870" spans="12:15">
      <c r="L870" s="5">
        <f>IF(OR(A870="",B870=""),"",B870-WEEKDAY(B870,2)+1)</f>
        <v/>
      </c>
      <c r="M870" s="5">
        <f>IF(L870="","",L870+6)</f>
        <v/>
      </c>
      <c r="N870" s="6">
        <f>IF(OR(A870="",B870=""),"",DATE(YEAR(B870),MONTH(B870),1))</f>
        <v/>
      </c>
      <c r="O870" s="7">
        <f>IF(COUNTA(A870:K870)=0,"",IF(OR(A870="",B870=""),"Preencher CPF e entrada",IF(COUNTIFS($A$12:$A$5011,A870,$B$12:$B$5011,B870)&gt;1,"CPF + dia duplicado",IF(OR(AND(G870&lt;&gt;"",G870&lt;&gt;0,G870&lt;&gt;1),AND(H870&lt;&gt;"",H870&lt;&gt;0,H870&lt;&gt;1)),"Flags devem ser 0 ou 1",IF(AND(H870=1,LEN(TRIM(I870))=0),"Preencher nome do indicante",IF(AND(H870&lt;&gt;1,I870&lt;&gt;""),"Nome sem indicação interna",IF(AND(G870=1,F870=""),"Fechamento sem conversa",IF(OR(AND(E870&lt;&gt;"",E870&lt;B870),AND(F870&lt;&gt;"",F870&lt;B870)),"Evento anterior à entrada",IF(AND(F870&lt;&gt;"",E870=""),"Conversa sem agendamento",IF(OR(E870&gt;TODAY(),F870&gt;TODAY()),"Verificar evento futuro","OK"))))))))))</f>
        <v/>
      </c>
    </row>
    <row r="871" spans="12:15">
      <c r="L871" s="5">
        <f>IF(OR(A871="",B871=""),"",B871-WEEKDAY(B871,2)+1)</f>
        <v/>
      </c>
      <c r="M871" s="5">
        <f>IF(L871="","",L871+6)</f>
        <v/>
      </c>
      <c r="N871" s="6">
        <f>IF(OR(A871="",B871=""),"",DATE(YEAR(B871),MONTH(B871),1))</f>
        <v/>
      </c>
      <c r="O871" s="7">
        <f>IF(COUNTA(A871:K871)=0,"",IF(OR(A871="",B871=""),"Preencher CPF e entrada",IF(COUNTIFS($A$12:$A$5011,A871,$B$12:$B$5011,B871)&gt;1,"CPF + dia duplicado",IF(OR(AND(G871&lt;&gt;"",G871&lt;&gt;0,G871&lt;&gt;1),AND(H871&lt;&gt;"",H871&lt;&gt;0,H871&lt;&gt;1)),"Flags devem ser 0 ou 1",IF(AND(H871=1,LEN(TRIM(I871))=0),"Preencher nome do indicante",IF(AND(H871&lt;&gt;1,I871&lt;&gt;""),"Nome sem indicação interna",IF(AND(G871=1,F871=""),"Fechamento sem conversa",IF(OR(AND(E871&lt;&gt;"",E871&lt;B871),AND(F871&lt;&gt;"",F871&lt;B871)),"Evento anterior à entrada",IF(AND(F871&lt;&gt;"",E871=""),"Conversa sem agendamento",IF(OR(E871&gt;TODAY(),F871&gt;TODAY()),"Verificar evento futuro","OK"))))))))))</f>
        <v/>
      </c>
    </row>
    <row r="872" spans="12:15">
      <c r="L872" s="5">
        <f>IF(OR(A872="",B872=""),"",B872-WEEKDAY(B872,2)+1)</f>
        <v/>
      </c>
      <c r="M872" s="5">
        <f>IF(L872="","",L872+6)</f>
        <v/>
      </c>
      <c r="N872" s="6">
        <f>IF(OR(A872="",B872=""),"",DATE(YEAR(B872),MONTH(B872),1))</f>
        <v/>
      </c>
      <c r="O872" s="7">
        <f>IF(COUNTA(A872:K872)=0,"",IF(OR(A872="",B872=""),"Preencher CPF e entrada",IF(COUNTIFS($A$12:$A$5011,A872,$B$12:$B$5011,B872)&gt;1,"CPF + dia duplicado",IF(OR(AND(G872&lt;&gt;"",G872&lt;&gt;0,G872&lt;&gt;1),AND(H872&lt;&gt;"",H872&lt;&gt;0,H872&lt;&gt;1)),"Flags devem ser 0 ou 1",IF(AND(H872=1,LEN(TRIM(I872))=0),"Preencher nome do indicante",IF(AND(H872&lt;&gt;1,I872&lt;&gt;""),"Nome sem indicação interna",IF(AND(G872=1,F872=""),"Fechamento sem conversa",IF(OR(AND(E872&lt;&gt;"",E872&lt;B872),AND(F872&lt;&gt;"",F872&lt;B872)),"Evento anterior à entrada",IF(AND(F872&lt;&gt;"",E872=""),"Conversa sem agendamento",IF(OR(E872&gt;TODAY(),F872&gt;TODAY()),"Verificar evento futuro","OK"))))))))))</f>
        <v/>
      </c>
    </row>
    <row r="873" spans="12:15">
      <c r="L873" s="5">
        <f>IF(OR(A873="",B873=""),"",B873-WEEKDAY(B873,2)+1)</f>
        <v/>
      </c>
      <c r="M873" s="5">
        <f>IF(L873="","",L873+6)</f>
        <v/>
      </c>
      <c r="N873" s="6">
        <f>IF(OR(A873="",B873=""),"",DATE(YEAR(B873),MONTH(B873),1))</f>
        <v/>
      </c>
      <c r="O873" s="7">
        <f>IF(COUNTA(A873:K873)=0,"",IF(OR(A873="",B873=""),"Preencher CPF e entrada",IF(COUNTIFS($A$12:$A$5011,A873,$B$12:$B$5011,B873)&gt;1,"CPF + dia duplicado",IF(OR(AND(G873&lt;&gt;"",G873&lt;&gt;0,G873&lt;&gt;1),AND(H873&lt;&gt;"",H873&lt;&gt;0,H873&lt;&gt;1)),"Flags devem ser 0 ou 1",IF(AND(H873=1,LEN(TRIM(I873))=0),"Preencher nome do indicante",IF(AND(H873&lt;&gt;1,I873&lt;&gt;""),"Nome sem indicação interna",IF(AND(G873=1,F873=""),"Fechamento sem conversa",IF(OR(AND(E873&lt;&gt;"",E873&lt;B873),AND(F873&lt;&gt;"",F873&lt;B873)),"Evento anterior à entrada",IF(AND(F873&lt;&gt;"",E873=""),"Conversa sem agendamento",IF(OR(E873&gt;TODAY(),F873&gt;TODAY()),"Verificar evento futuro","OK"))))))))))</f>
        <v/>
      </c>
    </row>
    <row r="874" spans="12:15">
      <c r="L874" s="5">
        <f>IF(OR(A874="",B874=""),"",B874-WEEKDAY(B874,2)+1)</f>
        <v/>
      </c>
      <c r="M874" s="5">
        <f>IF(L874="","",L874+6)</f>
        <v/>
      </c>
      <c r="N874" s="6">
        <f>IF(OR(A874="",B874=""),"",DATE(YEAR(B874),MONTH(B874),1))</f>
        <v/>
      </c>
      <c r="O874" s="7">
        <f>IF(COUNTA(A874:K874)=0,"",IF(OR(A874="",B874=""),"Preencher CPF e entrada",IF(COUNTIFS($A$12:$A$5011,A874,$B$12:$B$5011,B874)&gt;1,"CPF + dia duplicado",IF(OR(AND(G874&lt;&gt;"",G874&lt;&gt;0,G874&lt;&gt;1),AND(H874&lt;&gt;"",H874&lt;&gt;0,H874&lt;&gt;1)),"Flags devem ser 0 ou 1",IF(AND(H874=1,LEN(TRIM(I874))=0),"Preencher nome do indicante",IF(AND(H874&lt;&gt;1,I874&lt;&gt;""),"Nome sem indicação interna",IF(AND(G874=1,F874=""),"Fechamento sem conversa",IF(OR(AND(E874&lt;&gt;"",E874&lt;B874),AND(F874&lt;&gt;"",F874&lt;B874)),"Evento anterior à entrada",IF(AND(F874&lt;&gt;"",E874=""),"Conversa sem agendamento",IF(OR(E874&gt;TODAY(),F874&gt;TODAY()),"Verificar evento futuro","OK"))))))))))</f>
        <v/>
      </c>
    </row>
    <row r="875" spans="12:15">
      <c r="L875" s="5">
        <f>IF(OR(A875="",B875=""),"",B875-WEEKDAY(B875,2)+1)</f>
        <v/>
      </c>
      <c r="M875" s="5">
        <f>IF(L875="","",L875+6)</f>
        <v/>
      </c>
      <c r="N875" s="6">
        <f>IF(OR(A875="",B875=""),"",DATE(YEAR(B875),MONTH(B875),1))</f>
        <v/>
      </c>
      <c r="O875" s="7">
        <f>IF(COUNTA(A875:K875)=0,"",IF(OR(A875="",B875=""),"Preencher CPF e entrada",IF(COUNTIFS($A$12:$A$5011,A875,$B$12:$B$5011,B875)&gt;1,"CPF + dia duplicado",IF(OR(AND(G875&lt;&gt;"",G875&lt;&gt;0,G875&lt;&gt;1),AND(H875&lt;&gt;"",H875&lt;&gt;0,H875&lt;&gt;1)),"Flags devem ser 0 ou 1",IF(AND(H875=1,LEN(TRIM(I875))=0),"Preencher nome do indicante",IF(AND(H875&lt;&gt;1,I875&lt;&gt;""),"Nome sem indicação interna",IF(AND(G875=1,F875=""),"Fechamento sem conversa",IF(OR(AND(E875&lt;&gt;"",E875&lt;B875),AND(F875&lt;&gt;"",F875&lt;B875)),"Evento anterior à entrada",IF(AND(F875&lt;&gt;"",E875=""),"Conversa sem agendamento",IF(OR(E875&gt;TODAY(),F875&gt;TODAY()),"Verificar evento futuro","OK"))))))))))</f>
        <v/>
      </c>
    </row>
    <row r="876" spans="12:15">
      <c r="L876" s="5">
        <f>IF(OR(A876="",B876=""),"",B876-WEEKDAY(B876,2)+1)</f>
        <v/>
      </c>
      <c r="M876" s="5">
        <f>IF(L876="","",L876+6)</f>
        <v/>
      </c>
      <c r="N876" s="6">
        <f>IF(OR(A876="",B876=""),"",DATE(YEAR(B876),MONTH(B876),1))</f>
        <v/>
      </c>
      <c r="O876" s="7">
        <f>IF(COUNTA(A876:K876)=0,"",IF(OR(A876="",B876=""),"Preencher CPF e entrada",IF(COUNTIFS($A$12:$A$5011,A876,$B$12:$B$5011,B876)&gt;1,"CPF + dia duplicado",IF(OR(AND(G876&lt;&gt;"",G876&lt;&gt;0,G876&lt;&gt;1),AND(H876&lt;&gt;"",H876&lt;&gt;0,H876&lt;&gt;1)),"Flags devem ser 0 ou 1",IF(AND(H876=1,LEN(TRIM(I876))=0),"Preencher nome do indicante",IF(AND(H876&lt;&gt;1,I876&lt;&gt;""),"Nome sem indicação interna",IF(AND(G876=1,F876=""),"Fechamento sem conversa",IF(OR(AND(E876&lt;&gt;"",E876&lt;B876),AND(F876&lt;&gt;"",F876&lt;B876)),"Evento anterior à entrada",IF(AND(F876&lt;&gt;"",E876=""),"Conversa sem agendamento",IF(OR(E876&gt;TODAY(),F876&gt;TODAY()),"Verificar evento futuro","OK"))))))))))</f>
        <v/>
      </c>
    </row>
    <row r="877" spans="12:15">
      <c r="L877" s="5">
        <f>IF(OR(A877="",B877=""),"",B877-WEEKDAY(B877,2)+1)</f>
        <v/>
      </c>
      <c r="M877" s="5">
        <f>IF(L877="","",L877+6)</f>
        <v/>
      </c>
      <c r="N877" s="6">
        <f>IF(OR(A877="",B877=""),"",DATE(YEAR(B877),MONTH(B877),1))</f>
        <v/>
      </c>
      <c r="O877" s="7">
        <f>IF(COUNTA(A877:K877)=0,"",IF(OR(A877="",B877=""),"Preencher CPF e entrada",IF(COUNTIFS($A$12:$A$5011,A877,$B$12:$B$5011,B877)&gt;1,"CPF + dia duplicado",IF(OR(AND(G877&lt;&gt;"",G877&lt;&gt;0,G877&lt;&gt;1),AND(H877&lt;&gt;"",H877&lt;&gt;0,H877&lt;&gt;1)),"Flags devem ser 0 ou 1",IF(AND(H877=1,LEN(TRIM(I877))=0),"Preencher nome do indicante",IF(AND(H877&lt;&gt;1,I877&lt;&gt;""),"Nome sem indicação interna",IF(AND(G877=1,F877=""),"Fechamento sem conversa",IF(OR(AND(E877&lt;&gt;"",E877&lt;B877),AND(F877&lt;&gt;"",F877&lt;B877)),"Evento anterior à entrada",IF(AND(F877&lt;&gt;"",E877=""),"Conversa sem agendamento",IF(OR(E877&gt;TODAY(),F877&gt;TODAY()),"Verificar evento futuro","OK"))))))))))</f>
        <v/>
      </c>
    </row>
    <row r="878" spans="12:15">
      <c r="L878" s="5">
        <f>IF(OR(A878="",B878=""),"",B878-WEEKDAY(B878,2)+1)</f>
        <v/>
      </c>
      <c r="M878" s="5">
        <f>IF(L878="","",L878+6)</f>
        <v/>
      </c>
      <c r="N878" s="6">
        <f>IF(OR(A878="",B878=""),"",DATE(YEAR(B878),MONTH(B878),1))</f>
        <v/>
      </c>
      <c r="O878" s="7">
        <f>IF(COUNTA(A878:K878)=0,"",IF(OR(A878="",B878=""),"Preencher CPF e entrada",IF(COUNTIFS($A$12:$A$5011,A878,$B$12:$B$5011,B878)&gt;1,"CPF + dia duplicado",IF(OR(AND(G878&lt;&gt;"",G878&lt;&gt;0,G878&lt;&gt;1),AND(H878&lt;&gt;"",H878&lt;&gt;0,H878&lt;&gt;1)),"Flags devem ser 0 ou 1",IF(AND(H878=1,LEN(TRIM(I878))=0),"Preencher nome do indicante",IF(AND(H878&lt;&gt;1,I878&lt;&gt;""),"Nome sem indicação interna",IF(AND(G878=1,F878=""),"Fechamento sem conversa",IF(OR(AND(E878&lt;&gt;"",E878&lt;B878),AND(F878&lt;&gt;"",F878&lt;B878)),"Evento anterior à entrada",IF(AND(F878&lt;&gt;"",E878=""),"Conversa sem agendamento",IF(OR(E878&gt;TODAY(),F878&gt;TODAY()),"Verificar evento futuro","OK"))))))))))</f>
        <v/>
      </c>
    </row>
    <row r="879" spans="12:15">
      <c r="L879" s="5">
        <f>IF(OR(A879="",B879=""),"",B879-WEEKDAY(B879,2)+1)</f>
        <v/>
      </c>
      <c r="M879" s="5">
        <f>IF(L879="","",L879+6)</f>
        <v/>
      </c>
      <c r="N879" s="6">
        <f>IF(OR(A879="",B879=""),"",DATE(YEAR(B879),MONTH(B879),1))</f>
        <v/>
      </c>
      <c r="O879" s="7">
        <f>IF(COUNTA(A879:K879)=0,"",IF(OR(A879="",B879=""),"Preencher CPF e entrada",IF(COUNTIFS($A$12:$A$5011,A879,$B$12:$B$5011,B879)&gt;1,"CPF + dia duplicado",IF(OR(AND(G879&lt;&gt;"",G879&lt;&gt;0,G879&lt;&gt;1),AND(H879&lt;&gt;"",H879&lt;&gt;0,H879&lt;&gt;1)),"Flags devem ser 0 ou 1",IF(AND(H879=1,LEN(TRIM(I879))=0),"Preencher nome do indicante",IF(AND(H879&lt;&gt;1,I879&lt;&gt;""),"Nome sem indicação interna",IF(AND(G879=1,F879=""),"Fechamento sem conversa",IF(OR(AND(E879&lt;&gt;"",E879&lt;B879),AND(F879&lt;&gt;"",F879&lt;B879)),"Evento anterior à entrada",IF(AND(F879&lt;&gt;"",E879=""),"Conversa sem agendamento",IF(OR(E879&gt;TODAY(),F879&gt;TODAY()),"Verificar evento futuro","OK"))))))))))</f>
        <v/>
      </c>
    </row>
    <row r="880" spans="12:15">
      <c r="L880" s="5">
        <f>IF(OR(A880="",B880=""),"",B880-WEEKDAY(B880,2)+1)</f>
        <v/>
      </c>
      <c r="M880" s="5">
        <f>IF(L880="","",L880+6)</f>
        <v/>
      </c>
      <c r="N880" s="6">
        <f>IF(OR(A880="",B880=""),"",DATE(YEAR(B880),MONTH(B880),1))</f>
        <v/>
      </c>
      <c r="O880" s="7">
        <f>IF(COUNTA(A880:K880)=0,"",IF(OR(A880="",B880=""),"Preencher CPF e entrada",IF(COUNTIFS($A$12:$A$5011,A880,$B$12:$B$5011,B880)&gt;1,"CPF + dia duplicado",IF(OR(AND(G880&lt;&gt;"",G880&lt;&gt;0,G880&lt;&gt;1),AND(H880&lt;&gt;"",H880&lt;&gt;0,H880&lt;&gt;1)),"Flags devem ser 0 ou 1",IF(AND(H880=1,LEN(TRIM(I880))=0),"Preencher nome do indicante",IF(AND(H880&lt;&gt;1,I880&lt;&gt;""),"Nome sem indicação interna",IF(AND(G880=1,F880=""),"Fechamento sem conversa",IF(OR(AND(E880&lt;&gt;"",E880&lt;B880),AND(F880&lt;&gt;"",F880&lt;B880)),"Evento anterior à entrada",IF(AND(F880&lt;&gt;"",E880=""),"Conversa sem agendamento",IF(OR(E880&gt;TODAY(),F880&gt;TODAY()),"Verificar evento futuro","OK"))))))))))</f>
        <v/>
      </c>
    </row>
    <row r="881" spans="12:15">
      <c r="L881" s="5">
        <f>IF(OR(A881="",B881=""),"",B881-WEEKDAY(B881,2)+1)</f>
        <v/>
      </c>
      <c r="M881" s="5">
        <f>IF(L881="","",L881+6)</f>
        <v/>
      </c>
      <c r="N881" s="6">
        <f>IF(OR(A881="",B881=""),"",DATE(YEAR(B881),MONTH(B881),1))</f>
        <v/>
      </c>
      <c r="O881" s="7">
        <f>IF(COUNTA(A881:K881)=0,"",IF(OR(A881="",B881=""),"Preencher CPF e entrada",IF(COUNTIFS($A$12:$A$5011,A881,$B$12:$B$5011,B881)&gt;1,"CPF + dia duplicado",IF(OR(AND(G881&lt;&gt;"",G881&lt;&gt;0,G881&lt;&gt;1),AND(H881&lt;&gt;"",H881&lt;&gt;0,H881&lt;&gt;1)),"Flags devem ser 0 ou 1",IF(AND(H881=1,LEN(TRIM(I881))=0),"Preencher nome do indicante",IF(AND(H881&lt;&gt;1,I881&lt;&gt;""),"Nome sem indicação interna",IF(AND(G881=1,F881=""),"Fechamento sem conversa",IF(OR(AND(E881&lt;&gt;"",E881&lt;B881),AND(F881&lt;&gt;"",F881&lt;B881)),"Evento anterior à entrada",IF(AND(F881&lt;&gt;"",E881=""),"Conversa sem agendamento",IF(OR(E881&gt;TODAY(),F881&gt;TODAY()),"Verificar evento futuro","OK"))))))))))</f>
        <v/>
      </c>
    </row>
    <row r="882" spans="12:15">
      <c r="L882" s="5">
        <f>IF(OR(A882="",B882=""),"",B882-WEEKDAY(B882,2)+1)</f>
        <v/>
      </c>
      <c r="M882" s="5">
        <f>IF(L882="","",L882+6)</f>
        <v/>
      </c>
      <c r="N882" s="6">
        <f>IF(OR(A882="",B882=""),"",DATE(YEAR(B882),MONTH(B882),1))</f>
        <v/>
      </c>
      <c r="O882" s="7">
        <f>IF(COUNTA(A882:K882)=0,"",IF(OR(A882="",B882=""),"Preencher CPF e entrada",IF(COUNTIFS($A$12:$A$5011,A882,$B$12:$B$5011,B882)&gt;1,"CPF + dia duplicado",IF(OR(AND(G882&lt;&gt;"",G882&lt;&gt;0,G882&lt;&gt;1),AND(H882&lt;&gt;"",H882&lt;&gt;0,H882&lt;&gt;1)),"Flags devem ser 0 ou 1",IF(AND(H882=1,LEN(TRIM(I882))=0),"Preencher nome do indicante",IF(AND(H882&lt;&gt;1,I882&lt;&gt;""),"Nome sem indicação interna",IF(AND(G882=1,F882=""),"Fechamento sem conversa",IF(OR(AND(E882&lt;&gt;"",E882&lt;B882),AND(F882&lt;&gt;"",F882&lt;B882)),"Evento anterior à entrada",IF(AND(F882&lt;&gt;"",E882=""),"Conversa sem agendamento",IF(OR(E882&gt;TODAY(),F882&gt;TODAY()),"Verificar evento futuro","OK"))))))))))</f>
        <v/>
      </c>
    </row>
    <row r="883" spans="12:15">
      <c r="L883" s="5">
        <f>IF(OR(A883="",B883=""),"",B883-WEEKDAY(B883,2)+1)</f>
        <v/>
      </c>
      <c r="M883" s="5">
        <f>IF(L883="","",L883+6)</f>
        <v/>
      </c>
      <c r="N883" s="6">
        <f>IF(OR(A883="",B883=""),"",DATE(YEAR(B883),MONTH(B883),1))</f>
        <v/>
      </c>
      <c r="O883" s="7">
        <f>IF(COUNTA(A883:K883)=0,"",IF(OR(A883="",B883=""),"Preencher CPF e entrada",IF(COUNTIFS($A$12:$A$5011,A883,$B$12:$B$5011,B883)&gt;1,"CPF + dia duplicado",IF(OR(AND(G883&lt;&gt;"",G883&lt;&gt;0,G883&lt;&gt;1),AND(H883&lt;&gt;"",H883&lt;&gt;0,H883&lt;&gt;1)),"Flags devem ser 0 ou 1",IF(AND(H883=1,LEN(TRIM(I883))=0),"Preencher nome do indicante",IF(AND(H883&lt;&gt;1,I883&lt;&gt;""),"Nome sem indicação interna",IF(AND(G883=1,F883=""),"Fechamento sem conversa",IF(OR(AND(E883&lt;&gt;"",E883&lt;B883),AND(F883&lt;&gt;"",F883&lt;B883)),"Evento anterior à entrada",IF(AND(F883&lt;&gt;"",E883=""),"Conversa sem agendamento",IF(OR(E883&gt;TODAY(),F883&gt;TODAY()),"Verificar evento futuro","OK"))))))))))</f>
        <v/>
      </c>
    </row>
    <row r="884" spans="12:15">
      <c r="L884" s="5">
        <f>IF(OR(A884="",B884=""),"",B884-WEEKDAY(B884,2)+1)</f>
        <v/>
      </c>
      <c r="M884" s="5">
        <f>IF(L884="","",L884+6)</f>
        <v/>
      </c>
      <c r="N884" s="6">
        <f>IF(OR(A884="",B884=""),"",DATE(YEAR(B884),MONTH(B884),1))</f>
        <v/>
      </c>
      <c r="O884" s="7">
        <f>IF(COUNTA(A884:K884)=0,"",IF(OR(A884="",B884=""),"Preencher CPF e entrada",IF(COUNTIFS($A$12:$A$5011,A884,$B$12:$B$5011,B884)&gt;1,"CPF + dia duplicado",IF(OR(AND(G884&lt;&gt;"",G884&lt;&gt;0,G884&lt;&gt;1),AND(H884&lt;&gt;"",H884&lt;&gt;0,H884&lt;&gt;1)),"Flags devem ser 0 ou 1",IF(AND(H884=1,LEN(TRIM(I884))=0),"Preencher nome do indicante",IF(AND(H884&lt;&gt;1,I884&lt;&gt;""),"Nome sem indicação interna",IF(AND(G884=1,F884=""),"Fechamento sem conversa",IF(OR(AND(E884&lt;&gt;"",E884&lt;B884),AND(F884&lt;&gt;"",F884&lt;B884)),"Evento anterior à entrada",IF(AND(F884&lt;&gt;"",E884=""),"Conversa sem agendamento",IF(OR(E884&gt;TODAY(),F884&gt;TODAY()),"Verificar evento futuro","OK"))))))))))</f>
        <v/>
      </c>
    </row>
    <row r="885" spans="12:15">
      <c r="L885" s="5">
        <f>IF(OR(A885="",B885=""),"",B885-WEEKDAY(B885,2)+1)</f>
        <v/>
      </c>
      <c r="M885" s="5">
        <f>IF(L885="","",L885+6)</f>
        <v/>
      </c>
      <c r="N885" s="6">
        <f>IF(OR(A885="",B885=""),"",DATE(YEAR(B885),MONTH(B885),1))</f>
        <v/>
      </c>
      <c r="O885" s="7">
        <f>IF(COUNTA(A885:K885)=0,"",IF(OR(A885="",B885=""),"Preencher CPF e entrada",IF(COUNTIFS($A$12:$A$5011,A885,$B$12:$B$5011,B885)&gt;1,"CPF + dia duplicado",IF(OR(AND(G885&lt;&gt;"",G885&lt;&gt;0,G885&lt;&gt;1),AND(H885&lt;&gt;"",H885&lt;&gt;0,H885&lt;&gt;1)),"Flags devem ser 0 ou 1",IF(AND(H885=1,LEN(TRIM(I885))=0),"Preencher nome do indicante",IF(AND(H885&lt;&gt;1,I885&lt;&gt;""),"Nome sem indicação interna",IF(AND(G885=1,F885=""),"Fechamento sem conversa",IF(OR(AND(E885&lt;&gt;"",E885&lt;B885),AND(F885&lt;&gt;"",F885&lt;B885)),"Evento anterior à entrada",IF(AND(F885&lt;&gt;"",E885=""),"Conversa sem agendamento",IF(OR(E885&gt;TODAY(),F885&gt;TODAY()),"Verificar evento futuro","OK"))))))))))</f>
        <v/>
      </c>
    </row>
    <row r="886" spans="12:15">
      <c r="L886" s="5">
        <f>IF(OR(A886="",B886=""),"",B886-WEEKDAY(B886,2)+1)</f>
        <v/>
      </c>
      <c r="M886" s="5">
        <f>IF(L886="","",L886+6)</f>
        <v/>
      </c>
      <c r="N886" s="6">
        <f>IF(OR(A886="",B886=""),"",DATE(YEAR(B886),MONTH(B886),1))</f>
        <v/>
      </c>
      <c r="O886" s="7">
        <f>IF(COUNTA(A886:K886)=0,"",IF(OR(A886="",B886=""),"Preencher CPF e entrada",IF(COUNTIFS($A$12:$A$5011,A886,$B$12:$B$5011,B886)&gt;1,"CPF + dia duplicado",IF(OR(AND(G886&lt;&gt;"",G886&lt;&gt;0,G886&lt;&gt;1),AND(H886&lt;&gt;"",H886&lt;&gt;0,H886&lt;&gt;1)),"Flags devem ser 0 ou 1",IF(AND(H886=1,LEN(TRIM(I886))=0),"Preencher nome do indicante",IF(AND(H886&lt;&gt;1,I886&lt;&gt;""),"Nome sem indicação interna",IF(AND(G886=1,F886=""),"Fechamento sem conversa",IF(OR(AND(E886&lt;&gt;"",E886&lt;B886),AND(F886&lt;&gt;"",F886&lt;B886)),"Evento anterior à entrada",IF(AND(F886&lt;&gt;"",E886=""),"Conversa sem agendamento",IF(OR(E886&gt;TODAY(),F886&gt;TODAY()),"Verificar evento futuro","OK"))))))))))</f>
        <v/>
      </c>
    </row>
    <row r="887" spans="12:15">
      <c r="L887" s="5">
        <f>IF(OR(A887="",B887=""),"",B887-WEEKDAY(B887,2)+1)</f>
        <v/>
      </c>
      <c r="M887" s="5">
        <f>IF(L887="","",L887+6)</f>
        <v/>
      </c>
      <c r="N887" s="6">
        <f>IF(OR(A887="",B887=""),"",DATE(YEAR(B887),MONTH(B887),1))</f>
        <v/>
      </c>
      <c r="O887" s="7">
        <f>IF(COUNTA(A887:K887)=0,"",IF(OR(A887="",B887=""),"Preencher CPF e entrada",IF(COUNTIFS($A$12:$A$5011,A887,$B$12:$B$5011,B887)&gt;1,"CPF + dia duplicado",IF(OR(AND(G887&lt;&gt;"",G887&lt;&gt;0,G887&lt;&gt;1),AND(H887&lt;&gt;"",H887&lt;&gt;0,H887&lt;&gt;1)),"Flags devem ser 0 ou 1",IF(AND(H887=1,LEN(TRIM(I887))=0),"Preencher nome do indicante",IF(AND(H887&lt;&gt;1,I887&lt;&gt;""),"Nome sem indicação interna",IF(AND(G887=1,F887=""),"Fechamento sem conversa",IF(OR(AND(E887&lt;&gt;"",E887&lt;B887),AND(F887&lt;&gt;"",F887&lt;B887)),"Evento anterior à entrada",IF(AND(F887&lt;&gt;"",E887=""),"Conversa sem agendamento",IF(OR(E887&gt;TODAY(),F887&gt;TODAY()),"Verificar evento futuro","OK"))))))))))</f>
        <v/>
      </c>
    </row>
    <row r="888" spans="12:15">
      <c r="L888" s="5">
        <f>IF(OR(A888="",B888=""),"",B888-WEEKDAY(B888,2)+1)</f>
        <v/>
      </c>
      <c r="M888" s="5">
        <f>IF(L888="","",L888+6)</f>
        <v/>
      </c>
      <c r="N888" s="6">
        <f>IF(OR(A888="",B888=""),"",DATE(YEAR(B888),MONTH(B888),1))</f>
        <v/>
      </c>
      <c r="O888" s="7">
        <f>IF(COUNTA(A888:K888)=0,"",IF(OR(A888="",B888=""),"Preencher CPF e entrada",IF(COUNTIFS($A$12:$A$5011,A888,$B$12:$B$5011,B888)&gt;1,"CPF + dia duplicado",IF(OR(AND(G888&lt;&gt;"",G888&lt;&gt;0,G888&lt;&gt;1),AND(H888&lt;&gt;"",H888&lt;&gt;0,H888&lt;&gt;1)),"Flags devem ser 0 ou 1",IF(AND(H888=1,LEN(TRIM(I888))=0),"Preencher nome do indicante",IF(AND(H888&lt;&gt;1,I888&lt;&gt;""),"Nome sem indicação interna",IF(AND(G888=1,F888=""),"Fechamento sem conversa",IF(OR(AND(E888&lt;&gt;"",E888&lt;B888),AND(F888&lt;&gt;"",F888&lt;B888)),"Evento anterior à entrada",IF(AND(F888&lt;&gt;"",E888=""),"Conversa sem agendamento",IF(OR(E888&gt;TODAY(),F888&gt;TODAY()),"Verificar evento futuro","OK"))))))))))</f>
        <v/>
      </c>
    </row>
    <row r="889" spans="12:15">
      <c r="L889" s="5">
        <f>IF(OR(A889="",B889=""),"",B889-WEEKDAY(B889,2)+1)</f>
        <v/>
      </c>
      <c r="M889" s="5">
        <f>IF(L889="","",L889+6)</f>
        <v/>
      </c>
      <c r="N889" s="6">
        <f>IF(OR(A889="",B889=""),"",DATE(YEAR(B889),MONTH(B889),1))</f>
        <v/>
      </c>
      <c r="O889" s="7">
        <f>IF(COUNTA(A889:K889)=0,"",IF(OR(A889="",B889=""),"Preencher CPF e entrada",IF(COUNTIFS($A$12:$A$5011,A889,$B$12:$B$5011,B889)&gt;1,"CPF + dia duplicado",IF(OR(AND(G889&lt;&gt;"",G889&lt;&gt;0,G889&lt;&gt;1),AND(H889&lt;&gt;"",H889&lt;&gt;0,H889&lt;&gt;1)),"Flags devem ser 0 ou 1",IF(AND(H889=1,LEN(TRIM(I889))=0),"Preencher nome do indicante",IF(AND(H889&lt;&gt;1,I889&lt;&gt;""),"Nome sem indicação interna",IF(AND(G889=1,F889=""),"Fechamento sem conversa",IF(OR(AND(E889&lt;&gt;"",E889&lt;B889),AND(F889&lt;&gt;"",F889&lt;B889)),"Evento anterior à entrada",IF(AND(F889&lt;&gt;"",E889=""),"Conversa sem agendamento",IF(OR(E889&gt;TODAY(),F889&gt;TODAY()),"Verificar evento futuro","OK"))))))))))</f>
        <v/>
      </c>
    </row>
    <row r="890" spans="12:15">
      <c r="L890" s="5">
        <f>IF(OR(A890="",B890=""),"",B890-WEEKDAY(B890,2)+1)</f>
        <v/>
      </c>
      <c r="M890" s="5">
        <f>IF(L890="","",L890+6)</f>
        <v/>
      </c>
      <c r="N890" s="6">
        <f>IF(OR(A890="",B890=""),"",DATE(YEAR(B890),MONTH(B890),1))</f>
        <v/>
      </c>
      <c r="O890" s="7">
        <f>IF(COUNTA(A890:K890)=0,"",IF(OR(A890="",B890=""),"Preencher CPF e entrada",IF(COUNTIFS($A$12:$A$5011,A890,$B$12:$B$5011,B890)&gt;1,"CPF + dia duplicado",IF(OR(AND(G890&lt;&gt;"",G890&lt;&gt;0,G890&lt;&gt;1),AND(H890&lt;&gt;"",H890&lt;&gt;0,H890&lt;&gt;1)),"Flags devem ser 0 ou 1",IF(AND(H890=1,LEN(TRIM(I890))=0),"Preencher nome do indicante",IF(AND(H890&lt;&gt;1,I890&lt;&gt;""),"Nome sem indicação interna",IF(AND(G890=1,F890=""),"Fechamento sem conversa",IF(OR(AND(E890&lt;&gt;"",E890&lt;B890),AND(F890&lt;&gt;"",F890&lt;B890)),"Evento anterior à entrada",IF(AND(F890&lt;&gt;"",E890=""),"Conversa sem agendamento",IF(OR(E890&gt;TODAY(),F890&gt;TODAY()),"Verificar evento futuro","OK"))))))))))</f>
        <v/>
      </c>
    </row>
    <row r="891" spans="12:15">
      <c r="L891" s="5">
        <f>IF(OR(A891="",B891=""),"",B891-WEEKDAY(B891,2)+1)</f>
        <v/>
      </c>
      <c r="M891" s="5">
        <f>IF(L891="","",L891+6)</f>
        <v/>
      </c>
      <c r="N891" s="6">
        <f>IF(OR(A891="",B891=""),"",DATE(YEAR(B891),MONTH(B891),1))</f>
        <v/>
      </c>
      <c r="O891" s="7">
        <f>IF(COUNTA(A891:K891)=0,"",IF(OR(A891="",B891=""),"Preencher CPF e entrada",IF(COUNTIFS($A$12:$A$5011,A891,$B$12:$B$5011,B891)&gt;1,"CPF + dia duplicado",IF(OR(AND(G891&lt;&gt;"",G891&lt;&gt;0,G891&lt;&gt;1),AND(H891&lt;&gt;"",H891&lt;&gt;0,H891&lt;&gt;1)),"Flags devem ser 0 ou 1",IF(AND(H891=1,LEN(TRIM(I891))=0),"Preencher nome do indicante",IF(AND(H891&lt;&gt;1,I891&lt;&gt;""),"Nome sem indicação interna",IF(AND(G891=1,F891=""),"Fechamento sem conversa",IF(OR(AND(E891&lt;&gt;"",E891&lt;B891),AND(F891&lt;&gt;"",F891&lt;B891)),"Evento anterior à entrada",IF(AND(F891&lt;&gt;"",E891=""),"Conversa sem agendamento",IF(OR(E891&gt;TODAY(),F891&gt;TODAY()),"Verificar evento futuro","OK"))))))))))</f>
        <v/>
      </c>
    </row>
    <row r="892" spans="12:15">
      <c r="L892" s="5">
        <f>IF(OR(A892="",B892=""),"",B892-WEEKDAY(B892,2)+1)</f>
        <v/>
      </c>
      <c r="M892" s="5">
        <f>IF(L892="","",L892+6)</f>
        <v/>
      </c>
      <c r="N892" s="6">
        <f>IF(OR(A892="",B892=""),"",DATE(YEAR(B892),MONTH(B892),1))</f>
        <v/>
      </c>
      <c r="O892" s="7">
        <f>IF(COUNTA(A892:K892)=0,"",IF(OR(A892="",B892=""),"Preencher CPF e entrada",IF(COUNTIFS($A$12:$A$5011,A892,$B$12:$B$5011,B892)&gt;1,"CPF + dia duplicado",IF(OR(AND(G892&lt;&gt;"",G892&lt;&gt;0,G892&lt;&gt;1),AND(H892&lt;&gt;"",H892&lt;&gt;0,H892&lt;&gt;1)),"Flags devem ser 0 ou 1",IF(AND(H892=1,LEN(TRIM(I892))=0),"Preencher nome do indicante",IF(AND(H892&lt;&gt;1,I892&lt;&gt;""),"Nome sem indicação interna",IF(AND(G892=1,F892=""),"Fechamento sem conversa",IF(OR(AND(E892&lt;&gt;"",E892&lt;B892),AND(F892&lt;&gt;"",F892&lt;B892)),"Evento anterior à entrada",IF(AND(F892&lt;&gt;"",E892=""),"Conversa sem agendamento",IF(OR(E892&gt;TODAY(),F892&gt;TODAY()),"Verificar evento futuro","OK"))))))))))</f>
        <v/>
      </c>
    </row>
    <row r="893" spans="12:15">
      <c r="L893" s="5">
        <f>IF(OR(A893="",B893=""),"",B893-WEEKDAY(B893,2)+1)</f>
        <v/>
      </c>
      <c r="M893" s="5">
        <f>IF(L893="","",L893+6)</f>
        <v/>
      </c>
      <c r="N893" s="6">
        <f>IF(OR(A893="",B893=""),"",DATE(YEAR(B893),MONTH(B893),1))</f>
        <v/>
      </c>
      <c r="O893" s="7">
        <f>IF(COUNTA(A893:K893)=0,"",IF(OR(A893="",B893=""),"Preencher CPF e entrada",IF(COUNTIFS($A$12:$A$5011,A893,$B$12:$B$5011,B893)&gt;1,"CPF + dia duplicado",IF(OR(AND(G893&lt;&gt;"",G893&lt;&gt;0,G893&lt;&gt;1),AND(H893&lt;&gt;"",H893&lt;&gt;0,H893&lt;&gt;1)),"Flags devem ser 0 ou 1",IF(AND(H893=1,LEN(TRIM(I893))=0),"Preencher nome do indicante",IF(AND(H893&lt;&gt;1,I893&lt;&gt;""),"Nome sem indicação interna",IF(AND(G893=1,F893=""),"Fechamento sem conversa",IF(OR(AND(E893&lt;&gt;"",E893&lt;B893),AND(F893&lt;&gt;"",F893&lt;B893)),"Evento anterior à entrada",IF(AND(F893&lt;&gt;"",E893=""),"Conversa sem agendamento",IF(OR(E893&gt;TODAY(),F893&gt;TODAY()),"Verificar evento futuro","OK"))))))))))</f>
        <v/>
      </c>
    </row>
    <row r="894" spans="12:15">
      <c r="L894" s="5">
        <f>IF(OR(A894="",B894=""),"",B894-WEEKDAY(B894,2)+1)</f>
        <v/>
      </c>
      <c r="M894" s="5">
        <f>IF(L894="","",L894+6)</f>
        <v/>
      </c>
      <c r="N894" s="6">
        <f>IF(OR(A894="",B894=""),"",DATE(YEAR(B894),MONTH(B894),1))</f>
        <v/>
      </c>
      <c r="O894" s="7">
        <f>IF(COUNTA(A894:K894)=0,"",IF(OR(A894="",B894=""),"Preencher CPF e entrada",IF(COUNTIFS($A$12:$A$5011,A894,$B$12:$B$5011,B894)&gt;1,"CPF + dia duplicado",IF(OR(AND(G894&lt;&gt;"",G894&lt;&gt;0,G894&lt;&gt;1),AND(H894&lt;&gt;"",H894&lt;&gt;0,H894&lt;&gt;1)),"Flags devem ser 0 ou 1",IF(AND(H894=1,LEN(TRIM(I894))=0),"Preencher nome do indicante",IF(AND(H894&lt;&gt;1,I894&lt;&gt;""),"Nome sem indicação interna",IF(AND(G894=1,F894=""),"Fechamento sem conversa",IF(OR(AND(E894&lt;&gt;"",E894&lt;B894),AND(F894&lt;&gt;"",F894&lt;B894)),"Evento anterior à entrada",IF(AND(F894&lt;&gt;"",E894=""),"Conversa sem agendamento",IF(OR(E894&gt;TODAY(),F894&gt;TODAY()),"Verificar evento futuro","OK"))))))))))</f>
        <v/>
      </c>
    </row>
    <row r="895" spans="12:15">
      <c r="L895" s="5">
        <f>IF(OR(A895="",B895=""),"",B895-WEEKDAY(B895,2)+1)</f>
        <v/>
      </c>
      <c r="M895" s="5">
        <f>IF(L895="","",L895+6)</f>
        <v/>
      </c>
      <c r="N895" s="6">
        <f>IF(OR(A895="",B895=""),"",DATE(YEAR(B895),MONTH(B895),1))</f>
        <v/>
      </c>
      <c r="O895" s="7">
        <f>IF(COUNTA(A895:K895)=0,"",IF(OR(A895="",B895=""),"Preencher CPF e entrada",IF(COUNTIFS($A$12:$A$5011,A895,$B$12:$B$5011,B895)&gt;1,"CPF + dia duplicado",IF(OR(AND(G895&lt;&gt;"",G895&lt;&gt;0,G895&lt;&gt;1),AND(H895&lt;&gt;"",H895&lt;&gt;0,H895&lt;&gt;1)),"Flags devem ser 0 ou 1",IF(AND(H895=1,LEN(TRIM(I895))=0),"Preencher nome do indicante",IF(AND(H895&lt;&gt;1,I895&lt;&gt;""),"Nome sem indicação interna",IF(AND(G895=1,F895=""),"Fechamento sem conversa",IF(OR(AND(E895&lt;&gt;"",E895&lt;B895),AND(F895&lt;&gt;"",F895&lt;B895)),"Evento anterior à entrada",IF(AND(F895&lt;&gt;"",E895=""),"Conversa sem agendamento",IF(OR(E895&gt;TODAY(),F895&gt;TODAY()),"Verificar evento futuro","OK"))))))))))</f>
        <v/>
      </c>
    </row>
    <row r="896" spans="12:15">
      <c r="L896" s="5">
        <f>IF(OR(A896="",B896=""),"",B896-WEEKDAY(B896,2)+1)</f>
        <v/>
      </c>
      <c r="M896" s="5">
        <f>IF(L896="","",L896+6)</f>
        <v/>
      </c>
      <c r="N896" s="6">
        <f>IF(OR(A896="",B896=""),"",DATE(YEAR(B896),MONTH(B896),1))</f>
        <v/>
      </c>
      <c r="O896" s="7">
        <f>IF(COUNTA(A896:K896)=0,"",IF(OR(A896="",B896=""),"Preencher CPF e entrada",IF(COUNTIFS($A$12:$A$5011,A896,$B$12:$B$5011,B896)&gt;1,"CPF + dia duplicado",IF(OR(AND(G896&lt;&gt;"",G896&lt;&gt;0,G896&lt;&gt;1),AND(H896&lt;&gt;"",H896&lt;&gt;0,H896&lt;&gt;1)),"Flags devem ser 0 ou 1",IF(AND(H896=1,LEN(TRIM(I896))=0),"Preencher nome do indicante",IF(AND(H896&lt;&gt;1,I896&lt;&gt;""),"Nome sem indicação interna",IF(AND(G896=1,F896=""),"Fechamento sem conversa",IF(OR(AND(E896&lt;&gt;"",E896&lt;B896),AND(F896&lt;&gt;"",F896&lt;B896)),"Evento anterior à entrada",IF(AND(F896&lt;&gt;"",E896=""),"Conversa sem agendamento",IF(OR(E896&gt;TODAY(),F896&gt;TODAY()),"Verificar evento futuro","OK"))))))))))</f>
        <v/>
      </c>
    </row>
    <row r="897" spans="12:15">
      <c r="L897" s="5">
        <f>IF(OR(A897="",B897=""),"",B897-WEEKDAY(B897,2)+1)</f>
        <v/>
      </c>
      <c r="M897" s="5">
        <f>IF(L897="","",L897+6)</f>
        <v/>
      </c>
      <c r="N897" s="6">
        <f>IF(OR(A897="",B897=""),"",DATE(YEAR(B897),MONTH(B897),1))</f>
        <v/>
      </c>
      <c r="O897" s="7">
        <f>IF(COUNTA(A897:K897)=0,"",IF(OR(A897="",B897=""),"Preencher CPF e entrada",IF(COUNTIFS($A$12:$A$5011,A897,$B$12:$B$5011,B897)&gt;1,"CPF + dia duplicado",IF(OR(AND(G897&lt;&gt;"",G897&lt;&gt;0,G897&lt;&gt;1),AND(H897&lt;&gt;"",H897&lt;&gt;0,H897&lt;&gt;1)),"Flags devem ser 0 ou 1",IF(AND(H897=1,LEN(TRIM(I897))=0),"Preencher nome do indicante",IF(AND(H897&lt;&gt;1,I897&lt;&gt;""),"Nome sem indicação interna",IF(AND(G897=1,F897=""),"Fechamento sem conversa",IF(OR(AND(E897&lt;&gt;"",E897&lt;B897),AND(F897&lt;&gt;"",F897&lt;B897)),"Evento anterior à entrada",IF(AND(F897&lt;&gt;"",E897=""),"Conversa sem agendamento",IF(OR(E897&gt;TODAY(),F897&gt;TODAY()),"Verificar evento futuro","OK"))))))))))</f>
        <v/>
      </c>
    </row>
    <row r="898" spans="12:15">
      <c r="L898" s="5">
        <f>IF(OR(A898="",B898=""),"",B898-WEEKDAY(B898,2)+1)</f>
        <v/>
      </c>
      <c r="M898" s="5">
        <f>IF(L898="","",L898+6)</f>
        <v/>
      </c>
      <c r="N898" s="6">
        <f>IF(OR(A898="",B898=""),"",DATE(YEAR(B898),MONTH(B898),1))</f>
        <v/>
      </c>
      <c r="O898" s="7">
        <f>IF(COUNTA(A898:K898)=0,"",IF(OR(A898="",B898=""),"Preencher CPF e entrada",IF(COUNTIFS($A$12:$A$5011,A898,$B$12:$B$5011,B898)&gt;1,"CPF + dia duplicado",IF(OR(AND(G898&lt;&gt;"",G898&lt;&gt;0,G898&lt;&gt;1),AND(H898&lt;&gt;"",H898&lt;&gt;0,H898&lt;&gt;1)),"Flags devem ser 0 ou 1",IF(AND(H898=1,LEN(TRIM(I898))=0),"Preencher nome do indicante",IF(AND(H898&lt;&gt;1,I898&lt;&gt;""),"Nome sem indicação interna",IF(AND(G898=1,F898=""),"Fechamento sem conversa",IF(OR(AND(E898&lt;&gt;"",E898&lt;B898),AND(F898&lt;&gt;"",F898&lt;B898)),"Evento anterior à entrada",IF(AND(F898&lt;&gt;"",E898=""),"Conversa sem agendamento",IF(OR(E898&gt;TODAY(),F898&gt;TODAY()),"Verificar evento futuro","OK"))))))))))</f>
        <v/>
      </c>
    </row>
    <row r="899" spans="12:15">
      <c r="L899" s="5">
        <f>IF(OR(A899="",B899=""),"",B899-WEEKDAY(B899,2)+1)</f>
        <v/>
      </c>
      <c r="M899" s="5">
        <f>IF(L899="","",L899+6)</f>
        <v/>
      </c>
      <c r="N899" s="6">
        <f>IF(OR(A899="",B899=""),"",DATE(YEAR(B899),MONTH(B899),1))</f>
        <v/>
      </c>
      <c r="O899" s="7">
        <f>IF(COUNTA(A899:K899)=0,"",IF(OR(A899="",B899=""),"Preencher CPF e entrada",IF(COUNTIFS($A$12:$A$5011,A899,$B$12:$B$5011,B899)&gt;1,"CPF + dia duplicado",IF(OR(AND(G899&lt;&gt;"",G899&lt;&gt;0,G899&lt;&gt;1),AND(H899&lt;&gt;"",H899&lt;&gt;0,H899&lt;&gt;1)),"Flags devem ser 0 ou 1",IF(AND(H899=1,LEN(TRIM(I899))=0),"Preencher nome do indicante",IF(AND(H899&lt;&gt;1,I899&lt;&gt;""),"Nome sem indicação interna",IF(AND(G899=1,F899=""),"Fechamento sem conversa",IF(OR(AND(E899&lt;&gt;"",E899&lt;B899),AND(F899&lt;&gt;"",F899&lt;B899)),"Evento anterior à entrada",IF(AND(F899&lt;&gt;"",E899=""),"Conversa sem agendamento",IF(OR(E899&gt;TODAY(),F899&gt;TODAY()),"Verificar evento futuro","OK"))))))))))</f>
        <v/>
      </c>
    </row>
    <row r="900" spans="12:15">
      <c r="L900" s="5">
        <f>IF(OR(A900="",B900=""),"",B900-WEEKDAY(B900,2)+1)</f>
        <v/>
      </c>
      <c r="M900" s="5">
        <f>IF(L900="","",L900+6)</f>
        <v/>
      </c>
      <c r="N900" s="6">
        <f>IF(OR(A900="",B900=""),"",DATE(YEAR(B900),MONTH(B900),1))</f>
        <v/>
      </c>
      <c r="O900" s="7">
        <f>IF(COUNTA(A900:K900)=0,"",IF(OR(A900="",B900=""),"Preencher CPF e entrada",IF(COUNTIFS($A$12:$A$5011,A900,$B$12:$B$5011,B900)&gt;1,"CPF + dia duplicado",IF(OR(AND(G900&lt;&gt;"",G900&lt;&gt;0,G900&lt;&gt;1),AND(H900&lt;&gt;"",H900&lt;&gt;0,H900&lt;&gt;1)),"Flags devem ser 0 ou 1",IF(AND(H900=1,LEN(TRIM(I900))=0),"Preencher nome do indicante",IF(AND(H900&lt;&gt;1,I900&lt;&gt;""),"Nome sem indicação interna",IF(AND(G900=1,F900=""),"Fechamento sem conversa",IF(OR(AND(E900&lt;&gt;"",E900&lt;B900),AND(F900&lt;&gt;"",F900&lt;B900)),"Evento anterior à entrada",IF(AND(F900&lt;&gt;"",E900=""),"Conversa sem agendamento",IF(OR(E900&gt;TODAY(),F900&gt;TODAY()),"Verificar evento futuro","OK"))))))))))</f>
        <v/>
      </c>
    </row>
    <row r="901" spans="12:15">
      <c r="L901" s="5">
        <f>IF(OR(A901="",B901=""),"",B901-WEEKDAY(B901,2)+1)</f>
        <v/>
      </c>
      <c r="M901" s="5">
        <f>IF(L901="","",L901+6)</f>
        <v/>
      </c>
      <c r="N901" s="6">
        <f>IF(OR(A901="",B901=""),"",DATE(YEAR(B901),MONTH(B901),1))</f>
        <v/>
      </c>
      <c r="O901" s="7">
        <f>IF(COUNTA(A901:K901)=0,"",IF(OR(A901="",B901=""),"Preencher CPF e entrada",IF(COUNTIFS($A$12:$A$5011,A901,$B$12:$B$5011,B901)&gt;1,"CPF + dia duplicado",IF(OR(AND(G901&lt;&gt;"",G901&lt;&gt;0,G901&lt;&gt;1),AND(H901&lt;&gt;"",H901&lt;&gt;0,H901&lt;&gt;1)),"Flags devem ser 0 ou 1",IF(AND(H901=1,LEN(TRIM(I901))=0),"Preencher nome do indicante",IF(AND(H901&lt;&gt;1,I901&lt;&gt;""),"Nome sem indicação interna",IF(AND(G901=1,F901=""),"Fechamento sem conversa",IF(OR(AND(E901&lt;&gt;"",E901&lt;B901),AND(F901&lt;&gt;"",F901&lt;B901)),"Evento anterior à entrada",IF(AND(F901&lt;&gt;"",E901=""),"Conversa sem agendamento",IF(OR(E901&gt;TODAY(),F901&gt;TODAY()),"Verificar evento futuro","OK"))))))))))</f>
        <v/>
      </c>
    </row>
    <row r="902" spans="12:15">
      <c r="L902" s="5">
        <f>IF(OR(A902="",B902=""),"",B902-WEEKDAY(B902,2)+1)</f>
        <v/>
      </c>
      <c r="M902" s="5">
        <f>IF(L902="","",L902+6)</f>
        <v/>
      </c>
      <c r="N902" s="6">
        <f>IF(OR(A902="",B902=""),"",DATE(YEAR(B902),MONTH(B902),1))</f>
        <v/>
      </c>
      <c r="O902" s="7">
        <f>IF(COUNTA(A902:K902)=0,"",IF(OR(A902="",B902=""),"Preencher CPF e entrada",IF(COUNTIFS($A$12:$A$5011,A902,$B$12:$B$5011,B902)&gt;1,"CPF + dia duplicado",IF(OR(AND(G902&lt;&gt;"",G902&lt;&gt;0,G902&lt;&gt;1),AND(H902&lt;&gt;"",H902&lt;&gt;0,H902&lt;&gt;1)),"Flags devem ser 0 ou 1",IF(AND(H902=1,LEN(TRIM(I902))=0),"Preencher nome do indicante",IF(AND(H902&lt;&gt;1,I902&lt;&gt;""),"Nome sem indicação interna",IF(AND(G902=1,F902=""),"Fechamento sem conversa",IF(OR(AND(E902&lt;&gt;"",E902&lt;B902),AND(F902&lt;&gt;"",F902&lt;B902)),"Evento anterior à entrada",IF(AND(F902&lt;&gt;"",E902=""),"Conversa sem agendamento",IF(OR(E902&gt;TODAY(),F902&gt;TODAY()),"Verificar evento futuro","OK"))))))))))</f>
        <v/>
      </c>
    </row>
    <row r="903" spans="12:15">
      <c r="L903" s="5">
        <f>IF(OR(A903="",B903=""),"",B903-WEEKDAY(B903,2)+1)</f>
        <v/>
      </c>
      <c r="M903" s="5">
        <f>IF(L903="","",L903+6)</f>
        <v/>
      </c>
      <c r="N903" s="6">
        <f>IF(OR(A903="",B903=""),"",DATE(YEAR(B903),MONTH(B903),1))</f>
        <v/>
      </c>
      <c r="O903" s="7">
        <f>IF(COUNTA(A903:K903)=0,"",IF(OR(A903="",B903=""),"Preencher CPF e entrada",IF(COUNTIFS($A$12:$A$5011,A903,$B$12:$B$5011,B903)&gt;1,"CPF + dia duplicado",IF(OR(AND(G903&lt;&gt;"",G903&lt;&gt;0,G903&lt;&gt;1),AND(H903&lt;&gt;"",H903&lt;&gt;0,H903&lt;&gt;1)),"Flags devem ser 0 ou 1",IF(AND(H903=1,LEN(TRIM(I903))=0),"Preencher nome do indicante",IF(AND(H903&lt;&gt;1,I903&lt;&gt;""),"Nome sem indicação interna",IF(AND(G903=1,F903=""),"Fechamento sem conversa",IF(OR(AND(E903&lt;&gt;"",E903&lt;B903),AND(F903&lt;&gt;"",F903&lt;B903)),"Evento anterior à entrada",IF(AND(F903&lt;&gt;"",E903=""),"Conversa sem agendamento",IF(OR(E903&gt;TODAY(),F903&gt;TODAY()),"Verificar evento futuro","OK"))))))))))</f>
        <v/>
      </c>
    </row>
    <row r="904" spans="12:15">
      <c r="L904" s="5">
        <f>IF(OR(A904="",B904=""),"",B904-WEEKDAY(B904,2)+1)</f>
        <v/>
      </c>
      <c r="M904" s="5">
        <f>IF(L904="","",L904+6)</f>
        <v/>
      </c>
      <c r="N904" s="6">
        <f>IF(OR(A904="",B904=""),"",DATE(YEAR(B904),MONTH(B904),1))</f>
        <v/>
      </c>
      <c r="O904" s="7">
        <f>IF(COUNTA(A904:K904)=0,"",IF(OR(A904="",B904=""),"Preencher CPF e entrada",IF(COUNTIFS($A$12:$A$5011,A904,$B$12:$B$5011,B904)&gt;1,"CPF + dia duplicado",IF(OR(AND(G904&lt;&gt;"",G904&lt;&gt;0,G904&lt;&gt;1),AND(H904&lt;&gt;"",H904&lt;&gt;0,H904&lt;&gt;1)),"Flags devem ser 0 ou 1",IF(AND(H904=1,LEN(TRIM(I904))=0),"Preencher nome do indicante",IF(AND(H904&lt;&gt;1,I904&lt;&gt;""),"Nome sem indicação interna",IF(AND(G904=1,F904=""),"Fechamento sem conversa",IF(OR(AND(E904&lt;&gt;"",E904&lt;B904),AND(F904&lt;&gt;"",F904&lt;B904)),"Evento anterior à entrada",IF(AND(F904&lt;&gt;"",E904=""),"Conversa sem agendamento",IF(OR(E904&gt;TODAY(),F904&gt;TODAY()),"Verificar evento futuro","OK"))))))))))</f>
        <v/>
      </c>
    </row>
    <row r="905" spans="12:15">
      <c r="L905" s="5">
        <f>IF(OR(A905="",B905=""),"",B905-WEEKDAY(B905,2)+1)</f>
        <v/>
      </c>
      <c r="M905" s="5">
        <f>IF(L905="","",L905+6)</f>
        <v/>
      </c>
      <c r="N905" s="6">
        <f>IF(OR(A905="",B905=""),"",DATE(YEAR(B905),MONTH(B905),1))</f>
        <v/>
      </c>
      <c r="O905" s="7">
        <f>IF(COUNTA(A905:K905)=0,"",IF(OR(A905="",B905=""),"Preencher CPF e entrada",IF(COUNTIFS($A$12:$A$5011,A905,$B$12:$B$5011,B905)&gt;1,"CPF + dia duplicado",IF(OR(AND(G905&lt;&gt;"",G905&lt;&gt;0,G905&lt;&gt;1),AND(H905&lt;&gt;"",H905&lt;&gt;0,H905&lt;&gt;1)),"Flags devem ser 0 ou 1",IF(AND(H905=1,LEN(TRIM(I905))=0),"Preencher nome do indicante",IF(AND(H905&lt;&gt;1,I905&lt;&gt;""),"Nome sem indicação interna",IF(AND(G905=1,F905=""),"Fechamento sem conversa",IF(OR(AND(E905&lt;&gt;"",E905&lt;B905),AND(F905&lt;&gt;"",F905&lt;B905)),"Evento anterior à entrada",IF(AND(F905&lt;&gt;"",E905=""),"Conversa sem agendamento",IF(OR(E905&gt;TODAY(),F905&gt;TODAY()),"Verificar evento futuro","OK"))))))))))</f>
        <v/>
      </c>
    </row>
    <row r="906" spans="12:15">
      <c r="L906" s="5">
        <f>IF(OR(A906="",B906=""),"",B906-WEEKDAY(B906,2)+1)</f>
        <v/>
      </c>
      <c r="M906" s="5">
        <f>IF(L906="","",L906+6)</f>
        <v/>
      </c>
      <c r="N906" s="6">
        <f>IF(OR(A906="",B906=""),"",DATE(YEAR(B906),MONTH(B906),1))</f>
        <v/>
      </c>
      <c r="O906" s="7">
        <f>IF(COUNTA(A906:K906)=0,"",IF(OR(A906="",B906=""),"Preencher CPF e entrada",IF(COUNTIFS($A$12:$A$5011,A906,$B$12:$B$5011,B906)&gt;1,"CPF + dia duplicado",IF(OR(AND(G906&lt;&gt;"",G906&lt;&gt;0,G906&lt;&gt;1),AND(H906&lt;&gt;"",H906&lt;&gt;0,H906&lt;&gt;1)),"Flags devem ser 0 ou 1",IF(AND(H906=1,LEN(TRIM(I906))=0),"Preencher nome do indicante",IF(AND(H906&lt;&gt;1,I906&lt;&gt;""),"Nome sem indicação interna",IF(AND(G906=1,F906=""),"Fechamento sem conversa",IF(OR(AND(E906&lt;&gt;"",E906&lt;B906),AND(F906&lt;&gt;"",F906&lt;B906)),"Evento anterior à entrada",IF(AND(F906&lt;&gt;"",E906=""),"Conversa sem agendamento",IF(OR(E906&gt;TODAY(),F906&gt;TODAY()),"Verificar evento futuro","OK"))))))))))</f>
        <v/>
      </c>
    </row>
    <row r="907" spans="12:15">
      <c r="L907" s="5">
        <f>IF(OR(A907="",B907=""),"",B907-WEEKDAY(B907,2)+1)</f>
        <v/>
      </c>
      <c r="M907" s="5">
        <f>IF(L907="","",L907+6)</f>
        <v/>
      </c>
      <c r="N907" s="6">
        <f>IF(OR(A907="",B907=""),"",DATE(YEAR(B907),MONTH(B907),1))</f>
        <v/>
      </c>
      <c r="O907" s="7">
        <f>IF(COUNTA(A907:K907)=0,"",IF(OR(A907="",B907=""),"Preencher CPF e entrada",IF(COUNTIFS($A$12:$A$5011,A907,$B$12:$B$5011,B907)&gt;1,"CPF + dia duplicado",IF(OR(AND(G907&lt;&gt;"",G907&lt;&gt;0,G907&lt;&gt;1),AND(H907&lt;&gt;"",H907&lt;&gt;0,H907&lt;&gt;1)),"Flags devem ser 0 ou 1",IF(AND(H907=1,LEN(TRIM(I907))=0),"Preencher nome do indicante",IF(AND(H907&lt;&gt;1,I907&lt;&gt;""),"Nome sem indicação interna",IF(AND(G907=1,F907=""),"Fechamento sem conversa",IF(OR(AND(E907&lt;&gt;"",E907&lt;B907),AND(F907&lt;&gt;"",F907&lt;B907)),"Evento anterior à entrada",IF(AND(F907&lt;&gt;"",E907=""),"Conversa sem agendamento",IF(OR(E907&gt;TODAY(),F907&gt;TODAY()),"Verificar evento futuro","OK"))))))))))</f>
        <v/>
      </c>
    </row>
    <row r="908" spans="12:15">
      <c r="L908" s="5">
        <f>IF(OR(A908="",B908=""),"",B908-WEEKDAY(B908,2)+1)</f>
        <v/>
      </c>
      <c r="M908" s="5">
        <f>IF(L908="","",L908+6)</f>
        <v/>
      </c>
      <c r="N908" s="6">
        <f>IF(OR(A908="",B908=""),"",DATE(YEAR(B908),MONTH(B908),1))</f>
        <v/>
      </c>
      <c r="O908" s="7">
        <f>IF(COUNTA(A908:K908)=0,"",IF(OR(A908="",B908=""),"Preencher CPF e entrada",IF(COUNTIFS($A$12:$A$5011,A908,$B$12:$B$5011,B908)&gt;1,"CPF + dia duplicado",IF(OR(AND(G908&lt;&gt;"",G908&lt;&gt;0,G908&lt;&gt;1),AND(H908&lt;&gt;"",H908&lt;&gt;0,H908&lt;&gt;1)),"Flags devem ser 0 ou 1",IF(AND(H908=1,LEN(TRIM(I908))=0),"Preencher nome do indicante",IF(AND(H908&lt;&gt;1,I908&lt;&gt;""),"Nome sem indicação interna",IF(AND(G908=1,F908=""),"Fechamento sem conversa",IF(OR(AND(E908&lt;&gt;"",E908&lt;B908),AND(F908&lt;&gt;"",F908&lt;B908)),"Evento anterior à entrada",IF(AND(F908&lt;&gt;"",E908=""),"Conversa sem agendamento",IF(OR(E908&gt;TODAY(),F908&gt;TODAY()),"Verificar evento futuro","OK"))))))))))</f>
        <v/>
      </c>
    </row>
    <row r="909" spans="12:15">
      <c r="L909" s="5">
        <f>IF(OR(A909="",B909=""),"",B909-WEEKDAY(B909,2)+1)</f>
        <v/>
      </c>
      <c r="M909" s="5">
        <f>IF(L909="","",L909+6)</f>
        <v/>
      </c>
      <c r="N909" s="6">
        <f>IF(OR(A909="",B909=""),"",DATE(YEAR(B909),MONTH(B909),1))</f>
        <v/>
      </c>
      <c r="O909" s="7">
        <f>IF(COUNTA(A909:K909)=0,"",IF(OR(A909="",B909=""),"Preencher CPF e entrada",IF(COUNTIFS($A$12:$A$5011,A909,$B$12:$B$5011,B909)&gt;1,"CPF + dia duplicado",IF(OR(AND(G909&lt;&gt;"",G909&lt;&gt;0,G909&lt;&gt;1),AND(H909&lt;&gt;"",H909&lt;&gt;0,H909&lt;&gt;1)),"Flags devem ser 0 ou 1",IF(AND(H909=1,LEN(TRIM(I909))=0),"Preencher nome do indicante",IF(AND(H909&lt;&gt;1,I909&lt;&gt;""),"Nome sem indicação interna",IF(AND(G909=1,F909=""),"Fechamento sem conversa",IF(OR(AND(E909&lt;&gt;"",E909&lt;B909),AND(F909&lt;&gt;"",F909&lt;B909)),"Evento anterior à entrada",IF(AND(F909&lt;&gt;"",E909=""),"Conversa sem agendamento",IF(OR(E909&gt;TODAY(),F909&gt;TODAY()),"Verificar evento futuro","OK"))))))))))</f>
        <v/>
      </c>
    </row>
    <row r="910" spans="12:15">
      <c r="L910" s="5">
        <f>IF(OR(A910="",B910=""),"",B910-WEEKDAY(B910,2)+1)</f>
        <v/>
      </c>
      <c r="M910" s="5">
        <f>IF(L910="","",L910+6)</f>
        <v/>
      </c>
      <c r="N910" s="6">
        <f>IF(OR(A910="",B910=""),"",DATE(YEAR(B910),MONTH(B910),1))</f>
        <v/>
      </c>
      <c r="O910" s="7">
        <f>IF(COUNTA(A910:K910)=0,"",IF(OR(A910="",B910=""),"Preencher CPF e entrada",IF(COUNTIFS($A$12:$A$5011,A910,$B$12:$B$5011,B910)&gt;1,"CPF + dia duplicado",IF(OR(AND(G910&lt;&gt;"",G910&lt;&gt;0,G910&lt;&gt;1),AND(H910&lt;&gt;"",H910&lt;&gt;0,H910&lt;&gt;1)),"Flags devem ser 0 ou 1",IF(AND(H910=1,LEN(TRIM(I910))=0),"Preencher nome do indicante",IF(AND(H910&lt;&gt;1,I910&lt;&gt;""),"Nome sem indicação interna",IF(AND(G910=1,F910=""),"Fechamento sem conversa",IF(OR(AND(E910&lt;&gt;"",E910&lt;B910),AND(F910&lt;&gt;"",F910&lt;B910)),"Evento anterior à entrada",IF(AND(F910&lt;&gt;"",E910=""),"Conversa sem agendamento",IF(OR(E910&gt;TODAY(),F910&gt;TODAY()),"Verificar evento futuro","OK"))))))))))</f>
        <v/>
      </c>
    </row>
    <row r="911" spans="12:15">
      <c r="L911" s="5">
        <f>IF(OR(A911="",B911=""),"",B911-WEEKDAY(B911,2)+1)</f>
        <v/>
      </c>
      <c r="M911" s="5">
        <f>IF(L911="","",L911+6)</f>
        <v/>
      </c>
      <c r="N911" s="6">
        <f>IF(OR(A911="",B911=""),"",DATE(YEAR(B911),MONTH(B911),1))</f>
        <v/>
      </c>
      <c r="O911" s="7">
        <f>IF(COUNTA(A911:K911)=0,"",IF(OR(A911="",B911=""),"Preencher CPF e entrada",IF(COUNTIFS($A$12:$A$5011,A911,$B$12:$B$5011,B911)&gt;1,"CPF + dia duplicado",IF(OR(AND(G911&lt;&gt;"",G911&lt;&gt;0,G911&lt;&gt;1),AND(H911&lt;&gt;"",H911&lt;&gt;0,H911&lt;&gt;1)),"Flags devem ser 0 ou 1",IF(AND(H911=1,LEN(TRIM(I911))=0),"Preencher nome do indicante",IF(AND(H911&lt;&gt;1,I911&lt;&gt;""),"Nome sem indicação interna",IF(AND(G911=1,F911=""),"Fechamento sem conversa",IF(OR(AND(E911&lt;&gt;"",E911&lt;B911),AND(F911&lt;&gt;"",F911&lt;B911)),"Evento anterior à entrada",IF(AND(F911&lt;&gt;"",E911=""),"Conversa sem agendamento",IF(OR(E911&gt;TODAY(),F911&gt;TODAY()),"Verificar evento futuro","OK"))))))))))</f>
        <v/>
      </c>
    </row>
    <row r="912" spans="12:15">
      <c r="L912" s="5">
        <f>IF(OR(A912="",B912=""),"",B912-WEEKDAY(B912,2)+1)</f>
        <v/>
      </c>
      <c r="M912" s="5">
        <f>IF(L912="","",L912+6)</f>
        <v/>
      </c>
      <c r="N912" s="6">
        <f>IF(OR(A912="",B912=""),"",DATE(YEAR(B912),MONTH(B912),1))</f>
        <v/>
      </c>
      <c r="O912" s="7">
        <f>IF(COUNTA(A912:K912)=0,"",IF(OR(A912="",B912=""),"Preencher CPF e entrada",IF(COUNTIFS($A$12:$A$5011,A912,$B$12:$B$5011,B912)&gt;1,"CPF + dia duplicado",IF(OR(AND(G912&lt;&gt;"",G912&lt;&gt;0,G912&lt;&gt;1),AND(H912&lt;&gt;"",H912&lt;&gt;0,H912&lt;&gt;1)),"Flags devem ser 0 ou 1",IF(AND(H912=1,LEN(TRIM(I912))=0),"Preencher nome do indicante",IF(AND(H912&lt;&gt;1,I912&lt;&gt;""),"Nome sem indicação interna",IF(AND(G912=1,F912=""),"Fechamento sem conversa",IF(OR(AND(E912&lt;&gt;"",E912&lt;B912),AND(F912&lt;&gt;"",F912&lt;B912)),"Evento anterior à entrada",IF(AND(F912&lt;&gt;"",E912=""),"Conversa sem agendamento",IF(OR(E912&gt;TODAY(),F912&gt;TODAY()),"Verificar evento futuro","OK"))))))))))</f>
        <v/>
      </c>
    </row>
    <row r="913" spans="12:15">
      <c r="L913" s="5">
        <f>IF(OR(A913="",B913=""),"",B913-WEEKDAY(B913,2)+1)</f>
        <v/>
      </c>
      <c r="M913" s="5">
        <f>IF(L913="","",L913+6)</f>
        <v/>
      </c>
      <c r="N913" s="6">
        <f>IF(OR(A913="",B913=""),"",DATE(YEAR(B913),MONTH(B913),1))</f>
        <v/>
      </c>
      <c r="O913" s="7">
        <f>IF(COUNTA(A913:K913)=0,"",IF(OR(A913="",B913=""),"Preencher CPF e entrada",IF(COUNTIFS($A$12:$A$5011,A913,$B$12:$B$5011,B913)&gt;1,"CPF + dia duplicado",IF(OR(AND(G913&lt;&gt;"",G913&lt;&gt;0,G913&lt;&gt;1),AND(H913&lt;&gt;"",H913&lt;&gt;0,H913&lt;&gt;1)),"Flags devem ser 0 ou 1",IF(AND(H913=1,LEN(TRIM(I913))=0),"Preencher nome do indicante",IF(AND(H913&lt;&gt;1,I913&lt;&gt;""),"Nome sem indicação interna",IF(AND(G913=1,F913=""),"Fechamento sem conversa",IF(OR(AND(E913&lt;&gt;"",E913&lt;B913),AND(F913&lt;&gt;"",F913&lt;B913)),"Evento anterior à entrada",IF(AND(F913&lt;&gt;"",E913=""),"Conversa sem agendamento",IF(OR(E913&gt;TODAY(),F913&gt;TODAY()),"Verificar evento futuro","OK"))))))))))</f>
        <v/>
      </c>
    </row>
    <row r="914" spans="12:15">
      <c r="L914" s="5">
        <f>IF(OR(A914="",B914=""),"",B914-WEEKDAY(B914,2)+1)</f>
        <v/>
      </c>
      <c r="M914" s="5">
        <f>IF(L914="","",L914+6)</f>
        <v/>
      </c>
      <c r="N914" s="6">
        <f>IF(OR(A914="",B914=""),"",DATE(YEAR(B914),MONTH(B914),1))</f>
        <v/>
      </c>
      <c r="O914" s="7">
        <f>IF(COUNTA(A914:K914)=0,"",IF(OR(A914="",B914=""),"Preencher CPF e entrada",IF(COUNTIFS($A$12:$A$5011,A914,$B$12:$B$5011,B914)&gt;1,"CPF + dia duplicado",IF(OR(AND(G914&lt;&gt;"",G914&lt;&gt;0,G914&lt;&gt;1),AND(H914&lt;&gt;"",H914&lt;&gt;0,H914&lt;&gt;1)),"Flags devem ser 0 ou 1",IF(AND(H914=1,LEN(TRIM(I914))=0),"Preencher nome do indicante",IF(AND(H914&lt;&gt;1,I914&lt;&gt;""),"Nome sem indicação interna",IF(AND(G914=1,F914=""),"Fechamento sem conversa",IF(OR(AND(E914&lt;&gt;"",E914&lt;B914),AND(F914&lt;&gt;"",F914&lt;B914)),"Evento anterior à entrada",IF(AND(F914&lt;&gt;"",E914=""),"Conversa sem agendamento",IF(OR(E914&gt;TODAY(),F914&gt;TODAY()),"Verificar evento futuro","OK"))))))))))</f>
        <v/>
      </c>
    </row>
    <row r="915" spans="12:15">
      <c r="L915" s="5">
        <f>IF(OR(A915="",B915=""),"",B915-WEEKDAY(B915,2)+1)</f>
        <v/>
      </c>
      <c r="M915" s="5">
        <f>IF(L915="","",L915+6)</f>
        <v/>
      </c>
      <c r="N915" s="6">
        <f>IF(OR(A915="",B915=""),"",DATE(YEAR(B915),MONTH(B915),1))</f>
        <v/>
      </c>
      <c r="O915" s="7">
        <f>IF(COUNTA(A915:K915)=0,"",IF(OR(A915="",B915=""),"Preencher CPF e entrada",IF(COUNTIFS($A$12:$A$5011,A915,$B$12:$B$5011,B915)&gt;1,"CPF + dia duplicado",IF(OR(AND(G915&lt;&gt;"",G915&lt;&gt;0,G915&lt;&gt;1),AND(H915&lt;&gt;"",H915&lt;&gt;0,H915&lt;&gt;1)),"Flags devem ser 0 ou 1",IF(AND(H915=1,LEN(TRIM(I915))=0),"Preencher nome do indicante",IF(AND(H915&lt;&gt;1,I915&lt;&gt;""),"Nome sem indicação interna",IF(AND(G915=1,F915=""),"Fechamento sem conversa",IF(OR(AND(E915&lt;&gt;"",E915&lt;B915),AND(F915&lt;&gt;"",F915&lt;B915)),"Evento anterior à entrada",IF(AND(F915&lt;&gt;"",E915=""),"Conversa sem agendamento",IF(OR(E915&gt;TODAY(),F915&gt;TODAY()),"Verificar evento futuro","OK"))))))))))</f>
        <v/>
      </c>
    </row>
    <row r="916" spans="12:15">
      <c r="L916" s="5">
        <f>IF(OR(A916="",B916=""),"",B916-WEEKDAY(B916,2)+1)</f>
        <v/>
      </c>
      <c r="M916" s="5">
        <f>IF(L916="","",L916+6)</f>
        <v/>
      </c>
      <c r="N916" s="6">
        <f>IF(OR(A916="",B916=""),"",DATE(YEAR(B916),MONTH(B916),1))</f>
        <v/>
      </c>
      <c r="O916" s="7">
        <f>IF(COUNTA(A916:K916)=0,"",IF(OR(A916="",B916=""),"Preencher CPF e entrada",IF(COUNTIFS($A$12:$A$5011,A916,$B$12:$B$5011,B916)&gt;1,"CPF + dia duplicado",IF(OR(AND(G916&lt;&gt;"",G916&lt;&gt;0,G916&lt;&gt;1),AND(H916&lt;&gt;"",H916&lt;&gt;0,H916&lt;&gt;1)),"Flags devem ser 0 ou 1",IF(AND(H916=1,LEN(TRIM(I916))=0),"Preencher nome do indicante",IF(AND(H916&lt;&gt;1,I916&lt;&gt;""),"Nome sem indicação interna",IF(AND(G916=1,F916=""),"Fechamento sem conversa",IF(OR(AND(E916&lt;&gt;"",E916&lt;B916),AND(F916&lt;&gt;"",F916&lt;B916)),"Evento anterior à entrada",IF(AND(F916&lt;&gt;"",E916=""),"Conversa sem agendamento",IF(OR(E916&gt;TODAY(),F916&gt;TODAY()),"Verificar evento futuro","OK"))))))))))</f>
        <v/>
      </c>
    </row>
    <row r="917" spans="12:15">
      <c r="L917" s="5">
        <f>IF(OR(A917="",B917=""),"",B917-WEEKDAY(B917,2)+1)</f>
        <v/>
      </c>
      <c r="M917" s="5">
        <f>IF(L917="","",L917+6)</f>
        <v/>
      </c>
      <c r="N917" s="6">
        <f>IF(OR(A917="",B917=""),"",DATE(YEAR(B917),MONTH(B917),1))</f>
        <v/>
      </c>
      <c r="O917" s="7">
        <f>IF(COUNTA(A917:K917)=0,"",IF(OR(A917="",B917=""),"Preencher CPF e entrada",IF(COUNTIFS($A$12:$A$5011,A917,$B$12:$B$5011,B917)&gt;1,"CPF + dia duplicado",IF(OR(AND(G917&lt;&gt;"",G917&lt;&gt;0,G917&lt;&gt;1),AND(H917&lt;&gt;"",H917&lt;&gt;0,H917&lt;&gt;1)),"Flags devem ser 0 ou 1",IF(AND(H917=1,LEN(TRIM(I917))=0),"Preencher nome do indicante",IF(AND(H917&lt;&gt;1,I917&lt;&gt;""),"Nome sem indicação interna",IF(AND(G917=1,F917=""),"Fechamento sem conversa",IF(OR(AND(E917&lt;&gt;"",E917&lt;B917),AND(F917&lt;&gt;"",F917&lt;B917)),"Evento anterior à entrada",IF(AND(F917&lt;&gt;"",E917=""),"Conversa sem agendamento",IF(OR(E917&gt;TODAY(),F917&gt;TODAY()),"Verificar evento futuro","OK"))))))))))</f>
        <v/>
      </c>
    </row>
    <row r="918" spans="12:15">
      <c r="L918" s="5">
        <f>IF(OR(A918="",B918=""),"",B918-WEEKDAY(B918,2)+1)</f>
        <v/>
      </c>
      <c r="M918" s="5">
        <f>IF(L918="","",L918+6)</f>
        <v/>
      </c>
      <c r="N918" s="6">
        <f>IF(OR(A918="",B918=""),"",DATE(YEAR(B918),MONTH(B918),1))</f>
        <v/>
      </c>
      <c r="O918" s="7">
        <f>IF(COUNTA(A918:K918)=0,"",IF(OR(A918="",B918=""),"Preencher CPF e entrada",IF(COUNTIFS($A$12:$A$5011,A918,$B$12:$B$5011,B918)&gt;1,"CPF + dia duplicado",IF(OR(AND(G918&lt;&gt;"",G918&lt;&gt;0,G918&lt;&gt;1),AND(H918&lt;&gt;"",H918&lt;&gt;0,H918&lt;&gt;1)),"Flags devem ser 0 ou 1",IF(AND(H918=1,LEN(TRIM(I918))=0),"Preencher nome do indicante",IF(AND(H918&lt;&gt;1,I918&lt;&gt;""),"Nome sem indicação interna",IF(AND(G918=1,F918=""),"Fechamento sem conversa",IF(OR(AND(E918&lt;&gt;"",E918&lt;B918),AND(F918&lt;&gt;"",F918&lt;B918)),"Evento anterior à entrada",IF(AND(F918&lt;&gt;"",E918=""),"Conversa sem agendamento",IF(OR(E918&gt;TODAY(),F918&gt;TODAY()),"Verificar evento futuro","OK"))))))))))</f>
        <v/>
      </c>
    </row>
    <row r="919" spans="12:15">
      <c r="L919" s="5">
        <f>IF(OR(A919="",B919=""),"",B919-WEEKDAY(B919,2)+1)</f>
        <v/>
      </c>
      <c r="M919" s="5">
        <f>IF(L919="","",L919+6)</f>
        <v/>
      </c>
      <c r="N919" s="6">
        <f>IF(OR(A919="",B919=""),"",DATE(YEAR(B919),MONTH(B919),1))</f>
        <v/>
      </c>
      <c r="O919" s="7">
        <f>IF(COUNTA(A919:K919)=0,"",IF(OR(A919="",B919=""),"Preencher CPF e entrada",IF(COUNTIFS($A$12:$A$5011,A919,$B$12:$B$5011,B919)&gt;1,"CPF + dia duplicado",IF(OR(AND(G919&lt;&gt;"",G919&lt;&gt;0,G919&lt;&gt;1),AND(H919&lt;&gt;"",H919&lt;&gt;0,H919&lt;&gt;1)),"Flags devem ser 0 ou 1",IF(AND(H919=1,LEN(TRIM(I919))=0),"Preencher nome do indicante",IF(AND(H919&lt;&gt;1,I919&lt;&gt;""),"Nome sem indicação interna",IF(AND(G919=1,F919=""),"Fechamento sem conversa",IF(OR(AND(E919&lt;&gt;"",E919&lt;B919),AND(F919&lt;&gt;"",F919&lt;B919)),"Evento anterior à entrada",IF(AND(F919&lt;&gt;"",E919=""),"Conversa sem agendamento",IF(OR(E919&gt;TODAY(),F919&gt;TODAY()),"Verificar evento futuro","OK"))))))))))</f>
        <v/>
      </c>
    </row>
    <row r="920" spans="12:15">
      <c r="L920" s="5">
        <f>IF(OR(A920="",B920=""),"",B920-WEEKDAY(B920,2)+1)</f>
        <v/>
      </c>
      <c r="M920" s="5">
        <f>IF(L920="","",L920+6)</f>
        <v/>
      </c>
      <c r="N920" s="6">
        <f>IF(OR(A920="",B920=""),"",DATE(YEAR(B920),MONTH(B920),1))</f>
        <v/>
      </c>
      <c r="O920" s="7">
        <f>IF(COUNTA(A920:K920)=0,"",IF(OR(A920="",B920=""),"Preencher CPF e entrada",IF(COUNTIFS($A$12:$A$5011,A920,$B$12:$B$5011,B920)&gt;1,"CPF + dia duplicado",IF(OR(AND(G920&lt;&gt;"",G920&lt;&gt;0,G920&lt;&gt;1),AND(H920&lt;&gt;"",H920&lt;&gt;0,H920&lt;&gt;1)),"Flags devem ser 0 ou 1",IF(AND(H920=1,LEN(TRIM(I920))=0),"Preencher nome do indicante",IF(AND(H920&lt;&gt;1,I920&lt;&gt;""),"Nome sem indicação interna",IF(AND(G920=1,F920=""),"Fechamento sem conversa",IF(OR(AND(E920&lt;&gt;"",E920&lt;B920),AND(F920&lt;&gt;"",F920&lt;B920)),"Evento anterior à entrada",IF(AND(F920&lt;&gt;"",E920=""),"Conversa sem agendamento",IF(OR(E920&gt;TODAY(),F920&gt;TODAY()),"Verificar evento futuro","OK"))))))))))</f>
        <v/>
      </c>
    </row>
    <row r="921" spans="12:15">
      <c r="L921" s="5">
        <f>IF(OR(A921="",B921=""),"",B921-WEEKDAY(B921,2)+1)</f>
        <v/>
      </c>
      <c r="M921" s="5">
        <f>IF(L921="","",L921+6)</f>
        <v/>
      </c>
      <c r="N921" s="6">
        <f>IF(OR(A921="",B921=""),"",DATE(YEAR(B921),MONTH(B921),1))</f>
        <v/>
      </c>
      <c r="O921" s="7">
        <f>IF(COUNTA(A921:K921)=0,"",IF(OR(A921="",B921=""),"Preencher CPF e entrada",IF(COUNTIFS($A$12:$A$5011,A921,$B$12:$B$5011,B921)&gt;1,"CPF + dia duplicado",IF(OR(AND(G921&lt;&gt;"",G921&lt;&gt;0,G921&lt;&gt;1),AND(H921&lt;&gt;"",H921&lt;&gt;0,H921&lt;&gt;1)),"Flags devem ser 0 ou 1",IF(AND(H921=1,LEN(TRIM(I921))=0),"Preencher nome do indicante",IF(AND(H921&lt;&gt;1,I921&lt;&gt;""),"Nome sem indicação interna",IF(AND(G921=1,F921=""),"Fechamento sem conversa",IF(OR(AND(E921&lt;&gt;"",E921&lt;B921),AND(F921&lt;&gt;"",F921&lt;B921)),"Evento anterior à entrada",IF(AND(F921&lt;&gt;"",E921=""),"Conversa sem agendamento",IF(OR(E921&gt;TODAY(),F921&gt;TODAY()),"Verificar evento futuro","OK"))))))))))</f>
        <v/>
      </c>
    </row>
    <row r="922" spans="12:15">
      <c r="L922" s="5">
        <f>IF(OR(A922="",B922=""),"",B922-WEEKDAY(B922,2)+1)</f>
        <v/>
      </c>
      <c r="M922" s="5">
        <f>IF(L922="","",L922+6)</f>
        <v/>
      </c>
      <c r="N922" s="6">
        <f>IF(OR(A922="",B922=""),"",DATE(YEAR(B922),MONTH(B922),1))</f>
        <v/>
      </c>
      <c r="O922" s="7">
        <f>IF(COUNTA(A922:K922)=0,"",IF(OR(A922="",B922=""),"Preencher CPF e entrada",IF(COUNTIFS($A$12:$A$5011,A922,$B$12:$B$5011,B922)&gt;1,"CPF + dia duplicado",IF(OR(AND(G922&lt;&gt;"",G922&lt;&gt;0,G922&lt;&gt;1),AND(H922&lt;&gt;"",H922&lt;&gt;0,H922&lt;&gt;1)),"Flags devem ser 0 ou 1",IF(AND(H922=1,LEN(TRIM(I922))=0),"Preencher nome do indicante",IF(AND(H922&lt;&gt;1,I922&lt;&gt;""),"Nome sem indicação interna",IF(AND(G922=1,F922=""),"Fechamento sem conversa",IF(OR(AND(E922&lt;&gt;"",E922&lt;B922),AND(F922&lt;&gt;"",F922&lt;B922)),"Evento anterior à entrada",IF(AND(F922&lt;&gt;"",E922=""),"Conversa sem agendamento",IF(OR(E922&gt;TODAY(),F922&gt;TODAY()),"Verificar evento futuro","OK"))))))))))</f>
        <v/>
      </c>
    </row>
    <row r="923" spans="12:15">
      <c r="L923" s="5">
        <f>IF(OR(A923="",B923=""),"",B923-WEEKDAY(B923,2)+1)</f>
        <v/>
      </c>
      <c r="M923" s="5">
        <f>IF(L923="","",L923+6)</f>
        <v/>
      </c>
      <c r="N923" s="6">
        <f>IF(OR(A923="",B923=""),"",DATE(YEAR(B923),MONTH(B923),1))</f>
        <v/>
      </c>
      <c r="O923" s="7">
        <f>IF(COUNTA(A923:K923)=0,"",IF(OR(A923="",B923=""),"Preencher CPF e entrada",IF(COUNTIFS($A$12:$A$5011,A923,$B$12:$B$5011,B923)&gt;1,"CPF + dia duplicado",IF(OR(AND(G923&lt;&gt;"",G923&lt;&gt;0,G923&lt;&gt;1),AND(H923&lt;&gt;"",H923&lt;&gt;0,H923&lt;&gt;1)),"Flags devem ser 0 ou 1",IF(AND(H923=1,LEN(TRIM(I923))=0),"Preencher nome do indicante",IF(AND(H923&lt;&gt;1,I923&lt;&gt;""),"Nome sem indicação interna",IF(AND(G923=1,F923=""),"Fechamento sem conversa",IF(OR(AND(E923&lt;&gt;"",E923&lt;B923),AND(F923&lt;&gt;"",F923&lt;B923)),"Evento anterior à entrada",IF(AND(F923&lt;&gt;"",E923=""),"Conversa sem agendamento",IF(OR(E923&gt;TODAY(),F923&gt;TODAY()),"Verificar evento futuro","OK"))))))))))</f>
        <v/>
      </c>
    </row>
    <row r="924" spans="12:15">
      <c r="L924" s="5">
        <f>IF(OR(A924="",B924=""),"",B924-WEEKDAY(B924,2)+1)</f>
        <v/>
      </c>
      <c r="M924" s="5">
        <f>IF(L924="","",L924+6)</f>
        <v/>
      </c>
      <c r="N924" s="6">
        <f>IF(OR(A924="",B924=""),"",DATE(YEAR(B924),MONTH(B924),1))</f>
        <v/>
      </c>
      <c r="O924" s="7">
        <f>IF(COUNTA(A924:K924)=0,"",IF(OR(A924="",B924=""),"Preencher CPF e entrada",IF(COUNTIFS($A$12:$A$5011,A924,$B$12:$B$5011,B924)&gt;1,"CPF + dia duplicado",IF(OR(AND(G924&lt;&gt;"",G924&lt;&gt;0,G924&lt;&gt;1),AND(H924&lt;&gt;"",H924&lt;&gt;0,H924&lt;&gt;1)),"Flags devem ser 0 ou 1",IF(AND(H924=1,LEN(TRIM(I924))=0),"Preencher nome do indicante",IF(AND(H924&lt;&gt;1,I924&lt;&gt;""),"Nome sem indicação interna",IF(AND(G924=1,F924=""),"Fechamento sem conversa",IF(OR(AND(E924&lt;&gt;"",E924&lt;B924),AND(F924&lt;&gt;"",F924&lt;B924)),"Evento anterior à entrada",IF(AND(F924&lt;&gt;"",E924=""),"Conversa sem agendamento",IF(OR(E924&gt;TODAY(),F924&gt;TODAY()),"Verificar evento futuro","OK"))))))))))</f>
        <v/>
      </c>
    </row>
    <row r="925" spans="12:15">
      <c r="L925" s="5">
        <f>IF(OR(A925="",B925=""),"",B925-WEEKDAY(B925,2)+1)</f>
        <v/>
      </c>
      <c r="M925" s="5">
        <f>IF(L925="","",L925+6)</f>
        <v/>
      </c>
      <c r="N925" s="6">
        <f>IF(OR(A925="",B925=""),"",DATE(YEAR(B925),MONTH(B925),1))</f>
        <v/>
      </c>
      <c r="O925" s="7">
        <f>IF(COUNTA(A925:K925)=0,"",IF(OR(A925="",B925=""),"Preencher CPF e entrada",IF(COUNTIFS($A$12:$A$5011,A925,$B$12:$B$5011,B925)&gt;1,"CPF + dia duplicado",IF(OR(AND(G925&lt;&gt;"",G925&lt;&gt;0,G925&lt;&gt;1),AND(H925&lt;&gt;"",H925&lt;&gt;0,H925&lt;&gt;1)),"Flags devem ser 0 ou 1",IF(AND(H925=1,LEN(TRIM(I925))=0),"Preencher nome do indicante",IF(AND(H925&lt;&gt;1,I925&lt;&gt;""),"Nome sem indicação interna",IF(AND(G925=1,F925=""),"Fechamento sem conversa",IF(OR(AND(E925&lt;&gt;"",E925&lt;B925),AND(F925&lt;&gt;"",F925&lt;B925)),"Evento anterior à entrada",IF(AND(F925&lt;&gt;"",E925=""),"Conversa sem agendamento",IF(OR(E925&gt;TODAY(),F925&gt;TODAY()),"Verificar evento futuro","OK"))))))))))</f>
        <v/>
      </c>
    </row>
    <row r="926" spans="12:15">
      <c r="L926" s="5">
        <f>IF(OR(A926="",B926=""),"",B926-WEEKDAY(B926,2)+1)</f>
        <v/>
      </c>
      <c r="M926" s="5">
        <f>IF(L926="","",L926+6)</f>
        <v/>
      </c>
      <c r="N926" s="6">
        <f>IF(OR(A926="",B926=""),"",DATE(YEAR(B926),MONTH(B926),1))</f>
        <v/>
      </c>
      <c r="O926" s="7">
        <f>IF(COUNTA(A926:K926)=0,"",IF(OR(A926="",B926=""),"Preencher CPF e entrada",IF(COUNTIFS($A$12:$A$5011,A926,$B$12:$B$5011,B926)&gt;1,"CPF + dia duplicado",IF(OR(AND(G926&lt;&gt;"",G926&lt;&gt;0,G926&lt;&gt;1),AND(H926&lt;&gt;"",H926&lt;&gt;0,H926&lt;&gt;1)),"Flags devem ser 0 ou 1",IF(AND(H926=1,LEN(TRIM(I926))=0),"Preencher nome do indicante",IF(AND(H926&lt;&gt;1,I926&lt;&gt;""),"Nome sem indicação interna",IF(AND(G926=1,F926=""),"Fechamento sem conversa",IF(OR(AND(E926&lt;&gt;"",E926&lt;B926),AND(F926&lt;&gt;"",F926&lt;B926)),"Evento anterior à entrada",IF(AND(F926&lt;&gt;"",E926=""),"Conversa sem agendamento",IF(OR(E926&gt;TODAY(),F926&gt;TODAY()),"Verificar evento futuro","OK"))))))))))</f>
        <v/>
      </c>
    </row>
    <row r="927" spans="12:15">
      <c r="L927" s="5">
        <f>IF(OR(A927="",B927=""),"",B927-WEEKDAY(B927,2)+1)</f>
        <v/>
      </c>
      <c r="M927" s="5">
        <f>IF(L927="","",L927+6)</f>
        <v/>
      </c>
      <c r="N927" s="6">
        <f>IF(OR(A927="",B927=""),"",DATE(YEAR(B927),MONTH(B927),1))</f>
        <v/>
      </c>
      <c r="O927" s="7">
        <f>IF(COUNTA(A927:K927)=0,"",IF(OR(A927="",B927=""),"Preencher CPF e entrada",IF(COUNTIFS($A$12:$A$5011,A927,$B$12:$B$5011,B927)&gt;1,"CPF + dia duplicado",IF(OR(AND(G927&lt;&gt;"",G927&lt;&gt;0,G927&lt;&gt;1),AND(H927&lt;&gt;"",H927&lt;&gt;0,H927&lt;&gt;1)),"Flags devem ser 0 ou 1",IF(AND(H927=1,LEN(TRIM(I927))=0),"Preencher nome do indicante",IF(AND(H927&lt;&gt;1,I927&lt;&gt;""),"Nome sem indicação interna",IF(AND(G927=1,F927=""),"Fechamento sem conversa",IF(OR(AND(E927&lt;&gt;"",E927&lt;B927),AND(F927&lt;&gt;"",F927&lt;B927)),"Evento anterior à entrada",IF(AND(F927&lt;&gt;"",E927=""),"Conversa sem agendamento",IF(OR(E927&gt;TODAY(),F927&gt;TODAY()),"Verificar evento futuro","OK"))))))))))</f>
        <v/>
      </c>
    </row>
    <row r="928" spans="12:15">
      <c r="L928" s="5">
        <f>IF(OR(A928="",B928=""),"",B928-WEEKDAY(B928,2)+1)</f>
        <v/>
      </c>
      <c r="M928" s="5">
        <f>IF(L928="","",L928+6)</f>
        <v/>
      </c>
      <c r="N928" s="6">
        <f>IF(OR(A928="",B928=""),"",DATE(YEAR(B928),MONTH(B928),1))</f>
        <v/>
      </c>
      <c r="O928" s="7">
        <f>IF(COUNTA(A928:K928)=0,"",IF(OR(A928="",B928=""),"Preencher CPF e entrada",IF(COUNTIFS($A$12:$A$5011,A928,$B$12:$B$5011,B928)&gt;1,"CPF + dia duplicado",IF(OR(AND(G928&lt;&gt;"",G928&lt;&gt;0,G928&lt;&gt;1),AND(H928&lt;&gt;"",H928&lt;&gt;0,H928&lt;&gt;1)),"Flags devem ser 0 ou 1",IF(AND(H928=1,LEN(TRIM(I928))=0),"Preencher nome do indicante",IF(AND(H928&lt;&gt;1,I928&lt;&gt;""),"Nome sem indicação interna",IF(AND(G928=1,F928=""),"Fechamento sem conversa",IF(OR(AND(E928&lt;&gt;"",E928&lt;B928),AND(F928&lt;&gt;"",F928&lt;B928)),"Evento anterior à entrada",IF(AND(F928&lt;&gt;"",E928=""),"Conversa sem agendamento",IF(OR(E928&gt;TODAY(),F928&gt;TODAY()),"Verificar evento futuro","OK"))))))))))</f>
        <v/>
      </c>
    </row>
    <row r="929" spans="12:15">
      <c r="L929" s="5">
        <f>IF(OR(A929="",B929=""),"",B929-WEEKDAY(B929,2)+1)</f>
        <v/>
      </c>
      <c r="M929" s="5">
        <f>IF(L929="","",L929+6)</f>
        <v/>
      </c>
      <c r="N929" s="6">
        <f>IF(OR(A929="",B929=""),"",DATE(YEAR(B929),MONTH(B929),1))</f>
        <v/>
      </c>
      <c r="O929" s="7">
        <f>IF(COUNTA(A929:K929)=0,"",IF(OR(A929="",B929=""),"Preencher CPF e entrada",IF(COUNTIFS($A$12:$A$5011,A929,$B$12:$B$5011,B929)&gt;1,"CPF + dia duplicado",IF(OR(AND(G929&lt;&gt;"",G929&lt;&gt;0,G929&lt;&gt;1),AND(H929&lt;&gt;"",H929&lt;&gt;0,H929&lt;&gt;1)),"Flags devem ser 0 ou 1",IF(AND(H929=1,LEN(TRIM(I929))=0),"Preencher nome do indicante",IF(AND(H929&lt;&gt;1,I929&lt;&gt;""),"Nome sem indicação interna",IF(AND(G929=1,F929=""),"Fechamento sem conversa",IF(OR(AND(E929&lt;&gt;"",E929&lt;B929),AND(F929&lt;&gt;"",F929&lt;B929)),"Evento anterior à entrada",IF(AND(F929&lt;&gt;"",E929=""),"Conversa sem agendamento",IF(OR(E929&gt;TODAY(),F929&gt;TODAY()),"Verificar evento futuro","OK"))))))))))</f>
        <v/>
      </c>
    </row>
    <row r="930" spans="12:15">
      <c r="L930" s="5">
        <f>IF(OR(A930="",B930=""),"",B930-WEEKDAY(B930,2)+1)</f>
        <v/>
      </c>
      <c r="M930" s="5">
        <f>IF(L930="","",L930+6)</f>
        <v/>
      </c>
      <c r="N930" s="6">
        <f>IF(OR(A930="",B930=""),"",DATE(YEAR(B930),MONTH(B930),1))</f>
        <v/>
      </c>
      <c r="O930" s="7">
        <f>IF(COUNTA(A930:K930)=0,"",IF(OR(A930="",B930=""),"Preencher CPF e entrada",IF(COUNTIFS($A$12:$A$5011,A930,$B$12:$B$5011,B930)&gt;1,"CPF + dia duplicado",IF(OR(AND(G930&lt;&gt;"",G930&lt;&gt;0,G930&lt;&gt;1),AND(H930&lt;&gt;"",H930&lt;&gt;0,H930&lt;&gt;1)),"Flags devem ser 0 ou 1",IF(AND(H930=1,LEN(TRIM(I930))=0),"Preencher nome do indicante",IF(AND(H930&lt;&gt;1,I930&lt;&gt;""),"Nome sem indicação interna",IF(AND(G930=1,F930=""),"Fechamento sem conversa",IF(OR(AND(E930&lt;&gt;"",E930&lt;B930),AND(F930&lt;&gt;"",F930&lt;B930)),"Evento anterior à entrada",IF(AND(F930&lt;&gt;"",E930=""),"Conversa sem agendamento",IF(OR(E930&gt;TODAY(),F930&gt;TODAY()),"Verificar evento futuro","OK"))))))))))</f>
        <v/>
      </c>
    </row>
    <row r="931" spans="12:15">
      <c r="L931" s="5">
        <f>IF(OR(A931="",B931=""),"",B931-WEEKDAY(B931,2)+1)</f>
        <v/>
      </c>
      <c r="M931" s="5">
        <f>IF(L931="","",L931+6)</f>
        <v/>
      </c>
      <c r="N931" s="6">
        <f>IF(OR(A931="",B931=""),"",DATE(YEAR(B931),MONTH(B931),1))</f>
        <v/>
      </c>
      <c r="O931" s="7">
        <f>IF(COUNTA(A931:K931)=0,"",IF(OR(A931="",B931=""),"Preencher CPF e entrada",IF(COUNTIFS($A$12:$A$5011,A931,$B$12:$B$5011,B931)&gt;1,"CPF + dia duplicado",IF(OR(AND(G931&lt;&gt;"",G931&lt;&gt;0,G931&lt;&gt;1),AND(H931&lt;&gt;"",H931&lt;&gt;0,H931&lt;&gt;1)),"Flags devem ser 0 ou 1",IF(AND(H931=1,LEN(TRIM(I931))=0),"Preencher nome do indicante",IF(AND(H931&lt;&gt;1,I931&lt;&gt;""),"Nome sem indicação interna",IF(AND(G931=1,F931=""),"Fechamento sem conversa",IF(OR(AND(E931&lt;&gt;"",E931&lt;B931),AND(F931&lt;&gt;"",F931&lt;B931)),"Evento anterior à entrada",IF(AND(F931&lt;&gt;"",E931=""),"Conversa sem agendamento",IF(OR(E931&gt;TODAY(),F931&gt;TODAY()),"Verificar evento futuro","OK"))))))))))</f>
        <v/>
      </c>
    </row>
    <row r="932" spans="12:15">
      <c r="L932" s="5">
        <f>IF(OR(A932="",B932=""),"",B932-WEEKDAY(B932,2)+1)</f>
        <v/>
      </c>
      <c r="M932" s="5">
        <f>IF(L932="","",L932+6)</f>
        <v/>
      </c>
      <c r="N932" s="6">
        <f>IF(OR(A932="",B932=""),"",DATE(YEAR(B932),MONTH(B932),1))</f>
        <v/>
      </c>
      <c r="O932" s="7">
        <f>IF(COUNTA(A932:K932)=0,"",IF(OR(A932="",B932=""),"Preencher CPF e entrada",IF(COUNTIFS($A$12:$A$5011,A932,$B$12:$B$5011,B932)&gt;1,"CPF + dia duplicado",IF(OR(AND(G932&lt;&gt;"",G932&lt;&gt;0,G932&lt;&gt;1),AND(H932&lt;&gt;"",H932&lt;&gt;0,H932&lt;&gt;1)),"Flags devem ser 0 ou 1",IF(AND(H932=1,LEN(TRIM(I932))=0),"Preencher nome do indicante",IF(AND(H932&lt;&gt;1,I932&lt;&gt;""),"Nome sem indicação interna",IF(AND(G932=1,F932=""),"Fechamento sem conversa",IF(OR(AND(E932&lt;&gt;"",E932&lt;B932),AND(F932&lt;&gt;"",F932&lt;B932)),"Evento anterior à entrada",IF(AND(F932&lt;&gt;"",E932=""),"Conversa sem agendamento",IF(OR(E932&gt;TODAY(),F932&gt;TODAY()),"Verificar evento futuro","OK"))))))))))</f>
        <v/>
      </c>
    </row>
    <row r="933" spans="12:15">
      <c r="L933" s="5">
        <f>IF(OR(A933="",B933=""),"",B933-WEEKDAY(B933,2)+1)</f>
        <v/>
      </c>
      <c r="M933" s="5">
        <f>IF(L933="","",L933+6)</f>
        <v/>
      </c>
      <c r="N933" s="6">
        <f>IF(OR(A933="",B933=""),"",DATE(YEAR(B933),MONTH(B933),1))</f>
        <v/>
      </c>
      <c r="O933" s="7">
        <f>IF(COUNTA(A933:K933)=0,"",IF(OR(A933="",B933=""),"Preencher CPF e entrada",IF(COUNTIFS($A$12:$A$5011,A933,$B$12:$B$5011,B933)&gt;1,"CPF + dia duplicado",IF(OR(AND(G933&lt;&gt;"",G933&lt;&gt;0,G933&lt;&gt;1),AND(H933&lt;&gt;"",H933&lt;&gt;0,H933&lt;&gt;1)),"Flags devem ser 0 ou 1",IF(AND(H933=1,LEN(TRIM(I933))=0),"Preencher nome do indicante",IF(AND(H933&lt;&gt;1,I933&lt;&gt;""),"Nome sem indicação interna",IF(AND(G933=1,F933=""),"Fechamento sem conversa",IF(OR(AND(E933&lt;&gt;"",E933&lt;B933),AND(F933&lt;&gt;"",F933&lt;B933)),"Evento anterior à entrada",IF(AND(F933&lt;&gt;"",E933=""),"Conversa sem agendamento",IF(OR(E933&gt;TODAY(),F933&gt;TODAY()),"Verificar evento futuro","OK"))))))))))</f>
        <v/>
      </c>
    </row>
    <row r="934" spans="12:15">
      <c r="L934" s="5">
        <f>IF(OR(A934="",B934=""),"",B934-WEEKDAY(B934,2)+1)</f>
        <v/>
      </c>
      <c r="M934" s="5">
        <f>IF(L934="","",L934+6)</f>
        <v/>
      </c>
      <c r="N934" s="6">
        <f>IF(OR(A934="",B934=""),"",DATE(YEAR(B934),MONTH(B934),1))</f>
        <v/>
      </c>
      <c r="O934" s="7">
        <f>IF(COUNTA(A934:K934)=0,"",IF(OR(A934="",B934=""),"Preencher CPF e entrada",IF(COUNTIFS($A$12:$A$5011,A934,$B$12:$B$5011,B934)&gt;1,"CPF + dia duplicado",IF(OR(AND(G934&lt;&gt;"",G934&lt;&gt;0,G934&lt;&gt;1),AND(H934&lt;&gt;"",H934&lt;&gt;0,H934&lt;&gt;1)),"Flags devem ser 0 ou 1",IF(AND(H934=1,LEN(TRIM(I934))=0),"Preencher nome do indicante",IF(AND(H934&lt;&gt;1,I934&lt;&gt;""),"Nome sem indicação interna",IF(AND(G934=1,F934=""),"Fechamento sem conversa",IF(OR(AND(E934&lt;&gt;"",E934&lt;B934),AND(F934&lt;&gt;"",F934&lt;B934)),"Evento anterior à entrada",IF(AND(F934&lt;&gt;"",E934=""),"Conversa sem agendamento",IF(OR(E934&gt;TODAY(),F934&gt;TODAY()),"Verificar evento futuro","OK"))))))))))</f>
        <v/>
      </c>
    </row>
    <row r="935" spans="12:15">
      <c r="L935" s="5">
        <f>IF(OR(A935="",B935=""),"",B935-WEEKDAY(B935,2)+1)</f>
        <v/>
      </c>
      <c r="M935" s="5">
        <f>IF(L935="","",L935+6)</f>
        <v/>
      </c>
      <c r="N935" s="6">
        <f>IF(OR(A935="",B935=""),"",DATE(YEAR(B935),MONTH(B935),1))</f>
        <v/>
      </c>
      <c r="O935" s="7">
        <f>IF(COUNTA(A935:K935)=0,"",IF(OR(A935="",B935=""),"Preencher CPF e entrada",IF(COUNTIFS($A$12:$A$5011,A935,$B$12:$B$5011,B935)&gt;1,"CPF + dia duplicado",IF(OR(AND(G935&lt;&gt;"",G935&lt;&gt;0,G935&lt;&gt;1),AND(H935&lt;&gt;"",H935&lt;&gt;0,H935&lt;&gt;1)),"Flags devem ser 0 ou 1",IF(AND(H935=1,LEN(TRIM(I935))=0),"Preencher nome do indicante",IF(AND(H935&lt;&gt;1,I935&lt;&gt;""),"Nome sem indicação interna",IF(AND(G935=1,F935=""),"Fechamento sem conversa",IF(OR(AND(E935&lt;&gt;"",E935&lt;B935),AND(F935&lt;&gt;"",F935&lt;B935)),"Evento anterior à entrada",IF(AND(F935&lt;&gt;"",E935=""),"Conversa sem agendamento",IF(OR(E935&gt;TODAY(),F935&gt;TODAY()),"Verificar evento futuro","OK"))))))))))</f>
        <v/>
      </c>
    </row>
    <row r="936" spans="12:15">
      <c r="L936" s="5">
        <f>IF(OR(A936="",B936=""),"",B936-WEEKDAY(B936,2)+1)</f>
        <v/>
      </c>
      <c r="M936" s="5">
        <f>IF(L936="","",L936+6)</f>
        <v/>
      </c>
      <c r="N936" s="6">
        <f>IF(OR(A936="",B936=""),"",DATE(YEAR(B936),MONTH(B936),1))</f>
        <v/>
      </c>
      <c r="O936" s="7">
        <f>IF(COUNTA(A936:K936)=0,"",IF(OR(A936="",B936=""),"Preencher CPF e entrada",IF(COUNTIFS($A$12:$A$5011,A936,$B$12:$B$5011,B936)&gt;1,"CPF + dia duplicado",IF(OR(AND(G936&lt;&gt;"",G936&lt;&gt;0,G936&lt;&gt;1),AND(H936&lt;&gt;"",H936&lt;&gt;0,H936&lt;&gt;1)),"Flags devem ser 0 ou 1",IF(AND(H936=1,LEN(TRIM(I936))=0),"Preencher nome do indicante",IF(AND(H936&lt;&gt;1,I936&lt;&gt;""),"Nome sem indicação interna",IF(AND(G936=1,F936=""),"Fechamento sem conversa",IF(OR(AND(E936&lt;&gt;"",E936&lt;B936),AND(F936&lt;&gt;"",F936&lt;B936)),"Evento anterior à entrada",IF(AND(F936&lt;&gt;"",E936=""),"Conversa sem agendamento",IF(OR(E936&gt;TODAY(),F936&gt;TODAY()),"Verificar evento futuro","OK"))))))))))</f>
        <v/>
      </c>
    </row>
    <row r="937" spans="12:15">
      <c r="L937" s="5">
        <f>IF(OR(A937="",B937=""),"",B937-WEEKDAY(B937,2)+1)</f>
        <v/>
      </c>
      <c r="M937" s="5">
        <f>IF(L937="","",L937+6)</f>
        <v/>
      </c>
      <c r="N937" s="6">
        <f>IF(OR(A937="",B937=""),"",DATE(YEAR(B937),MONTH(B937),1))</f>
        <v/>
      </c>
      <c r="O937" s="7">
        <f>IF(COUNTA(A937:K937)=0,"",IF(OR(A937="",B937=""),"Preencher CPF e entrada",IF(COUNTIFS($A$12:$A$5011,A937,$B$12:$B$5011,B937)&gt;1,"CPF + dia duplicado",IF(OR(AND(G937&lt;&gt;"",G937&lt;&gt;0,G937&lt;&gt;1),AND(H937&lt;&gt;"",H937&lt;&gt;0,H937&lt;&gt;1)),"Flags devem ser 0 ou 1",IF(AND(H937=1,LEN(TRIM(I937))=0),"Preencher nome do indicante",IF(AND(H937&lt;&gt;1,I937&lt;&gt;""),"Nome sem indicação interna",IF(AND(G937=1,F937=""),"Fechamento sem conversa",IF(OR(AND(E937&lt;&gt;"",E937&lt;B937),AND(F937&lt;&gt;"",F937&lt;B937)),"Evento anterior à entrada",IF(AND(F937&lt;&gt;"",E937=""),"Conversa sem agendamento",IF(OR(E937&gt;TODAY(),F937&gt;TODAY()),"Verificar evento futuro","OK"))))))))))</f>
        <v/>
      </c>
    </row>
    <row r="938" spans="12:15">
      <c r="L938" s="5">
        <f>IF(OR(A938="",B938=""),"",B938-WEEKDAY(B938,2)+1)</f>
        <v/>
      </c>
      <c r="M938" s="5">
        <f>IF(L938="","",L938+6)</f>
        <v/>
      </c>
      <c r="N938" s="6">
        <f>IF(OR(A938="",B938=""),"",DATE(YEAR(B938),MONTH(B938),1))</f>
        <v/>
      </c>
      <c r="O938" s="7">
        <f>IF(COUNTA(A938:K938)=0,"",IF(OR(A938="",B938=""),"Preencher CPF e entrada",IF(COUNTIFS($A$12:$A$5011,A938,$B$12:$B$5011,B938)&gt;1,"CPF + dia duplicado",IF(OR(AND(G938&lt;&gt;"",G938&lt;&gt;0,G938&lt;&gt;1),AND(H938&lt;&gt;"",H938&lt;&gt;0,H938&lt;&gt;1)),"Flags devem ser 0 ou 1",IF(AND(H938=1,LEN(TRIM(I938))=0),"Preencher nome do indicante",IF(AND(H938&lt;&gt;1,I938&lt;&gt;""),"Nome sem indicação interna",IF(AND(G938=1,F938=""),"Fechamento sem conversa",IF(OR(AND(E938&lt;&gt;"",E938&lt;B938),AND(F938&lt;&gt;"",F938&lt;B938)),"Evento anterior à entrada",IF(AND(F938&lt;&gt;"",E938=""),"Conversa sem agendamento",IF(OR(E938&gt;TODAY(),F938&gt;TODAY()),"Verificar evento futuro","OK"))))))))))</f>
        <v/>
      </c>
    </row>
    <row r="939" spans="12:15">
      <c r="L939" s="5">
        <f>IF(OR(A939="",B939=""),"",B939-WEEKDAY(B939,2)+1)</f>
        <v/>
      </c>
      <c r="M939" s="5">
        <f>IF(L939="","",L939+6)</f>
        <v/>
      </c>
      <c r="N939" s="6">
        <f>IF(OR(A939="",B939=""),"",DATE(YEAR(B939),MONTH(B939),1))</f>
        <v/>
      </c>
      <c r="O939" s="7">
        <f>IF(COUNTA(A939:K939)=0,"",IF(OR(A939="",B939=""),"Preencher CPF e entrada",IF(COUNTIFS($A$12:$A$5011,A939,$B$12:$B$5011,B939)&gt;1,"CPF + dia duplicado",IF(OR(AND(G939&lt;&gt;"",G939&lt;&gt;0,G939&lt;&gt;1),AND(H939&lt;&gt;"",H939&lt;&gt;0,H939&lt;&gt;1)),"Flags devem ser 0 ou 1",IF(AND(H939=1,LEN(TRIM(I939))=0),"Preencher nome do indicante",IF(AND(H939&lt;&gt;1,I939&lt;&gt;""),"Nome sem indicação interna",IF(AND(G939=1,F939=""),"Fechamento sem conversa",IF(OR(AND(E939&lt;&gt;"",E939&lt;B939),AND(F939&lt;&gt;"",F939&lt;B939)),"Evento anterior à entrada",IF(AND(F939&lt;&gt;"",E939=""),"Conversa sem agendamento",IF(OR(E939&gt;TODAY(),F939&gt;TODAY()),"Verificar evento futuro","OK"))))))))))</f>
        <v/>
      </c>
    </row>
    <row r="940" spans="12:15">
      <c r="L940" s="5">
        <f>IF(OR(A940="",B940=""),"",B940-WEEKDAY(B940,2)+1)</f>
        <v/>
      </c>
      <c r="M940" s="5">
        <f>IF(L940="","",L940+6)</f>
        <v/>
      </c>
      <c r="N940" s="6">
        <f>IF(OR(A940="",B940=""),"",DATE(YEAR(B940),MONTH(B940),1))</f>
        <v/>
      </c>
      <c r="O940" s="7">
        <f>IF(COUNTA(A940:K940)=0,"",IF(OR(A940="",B940=""),"Preencher CPF e entrada",IF(COUNTIFS($A$12:$A$5011,A940,$B$12:$B$5011,B940)&gt;1,"CPF + dia duplicado",IF(OR(AND(G940&lt;&gt;"",G940&lt;&gt;0,G940&lt;&gt;1),AND(H940&lt;&gt;"",H940&lt;&gt;0,H940&lt;&gt;1)),"Flags devem ser 0 ou 1",IF(AND(H940=1,LEN(TRIM(I940))=0),"Preencher nome do indicante",IF(AND(H940&lt;&gt;1,I940&lt;&gt;""),"Nome sem indicação interna",IF(AND(G940=1,F940=""),"Fechamento sem conversa",IF(OR(AND(E940&lt;&gt;"",E940&lt;B940),AND(F940&lt;&gt;"",F940&lt;B940)),"Evento anterior à entrada",IF(AND(F940&lt;&gt;"",E940=""),"Conversa sem agendamento",IF(OR(E940&gt;TODAY(),F940&gt;TODAY()),"Verificar evento futuro","OK"))))))))))</f>
        <v/>
      </c>
    </row>
    <row r="941" spans="12:15">
      <c r="L941" s="5">
        <f>IF(OR(A941="",B941=""),"",B941-WEEKDAY(B941,2)+1)</f>
        <v/>
      </c>
      <c r="M941" s="5">
        <f>IF(L941="","",L941+6)</f>
        <v/>
      </c>
      <c r="N941" s="6">
        <f>IF(OR(A941="",B941=""),"",DATE(YEAR(B941),MONTH(B941),1))</f>
        <v/>
      </c>
      <c r="O941" s="7">
        <f>IF(COUNTA(A941:K941)=0,"",IF(OR(A941="",B941=""),"Preencher CPF e entrada",IF(COUNTIFS($A$12:$A$5011,A941,$B$12:$B$5011,B941)&gt;1,"CPF + dia duplicado",IF(OR(AND(G941&lt;&gt;"",G941&lt;&gt;0,G941&lt;&gt;1),AND(H941&lt;&gt;"",H941&lt;&gt;0,H941&lt;&gt;1)),"Flags devem ser 0 ou 1",IF(AND(H941=1,LEN(TRIM(I941))=0),"Preencher nome do indicante",IF(AND(H941&lt;&gt;1,I941&lt;&gt;""),"Nome sem indicação interna",IF(AND(G941=1,F941=""),"Fechamento sem conversa",IF(OR(AND(E941&lt;&gt;"",E941&lt;B941),AND(F941&lt;&gt;"",F941&lt;B941)),"Evento anterior à entrada",IF(AND(F941&lt;&gt;"",E941=""),"Conversa sem agendamento",IF(OR(E941&gt;TODAY(),F941&gt;TODAY()),"Verificar evento futuro","OK"))))))))))</f>
        <v/>
      </c>
    </row>
    <row r="942" spans="12:15">
      <c r="L942" s="5">
        <f>IF(OR(A942="",B942=""),"",B942-WEEKDAY(B942,2)+1)</f>
        <v/>
      </c>
      <c r="M942" s="5">
        <f>IF(L942="","",L942+6)</f>
        <v/>
      </c>
      <c r="N942" s="6">
        <f>IF(OR(A942="",B942=""),"",DATE(YEAR(B942),MONTH(B942),1))</f>
        <v/>
      </c>
      <c r="O942" s="7">
        <f>IF(COUNTA(A942:K942)=0,"",IF(OR(A942="",B942=""),"Preencher CPF e entrada",IF(COUNTIFS($A$12:$A$5011,A942,$B$12:$B$5011,B942)&gt;1,"CPF + dia duplicado",IF(OR(AND(G942&lt;&gt;"",G942&lt;&gt;0,G942&lt;&gt;1),AND(H942&lt;&gt;"",H942&lt;&gt;0,H942&lt;&gt;1)),"Flags devem ser 0 ou 1",IF(AND(H942=1,LEN(TRIM(I942))=0),"Preencher nome do indicante",IF(AND(H942&lt;&gt;1,I942&lt;&gt;""),"Nome sem indicação interna",IF(AND(G942=1,F942=""),"Fechamento sem conversa",IF(OR(AND(E942&lt;&gt;"",E942&lt;B942),AND(F942&lt;&gt;"",F942&lt;B942)),"Evento anterior à entrada",IF(AND(F942&lt;&gt;"",E942=""),"Conversa sem agendamento",IF(OR(E942&gt;TODAY(),F942&gt;TODAY()),"Verificar evento futuro","OK"))))))))))</f>
        <v/>
      </c>
    </row>
    <row r="943" spans="12:15">
      <c r="L943" s="5">
        <f>IF(OR(A943="",B943=""),"",B943-WEEKDAY(B943,2)+1)</f>
        <v/>
      </c>
      <c r="M943" s="5">
        <f>IF(L943="","",L943+6)</f>
        <v/>
      </c>
      <c r="N943" s="6">
        <f>IF(OR(A943="",B943=""),"",DATE(YEAR(B943),MONTH(B943),1))</f>
        <v/>
      </c>
      <c r="O943" s="7">
        <f>IF(COUNTA(A943:K943)=0,"",IF(OR(A943="",B943=""),"Preencher CPF e entrada",IF(COUNTIFS($A$12:$A$5011,A943,$B$12:$B$5011,B943)&gt;1,"CPF + dia duplicado",IF(OR(AND(G943&lt;&gt;"",G943&lt;&gt;0,G943&lt;&gt;1),AND(H943&lt;&gt;"",H943&lt;&gt;0,H943&lt;&gt;1)),"Flags devem ser 0 ou 1",IF(AND(H943=1,LEN(TRIM(I943))=0),"Preencher nome do indicante",IF(AND(H943&lt;&gt;1,I943&lt;&gt;""),"Nome sem indicação interna",IF(AND(G943=1,F943=""),"Fechamento sem conversa",IF(OR(AND(E943&lt;&gt;"",E943&lt;B943),AND(F943&lt;&gt;"",F943&lt;B943)),"Evento anterior à entrada",IF(AND(F943&lt;&gt;"",E943=""),"Conversa sem agendamento",IF(OR(E943&gt;TODAY(),F943&gt;TODAY()),"Verificar evento futuro","OK"))))))))))</f>
        <v/>
      </c>
    </row>
    <row r="944" spans="12:15">
      <c r="L944" s="5">
        <f>IF(OR(A944="",B944=""),"",B944-WEEKDAY(B944,2)+1)</f>
        <v/>
      </c>
      <c r="M944" s="5">
        <f>IF(L944="","",L944+6)</f>
        <v/>
      </c>
      <c r="N944" s="6">
        <f>IF(OR(A944="",B944=""),"",DATE(YEAR(B944),MONTH(B944),1))</f>
        <v/>
      </c>
      <c r="O944" s="7">
        <f>IF(COUNTA(A944:K944)=0,"",IF(OR(A944="",B944=""),"Preencher CPF e entrada",IF(COUNTIFS($A$12:$A$5011,A944,$B$12:$B$5011,B944)&gt;1,"CPF + dia duplicado",IF(OR(AND(G944&lt;&gt;"",G944&lt;&gt;0,G944&lt;&gt;1),AND(H944&lt;&gt;"",H944&lt;&gt;0,H944&lt;&gt;1)),"Flags devem ser 0 ou 1",IF(AND(H944=1,LEN(TRIM(I944))=0),"Preencher nome do indicante",IF(AND(H944&lt;&gt;1,I944&lt;&gt;""),"Nome sem indicação interna",IF(AND(G944=1,F944=""),"Fechamento sem conversa",IF(OR(AND(E944&lt;&gt;"",E944&lt;B944),AND(F944&lt;&gt;"",F944&lt;B944)),"Evento anterior à entrada",IF(AND(F944&lt;&gt;"",E944=""),"Conversa sem agendamento",IF(OR(E944&gt;TODAY(),F944&gt;TODAY()),"Verificar evento futuro","OK"))))))))))</f>
        <v/>
      </c>
    </row>
    <row r="945" spans="12:15">
      <c r="L945" s="5">
        <f>IF(OR(A945="",B945=""),"",B945-WEEKDAY(B945,2)+1)</f>
        <v/>
      </c>
      <c r="M945" s="5">
        <f>IF(L945="","",L945+6)</f>
        <v/>
      </c>
      <c r="N945" s="6">
        <f>IF(OR(A945="",B945=""),"",DATE(YEAR(B945),MONTH(B945),1))</f>
        <v/>
      </c>
      <c r="O945" s="7">
        <f>IF(COUNTA(A945:K945)=0,"",IF(OR(A945="",B945=""),"Preencher CPF e entrada",IF(COUNTIFS($A$12:$A$5011,A945,$B$12:$B$5011,B945)&gt;1,"CPF + dia duplicado",IF(OR(AND(G945&lt;&gt;"",G945&lt;&gt;0,G945&lt;&gt;1),AND(H945&lt;&gt;"",H945&lt;&gt;0,H945&lt;&gt;1)),"Flags devem ser 0 ou 1",IF(AND(H945=1,LEN(TRIM(I945))=0),"Preencher nome do indicante",IF(AND(H945&lt;&gt;1,I945&lt;&gt;""),"Nome sem indicação interna",IF(AND(G945=1,F945=""),"Fechamento sem conversa",IF(OR(AND(E945&lt;&gt;"",E945&lt;B945),AND(F945&lt;&gt;"",F945&lt;B945)),"Evento anterior à entrada",IF(AND(F945&lt;&gt;"",E945=""),"Conversa sem agendamento",IF(OR(E945&gt;TODAY(),F945&gt;TODAY()),"Verificar evento futuro","OK"))))))))))</f>
        <v/>
      </c>
    </row>
    <row r="946" spans="12:15">
      <c r="L946" s="5">
        <f>IF(OR(A946="",B946=""),"",B946-WEEKDAY(B946,2)+1)</f>
        <v/>
      </c>
      <c r="M946" s="5">
        <f>IF(L946="","",L946+6)</f>
        <v/>
      </c>
      <c r="N946" s="6">
        <f>IF(OR(A946="",B946=""),"",DATE(YEAR(B946),MONTH(B946),1))</f>
        <v/>
      </c>
      <c r="O946" s="7">
        <f>IF(COUNTA(A946:K946)=0,"",IF(OR(A946="",B946=""),"Preencher CPF e entrada",IF(COUNTIFS($A$12:$A$5011,A946,$B$12:$B$5011,B946)&gt;1,"CPF + dia duplicado",IF(OR(AND(G946&lt;&gt;"",G946&lt;&gt;0,G946&lt;&gt;1),AND(H946&lt;&gt;"",H946&lt;&gt;0,H946&lt;&gt;1)),"Flags devem ser 0 ou 1",IF(AND(H946=1,LEN(TRIM(I946))=0),"Preencher nome do indicante",IF(AND(H946&lt;&gt;1,I946&lt;&gt;""),"Nome sem indicação interna",IF(AND(G946=1,F946=""),"Fechamento sem conversa",IF(OR(AND(E946&lt;&gt;"",E946&lt;B946),AND(F946&lt;&gt;"",F946&lt;B946)),"Evento anterior à entrada",IF(AND(F946&lt;&gt;"",E946=""),"Conversa sem agendamento",IF(OR(E946&gt;TODAY(),F946&gt;TODAY()),"Verificar evento futuro","OK"))))))))))</f>
        <v/>
      </c>
    </row>
    <row r="947" spans="12:15">
      <c r="L947" s="5">
        <f>IF(OR(A947="",B947=""),"",B947-WEEKDAY(B947,2)+1)</f>
        <v/>
      </c>
      <c r="M947" s="5">
        <f>IF(L947="","",L947+6)</f>
        <v/>
      </c>
      <c r="N947" s="6">
        <f>IF(OR(A947="",B947=""),"",DATE(YEAR(B947),MONTH(B947),1))</f>
        <v/>
      </c>
      <c r="O947" s="7">
        <f>IF(COUNTA(A947:K947)=0,"",IF(OR(A947="",B947=""),"Preencher CPF e entrada",IF(COUNTIFS($A$12:$A$5011,A947,$B$12:$B$5011,B947)&gt;1,"CPF + dia duplicado",IF(OR(AND(G947&lt;&gt;"",G947&lt;&gt;0,G947&lt;&gt;1),AND(H947&lt;&gt;"",H947&lt;&gt;0,H947&lt;&gt;1)),"Flags devem ser 0 ou 1",IF(AND(H947=1,LEN(TRIM(I947))=0),"Preencher nome do indicante",IF(AND(H947&lt;&gt;1,I947&lt;&gt;""),"Nome sem indicação interna",IF(AND(G947=1,F947=""),"Fechamento sem conversa",IF(OR(AND(E947&lt;&gt;"",E947&lt;B947),AND(F947&lt;&gt;"",F947&lt;B947)),"Evento anterior à entrada",IF(AND(F947&lt;&gt;"",E947=""),"Conversa sem agendamento",IF(OR(E947&gt;TODAY(),F947&gt;TODAY()),"Verificar evento futuro","OK"))))))))))</f>
        <v/>
      </c>
    </row>
    <row r="948" spans="12:15">
      <c r="L948" s="5">
        <f>IF(OR(A948="",B948=""),"",B948-WEEKDAY(B948,2)+1)</f>
        <v/>
      </c>
      <c r="M948" s="5">
        <f>IF(L948="","",L948+6)</f>
        <v/>
      </c>
      <c r="N948" s="6">
        <f>IF(OR(A948="",B948=""),"",DATE(YEAR(B948),MONTH(B948),1))</f>
        <v/>
      </c>
      <c r="O948" s="7">
        <f>IF(COUNTA(A948:K948)=0,"",IF(OR(A948="",B948=""),"Preencher CPF e entrada",IF(COUNTIFS($A$12:$A$5011,A948,$B$12:$B$5011,B948)&gt;1,"CPF + dia duplicado",IF(OR(AND(G948&lt;&gt;"",G948&lt;&gt;0,G948&lt;&gt;1),AND(H948&lt;&gt;"",H948&lt;&gt;0,H948&lt;&gt;1)),"Flags devem ser 0 ou 1",IF(AND(H948=1,LEN(TRIM(I948))=0),"Preencher nome do indicante",IF(AND(H948&lt;&gt;1,I948&lt;&gt;""),"Nome sem indicação interna",IF(AND(G948=1,F948=""),"Fechamento sem conversa",IF(OR(AND(E948&lt;&gt;"",E948&lt;B948),AND(F948&lt;&gt;"",F948&lt;B948)),"Evento anterior à entrada",IF(AND(F948&lt;&gt;"",E948=""),"Conversa sem agendamento",IF(OR(E948&gt;TODAY(),F948&gt;TODAY()),"Verificar evento futuro","OK"))))))))))</f>
        <v/>
      </c>
    </row>
    <row r="949" spans="12:15">
      <c r="L949" s="5">
        <f>IF(OR(A949="",B949=""),"",B949-WEEKDAY(B949,2)+1)</f>
        <v/>
      </c>
      <c r="M949" s="5">
        <f>IF(L949="","",L949+6)</f>
        <v/>
      </c>
      <c r="N949" s="6">
        <f>IF(OR(A949="",B949=""),"",DATE(YEAR(B949),MONTH(B949),1))</f>
        <v/>
      </c>
      <c r="O949" s="7">
        <f>IF(COUNTA(A949:K949)=0,"",IF(OR(A949="",B949=""),"Preencher CPF e entrada",IF(COUNTIFS($A$12:$A$5011,A949,$B$12:$B$5011,B949)&gt;1,"CPF + dia duplicado",IF(OR(AND(G949&lt;&gt;"",G949&lt;&gt;0,G949&lt;&gt;1),AND(H949&lt;&gt;"",H949&lt;&gt;0,H949&lt;&gt;1)),"Flags devem ser 0 ou 1",IF(AND(H949=1,LEN(TRIM(I949))=0),"Preencher nome do indicante",IF(AND(H949&lt;&gt;1,I949&lt;&gt;""),"Nome sem indicação interna",IF(AND(G949=1,F949=""),"Fechamento sem conversa",IF(OR(AND(E949&lt;&gt;"",E949&lt;B949),AND(F949&lt;&gt;"",F949&lt;B949)),"Evento anterior à entrada",IF(AND(F949&lt;&gt;"",E949=""),"Conversa sem agendamento",IF(OR(E949&gt;TODAY(),F949&gt;TODAY()),"Verificar evento futuro","OK"))))))))))</f>
        <v/>
      </c>
    </row>
    <row r="950" spans="12:15">
      <c r="L950" s="5">
        <f>IF(OR(A950="",B950=""),"",B950-WEEKDAY(B950,2)+1)</f>
        <v/>
      </c>
      <c r="M950" s="5">
        <f>IF(L950="","",L950+6)</f>
        <v/>
      </c>
      <c r="N950" s="6">
        <f>IF(OR(A950="",B950=""),"",DATE(YEAR(B950),MONTH(B950),1))</f>
        <v/>
      </c>
      <c r="O950" s="7">
        <f>IF(COUNTA(A950:K950)=0,"",IF(OR(A950="",B950=""),"Preencher CPF e entrada",IF(COUNTIFS($A$12:$A$5011,A950,$B$12:$B$5011,B950)&gt;1,"CPF + dia duplicado",IF(OR(AND(G950&lt;&gt;"",G950&lt;&gt;0,G950&lt;&gt;1),AND(H950&lt;&gt;"",H950&lt;&gt;0,H950&lt;&gt;1)),"Flags devem ser 0 ou 1",IF(AND(H950=1,LEN(TRIM(I950))=0),"Preencher nome do indicante",IF(AND(H950&lt;&gt;1,I950&lt;&gt;""),"Nome sem indicação interna",IF(AND(G950=1,F950=""),"Fechamento sem conversa",IF(OR(AND(E950&lt;&gt;"",E950&lt;B950),AND(F950&lt;&gt;"",F950&lt;B950)),"Evento anterior à entrada",IF(AND(F950&lt;&gt;"",E950=""),"Conversa sem agendamento",IF(OR(E950&gt;TODAY(),F950&gt;TODAY()),"Verificar evento futuro","OK"))))))))))</f>
        <v/>
      </c>
    </row>
    <row r="951" spans="12:15">
      <c r="L951" s="5">
        <f>IF(OR(A951="",B951=""),"",B951-WEEKDAY(B951,2)+1)</f>
        <v/>
      </c>
      <c r="M951" s="5">
        <f>IF(L951="","",L951+6)</f>
        <v/>
      </c>
      <c r="N951" s="6">
        <f>IF(OR(A951="",B951=""),"",DATE(YEAR(B951),MONTH(B951),1))</f>
        <v/>
      </c>
      <c r="O951" s="7">
        <f>IF(COUNTA(A951:K951)=0,"",IF(OR(A951="",B951=""),"Preencher CPF e entrada",IF(COUNTIFS($A$12:$A$5011,A951,$B$12:$B$5011,B951)&gt;1,"CPF + dia duplicado",IF(OR(AND(G951&lt;&gt;"",G951&lt;&gt;0,G951&lt;&gt;1),AND(H951&lt;&gt;"",H951&lt;&gt;0,H951&lt;&gt;1)),"Flags devem ser 0 ou 1",IF(AND(H951=1,LEN(TRIM(I951))=0),"Preencher nome do indicante",IF(AND(H951&lt;&gt;1,I951&lt;&gt;""),"Nome sem indicação interna",IF(AND(G951=1,F951=""),"Fechamento sem conversa",IF(OR(AND(E951&lt;&gt;"",E951&lt;B951),AND(F951&lt;&gt;"",F951&lt;B951)),"Evento anterior à entrada",IF(AND(F951&lt;&gt;"",E951=""),"Conversa sem agendamento",IF(OR(E951&gt;TODAY(),F951&gt;TODAY()),"Verificar evento futuro","OK"))))))))))</f>
        <v/>
      </c>
    </row>
    <row r="952" spans="12:15">
      <c r="L952" s="5">
        <f>IF(OR(A952="",B952=""),"",B952-WEEKDAY(B952,2)+1)</f>
        <v/>
      </c>
      <c r="M952" s="5">
        <f>IF(L952="","",L952+6)</f>
        <v/>
      </c>
      <c r="N952" s="6">
        <f>IF(OR(A952="",B952=""),"",DATE(YEAR(B952),MONTH(B952),1))</f>
        <v/>
      </c>
      <c r="O952" s="7">
        <f>IF(COUNTA(A952:K952)=0,"",IF(OR(A952="",B952=""),"Preencher CPF e entrada",IF(COUNTIFS($A$12:$A$5011,A952,$B$12:$B$5011,B952)&gt;1,"CPF + dia duplicado",IF(OR(AND(G952&lt;&gt;"",G952&lt;&gt;0,G952&lt;&gt;1),AND(H952&lt;&gt;"",H952&lt;&gt;0,H952&lt;&gt;1)),"Flags devem ser 0 ou 1",IF(AND(H952=1,LEN(TRIM(I952))=0),"Preencher nome do indicante",IF(AND(H952&lt;&gt;1,I952&lt;&gt;""),"Nome sem indicação interna",IF(AND(G952=1,F952=""),"Fechamento sem conversa",IF(OR(AND(E952&lt;&gt;"",E952&lt;B952),AND(F952&lt;&gt;"",F952&lt;B952)),"Evento anterior à entrada",IF(AND(F952&lt;&gt;"",E952=""),"Conversa sem agendamento",IF(OR(E952&gt;TODAY(),F952&gt;TODAY()),"Verificar evento futuro","OK"))))))))))</f>
        <v/>
      </c>
    </row>
    <row r="953" spans="12:15">
      <c r="L953" s="5">
        <f>IF(OR(A953="",B953=""),"",B953-WEEKDAY(B953,2)+1)</f>
        <v/>
      </c>
      <c r="M953" s="5">
        <f>IF(L953="","",L953+6)</f>
        <v/>
      </c>
      <c r="N953" s="6">
        <f>IF(OR(A953="",B953=""),"",DATE(YEAR(B953),MONTH(B953),1))</f>
        <v/>
      </c>
      <c r="O953" s="7">
        <f>IF(COUNTA(A953:K953)=0,"",IF(OR(A953="",B953=""),"Preencher CPF e entrada",IF(COUNTIFS($A$12:$A$5011,A953,$B$12:$B$5011,B953)&gt;1,"CPF + dia duplicado",IF(OR(AND(G953&lt;&gt;"",G953&lt;&gt;0,G953&lt;&gt;1),AND(H953&lt;&gt;"",H953&lt;&gt;0,H953&lt;&gt;1)),"Flags devem ser 0 ou 1",IF(AND(H953=1,LEN(TRIM(I953))=0),"Preencher nome do indicante",IF(AND(H953&lt;&gt;1,I953&lt;&gt;""),"Nome sem indicação interna",IF(AND(G953=1,F953=""),"Fechamento sem conversa",IF(OR(AND(E953&lt;&gt;"",E953&lt;B953),AND(F953&lt;&gt;"",F953&lt;B953)),"Evento anterior à entrada",IF(AND(F953&lt;&gt;"",E953=""),"Conversa sem agendamento",IF(OR(E953&gt;TODAY(),F953&gt;TODAY()),"Verificar evento futuro","OK"))))))))))</f>
        <v/>
      </c>
    </row>
    <row r="954" spans="12:15">
      <c r="L954" s="5">
        <f>IF(OR(A954="",B954=""),"",B954-WEEKDAY(B954,2)+1)</f>
        <v/>
      </c>
      <c r="M954" s="5">
        <f>IF(L954="","",L954+6)</f>
        <v/>
      </c>
      <c r="N954" s="6">
        <f>IF(OR(A954="",B954=""),"",DATE(YEAR(B954),MONTH(B954),1))</f>
        <v/>
      </c>
      <c r="O954" s="7">
        <f>IF(COUNTA(A954:K954)=0,"",IF(OR(A954="",B954=""),"Preencher CPF e entrada",IF(COUNTIFS($A$12:$A$5011,A954,$B$12:$B$5011,B954)&gt;1,"CPF + dia duplicado",IF(OR(AND(G954&lt;&gt;"",G954&lt;&gt;0,G954&lt;&gt;1),AND(H954&lt;&gt;"",H954&lt;&gt;0,H954&lt;&gt;1)),"Flags devem ser 0 ou 1",IF(AND(H954=1,LEN(TRIM(I954))=0),"Preencher nome do indicante",IF(AND(H954&lt;&gt;1,I954&lt;&gt;""),"Nome sem indicação interna",IF(AND(G954=1,F954=""),"Fechamento sem conversa",IF(OR(AND(E954&lt;&gt;"",E954&lt;B954),AND(F954&lt;&gt;"",F954&lt;B954)),"Evento anterior à entrada",IF(AND(F954&lt;&gt;"",E954=""),"Conversa sem agendamento",IF(OR(E954&gt;TODAY(),F954&gt;TODAY()),"Verificar evento futuro","OK"))))))))))</f>
        <v/>
      </c>
    </row>
    <row r="955" spans="12:15">
      <c r="L955" s="5">
        <f>IF(OR(A955="",B955=""),"",B955-WEEKDAY(B955,2)+1)</f>
        <v/>
      </c>
      <c r="M955" s="5">
        <f>IF(L955="","",L955+6)</f>
        <v/>
      </c>
      <c r="N955" s="6">
        <f>IF(OR(A955="",B955=""),"",DATE(YEAR(B955),MONTH(B955),1))</f>
        <v/>
      </c>
      <c r="O955" s="7">
        <f>IF(COUNTA(A955:K955)=0,"",IF(OR(A955="",B955=""),"Preencher CPF e entrada",IF(COUNTIFS($A$12:$A$5011,A955,$B$12:$B$5011,B955)&gt;1,"CPF + dia duplicado",IF(OR(AND(G955&lt;&gt;"",G955&lt;&gt;0,G955&lt;&gt;1),AND(H955&lt;&gt;"",H955&lt;&gt;0,H955&lt;&gt;1)),"Flags devem ser 0 ou 1",IF(AND(H955=1,LEN(TRIM(I955))=0),"Preencher nome do indicante",IF(AND(H955&lt;&gt;1,I955&lt;&gt;""),"Nome sem indicação interna",IF(AND(G955=1,F955=""),"Fechamento sem conversa",IF(OR(AND(E955&lt;&gt;"",E955&lt;B955),AND(F955&lt;&gt;"",F955&lt;B955)),"Evento anterior à entrada",IF(AND(F955&lt;&gt;"",E955=""),"Conversa sem agendamento",IF(OR(E955&gt;TODAY(),F955&gt;TODAY()),"Verificar evento futuro","OK"))))))))))</f>
        <v/>
      </c>
    </row>
    <row r="956" spans="12:15">
      <c r="L956" s="5">
        <f>IF(OR(A956="",B956=""),"",B956-WEEKDAY(B956,2)+1)</f>
        <v/>
      </c>
      <c r="M956" s="5">
        <f>IF(L956="","",L956+6)</f>
        <v/>
      </c>
      <c r="N956" s="6">
        <f>IF(OR(A956="",B956=""),"",DATE(YEAR(B956),MONTH(B956),1))</f>
        <v/>
      </c>
      <c r="O956" s="7">
        <f>IF(COUNTA(A956:K956)=0,"",IF(OR(A956="",B956=""),"Preencher CPF e entrada",IF(COUNTIFS($A$12:$A$5011,A956,$B$12:$B$5011,B956)&gt;1,"CPF + dia duplicado",IF(OR(AND(G956&lt;&gt;"",G956&lt;&gt;0,G956&lt;&gt;1),AND(H956&lt;&gt;"",H956&lt;&gt;0,H956&lt;&gt;1)),"Flags devem ser 0 ou 1",IF(AND(H956=1,LEN(TRIM(I956))=0),"Preencher nome do indicante",IF(AND(H956&lt;&gt;1,I956&lt;&gt;""),"Nome sem indicação interna",IF(AND(G956=1,F956=""),"Fechamento sem conversa",IF(OR(AND(E956&lt;&gt;"",E956&lt;B956),AND(F956&lt;&gt;"",F956&lt;B956)),"Evento anterior à entrada",IF(AND(F956&lt;&gt;"",E956=""),"Conversa sem agendamento",IF(OR(E956&gt;TODAY(),F956&gt;TODAY()),"Verificar evento futuro","OK"))))))))))</f>
        <v/>
      </c>
    </row>
    <row r="957" spans="12:15">
      <c r="L957" s="5">
        <f>IF(OR(A957="",B957=""),"",B957-WEEKDAY(B957,2)+1)</f>
        <v/>
      </c>
      <c r="M957" s="5">
        <f>IF(L957="","",L957+6)</f>
        <v/>
      </c>
      <c r="N957" s="6">
        <f>IF(OR(A957="",B957=""),"",DATE(YEAR(B957),MONTH(B957),1))</f>
        <v/>
      </c>
      <c r="O957" s="7">
        <f>IF(COUNTA(A957:K957)=0,"",IF(OR(A957="",B957=""),"Preencher CPF e entrada",IF(COUNTIFS($A$12:$A$5011,A957,$B$12:$B$5011,B957)&gt;1,"CPF + dia duplicado",IF(OR(AND(G957&lt;&gt;"",G957&lt;&gt;0,G957&lt;&gt;1),AND(H957&lt;&gt;"",H957&lt;&gt;0,H957&lt;&gt;1)),"Flags devem ser 0 ou 1",IF(AND(H957=1,LEN(TRIM(I957))=0),"Preencher nome do indicante",IF(AND(H957&lt;&gt;1,I957&lt;&gt;""),"Nome sem indicação interna",IF(AND(G957=1,F957=""),"Fechamento sem conversa",IF(OR(AND(E957&lt;&gt;"",E957&lt;B957),AND(F957&lt;&gt;"",F957&lt;B957)),"Evento anterior à entrada",IF(AND(F957&lt;&gt;"",E957=""),"Conversa sem agendamento",IF(OR(E957&gt;TODAY(),F957&gt;TODAY()),"Verificar evento futuro","OK"))))))))))</f>
        <v/>
      </c>
    </row>
    <row r="958" spans="12:15">
      <c r="L958" s="5">
        <f>IF(OR(A958="",B958=""),"",B958-WEEKDAY(B958,2)+1)</f>
        <v/>
      </c>
      <c r="M958" s="5">
        <f>IF(L958="","",L958+6)</f>
        <v/>
      </c>
      <c r="N958" s="6">
        <f>IF(OR(A958="",B958=""),"",DATE(YEAR(B958),MONTH(B958),1))</f>
        <v/>
      </c>
      <c r="O958" s="7">
        <f>IF(COUNTA(A958:K958)=0,"",IF(OR(A958="",B958=""),"Preencher CPF e entrada",IF(COUNTIFS($A$12:$A$5011,A958,$B$12:$B$5011,B958)&gt;1,"CPF + dia duplicado",IF(OR(AND(G958&lt;&gt;"",G958&lt;&gt;0,G958&lt;&gt;1),AND(H958&lt;&gt;"",H958&lt;&gt;0,H958&lt;&gt;1)),"Flags devem ser 0 ou 1",IF(AND(H958=1,LEN(TRIM(I958))=0),"Preencher nome do indicante",IF(AND(H958&lt;&gt;1,I958&lt;&gt;""),"Nome sem indicação interna",IF(AND(G958=1,F958=""),"Fechamento sem conversa",IF(OR(AND(E958&lt;&gt;"",E958&lt;B958),AND(F958&lt;&gt;"",F958&lt;B958)),"Evento anterior à entrada",IF(AND(F958&lt;&gt;"",E958=""),"Conversa sem agendamento",IF(OR(E958&gt;TODAY(),F958&gt;TODAY()),"Verificar evento futuro","OK"))))))))))</f>
        <v/>
      </c>
    </row>
    <row r="959" spans="12:15">
      <c r="L959" s="5">
        <f>IF(OR(A959="",B959=""),"",B959-WEEKDAY(B959,2)+1)</f>
        <v/>
      </c>
      <c r="M959" s="5">
        <f>IF(L959="","",L959+6)</f>
        <v/>
      </c>
      <c r="N959" s="6">
        <f>IF(OR(A959="",B959=""),"",DATE(YEAR(B959),MONTH(B959),1))</f>
        <v/>
      </c>
      <c r="O959" s="7">
        <f>IF(COUNTA(A959:K959)=0,"",IF(OR(A959="",B959=""),"Preencher CPF e entrada",IF(COUNTIFS($A$12:$A$5011,A959,$B$12:$B$5011,B959)&gt;1,"CPF + dia duplicado",IF(OR(AND(G959&lt;&gt;"",G959&lt;&gt;0,G959&lt;&gt;1),AND(H959&lt;&gt;"",H959&lt;&gt;0,H959&lt;&gt;1)),"Flags devem ser 0 ou 1",IF(AND(H959=1,LEN(TRIM(I959))=0),"Preencher nome do indicante",IF(AND(H959&lt;&gt;1,I959&lt;&gt;""),"Nome sem indicação interna",IF(AND(G959=1,F959=""),"Fechamento sem conversa",IF(OR(AND(E959&lt;&gt;"",E959&lt;B959),AND(F959&lt;&gt;"",F959&lt;B959)),"Evento anterior à entrada",IF(AND(F959&lt;&gt;"",E959=""),"Conversa sem agendamento",IF(OR(E959&gt;TODAY(),F959&gt;TODAY()),"Verificar evento futuro","OK"))))))))))</f>
        <v/>
      </c>
    </row>
    <row r="960" spans="12:15">
      <c r="L960" s="5">
        <f>IF(OR(A960="",B960=""),"",B960-WEEKDAY(B960,2)+1)</f>
        <v/>
      </c>
      <c r="M960" s="5">
        <f>IF(L960="","",L960+6)</f>
        <v/>
      </c>
      <c r="N960" s="6">
        <f>IF(OR(A960="",B960=""),"",DATE(YEAR(B960),MONTH(B960),1))</f>
        <v/>
      </c>
      <c r="O960" s="7">
        <f>IF(COUNTA(A960:K960)=0,"",IF(OR(A960="",B960=""),"Preencher CPF e entrada",IF(COUNTIFS($A$12:$A$5011,A960,$B$12:$B$5011,B960)&gt;1,"CPF + dia duplicado",IF(OR(AND(G960&lt;&gt;"",G960&lt;&gt;0,G960&lt;&gt;1),AND(H960&lt;&gt;"",H960&lt;&gt;0,H960&lt;&gt;1)),"Flags devem ser 0 ou 1",IF(AND(H960=1,LEN(TRIM(I960))=0),"Preencher nome do indicante",IF(AND(H960&lt;&gt;1,I960&lt;&gt;""),"Nome sem indicação interna",IF(AND(G960=1,F960=""),"Fechamento sem conversa",IF(OR(AND(E960&lt;&gt;"",E960&lt;B960),AND(F960&lt;&gt;"",F960&lt;B960)),"Evento anterior à entrada",IF(AND(F960&lt;&gt;"",E960=""),"Conversa sem agendamento",IF(OR(E960&gt;TODAY(),F960&gt;TODAY()),"Verificar evento futuro","OK"))))))))))</f>
        <v/>
      </c>
    </row>
    <row r="961" spans="12:15">
      <c r="L961" s="5">
        <f>IF(OR(A961="",B961=""),"",B961-WEEKDAY(B961,2)+1)</f>
        <v/>
      </c>
      <c r="M961" s="5">
        <f>IF(L961="","",L961+6)</f>
        <v/>
      </c>
      <c r="N961" s="6">
        <f>IF(OR(A961="",B961=""),"",DATE(YEAR(B961),MONTH(B961),1))</f>
        <v/>
      </c>
      <c r="O961" s="7">
        <f>IF(COUNTA(A961:K961)=0,"",IF(OR(A961="",B961=""),"Preencher CPF e entrada",IF(COUNTIFS($A$12:$A$5011,A961,$B$12:$B$5011,B961)&gt;1,"CPF + dia duplicado",IF(OR(AND(G961&lt;&gt;"",G961&lt;&gt;0,G961&lt;&gt;1),AND(H961&lt;&gt;"",H961&lt;&gt;0,H961&lt;&gt;1)),"Flags devem ser 0 ou 1",IF(AND(H961=1,LEN(TRIM(I961))=0),"Preencher nome do indicante",IF(AND(H961&lt;&gt;1,I961&lt;&gt;""),"Nome sem indicação interna",IF(AND(G961=1,F961=""),"Fechamento sem conversa",IF(OR(AND(E961&lt;&gt;"",E961&lt;B961),AND(F961&lt;&gt;"",F961&lt;B961)),"Evento anterior à entrada",IF(AND(F961&lt;&gt;"",E961=""),"Conversa sem agendamento",IF(OR(E961&gt;TODAY(),F961&gt;TODAY()),"Verificar evento futuro","OK"))))))))))</f>
        <v/>
      </c>
    </row>
    <row r="962" spans="12:15">
      <c r="L962" s="5">
        <f>IF(OR(A962="",B962=""),"",B962-WEEKDAY(B962,2)+1)</f>
        <v/>
      </c>
      <c r="M962" s="5">
        <f>IF(L962="","",L962+6)</f>
        <v/>
      </c>
      <c r="N962" s="6">
        <f>IF(OR(A962="",B962=""),"",DATE(YEAR(B962),MONTH(B962),1))</f>
        <v/>
      </c>
      <c r="O962" s="7">
        <f>IF(COUNTA(A962:K962)=0,"",IF(OR(A962="",B962=""),"Preencher CPF e entrada",IF(COUNTIFS($A$12:$A$5011,A962,$B$12:$B$5011,B962)&gt;1,"CPF + dia duplicado",IF(OR(AND(G962&lt;&gt;"",G962&lt;&gt;0,G962&lt;&gt;1),AND(H962&lt;&gt;"",H962&lt;&gt;0,H962&lt;&gt;1)),"Flags devem ser 0 ou 1",IF(AND(H962=1,LEN(TRIM(I962))=0),"Preencher nome do indicante",IF(AND(H962&lt;&gt;1,I962&lt;&gt;""),"Nome sem indicação interna",IF(AND(G962=1,F962=""),"Fechamento sem conversa",IF(OR(AND(E962&lt;&gt;"",E962&lt;B962),AND(F962&lt;&gt;"",F962&lt;B962)),"Evento anterior à entrada",IF(AND(F962&lt;&gt;"",E962=""),"Conversa sem agendamento",IF(OR(E962&gt;TODAY(),F962&gt;TODAY()),"Verificar evento futuro","OK"))))))))))</f>
        <v/>
      </c>
    </row>
    <row r="963" spans="12:15">
      <c r="L963" s="5">
        <f>IF(OR(A963="",B963=""),"",B963-WEEKDAY(B963,2)+1)</f>
        <v/>
      </c>
      <c r="M963" s="5">
        <f>IF(L963="","",L963+6)</f>
        <v/>
      </c>
      <c r="N963" s="6">
        <f>IF(OR(A963="",B963=""),"",DATE(YEAR(B963),MONTH(B963),1))</f>
        <v/>
      </c>
      <c r="O963" s="7">
        <f>IF(COUNTA(A963:K963)=0,"",IF(OR(A963="",B963=""),"Preencher CPF e entrada",IF(COUNTIFS($A$12:$A$5011,A963,$B$12:$B$5011,B963)&gt;1,"CPF + dia duplicado",IF(OR(AND(G963&lt;&gt;"",G963&lt;&gt;0,G963&lt;&gt;1),AND(H963&lt;&gt;"",H963&lt;&gt;0,H963&lt;&gt;1)),"Flags devem ser 0 ou 1",IF(AND(H963=1,LEN(TRIM(I963))=0),"Preencher nome do indicante",IF(AND(H963&lt;&gt;1,I963&lt;&gt;""),"Nome sem indicação interna",IF(AND(G963=1,F963=""),"Fechamento sem conversa",IF(OR(AND(E963&lt;&gt;"",E963&lt;B963),AND(F963&lt;&gt;"",F963&lt;B963)),"Evento anterior à entrada",IF(AND(F963&lt;&gt;"",E963=""),"Conversa sem agendamento",IF(OR(E963&gt;TODAY(),F963&gt;TODAY()),"Verificar evento futuro","OK"))))))))))</f>
        <v/>
      </c>
    </row>
    <row r="964" spans="12:15">
      <c r="L964" s="5">
        <f>IF(OR(A964="",B964=""),"",B964-WEEKDAY(B964,2)+1)</f>
        <v/>
      </c>
      <c r="M964" s="5">
        <f>IF(L964="","",L964+6)</f>
        <v/>
      </c>
      <c r="N964" s="6">
        <f>IF(OR(A964="",B964=""),"",DATE(YEAR(B964),MONTH(B964),1))</f>
        <v/>
      </c>
      <c r="O964" s="7">
        <f>IF(COUNTA(A964:K964)=0,"",IF(OR(A964="",B964=""),"Preencher CPF e entrada",IF(COUNTIFS($A$12:$A$5011,A964,$B$12:$B$5011,B964)&gt;1,"CPF + dia duplicado",IF(OR(AND(G964&lt;&gt;"",G964&lt;&gt;0,G964&lt;&gt;1),AND(H964&lt;&gt;"",H964&lt;&gt;0,H964&lt;&gt;1)),"Flags devem ser 0 ou 1",IF(AND(H964=1,LEN(TRIM(I964))=0),"Preencher nome do indicante",IF(AND(H964&lt;&gt;1,I964&lt;&gt;""),"Nome sem indicação interna",IF(AND(G964=1,F964=""),"Fechamento sem conversa",IF(OR(AND(E964&lt;&gt;"",E964&lt;B964),AND(F964&lt;&gt;"",F964&lt;B964)),"Evento anterior à entrada",IF(AND(F964&lt;&gt;"",E964=""),"Conversa sem agendamento",IF(OR(E964&gt;TODAY(),F964&gt;TODAY()),"Verificar evento futuro","OK"))))))))))</f>
        <v/>
      </c>
    </row>
    <row r="965" spans="12:15">
      <c r="L965" s="5">
        <f>IF(OR(A965="",B965=""),"",B965-WEEKDAY(B965,2)+1)</f>
        <v/>
      </c>
      <c r="M965" s="5">
        <f>IF(L965="","",L965+6)</f>
        <v/>
      </c>
      <c r="N965" s="6">
        <f>IF(OR(A965="",B965=""),"",DATE(YEAR(B965),MONTH(B965),1))</f>
        <v/>
      </c>
      <c r="O965" s="7">
        <f>IF(COUNTA(A965:K965)=0,"",IF(OR(A965="",B965=""),"Preencher CPF e entrada",IF(COUNTIFS($A$12:$A$5011,A965,$B$12:$B$5011,B965)&gt;1,"CPF + dia duplicado",IF(OR(AND(G965&lt;&gt;"",G965&lt;&gt;0,G965&lt;&gt;1),AND(H965&lt;&gt;"",H965&lt;&gt;0,H965&lt;&gt;1)),"Flags devem ser 0 ou 1",IF(AND(H965=1,LEN(TRIM(I965))=0),"Preencher nome do indicante",IF(AND(H965&lt;&gt;1,I965&lt;&gt;""),"Nome sem indicação interna",IF(AND(G965=1,F965=""),"Fechamento sem conversa",IF(OR(AND(E965&lt;&gt;"",E965&lt;B965),AND(F965&lt;&gt;"",F965&lt;B965)),"Evento anterior à entrada",IF(AND(F965&lt;&gt;"",E965=""),"Conversa sem agendamento",IF(OR(E965&gt;TODAY(),F965&gt;TODAY()),"Verificar evento futuro","OK"))))))))))</f>
        <v/>
      </c>
    </row>
    <row r="966" spans="12:15">
      <c r="L966" s="5">
        <f>IF(OR(A966="",B966=""),"",B966-WEEKDAY(B966,2)+1)</f>
        <v/>
      </c>
      <c r="M966" s="5">
        <f>IF(L966="","",L966+6)</f>
        <v/>
      </c>
      <c r="N966" s="6">
        <f>IF(OR(A966="",B966=""),"",DATE(YEAR(B966),MONTH(B966),1))</f>
        <v/>
      </c>
      <c r="O966" s="7">
        <f>IF(COUNTA(A966:K966)=0,"",IF(OR(A966="",B966=""),"Preencher CPF e entrada",IF(COUNTIFS($A$12:$A$5011,A966,$B$12:$B$5011,B966)&gt;1,"CPF + dia duplicado",IF(OR(AND(G966&lt;&gt;"",G966&lt;&gt;0,G966&lt;&gt;1),AND(H966&lt;&gt;"",H966&lt;&gt;0,H966&lt;&gt;1)),"Flags devem ser 0 ou 1",IF(AND(H966=1,LEN(TRIM(I966))=0),"Preencher nome do indicante",IF(AND(H966&lt;&gt;1,I966&lt;&gt;""),"Nome sem indicação interna",IF(AND(G966=1,F966=""),"Fechamento sem conversa",IF(OR(AND(E966&lt;&gt;"",E966&lt;B966),AND(F966&lt;&gt;"",F966&lt;B966)),"Evento anterior à entrada",IF(AND(F966&lt;&gt;"",E966=""),"Conversa sem agendamento",IF(OR(E966&gt;TODAY(),F966&gt;TODAY()),"Verificar evento futuro","OK"))))))))))</f>
        <v/>
      </c>
    </row>
    <row r="967" spans="12:15">
      <c r="L967" s="5">
        <f>IF(OR(A967="",B967=""),"",B967-WEEKDAY(B967,2)+1)</f>
        <v/>
      </c>
      <c r="M967" s="5">
        <f>IF(L967="","",L967+6)</f>
        <v/>
      </c>
      <c r="N967" s="6">
        <f>IF(OR(A967="",B967=""),"",DATE(YEAR(B967),MONTH(B967),1))</f>
        <v/>
      </c>
      <c r="O967" s="7">
        <f>IF(COUNTA(A967:K967)=0,"",IF(OR(A967="",B967=""),"Preencher CPF e entrada",IF(COUNTIFS($A$12:$A$5011,A967,$B$12:$B$5011,B967)&gt;1,"CPF + dia duplicado",IF(OR(AND(G967&lt;&gt;"",G967&lt;&gt;0,G967&lt;&gt;1),AND(H967&lt;&gt;"",H967&lt;&gt;0,H967&lt;&gt;1)),"Flags devem ser 0 ou 1",IF(AND(H967=1,LEN(TRIM(I967))=0),"Preencher nome do indicante",IF(AND(H967&lt;&gt;1,I967&lt;&gt;""),"Nome sem indicação interna",IF(AND(G967=1,F967=""),"Fechamento sem conversa",IF(OR(AND(E967&lt;&gt;"",E967&lt;B967),AND(F967&lt;&gt;"",F967&lt;B967)),"Evento anterior à entrada",IF(AND(F967&lt;&gt;"",E967=""),"Conversa sem agendamento",IF(OR(E967&gt;TODAY(),F967&gt;TODAY()),"Verificar evento futuro","OK"))))))))))</f>
        <v/>
      </c>
    </row>
    <row r="968" spans="12:15">
      <c r="L968" s="5">
        <f>IF(OR(A968="",B968=""),"",B968-WEEKDAY(B968,2)+1)</f>
        <v/>
      </c>
      <c r="M968" s="5">
        <f>IF(L968="","",L968+6)</f>
        <v/>
      </c>
      <c r="N968" s="6">
        <f>IF(OR(A968="",B968=""),"",DATE(YEAR(B968),MONTH(B968),1))</f>
        <v/>
      </c>
      <c r="O968" s="7">
        <f>IF(COUNTA(A968:K968)=0,"",IF(OR(A968="",B968=""),"Preencher CPF e entrada",IF(COUNTIFS($A$12:$A$5011,A968,$B$12:$B$5011,B968)&gt;1,"CPF + dia duplicado",IF(OR(AND(G968&lt;&gt;"",G968&lt;&gt;0,G968&lt;&gt;1),AND(H968&lt;&gt;"",H968&lt;&gt;0,H968&lt;&gt;1)),"Flags devem ser 0 ou 1",IF(AND(H968=1,LEN(TRIM(I968))=0),"Preencher nome do indicante",IF(AND(H968&lt;&gt;1,I968&lt;&gt;""),"Nome sem indicação interna",IF(AND(G968=1,F968=""),"Fechamento sem conversa",IF(OR(AND(E968&lt;&gt;"",E968&lt;B968),AND(F968&lt;&gt;"",F968&lt;B968)),"Evento anterior à entrada",IF(AND(F968&lt;&gt;"",E968=""),"Conversa sem agendamento",IF(OR(E968&gt;TODAY(),F968&gt;TODAY()),"Verificar evento futuro","OK"))))))))))</f>
        <v/>
      </c>
    </row>
    <row r="969" spans="12:15">
      <c r="L969" s="5">
        <f>IF(OR(A969="",B969=""),"",B969-WEEKDAY(B969,2)+1)</f>
        <v/>
      </c>
      <c r="M969" s="5">
        <f>IF(L969="","",L969+6)</f>
        <v/>
      </c>
      <c r="N969" s="6">
        <f>IF(OR(A969="",B969=""),"",DATE(YEAR(B969),MONTH(B969),1))</f>
        <v/>
      </c>
      <c r="O969" s="7">
        <f>IF(COUNTA(A969:K969)=0,"",IF(OR(A969="",B969=""),"Preencher CPF e entrada",IF(COUNTIFS($A$12:$A$5011,A969,$B$12:$B$5011,B969)&gt;1,"CPF + dia duplicado",IF(OR(AND(G969&lt;&gt;"",G969&lt;&gt;0,G969&lt;&gt;1),AND(H969&lt;&gt;"",H969&lt;&gt;0,H969&lt;&gt;1)),"Flags devem ser 0 ou 1",IF(AND(H969=1,LEN(TRIM(I969))=0),"Preencher nome do indicante",IF(AND(H969&lt;&gt;1,I969&lt;&gt;""),"Nome sem indicação interna",IF(AND(G969=1,F969=""),"Fechamento sem conversa",IF(OR(AND(E969&lt;&gt;"",E969&lt;B969),AND(F969&lt;&gt;"",F969&lt;B969)),"Evento anterior à entrada",IF(AND(F969&lt;&gt;"",E969=""),"Conversa sem agendamento",IF(OR(E969&gt;TODAY(),F969&gt;TODAY()),"Verificar evento futuro","OK"))))))))))</f>
        <v/>
      </c>
    </row>
    <row r="970" spans="12:15">
      <c r="L970" s="5">
        <f>IF(OR(A970="",B970=""),"",B970-WEEKDAY(B970,2)+1)</f>
        <v/>
      </c>
      <c r="M970" s="5">
        <f>IF(L970="","",L970+6)</f>
        <v/>
      </c>
      <c r="N970" s="6">
        <f>IF(OR(A970="",B970=""),"",DATE(YEAR(B970),MONTH(B970),1))</f>
        <v/>
      </c>
      <c r="O970" s="7">
        <f>IF(COUNTA(A970:K970)=0,"",IF(OR(A970="",B970=""),"Preencher CPF e entrada",IF(COUNTIFS($A$12:$A$5011,A970,$B$12:$B$5011,B970)&gt;1,"CPF + dia duplicado",IF(OR(AND(G970&lt;&gt;"",G970&lt;&gt;0,G970&lt;&gt;1),AND(H970&lt;&gt;"",H970&lt;&gt;0,H970&lt;&gt;1)),"Flags devem ser 0 ou 1",IF(AND(H970=1,LEN(TRIM(I970))=0),"Preencher nome do indicante",IF(AND(H970&lt;&gt;1,I970&lt;&gt;""),"Nome sem indicação interna",IF(AND(G970=1,F970=""),"Fechamento sem conversa",IF(OR(AND(E970&lt;&gt;"",E970&lt;B970),AND(F970&lt;&gt;"",F970&lt;B970)),"Evento anterior à entrada",IF(AND(F970&lt;&gt;"",E970=""),"Conversa sem agendamento",IF(OR(E970&gt;TODAY(),F970&gt;TODAY()),"Verificar evento futuro","OK"))))))))))</f>
        <v/>
      </c>
    </row>
    <row r="971" spans="12:15">
      <c r="L971" s="5">
        <f>IF(OR(A971="",B971=""),"",B971-WEEKDAY(B971,2)+1)</f>
        <v/>
      </c>
      <c r="M971" s="5">
        <f>IF(L971="","",L971+6)</f>
        <v/>
      </c>
      <c r="N971" s="6">
        <f>IF(OR(A971="",B971=""),"",DATE(YEAR(B971),MONTH(B971),1))</f>
        <v/>
      </c>
      <c r="O971" s="7">
        <f>IF(COUNTA(A971:K971)=0,"",IF(OR(A971="",B971=""),"Preencher CPF e entrada",IF(COUNTIFS($A$12:$A$5011,A971,$B$12:$B$5011,B971)&gt;1,"CPF + dia duplicado",IF(OR(AND(G971&lt;&gt;"",G971&lt;&gt;0,G971&lt;&gt;1),AND(H971&lt;&gt;"",H971&lt;&gt;0,H971&lt;&gt;1)),"Flags devem ser 0 ou 1",IF(AND(H971=1,LEN(TRIM(I971))=0),"Preencher nome do indicante",IF(AND(H971&lt;&gt;1,I971&lt;&gt;""),"Nome sem indicação interna",IF(AND(G971=1,F971=""),"Fechamento sem conversa",IF(OR(AND(E971&lt;&gt;"",E971&lt;B971),AND(F971&lt;&gt;"",F971&lt;B971)),"Evento anterior à entrada",IF(AND(F971&lt;&gt;"",E971=""),"Conversa sem agendamento",IF(OR(E971&gt;TODAY(),F971&gt;TODAY()),"Verificar evento futuro","OK"))))))))))</f>
        <v/>
      </c>
    </row>
    <row r="972" spans="12:15">
      <c r="L972" s="5">
        <f>IF(OR(A972="",B972=""),"",B972-WEEKDAY(B972,2)+1)</f>
        <v/>
      </c>
      <c r="M972" s="5">
        <f>IF(L972="","",L972+6)</f>
        <v/>
      </c>
      <c r="N972" s="6">
        <f>IF(OR(A972="",B972=""),"",DATE(YEAR(B972),MONTH(B972),1))</f>
        <v/>
      </c>
      <c r="O972" s="7">
        <f>IF(COUNTA(A972:K972)=0,"",IF(OR(A972="",B972=""),"Preencher CPF e entrada",IF(COUNTIFS($A$12:$A$5011,A972,$B$12:$B$5011,B972)&gt;1,"CPF + dia duplicado",IF(OR(AND(G972&lt;&gt;"",G972&lt;&gt;0,G972&lt;&gt;1),AND(H972&lt;&gt;"",H972&lt;&gt;0,H972&lt;&gt;1)),"Flags devem ser 0 ou 1",IF(AND(H972=1,LEN(TRIM(I972))=0),"Preencher nome do indicante",IF(AND(H972&lt;&gt;1,I972&lt;&gt;""),"Nome sem indicação interna",IF(AND(G972=1,F972=""),"Fechamento sem conversa",IF(OR(AND(E972&lt;&gt;"",E972&lt;B972),AND(F972&lt;&gt;"",F972&lt;B972)),"Evento anterior à entrada",IF(AND(F972&lt;&gt;"",E972=""),"Conversa sem agendamento",IF(OR(E972&gt;TODAY(),F972&gt;TODAY()),"Verificar evento futuro","OK"))))))))))</f>
        <v/>
      </c>
    </row>
    <row r="973" spans="12:15">
      <c r="L973" s="5">
        <f>IF(OR(A973="",B973=""),"",B973-WEEKDAY(B973,2)+1)</f>
        <v/>
      </c>
      <c r="M973" s="5">
        <f>IF(L973="","",L973+6)</f>
        <v/>
      </c>
      <c r="N973" s="6">
        <f>IF(OR(A973="",B973=""),"",DATE(YEAR(B973),MONTH(B973),1))</f>
        <v/>
      </c>
      <c r="O973" s="7">
        <f>IF(COUNTA(A973:K973)=0,"",IF(OR(A973="",B973=""),"Preencher CPF e entrada",IF(COUNTIFS($A$12:$A$5011,A973,$B$12:$B$5011,B973)&gt;1,"CPF + dia duplicado",IF(OR(AND(G973&lt;&gt;"",G973&lt;&gt;0,G973&lt;&gt;1),AND(H973&lt;&gt;"",H973&lt;&gt;0,H973&lt;&gt;1)),"Flags devem ser 0 ou 1",IF(AND(H973=1,LEN(TRIM(I973))=0),"Preencher nome do indicante",IF(AND(H973&lt;&gt;1,I973&lt;&gt;""),"Nome sem indicação interna",IF(AND(G973=1,F973=""),"Fechamento sem conversa",IF(OR(AND(E973&lt;&gt;"",E973&lt;B973),AND(F973&lt;&gt;"",F973&lt;B973)),"Evento anterior à entrada",IF(AND(F973&lt;&gt;"",E973=""),"Conversa sem agendamento",IF(OR(E973&gt;TODAY(),F973&gt;TODAY()),"Verificar evento futuro","OK"))))))))))</f>
        <v/>
      </c>
    </row>
    <row r="974" spans="12:15">
      <c r="L974" s="5">
        <f>IF(OR(A974="",B974=""),"",B974-WEEKDAY(B974,2)+1)</f>
        <v/>
      </c>
      <c r="M974" s="5">
        <f>IF(L974="","",L974+6)</f>
        <v/>
      </c>
      <c r="N974" s="6">
        <f>IF(OR(A974="",B974=""),"",DATE(YEAR(B974),MONTH(B974),1))</f>
        <v/>
      </c>
      <c r="O974" s="7">
        <f>IF(COUNTA(A974:K974)=0,"",IF(OR(A974="",B974=""),"Preencher CPF e entrada",IF(COUNTIFS($A$12:$A$5011,A974,$B$12:$B$5011,B974)&gt;1,"CPF + dia duplicado",IF(OR(AND(G974&lt;&gt;"",G974&lt;&gt;0,G974&lt;&gt;1),AND(H974&lt;&gt;"",H974&lt;&gt;0,H974&lt;&gt;1)),"Flags devem ser 0 ou 1",IF(AND(H974=1,LEN(TRIM(I974))=0),"Preencher nome do indicante",IF(AND(H974&lt;&gt;1,I974&lt;&gt;""),"Nome sem indicação interna",IF(AND(G974=1,F974=""),"Fechamento sem conversa",IF(OR(AND(E974&lt;&gt;"",E974&lt;B974),AND(F974&lt;&gt;"",F974&lt;B974)),"Evento anterior à entrada",IF(AND(F974&lt;&gt;"",E974=""),"Conversa sem agendamento",IF(OR(E974&gt;TODAY(),F974&gt;TODAY()),"Verificar evento futuro","OK"))))))))))</f>
        <v/>
      </c>
    </row>
    <row r="975" spans="12:15">
      <c r="L975" s="5">
        <f>IF(OR(A975="",B975=""),"",B975-WEEKDAY(B975,2)+1)</f>
        <v/>
      </c>
      <c r="M975" s="5">
        <f>IF(L975="","",L975+6)</f>
        <v/>
      </c>
      <c r="N975" s="6">
        <f>IF(OR(A975="",B975=""),"",DATE(YEAR(B975),MONTH(B975),1))</f>
        <v/>
      </c>
      <c r="O975" s="7">
        <f>IF(COUNTA(A975:K975)=0,"",IF(OR(A975="",B975=""),"Preencher CPF e entrada",IF(COUNTIFS($A$12:$A$5011,A975,$B$12:$B$5011,B975)&gt;1,"CPF + dia duplicado",IF(OR(AND(G975&lt;&gt;"",G975&lt;&gt;0,G975&lt;&gt;1),AND(H975&lt;&gt;"",H975&lt;&gt;0,H975&lt;&gt;1)),"Flags devem ser 0 ou 1",IF(AND(H975=1,LEN(TRIM(I975))=0),"Preencher nome do indicante",IF(AND(H975&lt;&gt;1,I975&lt;&gt;""),"Nome sem indicação interna",IF(AND(G975=1,F975=""),"Fechamento sem conversa",IF(OR(AND(E975&lt;&gt;"",E975&lt;B975),AND(F975&lt;&gt;"",F975&lt;B975)),"Evento anterior à entrada",IF(AND(F975&lt;&gt;"",E975=""),"Conversa sem agendamento",IF(OR(E975&gt;TODAY(),F975&gt;TODAY()),"Verificar evento futuro","OK"))))))))))</f>
        <v/>
      </c>
    </row>
    <row r="976" spans="12:15">
      <c r="L976" s="5">
        <f>IF(OR(A976="",B976=""),"",B976-WEEKDAY(B976,2)+1)</f>
        <v/>
      </c>
      <c r="M976" s="5">
        <f>IF(L976="","",L976+6)</f>
        <v/>
      </c>
      <c r="N976" s="6">
        <f>IF(OR(A976="",B976=""),"",DATE(YEAR(B976),MONTH(B976),1))</f>
        <v/>
      </c>
      <c r="O976" s="7">
        <f>IF(COUNTA(A976:K976)=0,"",IF(OR(A976="",B976=""),"Preencher CPF e entrada",IF(COUNTIFS($A$12:$A$5011,A976,$B$12:$B$5011,B976)&gt;1,"CPF + dia duplicado",IF(OR(AND(G976&lt;&gt;"",G976&lt;&gt;0,G976&lt;&gt;1),AND(H976&lt;&gt;"",H976&lt;&gt;0,H976&lt;&gt;1)),"Flags devem ser 0 ou 1",IF(AND(H976=1,LEN(TRIM(I976))=0),"Preencher nome do indicante",IF(AND(H976&lt;&gt;1,I976&lt;&gt;""),"Nome sem indicação interna",IF(AND(G976=1,F976=""),"Fechamento sem conversa",IF(OR(AND(E976&lt;&gt;"",E976&lt;B976),AND(F976&lt;&gt;"",F976&lt;B976)),"Evento anterior à entrada",IF(AND(F976&lt;&gt;"",E976=""),"Conversa sem agendamento",IF(OR(E976&gt;TODAY(),F976&gt;TODAY()),"Verificar evento futuro","OK"))))))))))</f>
        <v/>
      </c>
    </row>
    <row r="977" spans="12:15">
      <c r="L977" s="5">
        <f>IF(OR(A977="",B977=""),"",B977-WEEKDAY(B977,2)+1)</f>
        <v/>
      </c>
      <c r="M977" s="5">
        <f>IF(L977="","",L977+6)</f>
        <v/>
      </c>
      <c r="N977" s="6">
        <f>IF(OR(A977="",B977=""),"",DATE(YEAR(B977),MONTH(B977),1))</f>
        <v/>
      </c>
      <c r="O977" s="7">
        <f>IF(COUNTA(A977:K977)=0,"",IF(OR(A977="",B977=""),"Preencher CPF e entrada",IF(COUNTIFS($A$12:$A$5011,A977,$B$12:$B$5011,B977)&gt;1,"CPF + dia duplicado",IF(OR(AND(G977&lt;&gt;"",G977&lt;&gt;0,G977&lt;&gt;1),AND(H977&lt;&gt;"",H977&lt;&gt;0,H977&lt;&gt;1)),"Flags devem ser 0 ou 1",IF(AND(H977=1,LEN(TRIM(I977))=0),"Preencher nome do indicante",IF(AND(H977&lt;&gt;1,I977&lt;&gt;""),"Nome sem indicação interna",IF(AND(G977=1,F977=""),"Fechamento sem conversa",IF(OR(AND(E977&lt;&gt;"",E977&lt;B977),AND(F977&lt;&gt;"",F977&lt;B977)),"Evento anterior à entrada",IF(AND(F977&lt;&gt;"",E977=""),"Conversa sem agendamento",IF(OR(E977&gt;TODAY(),F977&gt;TODAY()),"Verificar evento futuro","OK"))))))))))</f>
        <v/>
      </c>
    </row>
    <row r="978" spans="12:15">
      <c r="L978" s="5">
        <f>IF(OR(A978="",B978=""),"",B978-WEEKDAY(B978,2)+1)</f>
        <v/>
      </c>
      <c r="M978" s="5">
        <f>IF(L978="","",L978+6)</f>
        <v/>
      </c>
      <c r="N978" s="6">
        <f>IF(OR(A978="",B978=""),"",DATE(YEAR(B978),MONTH(B978),1))</f>
        <v/>
      </c>
      <c r="O978" s="7">
        <f>IF(COUNTA(A978:K978)=0,"",IF(OR(A978="",B978=""),"Preencher CPF e entrada",IF(COUNTIFS($A$12:$A$5011,A978,$B$12:$B$5011,B978)&gt;1,"CPF + dia duplicado",IF(OR(AND(G978&lt;&gt;"",G978&lt;&gt;0,G978&lt;&gt;1),AND(H978&lt;&gt;"",H978&lt;&gt;0,H978&lt;&gt;1)),"Flags devem ser 0 ou 1",IF(AND(H978=1,LEN(TRIM(I978))=0),"Preencher nome do indicante",IF(AND(H978&lt;&gt;1,I978&lt;&gt;""),"Nome sem indicação interna",IF(AND(G978=1,F978=""),"Fechamento sem conversa",IF(OR(AND(E978&lt;&gt;"",E978&lt;B978),AND(F978&lt;&gt;"",F978&lt;B978)),"Evento anterior à entrada",IF(AND(F978&lt;&gt;"",E978=""),"Conversa sem agendamento",IF(OR(E978&gt;TODAY(),F978&gt;TODAY()),"Verificar evento futuro","OK"))))))))))</f>
        <v/>
      </c>
    </row>
    <row r="979" spans="12:15">
      <c r="L979" s="5">
        <f>IF(OR(A979="",B979=""),"",B979-WEEKDAY(B979,2)+1)</f>
        <v/>
      </c>
      <c r="M979" s="5">
        <f>IF(L979="","",L979+6)</f>
        <v/>
      </c>
      <c r="N979" s="6">
        <f>IF(OR(A979="",B979=""),"",DATE(YEAR(B979),MONTH(B979),1))</f>
        <v/>
      </c>
      <c r="O979" s="7">
        <f>IF(COUNTA(A979:K979)=0,"",IF(OR(A979="",B979=""),"Preencher CPF e entrada",IF(COUNTIFS($A$12:$A$5011,A979,$B$12:$B$5011,B979)&gt;1,"CPF + dia duplicado",IF(OR(AND(G979&lt;&gt;"",G979&lt;&gt;0,G979&lt;&gt;1),AND(H979&lt;&gt;"",H979&lt;&gt;0,H979&lt;&gt;1)),"Flags devem ser 0 ou 1",IF(AND(H979=1,LEN(TRIM(I979))=0),"Preencher nome do indicante",IF(AND(H979&lt;&gt;1,I979&lt;&gt;""),"Nome sem indicação interna",IF(AND(G979=1,F979=""),"Fechamento sem conversa",IF(OR(AND(E979&lt;&gt;"",E979&lt;B979),AND(F979&lt;&gt;"",F979&lt;B979)),"Evento anterior à entrada",IF(AND(F979&lt;&gt;"",E979=""),"Conversa sem agendamento",IF(OR(E979&gt;TODAY(),F979&gt;TODAY()),"Verificar evento futuro","OK"))))))))))</f>
        <v/>
      </c>
    </row>
    <row r="980" spans="12:15">
      <c r="L980" s="5">
        <f>IF(OR(A980="",B980=""),"",B980-WEEKDAY(B980,2)+1)</f>
        <v/>
      </c>
      <c r="M980" s="5">
        <f>IF(L980="","",L980+6)</f>
        <v/>
      </c>
      <c r="N980" s="6">
        <f>IF(OR(A980="",B980=""),"",DATE(YEAR(B980),MONTH(B980),1))</f>
        <v/>
      </c>
      <c r="O980" s="7">
        <f>IF(COUNTA(A980:K980)=0,"",IF(OR(A980="",B980=""),"Preencher CPF e entrada",IF(COUNTIFS($A$12:$A$5011,A980,$B$12:$B$5011,B980)&gt;1,"CPF + dia duplicado",IF(OR(AND(G980&lt;&gt;"",G980&lt;&gt;0,G980&lt;&gt;1),AND(H980&lt;&gt;"",H980&lt;&gt;0,H980&lt;&gt;1)),"Flags devem ser 0 ou 1",IF(AND(H980=1,LEN(TRIM(I980))=0),"Preencher nome do indicante",IF(AND(H980&lt;&gt;1,I980&lt;&gt;""),"Nome sem indicação interna",IF(AND(G980=1,F980=""),"Fechamento sem conversa",IF(OR(AND(E980&lt;&gt;"",E980&lt;B980),AND(F980&lt;&gt;"",F980&lt;B980)),"Evento anterior à entrada",IF(AND(F980&lt;&gt;"",E980=""),"Conversa sem agendamento",IF(OR(E980&gt;TODAY(),F980&gt;TODAY()),"Verificar evento futuro","OK"))))))))))</f>
        <v/>
      </c>
    </row>
    <row r="981" spans="12:15">
      <c r="L981" s="5">
        <f>IF(OR(A981="",B981=""),"",B981-WEEKDAY(B981,2)+1)</f>
        <v/>
      </c>
      <c r="M981" s="5">
        <f>IF(L981="","",L981+6)</f>
        <v/>
      </c>
      <c r="N981" s="6">
        <f>IF(OR(A981="",B981=""),"",DATE(YEAR(B981),MONTH(B981),1))</f>
        <v/>
      </c>
      <c r="O981" s="7">
        <f>IF(COUNTA(A981:K981)=0,"",IF(OR(A981="",B981=""),"Preencher CPF e entrada",IF(COUNTIFS($A$12:$A$5011,A981,$B$12:$B$5011,B981)&gt;1,"CPF + dia duplicado",IF(OR(AND(G981&lt;&gt;"",G981&lt;&gt;0,G981&lt;&gt;1),AND(H981&lt;&gt;"",H981&lt;&gt;0,H981&lt;&gt;1)),"Flags devem ser 0 ou 1",IF(AND(H981=1,LEN(TRIM(I981))=0),"Preencher nome do indicante",IF(AND(H981&lt;&gt;1,I981&lt;&gt;""),"Nome sem indicação interna",IF(AND(G981=1,F981=""),"Fechamento sem conversa",IF(OR(AND(E981&lt;&gt;"",E981&lt;B981),AND(F981&lt;&gt;"",F981&lt;B981)),"Evento anterior à entrada",IF(AND(F981&lt;&gt;"",E981=""),"Conversa sem agendamento",IF(OR(E981&gt;TODAY(),F981&gt;TODAY()),"Verificar evento futuro","OK"))))))))))</f>
        <v/>
      </c>
    </row>
    <row r="982" spans="12:15">
      <c r="L982" s="5">
        <f>IF(OR(A982="",B982=""),"",B982-WEEKDAY(B982,2)+1)</f>
        <v/>
      </c>
      <c r="M982" s="5">
        <f>IF(L982="","",L982+6)</f>
        <v/>
      </c>
      <c r="N982" s="6">
        <f>IF(OR(A982="",B982=""),"",DATE(YEAR(B982),MONTH(B982),1))</f>
        <v/>
      </c>
      <c r="O982" s="7">
        <f>IF(COUNTA(A982:K982)=0,"",IF(OR(A982="",B982=""),"Preencher CPF e entrada",IF(COUNTIFS($A$12:$A$5011,A982,$B$12:$B$5011,B982)&gt;1,"CPF + dia duplicado",IF(OR(AND(G982&lt;&gt;"",G982&lt;&gt;0,G982&lt;&gt;1),AND(H982&lt;&gt;"",H982&lt;&gt;0,H982&lt;&gt;1)),"Flags devem ser 0 ou 1",IF(AND(H982=1,LEN(TRIM(I982))=0),"Preencher nome do indicante",IF(AND(H982&lt;&gt;1,I982&lt;&gt;""),"Nome sem indicação interna",IF(AND(G982=1,F982=""),"Fechamento sem conversa",IF(OR(AND(E982&lt;&gt;"",E982&lt;B982),AND(F982&lt;&gt;"",F982&lt;B982)),"Evento anterior à entrada",IF(AND(F982&lt;&gt;"",E982=""),"Conversa sem agendamento",IF(OR(E982&gt;TODAY(),F982&gt;TODAY()),"Verificar evento futuro","OK"))))))))))</f>
        <v/>
      </c>
    </row>
    <row r="983" spans="12:15">
      <c r="L983" s="5">
        <f>IF(OR(A983="",B983=""),"",B983-WEEKDAY(B983,2)+1)</f>
        <v/>
      </c>
      <c r="M983" s="5">
        <f>IF(L983="","",L983+6)</f>
        <v/>
      </c>
      <c r="N983" s="6">
        <f>IF(OR(A983="",B983=""),"",DATE(YEAR(B983),MONTH(B983),1))</f>
        <v/>
      </c>
      <c r="O983" s="7">
        <f>IF(COUNTA(A983:K983)=0,"",IF(OR(A983="",B983=""),"Preencher CPF e entrada",IF(COUNTIFS($A$12:$A$5011,A983,$B$12:$B$5011,B983)&gt;1,"CPF + dia duplicado",IF(OR(AND(G983&lt;&gt;"",G983&lt;&gt;0,G983&lt;&gt;1),AND(H983&lt;&gt;"",H983&lt;&gt;0,H983&lt;&gt;1)),"Flags devem ser 0 ou 1",IF(AND(H983=1,LEN(TRIM(I983))=0),"Preencher nome do indicante",IF(AND(H983&lt;&gt;1,I983&lt;&gt;""),"Nome sem indicação interna",IF(AND(G983=1,F983=""),"Fechamento sem conversa",IF(OR(AND(E983&lt;&gt;"",E983&lt;B983),AND(F983&lt;&gt;"",F983&lt;B983)),"Evento anterior à entrada",IF(AND(F983&lt;&gt;"",E983=""),"Conversa sem agendamento",IF(OR(E983&gt;TODAY(),F983&gt;TODAY()),"Verificar evento futuro","OK"))))))))))</f>
        <v/>
      </c>
    </row>
    <row r="984" spans="12:15">
      <c r="L984" s="5">
        <f>IF(OR(A984="",B984=""),"",B984-WEEKDAY(B984,2)+1)</f>
        <v/>
      </c>
      <c r="M984" s="5">
        <f>IF(L984="","",L984+6)</f>
        <v/>
      </c>
      <c r="N984" s="6">
        <f>IF(OR(A984="",B984=""),"",DATE(YEAR(B984),MONTH(B984),1))</f>
        <v/>
      </c>
      <c r="O984" s="7">
        <f>IF(COUNTA(A984:K984)=0,"",IF(OR(A984="",B984=""),"Preencher CPF e entrada",IF(COUNTIFS($A$12:$A$5011,A984,$B$12:$B$5011,B984)&gt;1,"CPF + dia duplicado",IF(OR(AND(G984&lt;&gt;"",G984&lt;&gt;0,G984&lt;&gt;1),AND(H984&lt;&gt;"",H984&lt;&gt;0,H984&lt;&gt;1)),"Flags devem ser 0 ou 1",IF(AND(H984=1,LEN(TRIM(I984))=0),"Preencher nome do indicante",IF(AND(H984&lt;&gt;1,I984&lt;&gt;""),"Nome sem indicação interna",IF(AND(G984=1,F984=""),"Fechamento sem conversa",IF(OR(AND(E984&lt;&gt;"",E984&lt;B984),AND(F984&lt;&gt;"",F984&lt;B984)),"Evento anterior à entrada",IF(AND(F984&lt;&gt;"",E984=""),"Conversa sem agendamento",IF(OR(E984&gt;TODAY(),F984&gt;TODAY()),"Verificar evento futuro","OK"))))))))))</f>
        <v/>
      </c>
    </row>
    <row r="985" spans="12:15">
      <c r="L985" s="5">
        <f>IF(OR(A985="",B985=""),"",B985-WEEKDAY(B985,2)+1)</f>
        <v/>
      </c>
      <c r="M985" s="5">
        <f>IF(L985="","",L985+6)</f>
        <v/>
      </c>
      <c r="N985" s="6">
        <f>IF(OR(A985="",B985=""),"",DATE(YEAR(B985),MONTH(B985),1))</f>
        <v/>
      </c>
      <c r="O985" s="7">
        <f>IF(COUNTA(A985:K985)=0,"",IF(OR(A985="",B985=""),"Preencher CPF e entrada",IF(COUNTIFS($A$12:$A$5011,A985,$B$12:$B$5011,B985)&gt;1,"CPF + dia duplicado",IF(OR(AND(G985&lt;&gt;"",G985&lt;&gt;0,G985&lt;&gt;1),AND(H985&lt;&gt;"",H985&lt;&gt;0,H985&lt;&gt;1)),"Flags devem ser 0 ou 1",IF(AND(H985=1,LEN(TRIM(I985))=0),"Preencher nome do indicante",IF(AND(H985&lt;&gt;1,I985&lt;&gt;""),"Nome sem indicação interna",IF(AND(G985=1,F985=""),"Fechamento sem conversa",IF(OR(AND(E985&lt;&gt;"",E985&lt;B985),AND(F985&lt;&gt;"",F985&lt;B985)),"Evento anterior à entrada",IF(AND(F985&lt;&gt;"",E985=""),"Conversa sem agendamento",IF(OR(E985&gt;TODAY(),F985&gt;TODAY()),"Verificar evento futuro","OK"))))))))))</f>
        <v/>
      </c>
    </row>
    <row r="986" spans="12:15">
      <c r="L986" s="5">
        <f>IF(OR(A986="",B986=""),"",B986-WEEKDAY(B986,2)+1)</f>
        <v/>
      </c>
      <c r="M986" s="5">
        <f>IF(L986="","",L986+6)</f>
        <v/>
      </c>
      <c r="N986" s="6">
        <f>IF(OR(A986="",B986=""),"",DATE(YEAR(B986),MONTH(B986),1))</f>
        <v/>
      </c>
      <c r="O986" s="7">
        <f>IF(COUNTA(A986:K986)=0,"",IF(OR(A986="",B986=""),"Preencher CPF e entrada",IF(COUNTIFS($A$12:$A$5011,A986,$B$12:$B$5011,B986)&gt;1,"CPF + dia duplicado",IF(OR(AND(G986&lt;&gt;"",G986&lt;&gt;0,G986&lt;&gt;1),AND(H986&lt;&gt;"",H986&lt;&gt;0,H986&lt;&gt;1)),"Flags devem ser 0 ou 1",IF(AND(H986=1,LEN(TRIM(I986))=0),"Preencher nome do indicante",IF(AND(H986&lt;&gt;1,I986&lt;&gt;""),"Nome sem indicação interna",IF(AND(G986=1,F986=""),"Fechamento sem conversa",IF(OR(AND(E986&lt;&gt;"",E986&lt;B986),AND(F986&lt;&gt;"",F986&lt;B986)),"Evento anterior à entrada",IF(AND(F986&lt;&gt;"",E986=""),"Conversa sem agendamento",IF(OR(E986&gt;TODAY(),F986&gt;TODAY()),"Verificar evento futuro","OK"))))))))))</f>
        <v/>
      </c>
    </row>
    <row r="987" spans="12:15">
      <c r="L987" s="5">
        <f>IF(OR(A987="",B987=""),"",B987-WEEKDAY(B987,2)+1)</f>
        <v/>
      </c>
      <c r="M987" s="5">
        <f>IF(L987="","",L987+6)</f>
        <v/>
      </c>
      <c r="N987" s="6">
        <f>IF(OR(A987="",B987=""),"",DATE(YEAR(B987),MONTH(B987),1))</f>
        <v/>
      </c>
      <c r="O987" s="7">
        <f>IF(COUNTA(A987:K987)=0,"",IF(OR(A987="",B987=""),"Preencher CPF e entrada",IF(COUNTIFS($A$12:$A$5011,A987,$B$12:$B$5011,B987)&gt;1,"CPF + dia duplicado",IF(OR(AND(G987&lt;&gt;"",G987&lt;&gt;0,G987&lt;&gt;1),AND(H987&lt;&gt;"",H987&lt;&gt;0,H987&lt;&gt;1)),"Flags devem ser 0 ou 1",IF(AND(H987=1,LEN(TRIM(I987))=0),"Preencher nome do indicante",IF(AND(H987&lt;&gt;1,I987&lt;&gt;""),"Nome sem indicação interna",IF(AND(G987=1,F987=""),"Fechamento sem conversa",IF(OR(AND(E987&lt;&gt;"",E987&lt;B987),AND(F987&lt;&gt;"",F987&lt;B987)),"Evento anterior à entrada",IF(AND(F987&lt;&gt;"",E987=""),"Conversa sem agendamento",IF(OR(E987&gt;TODAY(),F987&gt;TODAY()),"Verificar evento futuro","OK"))))))))))</f>
        <v/>
      </c>
    </row>
    <row r="988" spans="12:15">
      <c r="L988" s="5">
        <f>IF(OR(A988="",B988=""),"",B988-WEEKDAY(B988,2)+1)</f>
        <v/>
      </c>
      <c r="M988" s="5">
        <f>IF(L988="","",L988+6)</f>
        <v/>
      </c>
      <c r="N988" s="6">
        <f>IF(OR(A988="",B988=""),"",DATE(YEAR(B988),MONTH(B988),1))</f>
        <v/>
      </c>
      <c r="O988" s="7">
        <f>IF(COUNTA(A988:K988)=0,"",IF(OR(A988="",B988=""),"Preencher CPF e entrada",IF(COUNTIFS($A$12:$A$5011,A988,$B$12:$B$5011,B988)&gt;1,"CPF + dia duplicado",IF(OR(AND(G988&lt;&gt;"",G988&lt;&gt;0,G988&lt;&gt;1),AND(H988&lt;&gt;"",H988&lt;&gt;0,H988&lt;&gt;1)),"Flags devem ser 0 ou 1",IF(AND(H988=1,LEN(TRIM(I988))=0),"Preencher nome do indicante",IF(AND(H988&lt;&gt;1,I988&lt;&gt;""),"Nome sem indicação interna",IF(AND(G988=1,F988=""),"Fechamento sem conversa",IF(OR(AND(E988&lt;&gt;"",E988&lt;B988),AND(F988&lt;&gt;"",F988&lt;B988)),"Evento anterior à entrada",IF(AND(F988&lt;&gt;"",E988=""),"Conversa sem agendamento",IF(OR(E988&gt;TODAY(),F988&gt;TODAY()),"Verificar evento futuro","OK"))))))))))</f>
        <v/>
      </c>
    </row>
    <row r="989" spans="12:15">
      <c r="L989" s="5">
        <f>IF(OR(A989="",B989=""),"",B989-WEEKDAY(B989,2)+1)</f>
        <v/>
      </c>
      <c r="M989" s="5">
        <f>IF(L989="","",L989+6)</f>
        <v/>
      </c>
      <c r="N989" s="6">
        <f>IF(OR(A989="",B989=""),"",DATE(YEAR(B989),MONTH(B989),1))</f>
        <v/>
      </c>
      <c r="O989" s="7">
        <f>IF(COUNTA(A989:K989)=0,"",IF(OR(A989="",B989=""),"Preencher CPF e entrada",IF(COUNTIFS($A$12:$A$5011,A989,$B$12:$B$5011,B989)&gt;1,"CPF + dia duplicado",IF(OR(AND(G989&lt;&gt;"",G989&lt;&gt;0,G989&lt;&gt;1),AND(H989&lt;&gt;"",H989&lt;&gt;0,H989&lt;&gt;1)),"Flags devem ser 0 ou 1",IF(AND(H989=1,LEN(TRIM(I989))=0),"Preencher nome do indicante",IF(AND(H989&lt;&gt;1,I989&lt;&gt;""),"Nome sem indicação interna",IF(AND(G989=1,F989=""),"Fechamento sem conversa",IF(OR(AND(E989&lt;&gt;"",E989&lt;B989),AND(F989&lt;&gt;"",F989&lt;B989)),"Evento anterior à entrada",IF(AND(F989&lt;&gt;"",E989=""),"Conversa sem agendamento",IF(OR(E989&gt;TODAY(),F989&gt;TODAY()),"Verificar evento futuro","OK"))))))))))</f>
        <v/>
      </c>
    </row>
    <row r="990" spans="12:15">
      <c r="L990" s="5">
        <f>IF(OR(A990="",B990=""),"",B990-WEEKDAY(B990,2)+1)</f>
        <v/>
      </c>
      <c r="M990" s="5">
        <f>IF(L990="","",L990+6)</f>
        <v/>
      </c>
      <c r="N990" s="6">
        <f>IF(OR(A990="",B990=""),"",DATE(YEAR(B990),MONTH(B990),1))</f>
        <v/>
      </c>
      <c r="O990" s="7">
        <f>IF(COUNTA(A990:K990)=0,"",IF(OR(A990="",B990=""),"Preencher CPF e entrada",IF(COUNTIFS($A$12:$A$5011,A990,$B$12:$B$5011,B990)&gt;1,"CPF + dia duplicado",IF(OR(AND(G990&lt;&gt;"",G990&lt;&gt;0,G990&lt;&gt;1),AND(H990&lt;&gt;"",H990&lt;&gt;0,H990&lt;&gt;1)),"Flags devem ser 0 ou 1",IF(AND(H990=1,LEN(TRIM(I990))=0),"Preencher nome do indicante",IF(AND(H990&lt;&gt;1,I990&lt;&gt;""),"Nome sem indicação interna",IF(AND(G990=1,F990=""),"Fechamento sem conversa",IF(OR(AND(E990&lt;&gt;"",E990&lt;B990),AND(F990&lt;&gt;"",F990&lt;B990)),"Evento anterior à entrada",IF(AND(F990&lt;&gt;"",E990=""),"Conversa sem agendamento",IF(OR(E990&gt;TODAY(),F990&gt;TODAY()),"Verificar evento futuro","OK"))))))))))</f>
        <v/>
      </c>
    </row>
    <row r="991" spans="12:15">
      <c r="L991" s="5">
        <f>IF(OR(A991="",B991=""),"",B991-WEEKDAY(B991,2)+1)</f>
        <v/>
      </c>
      <c r="M991" s="5">
        <f>IF(L991="","",L991+6)</f>
        <v/>
      </c>
      <c r="N991" s="6">
        <f>IF(OR(A991="",B991=""),"",DATE(YEAR(B991),MONTH(B991),1))</f>
        <v/>
      </c>
      <c r="O991" s="7">
        <f>IF(COUNTA(A991:K991)=0,"",IF(OR(A991="",B991=""),"Preencher CPF e entrada",IF(COUNTIFS($A$12:$A$5011,A991,$B$12:$B$5011,B991)&gt;1,"CPF + dia duplicado",IF(OR(AND(G991&lt;&gt;"",G991&lt;&gt;0,G991&lt;&gt;1),AND(H991&lt;&gt;"",H991&lt;&gt;0,H991&lt;&gt;1)),"Flags devem ser 0 ou 1",IF(AND(H991=1,LEN(TRIM(I991))=0),"Preencher nome do indicante",IF(AND(H991&lt;&gt;1,I991&lt;&gt;""),"Nome sem indicação interna",IF(AND(G991=1,F991=""),"Fechamento sem conversa",IF(OR(AND(E991&lt;&gt;"",E991&lt;B991),AND(F991&lt;&gt;"",F991&lt;B991)),"Evento anterior à entrada",IF(AND(F991&lt;&gt;"",E991=""),"Conversa sem agendamento",IF(OR(E991&gt;TODAY(),F991&gt;TODAY()),"Verificar evento futuro","OK"))))))))))</f>
        <v/>
      </c>
    </row>
    <row r="992" spans="12:15">
      <c r="L992" s="5">
        <f>IF(OR(A992="",B992=""),"",B992-WEEKDAY(B992,2)+1)</f>
        <v/>
      </c>
      <c r="M992" s="5">
        <f>IF(L992="","",L992+6)</f>
        <v/>
      </c>
      <c r="N992" s="6">
        <f>IF(OR(A992="",B992=""),"",DATE(YEAR(B992),MONTH(B992),1))</f>
        <v/>
      </c>
      <c r="O992" s="7">
        <f>IF(COUNTA(A992:K992)=0,"",IF(OR(A992="",B992=""),"Preencher CPF e entrada",IF(COUNTIFS($A$12:$A$5011,A992,$B$12:$B$5011,B992)&gt;1,"CPF + dia duplicado",IF(OR(AND(G992&lt;&gt;"",G992&lt;&gt;0,G992&lt;&gt;1),AND(H992&lt;&gt;"",H992&lt;&gt;0,H992&lt;&gt;1)),"Flags devem ser 0 ou 1",IF(AND(H992=1,LEN(TRIM(I992))=0),"Preencher nome do indicante",IF(AND(H992&lt;&gt;1,I992&lt;&gt;""),"Nome sem indicação interna",IF(AND(G992=1,F992=""),"Fechamento sem conversa",IF(OR(AND(E992&lt;&gt;"",E992&lt;B992),AND(F992&lt;&gt;"",F992&lt;B992)),"Evento anterior à entrada",IF(AND(F992&lt;&gt;"",E992=""),"Conversa sem agendamento",IF(OR(E992&gt;TODAY(),F992&gt;TODAY()),"Verificar evento futuro","OK"))))))))))</f>
        <v/>
      </c>
    </row>
    <row r="993" spans="12:15">
      <c r="L993" s="5">
        <f>IF(OR(A993="",B993=""),"",B993-WEEKDAY(B993,2)+1)</f>
        <v/>
      </c>
      <c r="M993" s="5">
        <f>IF(L993="","",L993+6)</f>
        <v/>
      </c>
      <c r="N993" s="6">
        <f>IF(OR(A993="",B993=""),"",DATE(YEAR(B993),MONTH(B993),1))</f>
        <v/>
      </c>
      <c r="O993" s="7">
        <f>IF(COUNTA(A993:K993)=0,"",IF(OR(A993="",B993=""),"Preencher CPF e entrada",IF(COUNTIFS($A$12:$A$5011,A993,$B$12:$B$5011,B993)&gt;1,"CPF + dia duplicado",IF(OR(AND(G993&lt;&gt;"",G993&lt;&gt;0,G993&lt;&gt;1),AND(H993&lt;&gt;"",H993&lt;&gt;0,H993&lt;&gt;1)),"Flags devem ser 0 ou 1",IF(AND(H993=1,LEN(TRIM(I993))=0),"Preencher nome do indicante",IF(AND(H993&lt;&gt;1,I993&lt;&gt;""),"Nome sem indicação interna",IF(AND(G993=1,F993=""),"Fechamento sem conversa",IF(OR(AND(E993&lt;&gt;"",E993&lt;B993),AND(F993&lt;&gt;"",F993&lt;B993)),"Evento anterior à entrada",IF(AND(F993&lt;&gt;"",E993=""),"Conversa sem agendamento",IF(OR(E993&gt;TODAY(),F993&gt;TODAY()),"Verificar evento futuro","OK"))))))))))</f>
        <v/>
      </c>
    </row>
    <row r="994" spans="12:15">
      <c r="L994" s="5">
        <f>IF(OR(A994="",B994=""),"",B994-WEEKDAY(B994,2)+1)</f>
        <v/>
      </c>
      <c r="M994" s="5">
        <f>IF(L994="","",L994+6)</f>
        <v/>
      </c>
      <c r="N994" s="6">
        <f>IF(OR(A994="",B994=""),"",DATE(YEAR(B994),MONTH(B994),1))</f>
        <v/>
      </c>
      <c r="O994" s="7">
        <f>IF(COUNTA(A994:K994)=0,"",IF(OR(A994="",B994=""),"Preencher CPF e entrada",IF(COUNTIFS($A$12:$A$5011,A994,$B$12:$B$5011,B994)&gt;1,"CPF + dia duplicado",IF(OR(AND(G994&lt;&gt;"",G994&lt;&gt;0,G994&lt;&gt;1),AND(H994&lt;&gt;"",H994&lt;&gt;0,H994&lt;&gt;1)),"Flags devem ser 0 ou 1",IF(AND(H994=1,LEN(TRIM(I994))=0),"Preencher nome do indicante",IF(AND(H994&lt;&gt;1,I994&lt;&gt;""),"Nome sem indicação interna",IF(AND(G994=1,F994=""),"Fechamento sem conversa",IF(OR(AND(E994&lt;&gt;"",E994&lt;B994),AND(F994&lt;&gt;"",F994&lt;B994)),"Evento anterior à entrada",IF(AND(F994&lt;&gt;"",E994=""),"Conversa sem agendamento",IF(OR(E994&gt;TODAY(),F994&gt;TODAY()),"Verificar evento futuro","OK"))))))))))</f>
        <v/>
      </c>
    </row>
    <row r="995" spans="12:15">
      <c r="L995" s="5">
        <f>IF(OR(A995="",B995=""),"",B995-WEEKDAY(B995,2)+1)</f>
        <v/>
      </c>
      <c r="M995" s="5">
        <f>IF(L995="","",L995+6)</f>
        <v/>
      </c>
      <c r="N995" s="6">
        <f>IF(OR(A995="",B995=""),"",DATE(YEAR(B995),MONTH(B995),1))</f>
        <v/>
      </c>
      <c r="O995" s="7">
        <f>IF(COUNTA(A995:K995)=0,"",IF(OR(A995="",B995=""),"Preencher CPF e entrada",IF(COUNTIFS($A$12:$A$5011,A995,$B$12:$B$5011,B995)&gt;1,"CPF + dia duplicado",IF(OR(AND(G995&lt;&gt;"",G995&lt;&gt;0,G995&lt;&gt;1),AND(H995&lt;&gt;"",H995&lt;&gt;0,H995&lt;&gt;1)),"Flags devem ser 0 ou 1",IF(AND(H995=1,LEN(TRIM(I995))=0),"Preencher nome do indicante",IF(AND(H995&lt;&gt;1,I995&lt;&gt;""),"Nome sem indicação interna",IF(AND(G995=1,F995=""),"Fechamento sem conversa",IF(OR(AND(E995&lt;&gt;"",E995&lt;B995),AND(F995&lt;&gt;"",F995&lt;B995)),"Evento anterior à entrada",IF(AND(F995&lt;&gt;"",E995=""),"Conversa sem agendamento",IF(OR(E995&gt;TODAY(),F995&gt;TODAY()),"Verificar evento futuro","OK"))))))))))</f>
        <v/>
      </c>
    </row>
    <row r="996" spans="12:15">
      <c r="L996" s="5">
        <f>IF(OR(A996="",B996=""),"",B996-WEEKDAY(B996,2)+1)</f>
        <v/>
      </c>
      <c r="M996" s="5">
        <f>IF(L996="","",L996+6)</f>
        <v/>
      </c>
      <c r="N996" s="6">
        <f>IF(OR(A996="",B996=""),"",DATE(YEAR(B996),MONTH(B996),1))</f>
        <v/>
      </c>
      <c r="O996" s="7">
        <f>IF(COUNTA(A996:K996)=0,"",IF(OR(A996="",B996=""),"Preencher CPF e entrada",IF(COUNTIFS($A$12:$A$5011,A996,$B$12:$B$5011,B996)&gt;1,"CPF + dia duplicado",IF(OR(AND(G996&lt;&gt;"",G996&lt;&gt;0,G996&lt;&gt;1),AND(H996&lt;&gt;"",H996&lt;&gt;0,H996&lt;&gt;1)),"Flags devem ser 0 ou 1",IF(AND(H996=1,LEN(TRIM(I996))=0),"Preencher nome do indicante",IF(AND(H996&lt;&gt;1,I996&lt;&gt;""),"Nome sem indicação interna",IF(AND(G996=1,F996=""),"Fechamento sem conversa",IF(OR(AND(E996&lt;&gt;"",E996&lt;B996),AND(F996&lt;&gt;"",F996&lt;B996)),"Evento anterior à entrada",IF(AND(F996&lt;&gt;"",E996=""),"Conversa sem agendamento",IF(OR(E996&gt;TODAY(),F996&gt;TODAY()),"Verificar evento futuro","OK"))))))))))</f>
        <v/>
      </c>
    </row>
    <row r="997" spans="12:15">
      <c r="L997" s="5">
        <f>IF(OR(A997="",B997=""),"",B997-WEEKDAY(B997,2)+1)</f>
        <v/>
      </c>
      <c r="M997" s="5">
        <f>IF(L997="","",L997+6)</f>
        <v/>
      </c>
      <c r="N997" s="6">
        <f>IF(OR(A997="",B997=""),"",DATE(YEAR(B997),MONTH(B997),1))</f>
        <v/>
      </c>
      <c r="O997" s="7">
        <f>IF(COUNTA(A997:K997)=0,"",IF(OR(A997="",B997=""),"Preencher CPF e entrada",IF(COUNTIFS($A$12:$A$5011,A997,$B$12:$B$5011,B997)&gt;1,"CPF + dia duplicado",IF(OR(AND(G997&lt;&gt;"",G997&lt;&gt;0,G997&lt;&gt;1),AND(H997&lt;&gt;"",H997&lt;&gt;0,H997&lt;&gt;1)),"Flags devem ser 0 ou 1",IF(AND(H997=1,LEN(TRIM(I997))=0),"Preencher nome do indicante",IF(AND(H997&lt;&gt;1,I997&lt;&gt;""),"Nome sem indicação interna",IF(AND(G997=1,F997=""),"Fechamento sem conversa",IF(OR(AND(E997&lt;&gt;"",E997&lt;B997),AND(F997&lt;&gt;"",F997&lt;B997)),"Evento anterior à entrada",IF(AND(F997&lt;&gt;"",E997=""),"Conversa sem agendamento",IF(OR(E997&gt;TODAY(),F997&gt;TODAY()),"Verificar evento futuro","OK"))))))))))</f>
        <v/>
      </c>
    </row>
    <row r="998" spans="12:15">
      <c r="L998" s="5">
        <f>IF(OR(A998="",B998=""),"",B998-WEEKDAY(B998,2)+1)</f>
        <v/>
      </c>
      <c r="M998" s="5">
        <f>IF(L998="","",L998+6)</f>
        <v/>
      </c>
      <c r="N998" s="6">
        <f>IF(OR(A998="",B998=""),"",DATE(YEAR(B998),MONTH(B998),1))</f>
        <v/>
      </c>
      <c r="O998" s="7">
        <f>IF(COUNTA(A998:K998)=0,"",IF(OR(A998="",B998=""),"Preencher CPF e entrada",IF(COUNTIFS($A$12:$A$5011,A998,$B$12:$B$5011,B998)&gt;1,"CPF + dia duplicado",IF(OR(AND(G998&lt;&gt;"",G998&lt;&gt;0,G998&lt;&gt;1),AND(H998&lt;&gt;"",H998&lt;&gt;0,H998&lt;&gt;1)),"Flags devem ser 0 ou 1",IF(AND(H998=1,LEN(TRIM(I998))=0),"Preencher nome do indicante",IF(AND(H998&lt;&gt;1,I998&lt;&gt;""),"Nome sem indicação interna",IF(AND(G998=1,F998=""),"Fechamento sem conversa",IF(OR(AND(E998&lt;&gt;"",E998&lt;B998),AND(F998&lt;&gt;"",F998&lt;B998)),"Evento anterior à entrada",IF(AND(F998&lt;&gt;"",E998=""),"Conversa sem agendamento",IF(OR(E998&gt;TODAY(),F998&gt;TODAY()),"Verificar evento futuro","OK"))))))))))</f>
        <v/>
      </c>
    </row>
    <row r="999" spans="12:15">
      <c r="L999" s="5">
        <f>IF(OR(A999="",B999=""),"",B999-WEEKDAY(B999,2)+1)</f>
        <v/>
      </c>
      <c r="M999" s="5">
        <f>IF(L999="","",L999+6)</f>
        <v/>
      </c>
      <c r="N999" s="6">
        <f>IF(OR(A999="",B999=""),"",DATE(YEAR(B999),MONTH(B999),1))</f>
        <v/>
      </c>
      <c r="O999" s="7">
        <f>IF(COUNTA(A999:K999)=0,"",IF(OR(A999="",B999=""),"Preencher CPF e entrada",IF(COUNTIFS($A$12:$A$5011,A999,$B$12:$B$5011,B999)&gt;1,"CPF + dia duplicado",IF(OR(AND(G999&lt;&gt;"",G999&lt;&gt;0,G999&lt;&gt;1),AND(H999&lt;&gt;"",H999&lt;&gt;0,H999&lt;&gt;1)),"Flags devem ser 0 ou 1",IF(AND(H999=1,LEN(TRIM(I999))=0),"Preencher nome do indicante",IF(AND(H999&lt;&gt;1,I999&lt;&gt;""),"Nome sem indicação interna",IF(AND(G999=1,F999=""),"Fechamento sem conversa",IF(OR(AND(E999&lt;&gt;"",E999&lt;B999),AND(F999&lt;&gt;"",F999&lt;B999)),"Evento anterior à entrada",IF(AND(F999&lt;&gt;"",E999=""),"Conversa sem agendamento",IF(OR(E999&gt;TODAY(),F999&gt;TODAY()),"Verificar evento futuro","OK"))))))))))</f>
        <v/>
      </c>
    </row>
    <row r="1000" spans="12:15">
      <c r="L1000" s="5">
        <f>IF(OR(A1000="",B1000=""),"",B1000-WEEKDAY(B1000,2)+1)</f>
        <v/>
      </c>
      <c r="M1000" s="5">
        <f>IF(L1000="","",L1000+6)</f>
        <v/>
      </c>
      <c r="N1000" s="6">
        <f>IF(OR(A1000="",B1000=""),"",DATE(YEAR(B1000),MONTH(B1000),1))</f>
        <v/>
      </c>
      <c r="O1000" s="7">
        <f>IF(COUNTA(A1000:K1000)=0,"",IF(OR(A1000="",B1000=""),"Preencher CPF e entrada",IF(COUNTIFS($A$12:$A$5011,A1000,$B$12:$B$5011,B1000)&gt;1,"CPF + dia duplicado",IF(OR(AND(G1000&lt;&gt;"",G1000&lt;&gt;0,G1000&lt;&gt;1),AND(H1000&lt;&gt;"",H1000&lt;&gt;0,H1000&lt;&gt;1)),"Flags devem ser 0 ou 1",IF(AND(H1000=1,LEN(TRIM(I1000))=0),"Preencher nome do indicante",IF(AND(H1000&lt;&gt;1,I1000&lt;&gt;""),"Nome sem indicação interna",IF(AND(G1000=1,F1000=""),"Fechamento sem conversa",IF(OR(AND(E1000&lt;&gt;"",E1000&lt;B1000),AND(F1000&lt;&gt;"",F1000&lt;B1000)),"Evento anterior à entrada",IF(AND(F1000&lt;&gt;"",E1000=""),"Conversa sem agendamento",IF(OR(E1000&gt;TODAY(),F1000&gt;TODAY()),"Verificar evento futuro","OK"))))))))))</f>
        <v/>
      </c>
    </row>
    <row r="1001" spans="12:15">
      <c r="L1001" s="5">
        <f>IF(OR(A1001="",B1001=""),"",B1001-WEEKDAY(B1001,2)+1)</f>
        <v/>
      </c>
      <c r="M1001" s="5">
        <f>IF(L1001="","",L1001+6)</f>
        <v/>
      </c>
      <c r="N1001" s="6">
        <f>IF(OR(A1001="",B1001=""),"",DATE(YEAR(B1001),MONTH(B1001),1))</f>
        <v/>
      </c>
      <c r="O1001" s="7">
        <f>IF(COUNTA(A1001:K1001)=0,"",IF(OR(A1001="",B1001=""),"Preencher CPF e entrada",IF(COUNTIFS($A$12:$A$5011,A1001,$B$12:$B$5011,B1001)&gt;1,"CPF + dia duplicado",IF(OR(AND(G1001&lt;&gt;"",G1001&lt;&gt;0,G1001&lt;&gt;1),AND(H1001&lt;&gt;"",H1001&lt;&gt;0,H1001&lt;&gt;1)),"Flags devem ser 0 ou 1",IF(AND(H1001=1,LEN(TRIM(I1001))=0),"Preencher nome do indicante",IF(AND(H1001&lt;&gt;1,I1001&lt;&gt;""),"Nome sem indicação interna",IF(AND(G1001=1,F1001=""),"Fechamento sem conversa",IF(OR(AND(E1001&lt;&gt;"",E1001&lt;B1001),AND(F1001&lt;&gt;"",F1001&lt;B1001)),"Evento anterior à entrada",IF(AND(F1001&lt;&gt;"",E1001=""),"Conversa sem agendamento",IF(OR(E1001&gt;TODAY(),F1001&gt;TODAY()),"Verificar evento futuro","OK"))))))))))</f>
        <v/>
      </c>
    </row>
    <row r="1002" spans="12:15">
      <c r="L1002" s="5">
        <f>IF(OR(A1002="",B1002=""),"",B1002-WEEKDAY(B1002,2)+1)</f>
        <v/>
      </c>
      <c r="M1002" s="5">
        <f>IF(L1002="","",L1002+6)</f>
        <v/>
      </c>
      <c r="N1002" s="6">
        <f>IF(OR(A1002="",B1002=""),"",DATE(YEAR(B1002),MONTH(B1002),1))</f>
        <v/>
      </c>
      <c r="O1002" s="7">
        <f>IF(COUNTA(A1002:K1002)=0,"",IF(OR(A1002="",B1002=""),"Preencher CPF e entrada",IF(COUNTIFS($A$12:$A$5011,A1002,$B$12:$B$5011,B1002)&gt;1,"CPF + dia duplicado",IF(OR(AND(G1002&lt;&gt;"",G1002&lt;&gt;0,G1002&lt;&gt;1),AND(H1002&lt;&gt;"",H1002&lt;&gt;0,H1002&lt;&gt;1)),"Flags devem ser 0 ou 1",IF(AND(H1002=1,LEN(TRIM(I1002))=0),"Preencher nome do indicante",IF(AND(H1002&lt;&gt;1,I1002&lt;&gt;""),"Nome sem indicação interna",IF(AND(G1002=1,F1002=""),"Fechamento sem conversa",IF(OR(AND(E1002&lt;&gt;"",E1002&lt;B1002),AND(F1002&lt;&gt;"",F1002&lt;B1002)),"Evento anterior à entrada",IF(AND(F1002&lt;&gt;"",E1002=""),"Conversa sem agendamento",IF(OR(E1002&gt;TODAY(),F1002&gt;TODAY()),"Verificar evento futuro","OK"))))))))))</f>
        <v/>
      </c>
    </row>
    <row r="1003" spans="12:15">
      <c r="L1003" s="5">
        <f>IF(OR(A1003="",B1003=""),"",B1003-WEEKDAY(B1003,2)+1)</f>
        <v/>
      </c>
      <c r="M1003" s="5">
        <f>IF(L1003="","",L1003+6)</f>
        <v/>
      </c>
      <c r="N1003" s="6">
        <f>IF(OR(A1003="",B1003=""),"",DATE(YEAR(B1003),MONTH(B1003),1))</f>
        <v/>
      </c>
      <c r="O1003" s="7">
        <f>IF(COUNTA(A1003:K1003)=0,"",IF(OR(A1003="",B1003=""),"Preencher CPF e entrada",IF(COUNTIFS($A$12:$A$5011,A1003,$B$12:$B$5011,B1003)&gt;1,"CPF + dia duplicado",IF(OR(AND(G1003&lt;&gt;"",G1003&lt;&gt;0,G1003&lt;&gt;1),AND(H1003&lt;&gt;"",H1003&lt;&gt;0,H1003&lt;&gt;1)),"Flags devem ser 0 ou 1",IF(AND(H1003=1,LEN(TRIM(I1003))=0),"Preencher nome do indicante",IF(AND(H1003&lt;&gt;1,I1003&lt;&gt;""),"Nome sem indicação interna",IF(AND(G1003=1,F1003=""),"Fechamento sem conversa",IF(OR(AND(E1003&lt;&gt;"",E1003&lt;B1003),AND(F1003&lt;&gt;"",F1003&lt;B1003)),"Evento anterior à entrada",IF(AND(F1003&lt;&gt;"",E1003=""),"Conversa sem agendamento",IF(OR(E1003&gt;TODAY(),F1003&gt;TODAY()),"Verificar evento futuro","OK"))))))))))</f>
        <v/>
      </c>
    </row>
    <row r="1004" spans="12:15">
      <c r="L1004" s="5">
        <f>IF(OR(A1004="",B1004=""),"",B1004-WEEKDAY(B1004,2)+1)</f>
        <v/>
      </c>
      <c r="M1004" s="5">
        <f>IF(L1004="","",L1004+6)</f>
        <v/>
      </c>
      <c r="N1004" s="6">
        <f>IF(OR(A1004="",B1004=""),"",DATE(YEAR(B1004),MONTH(B1004),1))</f>
        <v/>
      </c>
      <c r="O1004" s="7">
        <f>IF(COUNTA(A1004:K1004)=0,"",IF(OR(A1004="",B1004=""),"Preencher CPF e entrada",IF(COUNTIFS($A$12:$A$5011,A1004,$B$12:$B$5011,B1004)&gt;1,"CPF + dia duplicado",IF(OR(AND(G1004&lt;&gt;"",G1004&lt;&gt;0,G1004&lt;&gt;1),AND(H1004&lt;&gt;"",H1004&lt;&gt;0,H1004&lt;&gt;1)),"Flags devem ser 0 ou 1",IF(AND(H1004=1,LEN(TRIM(I1004))=0),"Preencher nome do indicante",IF(AND(H1004&lt;&gt;1,I1004&lt;&gt;""),"Nome sem indicação interna",IF(AND(G1004=1,F1004=""),"Fechamento sem conversa",IF(OR(AND(E1004&lt;&gt;"",E1004&lt;B1004),AND(F1004&lt;&gt;"",F1004&lt;B1004)),"Evento anterior à entrada",IF(AND(F1004&lt;&gt;"",E1004=""),"Conversa sem agendamento",IF(OR(E1004&gt;TODAY(),F1004&gt;TODAY()),"Verificar evento futuro","OK"))))))))))</f>
        <v/>
      </c>
    </row>
    <row r="1005" spans="12:15">
      <c r="L1005" s="5">
        <f>IF(OR(A1005="",B1005=""),"",B1005-WEEKDAY(B1005,2)+1)</f>
        <v/>
      </c>
      <c r="M1005" s="5">
        <f>IF(L1005="","",L1005+6)</f>
        <v/>
      </c>
      <c r="N1005" s="6">
        <f>IF(OR(A1005="",B1005=""),"",DATE(YEAR(B1005),MONTH(B1005),1))</f>
        <v/>
      </c>
      <c r="O1005" s="7">
        <f>IF(COUNTA(A1005:K1005)=0,"",IF(OR(A1005="",B1005=""),"Preencher CPF e entrada",IF(COUNTIFS($A$12:$A$5011,A1005,$B$12:$B$5011,B1005)&gt;1,"CPF + dia duplicado",IF(OR(AND(G1005&lt;&gt;"",G1005&lt;&gt;0,G1005&lt;&gt;1),AND(H1005&lt;&gt;"",H1005&lt;&gt;0,H1005&lt;&gt;1)),"Flags devem ser 0 ou 1",IF(AND(H1005=1,LEN(TRIM(I1005))=0),"Preencher nome do indicante",IF(AND(H1005&lt;&gt;1,I1005&lt;&gt;""),"Nome sem indicação interna",IF(AND(G1005=1,F1005=""),"Fechamento sem conversa",IF(OR(AND(E1005&lt;&gt;"",E1005&lt;B1005),AND(F1005&lt;&gt;"",F1005&lt;B1005)),"Evento anterior à entrada",IF(AND(F1005&lt;&gt;"",E1005=""),"Conversa sem agendamento",IF(OR(E1005&gt;TODAY(),F1005&gt;TODAY()),"Verificar evento futuro","OK"))))))))))</f>
        <v/>
      </c>
    </row>
    <row r="1006" spans="12:15">
      <c r="L1006" s="5">
        <f>IF(OR(A1006="",B1006=""),"",B1006-WEEKDAY(B1006,2)+1)</f>
        <v/>
      </c>
      <c r="M1006" s="5">
        <f>IF(L1006="","",L1006+6)</f>
        <v/>
      </c>
      <c r="N1006" s="6">
        <f>IF(OR(A1006="",B1006=""),"",DATE(YEAR(B1006),MONTH(B1006),1))</f>
        <v/>
      </c>
      <c r="O1006" s="7">
        <f>IF(COUNTA(A1006:K1006)=0,"",IF(OR(A1006="",B1006=""),"Preencher CPF e entrada",IF(COUNTIFS($A$12:$A$5011,A1006,$B$12:$B$5011,B1006)&gt;1,"CPF + dia duplicado",IF(OR(AND(G1006&lt;&gt;"",G1006&lt;&gt;0,G1006&lt;&gt;1),AND(H1006&lt;&gt;"",H1006&lt;&gt;0,H1006&lt;&gt;1)),"Flags devem ser 0 ou 1",IF(AND(H1006=1,LEN(TRIM(I1006))=0),"Preencher nome do indicante",IF(AND(H1006&lt;&gt;1,I1006&lt;&gt;""),"Nome sem indicação interna",IF(AND(G1006=1,F1006=""),"Fechamento sem conversa",IF(OR(AND(E1006&lt;&gt;"",E1006&lt;B1006),AND(F1006&lt;&gt;"",F1006&lt;B1006)),"Evento anterior à entrada",IF(AND(F1006&lt;&gt;"",E1006=""),"Conversa sem agendamento",IF(OR(E1006&gt;TODAY(),F1006&gt;TODAY()),"Verificar evento futuro","OK"))))))))))</f>
        <v/>
      </c>
    </row>
    <row r="1007" spans="12:15">
      <c r="L1007" s="5">
        <f>IF(OR(A1007="",B1007=""),"",B1007-WEEKDAY(B1007,2)+1)</f>
        <v/>
      </c>
      <c r="M1007" s="5">
        <f>IF(L1007="","",L1007+6)</f>
        <v/>
      </c>
      <c r="N1007" s="6">
        <f>IF(OR(A1007="",B1007=""),"",DATE(YEAR(B1007),MONTH(B1007),1))</f>
        <v/>
      </c>
      <c r="O1007" s="7">
        <f>IF(COUNTA(A1007:K1007)=0,"",IF(OR(A1007="",B1007=""),"Preencher CPF e entrada",IF(COUNTIFS($A$12:$A$5011,A1007,$B$12:$B$5011,B1007)&gt;1,"CPF + dia duplicado",IF(OR(AND(G1007&lt;&gt;"",G1007&lt;&gt;0,G1007&lt;&gt;1),AND(H1007&lt;&gt;"",H1007&lt;&gt;0,H1007&lt;&gt;1)),"Flags devem ser 0 ou 1",IF(AND(H1007=1,LEN(TRIM(I1007))=0),"Preencher nome do indicante",IF(AND(H1007&lt;&gt;1,I1007&lt;&gt;""),"Nome sem indicação interna",IF(AND(G1007=1,F1007=""),"Fechamento sem conversa",IF(OR(AND(E1007&lt;&gt;"",E1007&lt;B1007),AND(F1007&lt;&gt;"",F1007&lt;B1007)),"Evento anterior à entrada",IF(AND(F1007&lt;&gt;"",E1007=""),"Conversa sem agendamento",IF(OR(E1007&gt;TODAY(),F1007&gt;TODAY()),"Verificar evento futuro","OK"))))))))))</f>
        <v/>
      </c>
    </row>
    <row r="1008" spans="12:15">
      <c r="L1008" s="5">
        <f>IF(OR(A1008="",B1008=""),"",B1008-WEEKDAY(B1008,2)+1)</f>
        <v/>
      </c>
      <c r="M1008" s="5">
        <f>IF(L1008="","",L1008+6)</f>
        <v/>
      </c>
      <c r="N1008" s="6">
        <f>IF(OR(A1008="",B1008=""),"",DATE(YEAR(B1008),MONTH(B1008),1))</f>
        <v/>
      </c>
      <c r="O1008" s="7">
        <f>IF(COUNTA(A1008:K1008)=0,"",IF(OR(A1008="",B1008=""),"Preencher CPF e entrada",IF(COUNTIFS($A$12:$A$5011,A1008,$B$12:$B$5011,B1008)&gt;1,"CPF + dia duplicado",IF(OR(AND(G1008&lt;&gt;"",G1008&lt;&gt;0,G1008&lt;&gt;1),AND(H1008&lt;&gt;"",H1008&lt;&gt;0,H1008&lt;&gt;1)),"Flags devem ser 0 ou 1",IF(AND(H1008=1,LEN(TRIM(I1008))=0),"Preencher nome do indicante",IF(AND(H1008&lt;&gt;1,I1008&lt;&gt;""),"Nome sem indicação interna",IF(AND(G1008=1,F1008=""),"Fechamento sem conversa",IF(OR(AND(E1008&lt;&gt;"",E1008&lt;B1008),AND(F1008&lt;&gt;"",F1008&lt;B1008)),"Evento anterior à entrada",IF(AND(F1008&lt;&gt;"",E1008=""),"Conversa sem agendamento",IF(OR(E1008&gt;TODAY(),F1008&gt;TODAY()),"Verificar evento futuro","OK"))))))))))</f>
        <v/>
      </c>
    </row>
    <row r="1009" spans="12:15">
      <c r="L1009" s="5">
        <f>IF(OR(A1009="",B1009=""),"",B1009-WEEKDAY(B1009,2)+1)</f>
        <v/>
      </c>
      <c r="M1009" s="5">
        <f>IF(L1009="","",L1009+6)</f>
        <v/>
      </c>
      <c r="N1009" s="6">
        <f>IF(OR(A1009="",B1009=""),"",DATE(YEAR(B1009),MONTH(B1009),1))</f>
        <v/>
      </c>
      <c r="O1009" s="7">
        <f>IF(COUNTA(A1009:K1009)=0,"",IF(OR(A1009="",B1009=""),"Preencher CPF e entrada",IF(COUNTIFS($A$12:$A$5011,A1009,$B$12:$B$5011,B1009)&gt;1,"CPF + dia duplicado",IF(OR(AND(G1009&lt;&gt;"",G1009&lt;&gt;0,G1009&lt;&gt;1),AND(H1009&lt;&gt;"",H1009&lt;&gt;0,H1009&lt;&gt;1)),"Flags devem ser 0 ou 1",IF(AND(H1009=1,LEN(TRIM(I1009))=0),"Preencher nome do indicante",IF(AND(H1009&lt;&gt;1,I1009&lt;&gt;""),"Nome sem indicação interna",IF(AND(G1009=1,F1009=""),"Fechamento sem conversa",IF(OR(AND(E1009&lt;&gt;"",E1009&lt;B1009),AND(F1009&lt;&gt;"",F1009&lt;B1009)),"Evento anterior à entrada",IF(AND(F1009&lt;&gt;"",E1009=""),"Conversa sem agendamento",IF(OR(E1009&gt;TODAY(),F1009&gt;TODAY()),"Verificar evento futuro","OK"))))))))))</f>
        <v/>
      </c>
    </row>
    <row r="1010" spans="12:15">
      <c r="L1010" s="5">
        <f>IF(OR(A1010="",B1010=""),"",B1010-WEEKDAY(B1010,2)+1)</f>
        <v/>
      </c>
      <c r="M1010" s="5">
        <f>IF(L1010="","",L1010+6)</f>
        <v/>
      </c>
      <c r="N1010" s="6">
        <f>IF(OR(A1010="",B1010=""),"",DATE(YEAR(B1010),MONTH(B1010),1))</f>
        <v/>
      </c>
      <c r="O1010" s="7">
        <f>IF(COUNTA(A1010:K1010)=0,"",IF(OR(A1010="",B1010=""),"Preencher CPF e entrada",IF(COUNTIFS($A$12:$A$5011,A1010,$B$12:$B$5011,B1010)&gt;1,"CPF + dia duplicado",IF(OR(AND(G1010&lt;&gt;"",G1010&lt;&gt;0,G1010&lt;&gt;1),AND(H1010&lt;&gt;"",H1010&lt;&gt;0,H1010&lt;&gt;1)),"Flags devem ser 0 ou 1",IF(AND(H1010=1,LEN(TRIM(I1010))=0),"Preencher nome do indicante",IF(AND(H1010&lt;&gt;1,I1010&lt;&gt;""),"Nome sem indicação interna",IF(AND(G1010=1,F1010=""),"Fechamento sem conversa",IF(OR(AND(E1010&lt;&gt;"",E1010&lt;B1010),AND(F1010&lt;&gt;"",F1010&lt;B1010)),"Evento anterior à entrada",IF(AND(F1010&lt;&gt;"",E1010=""),"Conversa sem agendamento",IF(OR(E1010&gt;TODAY(),F1010&gt;TODAY()),"Verificar evento futuro","OK"))))))))))</f>
        <v/>
      </c>
    </row>
    <row r="1011" spans="12:15">
      <c r="L1011" s="5">
        <f>IF(OR(A1011="",B1011=""),"",B1011-WEEKDAY(B1011,2)+1)</f>
        <v/>
      </c>
      <c r="M1011" s="5">
        <f>IF(L1011="","",L1011+6)</f>
        <v/>
      </c>
      <c r="N1011" s="6">
        <f>IF(OR(A1011="",B1011=""),"",DATE(YEAR(B1011),MONTH(B1011),1))</f>
        <v/>
      </c>
      <c r="O1011" s="7">
        <f>IF(COUNTA(A1011:K1011)=0,"",IF(OR(A1011="",B1011=""),"Preencher CPF e entrada",IF(COUNTIFS($A$12:$A$5011,A1011,$B$12:$B$5011,B1011)&gt;1,"CPF + dia duplicado",IF(OR(AND(G1011&lt;&gt;"",G1011&lt;&gt;0,G1011&lt;&gt;1),AND(H1011&lt;&gt;"",H1011&lt;&gt;0,H1011&lt;&gt;1)),"Flags devem ser 0 ou 1",IF(AND(H1011=1,LEN(TRIM(I1011))=0),"Preencher nome do indicante",IF(AND(H1011&lt;&gt;1,I1011&lt;&gt;""),"Nome sem indicação interna",IF(AND(G1011=1,F1011=""),"Fechamento sem conversa",IF(OR(AND(E1011&lt;&gt;"",E1011&lt;B1011),AND(F1011&lt;&gt;"",F1011&lt;B1011)),"Evento anterior à entrada",IF(AND(F1011&lt;&gt;"",E1011=""),"Conversa sem agendamento",IF(OR(E1011&gt;TODAY(),F1011&gt;TODAY()),"Verificar evento futuro","OK"))))))))))</f>
        <v/>
      </c>
    </row>
    <row r="1012" spans="12:15">
      <c r="L1012" s="5">
        <f>IF(OR(A1012="",B1012=""),"",B1012-WEEKDAY(B1012,2)+1)</f>
        <v/>
      </c>
      <c r="M1012" s="5">
        <f>IF(L1012="","",L1012+6)</f>
        <v/>
      </c>
      <c r="N1012" s="6">
        <f>IF(OR(A1012="",B1012=""),"",DATE(YEAR(B1012),MONTH(B1012),1))</f>
        <v/>
      </c>
      <c r="O1012" s="7">
        <f>IF(COUNTA(A1012:K1012)=0,"",IF(OR(A1012="",B1012=""),"Preencher CPF e entrada",IF(COUNTIFS($A$12:$A$5011,A1012,$B$12:$B$5011,B1012)&gt;1,"CPF + dia duplicado",IF(OR(AND(G1012&lt;&gt;"",G1012&lt;&gt;0,G1012&lt;&gt;1),AND(H1012&lt;&gt;"",H1012&lt;&gt;0,H1012&lt;&gt;1)),"Flags devem ser 0 ou 1",IF(AND(H1012=1,LEN(TRIM(I1012))=0),"Preencher nome do indicante",IF(AND(H1012&lt;&gt;1,I1012&lt;&gt;""),"Nome sem indicação interna",IF(AND(G1012=1,F1012=""),"Fechamento sem conversa",IF(OR(AND(E1012&lt;&gt;"",E1012&lt;B1012),AND(F1012&lt;&gt;"",F1012&lt;B1012)),"Evento anterior à entrada",IF(AND(F1012&lt;&gt;"",E1012=""),"Conversa sem agendamento",IF(OR(E1012&gt;TODAY(),F1012&gt;TODAY()),"Verificar evento futuro","OK"))))))))))</f>
        <v/>
      </c>
    </row>
    <row r="1013" spans="12:15">
      <c r="L1013" s="5">
        <f>IF(OR(A1013="",B1013=""),"",B1013-WEEKDAY(B1013,2)+1)</f>
        <v/>
      </c>
      <c r="M1013" s="5">
        <f>IF(L1013="","",L1013+6)</f>
        <v/>
      </c>
      <c r="N1013" s="6">
        <f>IF(OR(A1013="",B1013=""),"",DATE(YEAR(B1013),MONTH(B1013),1))</f>
        <v/>
      </c>
      <c r="O1013" s="7">
        <f>IF(COUNTA(A1013:K1013)=0,"",IF(OR(A1013="",B1013=""),"Preencher CPF e entrada",IF(COUNTIFS($A$12:$A$5011,A1013,$B$12:$B$5011,B1013)&gt;1,"CPF + dia duplicado",IF(OR(AND(G1013&lt;&gt;"",G1013&lt;&gt;0,G1013&lt;&gt;1),AND(H1013&lt;&gt;"",H1013&lt;&gt;0,H1013&lt;&gt;1)),"Flags devem ser 0 ou 1",IF(AND(H1013=1,LEN(TRIM(I1013))=0),"Preencher nome do indicante",IF(AND(H1013&lt;&gt;1,I1013&lt;&gt;""),"Nome sem indicação interna",IF(AND(G1013=1,F1013=""),"Fechamento sem conversa",IF(OR(AND(E1013&lt;&gt;"",E1013&lt;B1013),AND(F1013&lt;&gt;"",F1013&lt;B1013)),"Evento anterior à entrada",IF(AND(F1013&lt;&gt;"",E1013=""),"Conversa sem agendamento",IF(OR(E1013&gt;TODAY(),F1013&gt;TODAY()),"Verificar evento futuro","OK"))))))))))</f>
        <v/>
      </c>
    </row>
    <row r="1014" spans="12:15">
      <c r="L1014" s="5">
        <f>IF(OR(A1014="",B1014=""),"",B1014-WEEKDAY(B1014,2)+1)</f>
        <v/>
      </c>
      <c r="M1014" s="5">
        <f>IF(L1014="","",L1014+6)</f>
        <v/>
      </c>
      <c r="N1014" s="6">
        <f>IF(OR(A1014="",B1014=""),"",DATE(YEAR(B1014),MONTH(B1014),1))</f>
        <v/>
      </c>
      <c r="O1014" s="7">
        <f>IF(COUNTA(A1014:K1014)=0,"",IF(OR(A1014="",B1014=""),"Preencher CPF e entrada",IF(COUNTIFS($A$12:$A$5011,A1014,$B$12:$B$5011,B1014)&gt;1,"CPF + dia duplicado",IF(OR(AND(G1014&lt;&gt;"",G1014&lt;&gt;0,G1014&lt;&gt;1),AND(H1014&lt;&gt;"",H1014&lt;&gt;0,H1014&lt;&gt;1)),"Flags devem ser 0 ou 1",IF(AND(H1014=1,LEN(TRIM(I1014))=0),"Preencher nome do indicante",IF(AND(H1014&lt;&gt;1,I1014&lt;&gt;""),"Nome sem indicação interna",IF(AND(G1014=1,F1014=""),"Fechamento sem conversa",IF(OR(AND(E1014&lt;&gt;"",E1014&lt;B1014),AND(F1014&lt;&gt;"",F1014&lt;B1014)),"Evento anterior à entrada",IF(AND(F1014&lt;&gt;"",E1014=""),"Conversa sem agendamento",IF(OR(E1014&gt;TODAY(),F1014&gt;TODAY()),"Verificar evento futuro","OK"))))))))))</f>
        <v/>
      </c>
    </row>
    <row r="1015" spans="12:15">
      <c r="L1015" s="5">
        <f>IF(OR(A1015="",B1015=""),"",B1015-WEEKDAY(B1015,2)+1)</f>
        <v/>
      </c>
      <c r="M1015" s="5">
        <f>IF(L1015="","",L1015+6)</f>
        <v/>
      </c>
      <c r="N1015" s="6">
        <f>IF(OR(A1015="",B1015=""),"",DATE(YEAR(B1015),MONTH(B1015),1))</f>
        <v/>
      </c>
      <c r="O1015" s="7">
        <f>IF(COUNTA(A1015:K1015)=0,"",IF(OR(A1015="",B1015=""),"Preencher CPF e entrada",IF(COUNTIFS($A$12:$A$5011,A1015,$B$12:$B$5011,B1015)&gt;1,"CPF + dia duplicado",IF(OR(AND(G1015&lt;&gt;"",G1015&lt;&gt;0,G1015&lt;&gt;1),AND(H1015&lt;&gt;"",H1015&lt;&gt;0,H1015&lt;&gt;1)),"Flags devem ser 0 ou 1",IF(AND(H1015=1,LEN(TRIM(I1015))=0),"Preencher nome do indicante",IF(AND(H1015&lt;&gt;1,I1015&lt;&gt;""),"Nome sem indicação interna",IF(AND(G1015=1,F1015=""),"Fechamento sem conversa",IF(OR(AND(E1015&lt;&gt;"",E1015&lt;B1015),AND(F1015&lt;&gt;"",F1015&lt;B1015)),"Evento anterior à entrada",IF(AND(F1015&lt;&gt;"",E1015=""),"Conversa sem agendamento",IF(OR(E1015&gt;TODAY(),F1015&gt;TODAY()),"Verificar evento futuro","OK"))))))))))</f>
        <v/>
      </c>
    </row>
    <row r="1016" spans="12:15">
      <c r="L1016" s="5">
        <f>IF(OR(A1016="",B1016=""),"",B1016-WEEKDAY(B1016,2)+1)</f>
        <v/>
      </c>
      <c r="M1016" s="5">
        <f>IF(L1016="","",L1016+6)</f>
        <v/>
      </c>
      <c r="N1016" s="6">
        <f>IF(OR(A1016="",B1016=""),"",DATE(YEAR(B1016),MONTH(B1016),1))</f>
        <v/>
      </c>
      <c r="O1016" s="7">
        <f>IF(COUNTA(A1016:K1016)=0,"",IF(OR(A1016="",B1016=""),"Preencher CPF e entrada",IF(COUNTIFS($A$12:$A$5011,A1016,$B$12:$B$5011,B1016)&gt;1,"CPF + dia duplicado",IF(OR(AND(G1016&lt;&gt;"",G1016&lt;&gt;0,G1016&lt;&gt;1),AND(H1016&lt;&gt;"",H1016&lt;&gt;0,H1016&lt;&gt;1)),"Flags devem ser 0 ou 1",IF(AND(H1016=1,LEN(TRIM(I1016))=0),"Preencher nome do indicante",IF(AND(H1016&lt;&gt;1,I1016&lt;&gt;""),"Nome sem indicação interna",IF(AND(G1016=1,F1016=""),"Fechamento sem conversa",IF(OR(AND(E1016&lt;&gt;"",E1016&lt;B1016),AND(F1016&lt;&gt;"",F1016&lt;B1016)),"Evento anterior à entrada",IF(AND(F1016&lt;&gt;"",E1016=""),"Conversa sem agendamento",IF(OR(E1016&gt;TODAY(),F1016&gt;TODAY()),"Verificar evento futuro","OK"))))))))))</f>
        <v/>
      </c>
    </row>
    <row r="1017" spans="12:15">
      <c r="L1017" s="5">
        <f>IF(OR(A1017="",B1017=""),"",B1017-WEEKDAY(B1017,2)+1)</f>
        <v/>
      </c>
      <c r="M1017" s="5">
        <f>IF(L1017="","",L1017+6)</f>
        <v/>
      </c>
      <c r="N1017" s="6">
        <f>IF(OR(A1017="",B1017=""),"",DATE(YEAR(B1017),MONTH(B1017),1))</f>
        <v/>
      </c>
      <c r="O1017" s="7">
        <f>IF(COUNTA(A1017:K1017)=0,"",IF(OR(A1017="",B1017=""),"Preencher CPF e entrada",IF(COUNTIFS($A$12:$A$5011,A1017,$B$12:$B$5011,B1017)&gt;1,"CPF + dia duplicado",IF(OR(AND(G1017&lt;&gt;"",G1017&lt;&gt;0,G1017&lt;&gt;1),AND(H1017&lt;&gt;"",H1017&lt;&gt;0,H1017&lt;&gt;1)),"Flags devem ser 0 ou 1",IF(AND(H1017=1,LEN(TRIM(I1017))=0),"Preencher nome do indicante",IF(AND(H1017&lt;&gt;1,I1017&lt;&gt;""),"Nome sem indicação interna",IF(AND(G1017=1,F1017=""),"Fechamento sem conversa",IF(OR(AND(E1017&lt;&gt;"",E1017&lt;B1017),AND(F1017&lt;&gt;"",F1017&lt;B1017)),"Evento anterior à entrada",IF(AND(F1017&lt;&gt;"",E1017=""),"Conversa sem agendamento",IF(OR(E1017&gt;TODAY(),F1017&gt;TODAY()),"Verificar evento futuro","OK"))))))))))</f>
        <v/>
      </c>
    </row>
    <row r="1018" spans="12:15">
      <c r="L1018" s="5">
        <f>IF(OR(A1018="",B1018=""),"",B1018-WEEKDAY(B1018,2)+1)</f>
        <v/>
      </c>
      <c r="M1018" s="5">
        <f>IF(L1018="","",L1018+6)</f>
        <v/>
      </c>
      <c r="N1018" s="6">
        <f>IF(OR(A1018="",B1018=""),"",DATE(YEAR(B1018),MONTH(B1018),1))</f>
        <v/>
      </c>
      <c r="O1018" s="7">
        <f>IF(COUNTA(A1018:K1018)=0,"",IF(OR(A1018="",B1018=""),"Preencher CPF e entrada",IF(COUNTIFS($A$12:$A$5011,A1018,$B$12:$B$5011,B1018)&gt;1,"CPF + dia duplicado",IF(OR(AND(G1018&lt;&gt;"",G1018&lt;&gt;0,G1018&lt;&gt;1),AND(H1018&lt;&gt;"",H1018&lt;&gt;0,H1018&lt;&gt;1)),"Flags devem ser 0 ou 1",IF(AND(H1018=1,LEN(TRIM(I1018))=0),"Preencher nome do indicante",IF(AND(H1018&lt;&gt;1,I1018&lt;&gt;""),"Nome sem indicação interna",IF(AND(G1018=1,F1018=""),"Fechamento sem conversa",IF(OR(AND(E1018&lt;&gt;"",E1018&lt;B1018),AND(F1018&lt;&gt;"",F1018&lt;B1018)),"Evento anterior à entrada",IF(AND(F1018&lt;&gt;"",E1018=""),"Conversa sem agendamento",IF(OR(E1018&gt;TODAY(),F1018&gt;TODAY()),"Verificar evento futuro","OK"))))))))))</f>
        <v/>
      </c>
    </row>
    <row r="1019" spans="12:15">
      <c r="L1019" s="5">
        <f>IF(OR(A1019="",B1019=""),"",B1019-WEEKDAY(B1019,2)+1)</f>
        <v/>
      </c>
      <c r="M1019" s="5">
        <f>IF(L1019="","",L1019+6)</f>
        <v/>
      </c>
      <c r="N1019" s="6">
        <f>IF(OR(A1019="",B1019=""),"",DATE(YEAR(B1019),MONTH(B1019),1))</f>
        <v/>
      </c>
      <c r="O1019" s="7">
        <f>IF(COUNTA(A1019:K1019)=0,"",IF(OR(A1019="",B1019=""),"Preencher CPF e entrada",IF(COUNTIFS($A$12:$A$5011,A1019,$B$12:$B$5011,B1019)&gt;1,"CPF + dia duplicado",IF(OR(AND(G1019&lt;&gt;"",G1019&lt;&gt;0,G1019&lt;&gt;1),AND(H1019&lt;&gt;"",H1019&lt;&gt;0,H1019&lt;&gt;1)),"Flags devem ser 0 ou 1",IF(AND(H1019=1,LEN(TRIM(I1019))=0),"Preencher nome do indicante",IF(AND(H1019&lt;&gt;1,I1019&lt;&gt;""),"Nome sem indicação interna",IF(AND(G1019=1,F1019=""),"Fechamento sem conversa",IF(OR(AND(E1019&lt;&gt;"",E1019&lt;B1019),AND(F1019&lt;&gt;"",F1019&lt;B1019)),"Evento anterior à entrada",IF(AND(F1019&lt;&gt;"",E1019=""),"Conversa sem agendamento",IF(OR(E1019&gt;TODAY(),F1019&gt;TODAY()),"Verificar evento futuro","OK"))))))))))</f>
        <v/>
      </c>
    </row>
    <row r="1020" spans="12:15">
      <c r="L1020" s="5">
        <f>IF(OR(A1020="",B1020=""),"",B1020-WEEKDAY(B1020,2)+1)</f>
        <v/>
      </c>
      <c r="M1020" s="5">
        <f>IF(L1020="","",L1020+6)</f>
        <v/>
      </c>
      <c r="N1020" s="6">
        <f>IF(OR(A1020="",B1020=""),"",DATE(YEAR(B1020),MONTH(B1020),1))</f>
        <v/>
      </c>
      <c r="O1020" s="7">
        <f>IF(COUNTA(A1020:K1020)=0,"",IF(OR(A1020="",B1020=""),"Preencher CPF e entrada",IF(COUNTIFS($A$12:$A$5011,A1020,$B$12:$B$5011,B1020)&gt;1,"CPF + dia duplicado",IF(OR(AND(G1020&lt;&gt;"",G1020&lt;&gt;0,G1020&lt;&gt;1),AND(H1020&lt;&gt;"",H1020&lt;&gt;0,H1020&lt;&gt;1)),"Flags devem ser 0 ou 1",IF(AND(H1020=1,LEN(TRIM(I1020))=0),"Preencher nome do indicante",IF(AND(H1020&lt;&gt;1,I1020&lt;&gt;""),"Nome sem indicação interna",IF(AND(G1020=1,F1020=""),"Fechamento sem conversa",IF(OR(AND(E1020&lt;&gt;"",E1020&lt;B1020),AND(F1020&lt;&gt;"",F1020&lt;B1020)),"Evento anterior à entrada",IF(AND(F1020&lt;&gt;"",E1020=""),"Conversa sem agendamento",IF(OR(E1020&gt;TODAY(),F1020&gt;TODAY()),"Verificar evento futuro","OK"))))))))))</f>
        <v/>
      </c>
    </row>
    <row r="1021" spans="12:15">
      <c r="L1021" s="5">
        <f>IF(OR(A1021="",B1021=""),"",B1021-WEEKDAY(B1021,2)+1)</f>
        <v/>
      </c>
      <c r="M1021" s="5">
        <f>IF(L1021="","",L1021+6)</f>
        <v/>
      </c>
      <c r="N1021" s="6">
        <f>IF(OR(A1021="",B1021=""),"",DATE(YEAR(B1021),MONTH(B1021),1))</f>
        <v/>
      </c>
      <c r="O1021" s="7">
        <f>IF(COUNTA(A1021:K1021)=0,"",IF(OR(A1021="",B1021=""),"Preencher CPF e entrada",IF(COUNTIFS($A$12:$A$5011,A1021,$B$12:$B$5011,B1021)&gt;1,"CPF + dia duplicado",IF(OR(AND(G1021&lt;&gt;"",G1021&lt;&gt;0,G1021&lt;&gt;1),AND(H1021&lt;&gt;"",H1021&lt;&gt;0,H1021&lt;&gt;1)),"Flags devem ser 0 ou 1",IF(AND(H1021=1,LEN(TRIM(I1021))=0),"Preencher nome do indicante",IF(AND(H1021&lt;&gt;1,I1021&lt;&gt;""),"Nome sem indicação interna",IF(AND(G1021=1,F1021=""),"Fechamento sem conversa",IF(OR(AND(E1021&lt;&gt;"",E1021&lt;B1021),AND(F1021&lt;&gt;"",F1021&lt;B1021)),"Evento anterior à entrada",IF(AND(F1021&lt;&gt;"",E1021=""),"Conversa sem agendamento",IF(OR(E1021&gt;TODAY(),F1021&gt;TODAY()),"Verificar evento futuro","OK"))))))))))</f>
        <v/>
      </c>
    </row>
    <row r="1022" spans="12:15">
      <c r="L1022" s="5">
        <f>IF(OR(A1022="",B1022=""),"",B1022-WEEKDAY(B1022,2)+1)</f>
        <v/>
      </c>
      <c r="M1022" s="5">
        <f>IF(L1022="","",L1022+6)</f>
        <v/>
      </c>
      <c r="N1022" s="6">
        <f>IF(OR(A1022="",B1022=""),"",DATE(YEAR(B1022),MONTH(B1022),1))</f>
        <v/>
      </c>
      <c r="O1022" s="7">
        <f>IF(COUNTA(A1022:K1022)=0,"",IF(OR(A1022="",B1022=""),"Preencher CPF e entrada",IF(COUNTIFS($A$12:$A$5011,A1022,$B$12:$B$5011,B1022)&gt;1,"CPF + dia duplicado",IF(OR(AND(G1022&lt;&gt;"",G1022&lt;&gt;0,G1022&lt;&gt;1),AND(H1022&lt;&gt;"",H1022&lt;&gt;0,H1022&lt;&gt;1)),"Flags devem ser 0 ou 1",IF(AND(H1022=1,LEN(TRIM(I1022))=0),"Preencher nome do indicante",IF(AND(H1022&lt;&gt;1,I1022&lt;&gt;""),"Nome sem indicação interna",IF(AND(G1022=1,F1022=""),"Fechamento sem conversa",IF(OR(AND(E1022&lt;&gt;"",E1022&lt;B1022),AND(F1022&lt;&gt;"",F1022&lt;B1022)),"Evento anterior à entrada",IF(AND(F1022&lt;&gt;"",E1022=""),"Conversa sem agendamento",IF(OR(E1022&gt;TODAY(),F1022&gt;TODAY()),"Verificar evento futuro","OK"))))))))))</f>
        <v/>
      </c>
    </row>
    <row r="1023" spans="12:15">
      <c r="L1023" s="5">
        <f>IF(OR(A1023="",B1023=""),"",B1023-WEEKDAY(B1023,2)+1)</f>
        <v/>
      </c>
      <c r="M1023" s="5">
        <f>IF(L1023="","",L1023+6)</f>
        <v/>
      </c>
      <c r="N1023" s="6">
        <f>IF(OR(A1023="",B1023=""),"",DATE(YEAR(B1023),MONTH(B1023),1))</f>
        <v/>
      </c>
      <c r="O1023" s="7">
        <f>IF(COUNTA(A1023:K1023)=0,"",IF(OR(A1023="",B1023=""),"Preencher CPF e entrada",IF(COUNTIFS($A$12:$A$5011,A1023,$B$12:$B$5011,B1023)&gt;1,"CPF + dia duplicado",IF(OR(AND(G1023&lt;&gt;"",G1023&lt;&gt;0,G1023&lt;&gt;1),AND(H1023&lt;&gt;"",H1023&lt;&gt;0,H1023&lt;&gt;1)),"Flags devem ser 0 ou 1",IF(AND(H1023=1,LEN(TRIM(I1023))=0),"Preencher nome do indicante",IF(AND(H1023&lt;&gt;1,I1023&lt;&gt;""),"Nome sem indicação interna",IF(AND(G1023=1,F1023=""),"Fechamento sem conversa",IF(OR(AND(E1023&lt;&gt;"",E1023&lt;B1023),AND(F1023&lt;&gt;"",F1023&lt;B1023)),"Evento anterior à entrada",IF(AND(F1023&lt;&gt;"",E1023=""),"Conversa sem agendamento",IF(OR(E1023&gt;TODAY(),F1023&gt;TODAY()),"Verificar evento futuro","OK"))))))))))</f>
        <v/>
      </c>
    </row>
    <row r="1024" spans="12:15">
      <c r="L1024" s="5">
        <f>IF(OR(A1024="",B1024=""),"",B1024-WEEKDAY(B1024,2)+1)</f>
        <v/>
      </c>
      <c r="M1024" s="5">
        <f>IF(L1024="","",L1024+6)</f>
        <v/>
      </c>
      <c r="N1024" s="6">
        <f>IF(OR(A1024="",B1024=""),"",DATE(YEAR(B1024),MONTH(B1024),1))</f>
        <v/>
      </c>
      <c r="O1024" s="7">
        <f>IF(COUNTA(A1024:K1024)=0,"",IF(OR(A1024="",B1024=""),"Preencher CPF e entrada",IF(COUNTIFS($A$12:$A$5011,A1024,$B$12:$B$5011,B1024)&gt;1,"CPF + dia duplicado",IF(OR(AND(G1024&lt;&gt;"",G1024&lt;&gt;0,G1024&lt;&gt;1),AND(H1024&lt;&gt;"",H1024&lt;&gt;0,H1024&lt;&gt;1)),"Flags devem ser 0 ou 1",IF(AND(H1024=1,LEN(TRIM(I1024))=0),"Preencher nome do indicante",IF(AND(H1024&lt;&gt;1,I1024&lt;&gt;""),"Nome sem indicação interna",IF(AND(G1024=1,F1024=""),"Fechamento sem conversa",IF(OR(AND(E1024&lt;&gt;"",E1024&lt;B1024),AND(F1024&lt;&gt;"",F1024&lt;B1024)),"Evento anterior à entrada",IF(AND(F1024&lt;&gt;"",E1024=""),"Conversa sem agendamento",IF(OR(E1024&gt;TODAY(),F1024&gt;TODAY()),"Verificar evento futuro","OK"))))))))))</f>
        <v/>
      </c>
    </row>
    <row r="1025" spans="12:15">
      <c r="L1025" s="5">
        <f>IF(OR(A1025="",B1025=""),"",B1025-WEEKDAY(B1025,2)+1)</f>
        <v/>
      </c>
      <c r="M1025" s="5">
        <f>IF(L1025="","",L1025+6)</f>
        <v/>
      </c>
      <c r="N1025" s="6">
        <f>IF(OR(A1025="",B1025=""),"",DATE(YEAR(B1025),MONTH(B1025),1))</f>
        <v/>
      </c>
      <c r="O1025" s="7">
        <f>IF(COUNTA(A1025:K1025)=0,"",IF(OR(A1025="",B1025=""),"Preencher CPF e entrada",IF(COUNTIFS($A$12:$A$5011,A1025,$B$12:$B$5011,B1025)&gt;1,"CPF + dia duplicado",IF(OR(AND(G1025&lt;&gt;"",G1025&lt;&gt;0,G1025&lt;&gt;1),AND(H1025&lt;&gt;"",H1025&lt;&gt;0,H1025&lt;&gt;1)),"Flags devem ser 0 ou 1",IF(AND(H1025=1,LEN(TRIM(I1025))=0),"Preencher nome do indicante",IF(AND(H1025&lt;&gt;1,I1025&lt;&gt;""),"Nome sem indicação interna",IF(AND(G1025=1,F1025=""),"Fechamento sem conversa",IF(OR(AND(E1025&lt;&gt;"",E1025&lt;B1025),AND(F1025&lt;&gt;"",F1025&lt;B1025)),"Evento anterior à entrada",IF(AND(F1025&lt;&gt;"",E1025=""),"Conversa sem agendamento",IF(OR(E1025&gt;TODAY(),F1025&gt;TODAY()),"Verificar evento futuro","OK"))))))))))</f>
        <v/>
      </c>
    </row>
    <row r="1026" spans="12:15">
      <c r="L1026" s="5">
        <f>IF(OR(A1026="",B1026=""),"",B1026-WEEKDAY(B1026,2)+1)</f>
        <v/>
      </c>
      <c r="M1026" s="5">
        <f>IF(L1026="","",L1026+6)</f>
        <v/>
      </c>
      <c r="N1026" s="6">
        <f>IF(OR(A1026="",B1026=""),"",DATE(YEAR(B1026),MONTH(B1026),1))</f>
        <v/>
      </c>
      <c r="O1026" s="7">
        <f>IF(COUNTA(A1026:K1026)=0,"",IF(OR(A1026="",B1026=""),"Preencher CPF e entrada",IF(COUNTIFS($A$12:$A$5011,A1026,$B$12:$B$5011,B1026)&gt;1,"CPF + dia duplicado",IF(OR(AND(G1026&lt;&gt;"",G1026&lt;&gt;0,G1026&lt;&gt;1),AND(H1026&lt;&gt;"",H1026&lt;&gt;0,H1026&lt;&gt;1)),"Flags devem ser 0 ou 1",IF(AND(H1026=1,LEN(TRIM(I1026))=0),"Preencher nome do indicante",IF(AND(H1026&lt;&gt;1,I1026&lt;&gt;""),"Nome sem indicação interna",IF(AND(G1026=1,F1026=""),"Fechamento sem conversa",IF(OR(AND(E1026&lt;&gt;"",E1026&lt;B1026),AND(F1026&lt;&gt;"",F1026&lt;B1026)),"Evento anterior à entrada",IF(AND(F1026&lt;&gt;"",E1026=""),"Conversa sem agendamento",IF(OR(E1026&gt;TODAY(),F1026&gt;TODAY()),"Verificar evento futuro","OK"))))))))))</f>
        <v/>
      </c>
    </row>
    <row r="1027" spans="12:15">
      <c r="L1027" s="5">
        <f>IF(OR(A1027="",B1027=""),"",B1027-WEEKDAY(B1027,2)+1)</f>
        <v/>
      </c>
      <c r="M1027" s="5">
        <f>IF(L1027="","",L1027+6)</f>
        <v/>
      </c>
      <c r="N1027" s="6">
        <f>IF(OR(A1027="",B1027=""),"",DATE(YEAR(B1027),MONTH(B1027),1))</f>
        <v/>
      </c>
      <c r="O1027" s="7">
        <f>IF(COUNTA(A1027:K1027)=0,"",IF(OR(A1027="",B1027=""),"Preencher CPF e entrada",IF(COUNTIFS($A$12:$A$5011,A1027,$B$12:$B$5011,B1027)&gt;1,"CPF + dia duplicado",IF(OR(AND(G1027&lt;&gt;"",G1027&lt;&gt;0,G1027&lt;&gt;1),AND(H1027&lt;&gt;"",H1027&lt;&gt;0,H1027&lt;&gt;1)),"Flags devem ser 0 ou 1",IF(AND(H1027=1,LEN(TRIM(I1027))=0),"Preencher nome do indicante",IF(AND(H1027&lt;&gt;1,I1027&lt;&gt;""),"Nome sem indicação interna",IF(AND(G1027=1,F1027=""),"Fechamento sem conversa",IF(OR(AND(E1027&lt;&gt;"",E1027&lt;B1027),AND(F1027&lt;&gt;"",F1027&lt;B1027)),"Evento anterior à entrada",IF(AND(F1027&lt;&gt;"",E1027=""),"Conversa sem agendamento",IF(OR(E1027&gt;TODAY(),F1027&gt;TODAY()),"Verificar evento futuro","OK"))))))))))</f>
        <v/>
      </c>
    </row>
    <row r="1028" spans="12:15">
      <c r="L1028" s="5">
        <f>IF(OR(A1028="",B1028=""),"",B1028-WEEKDAY(B1028,2)+1)</f>
        <v/>
      </c>
      <c r="M1028" s="5">
        <f>IF(L1028="","",L1028+6)</f>
        <v/>
      </c>
      <c r="N1028" s="6">
        <f>IF(OR(A1028="",B1028=""),"",DATE(YEAR(B1028),MONTH(B1028),1))</f>
        <v/>
      </c>
      <c r="O1028" s="7">
        <f>IF(COUNTA(A1028:K1028)=0,"",IF(OR(A1028="",B1028=""),"Preencher CPF e entrada",IF(COUNTIFS($A$12:$A$5011,A1028,$B$12:$B$5011,B1028)&gt;1,"CPF + dia duplicado",IF(OR(AND(G1028&lt;&gt;"",G1028&lt;&gt;0,G1028&lt;&gt;1),AND(H1028&lt;&gt;"",H1028&lt;&gt;0,H1028&lt;&gt;1)),"Flags devem ser 0 ou 1",IF(AND(H1028=1,LEN(TRIM(I1028))=0),"Preencher nome do indicante",IF(AND(H1028&lt;&gt;1,I1028&lt;&gt;""),"Nome sem indicação interna",IF(AND(G1028=1,F1028=""),"Fechamento sem conversa",IF(OR(AND(E1028&lt;&gt;"",E1028&lt;B1028),AND(F1028&lt;&gt;"",F1028&lt;B1028)),"Evento anterior à entrada",IF(AND(F1028&lt;&gt;"",E1028=""),"Conversa sem agendamento",IF(OR(E1028&gt;TODAY(),F1028&gt;TODAY()),"Verificar evento futuro","OK"))))))))))</f>
        <v/>
      </c>
    </row>
    <row r="1029" spans="12:15">
      <c r="L1029" s="5">
        <f>IF(OR(A1029="",B1029=""),"",B1029-WEEKDAY(B1029,2)+1)</f>
        <v/>
      </c>
      <c r="M1029" s="5">
        <f>IF(L1029="","",L1029+6)</f>
        <v/>
      </c>
      <c r="N1029" s="6">
        <f>IF(OR(A1029="",B1029=""),"",DATE(YEAR(B1029),MONTH(B1029),1))</f>
        <v/>
      </c>
      <c r="O1029" s="7">
        <f>IF(COUNTA(A1029:K1029)=0,"",IF(OR(A1029="",B1029=""),"Preencher CPF e entrada",IF(COUNTIFS($A$12:$A$5011,A1029,$B$12:$B$5011,B1029)&gt;1,"CPF + dia duplicado",IF(OR(AND(G1029&lt;&gt;"",G1029&lt;&gt;0,G1029&lt;&gt;1),AND(H1029&lt;&gt;"",H1029&lt;&gt;0,H1029&lt;&gt;1)),"Flags devem ser 0 ou 1",IF(AND(H1029=1,LEN(TRIM(I1029))=0),"Preencher nome do indicante",IF(AND(H1029&lt;&gt;1,I1029&lt;&gt;""),"Nome sem indicação interna",IF(AND(G1029=1,F1029=""),"Fechamento sem conversa",IF(OR(AND(E1029&lt;&gt;"",E1029&lt;B1029),AND(F1029&lt;&gt;"",F1029&lt;B1029)),"Evento anterior à entrada",IF(AND(F1029&lt;&gt;"",E1029=""),"Conversa sem agendamento",IF(OR(E1029&gt;TODAY(),F1029&gt;TODAY()),"Verificar evento futuro","OK"))))))))))</f>
        <v/>
      </c>
    </row>
    <row r="1030" spans="12:15">
      <c r="L1030" s="5">
        <f>IF(OR(A1030="",B1030=""),"",B1030-WEEKDAY(B1030,2)+1)</f>
        <v/>
      </c>
      <c r="M1030" s="5">
        <f>IF(L1030="","",L1030+6)</f>
        <v/>
      </c>
      <c r="N1030" s="6">
        <f>IF(OR(A1030="",B1030=""),"",DATE(YEAR(B1030),MONTH(B1030),1))</f>
        <v/>
      </c>
      <c r="O1030" s="7">
        <f>IF(COUNTA(A1030:K1030)=0,"",IF(OR(A1030="",B1030=""),"Preencher CPF e entrada",IF(COUNTIFS($A$12:$A$5011,A1030,$B$12:$B$5011,B1030)&gt;1,"CPF + dia duplicado",IF(OR(AND(G1030&lt;&gt;"",G1030&lt;&gt;0,G1030&lt;&gt;1),AND(H1030&lt;&gt;"",H1030&lt;&gt;0,H1030&lt;&gt;1)),"Flags devem ser 0 ou 1",IF(AND(H1030=1,LEN(TRIM(I1030))=0),"Preencher nome do indicante",IF(AND(H1030&lt;&gt;1,I1030&lt;&gt;""),"Nome sem indicação interna",IF(AND(G1030=1,F1030=""),"Fechamento sem conversa",IF(OR(AND(E1030&lt;&gt;"",E1030&lt;B1030),AND(F1030&lt;&gt;"",F1030&lt;B1030)),"Evento anterior à entrada",IF(AND(F1030&lt;&gt;"",E1030=""),"Conversa sem agendamento",IF(OR(E1030&gt;TODAY(),F1030&gt;TODAY()),"Verificar evento futuro","OK"))))))))))</f>
        <v/>
      </c>
    </row>
    <row r="1031" spans="12:15">
      <c r="L1031" s="5">
        <f>IF(OR(A1031="",B1031=""),"",B1031-WEEKDAY(B1031,2)+1)</f>
        <v/>
      </c>
      <c r="M1031" s="5">
        <f>IF(L1031="","",L1031+6)</f>
        <v/>
      </c>
      <c r="N1031" s="6">
        <f>IF(OR(A1031="",B1031=""),"",DATE(YEAR(B1031),MONTH(B1031),1))</f>
        <v/>
      </c>
      <c r="O1031" s="7">
        <f>IF(COUNTA(A1031:K1031)=0,"",IF(OR(A1031="",B1031=""),"Preencher CPF e entrada",IF(COUNTIFS($A$12:$A$5011,A1031,$B$12:$B$5011,B1031)&gt;1,"CPF + dia duplicado",IF(OR(AND(G1031&lt;&gt;"",G1031&lt;&gt;0,G1031&lt;&gt;1),AND(H1031&lt;&gt;"",H1031&lt;&gt;0,H1031&lt;&gt;1)),"Flags devem ser 0 ou 1",IF(AND(H1031=1,LEN(TRIM(I1031))=0),"Preencher nome do indicante",IF(AND(H1031&lt;&gt;1,I1031&lt;&gt;""),"Nome sem indicação interna",IF(AND(G1031=1,F1031=""),"Fechamento sem conversa",IF(OR(AND(E1031&lt;&gt;"",E1031&lt;B1031),AND(F1031&lt;&gt;"",F1031&lt;B1031)),"Evento anterior à entrada",IF(AND(F1031&lt;&gt;"",E1031=""),"Conversa sem agendamento",IF(OR(E1031&gt;TODAY(),F1031&gt;TODAY()),"Verificar evento futuro","OK"))))))))))</f>
        <v/>
      </c>
    </row>
    <row r="1032" spans="12:15">
      <c r="L1032" s="5">
        <f>IF(OR(A1032="",B1032=""),"",B1032-WEEKDAY(B1032,2)+1)</f>
        <v/>
      </c>
      <c r="M1032" s="5">
        <f>IF(L1032="","",L1032+6)</f>
        <v/>
      </c>
      <c r="N1032" s="6">
        <f>IF(OR(A1032="",B1032=""),"",DATE(YEAR(B1032),MONTH(B1032),1))</f>
        <v/>
      </c>
      <c r="O1032" s="7">
        <f>IF(COUNTA(A1032:K1032)=0,"",IF(OR(A1032="",B1032=""),"Preencher CPF e entrada",IF(COUNTIFS($A$12:$A$5011,A1032,$B$12:$B$5011,B1032)&gt;1,"CPF + dia duplicado",IF(OR(AND(G1032&lt;&gt;"",G1032&lt;&gt;0,G1032&lt;&gt;1),AND(H1032&lt;&gt;"",H1032&lt;&gt;0,H1032&lt;&gt;1)),"Flags devem ser 0 ou 1",IF(AND(H1032=1,LEN(TRIM(I1032))=0),"Preencher nome do indicante",IF(AND(H1032&lt;&gt;1,I1032&lt;&gt;""),"Nome sem indicação interna",IF(AND(G1032=1,F1032=""),"Fechamento sem conversa",IF(OR(AND(E1032&lt;&gt;"",E1032&lt;B1032),AND(F1032&lt;&gt;"",F1032&lt;B1032)),"Evento anterior à entrada",IF(AND(F1032&lt;&gt;"",E1032=""),"Conversa sem agendamento",IF(OR(E1032&gt;TODAY(),F1032&gt;TODAY()),"Verificar evento futuro","OK"))))))))))</f>
        <v/>
      </c>
    </row>
    <row r="1033" spans="12:15">
      <c r="L1033" s="5">
        <f>IF(OR(A1033="",B1033=""),"",B1033-WEEKDAY(B1033,2)+1)</f>
        <v/>
      </c>
      <c r="M1033" s="5">
        <f>IF(L1033="","",L1033+6)</f>
        <v/>
      </c>
      <c r="N1033" s="6">
        <f>IF(OR(A1033="",B1033=""),"",DATE(YEAR(B1033),MONTH(B1033),1))</f>
        <v/>
      </c>
      <c r="O1033" s="7">
        <f>IF(COUNTA(A1033:K1033)=0,"",IF(OR(A1033="",B1033=""),"Preencher CPF e entrada",IF(COUNTIFS($A$12:$A$5011,A1033,$B$12:$B$5011,B1033)&gt;1,"CPF + dia duplicado",IF(OR(AND(G1033&lt;&gt;"",G1033&lt;&gt;0,G1033&lt;&gt;1),AND(H1033&lt;&gt;"",H1033&lt;&gt;0,H1033&lt;&gt;1)),"Flags devem ser 0 ou 1",IF(AND(H1033=1,LEN(TRIM(I1033))=0),"Preencher nome do indicante",IF(AND(H1033&lt;&gt;1,I1033&lt;&gt;""),"Nome sem indicação interna",IF(AND(G1033=1,F1033=""),"Fechamento sem conversa",IF(OR(AND(E1033&lt;&gt;"",E1033&lt;B1033),AND(F1033&lt;&gt;"",F1033&lt;B1033)),"Evento anterior à entrada",IF(AND(F1033&lt;&gt;"",E1033=""),"Conversa sem agendamento",IF(OR(E1033&gt;TODAY(),F1033&gt;TODAY()),"Verificar evento futuro","OK"))))))))))</f>
        <v/>
      </c>
    </row>
    <row r="1034" spans="12:15">
      <c r="L1034" s="5">
        <f>IF(OR(A1034="",B1034=""),"",B1034-WEEKDAY(B1034,2)+1)</f>
        <v/>
      </c>
      <c r="M1034" s="5">
        <f>IF(L1034="","",L1034+6)</f>
        <v/>
      </c>
      <c r="N1034" s="6">
        <f>IF(OR(A1034="",B1034=""),"",DATE(YEAR(B1034),MONTH(B1034),1))</f>
        <v/>
      </c>
      <c r="O1034" s="7">
        <f>IF(COUNTA(A1034:K1034)=0,"",IF(OR(A1034="",B1034=""),"Preencher CPF e entrada",IF(COUNTIFS($A$12:$A$5011,A1034,$B$12:$B$5011,B1034)&gt;1,"CPF + dia duplicado",IF(OR(AND(G1034&lt;&gt;"",G1034&lt;&gt;0,G1034&lt;&gt;1),AND(H1034&lt;&gt;"",H1034&lt;&gt;0,H1034&lt;&gt;1)),"Flags devem ser 0 ou 1",IF(AND(H1034=1,LEN(TRIM(I1034))=0),"Preencher nome do indicante",IF(AND(H1034&lt;&gt;1,I1034&lt;&gt;""),"Nome sem indicação interna",IF(AND(G1034=1,F1034=""),"Fechamento sem conversa",IF(OR(AND(E1034&lt;&gt;"",E1034&lt;B1034),AND(F1034&lt;&gt;"",F1034&lt;B1034)),"Evento anterior à entrada",IF(AND(F1034&lt;&gt;"",E1034=""),"Conversa sem agendamento",IF(OR(E1034&gt;TODAY(),F1034&gt;TODAY()),"Verificar evento futuro","OK"))))))))))</f>
        <v/>
      </c>
    </row>
    <row r="1035" spans="12:15">
      <c r="L1035" s="5">
        <f>IF(OR(A1035="",B1035=""),"",B1035-WEEKDAY(B1035,2)+1)</f>
        <v/>
      </c>
      <c r="M1035" s="5">
        <f>IF(L1035="","",L1035+6)</f>
        <v/>
      </c>
      <c r="N1035" s="6">
        <f>IF(OR(A1035="",B1035=""),"",DATE(YEAR(B1035),MONTH(B1035),1))</f>
        <v/>
      </c>
      <c r="O1035" s="7">
        <f>IF(COUNTA(A1035:K1035)=0,"",IF(OR(A1035="",B1035=""),"Preencher CPF e entrada",IF(COUNTIFS($A$12:$A$5011,A1035,$B$12:$B$5011,B1035)&gt;1,"CPF + dia duplicado",IF(OR(AND(G1035&lt;&gt;"",G1035&lt;&gt;0,G1035&lt;&gt;1),AND(H1035&lt;&gt;"",H1035&lt;&gt;0,H1035&lt;&gt;1)),"Flags devem ser 0 ou 1",IF(AND(H1035=1,LEN(TRIM(I1035))=0),"Preencher nome do indicante",IF(AND(H1035&lt;&gt;1,I1035&lt;&gt;""),"Nome sem indicação interna",IF(AND(G1035=1,F1035=""),"Fechamento sem conversa",IF(OR(AND(E1035&lt;&gt;"",E1035&lt;B1035),AND(F1035&lt;&gt;"",F1035&lt;B1035)),"Evento anterior à entrada",IF(AND(F1035&lt;&gt;"",E1035=""),"Conversa sem agendamento",IF(OR(E1035&gt;TODAY(),F1035&gt;TODAY()),"Verificar evento futuro","OK"))))))))))</f>
        <v/>
      </c>
    </row>
    <row r="1036" spans="12:15">
      <c r="L1036" s="5">
        <f>IF(OR(A1036="",B1036=""),"",B1036-WEEKDAY(B1036,2)+1)</f>
        <v/>
      </c>
      <c r="M1036" s="5">
        <f>IF(L1036="","",L1036+6)</f>
        <v/>
      </c>
      <c r="N1036" s="6">
        <f>IF(OR(A1036="",B1036=""),"",DATE(YEAR(B1036),MONTH(B1036),1))</f>
        <v/>
      </c>
      <c r="O1036" s="7">
        <f>IF(COUNTA(A1036:K1036)=0,"",IF(OR(A1036="",B1036=""),"Preencher CPF e entrada",IF(COUNTIFS($A$12:$A$5011,A1036,$B$12:$B$5011,B1036)&gt;1,"CPF + dia duplicado",IF(OR(AND(G1036&lt;&gt;"",G1036&lt;&gt;0,G1036&lt;&gt;1),AND(H1036&lt;&gt;"",H1036&lt;&gt;0,H1036&lt;&gt;1)),"Flags devem ser 0 ou 1",IF(AND(H1036=1,LEN(TRIM(I1036))=0),"Preencher nome do indicante",IF(AND(H1036&lt;&gt;1,I1036&lt;&gt;""),"Nome sem indicação interna",IF(AND(G1036=1,F1036=""),"Fechamento sem conversa",IF(OR(AND(E1036&lt;&gt;"",E1036&lt;B1036),AND(F1036&lt;&gt;"",F1036&lt;B1036)),"Evento anterior à entrada",IF(AND(F1036&lt;&gt;"",E1036=""),"Conversa sem agendamento",IF(OR(E1036&gt;TODAY(),F1036&gt;TODAY()),"Verificar evento futuro","OK"))))))))))</f>
        <v/>
      </c>
    </row>
    <row r="1037" spans="12:15">
      <c r="L1037" s="5">
        <f>IF(OR(A1037="",B1037=""),"",B1037-WEEKDAY(B1037,2)+1)</f>
        <v/>
      </c>
      <c r="M1037" s="5">
        <f>IF(L1037="","",L1037+6)</f>
        <v/>
      </c>
      <c r="N1037" s="6">
        <f>IF(OR(A1037="",B1037=""),"",DATE(YEAR(B1037),MONTH(B1037),1))</f>
        <v/>
      </c>
      <c r="O1037" s="7">
        <f>IF(COUNTA(A1037:K1037)=0,"",IF(OR(A1037="",B1037=""),"Preencher CPF e entrada",IF(COUNTIFS($A$12:$A$5011,A1037,$B$12:$B$5011,B1037)&gt;1,"CPF + dia duplicado",IF(OR(AND(G1037&lt;&gt;"",G1037&lt;&gt;0,G1037&lt;&gt;1),AND(H1037&lt;&gt;"",H1037&lt;&gt;0,H1037&lt;&gt;1)),"Flags devem ser 0 ou 1",IF(AND(H1037=1,LEN(TRIM(I1037))=0),"Preencher nome do indicante",IF(AND(H1037&lt;&gt;1,I1037&lt;&gt;""),"Nome sem indicação interna",IF(AND(G1037=1,F1037=""),"Fechamento sem conversa",IF(OR(AND(E1037&lt;&gt;"",E1037&lt;B1037),AND(F1037&lt;&gt;"",F1037&lt;B1037)),"Evento anterior à entrada",IF(AND(F1037&lt;&gt;"",E1037=""),"Conversa sem agendamento",IF(OR(E1037&gt;TODAY(),F1037&gt;TODAY()),"Verificar evento futuro","OK"))))))))))</f>
        <v/>
      </c>
    </row>
    <row r="1038" spans="12:15">
      <c r="L1038" s="5">
        <f>IF(OR(A1038="",B1038=""),"",B1038-WEEKDAY(B1038,2)+1)</f>
        <v/>
      </c>
      <c r="M1038" s="5">
        <f>IF(L1038="","",L1038+6)</f>
        <v/>
      </c>
      <c r="N1038" s="6">
        <f>IF(OR(A1038="",B1038=""),"",DATE(YEAR(B1038),MONTH(B1038),1))</f>
        <v/>
      </c>
      <c r="O1038" s="7">
        <f>IF(COUNTA(A1038:K1038)=0,"",IF(OR(A1038="",B1038=""),"Preencher CPF e entrada",IF(COUNTIFS($A$12:$A$5011,A1038,$B$12:$B$5011,B1038)&gt;1,"CPF + dia duplicado",IF(OR(AND(G1038&lt;&gt;"",G1038&lt;&gt;0,G1038&lt;&gt;1),AND(H1038&lt;&gt;"",H1038&lt;&gt;0,H1038&lt;&gt;1)),"Flags devem ser 0 ou 1",IF(AND(H1038=1,LEN(TRIM(I1038))=0),"Preencher nome do indicante",IF(AND(H1038&lt;&gt;1,I1038&lt;&gt;""),"Nome sem indicação interna",IF(AND(G1038=1,F1038=""),"Fechamento sem conversa",IF(OR(AND(E1038&lt;&gt;"",E1038&lt;B1038),AND(F1038&lt;&gt;"",F1038&lt;B1038)),"Evento anterior à entrada",IF(AND(F1038&lt;&gt;"",E1038=""),"Conversa sem agendamento",IF(OR(E1038&gt;TODAY(),F1038&gt;TODAY()),"Verificar evento futuro","OK"))))))))))</f>
        <v/>
      </c>
    </row>
    <row r="1039" spans="12:15">
      <c r="L1039" s="5">
        <f>IF(OR(A1039="",B1039=""),"",B1039-WEEKDAY(B1039,2)+1)</f>
        <v/>
      </c>
      <c r="M1039" s="5">
        <f>IF(L1039="","",L1039+6)</f>
        <v/>
      </c>
      <c r="N1039" s="6">
        <f>IF(OR(A1039="",B1039=""),"",DATE(YEAR(B1039),MONTH(B1039),1))</f>
        <v/>
      </c>
      <c r="O1039" s="7">
        <f>IF(COUNTA(A1039:K1039)=0,"",IF(OR(A1039="",B1039=""),"Preencher CPF e entrada",IF(COUNTIFS($A$12:$A$5011,A1039,$B$12:$B$5011,B1039)&gt;1,"CPF + dia duplicado",IF(OR(AND(G1039&lt;&gt;"",G1039&lt;&gt;0,G1039&lt;&gt;1),AND(H1039&lt;&gt;"",H1039&lt;&gt;0,H1039&lt;&gt;1)),"Flags devem ser 0 ou 1",IF(AND(H1039=1,LEN(TRIM(I1039))=0),"Preencher nome do indicante",IF(AND(H1039&lt;&gt;1,I1039&lt;&gt;""),"Nome sem indicação interna",IF(AND(G1039=1,F1039=""),"Fechamento sem conversa",IF(OR(AND(E1039&lt;&gt;"",E1039&lt;B1039),AND(F1039&lt;&gt;"",F1039&lt;B1039)),"Evento anterior à entrada",IF(AND(F1039&lt;&gt;"",E1039=""),"Conversa sem agendamento",IF(OR(E1039&gt;TODAY(),F1039&gt;TODAY()),"Verificar evento futuro","OK"))))))))))</f>
        <v/>
      </c>
    </row>
    <row r="1040" spans="12:15">
      <c r="L1040" s="5">
        <f>IF(OR(A1040="",B1040=""),"",B1040-WEEKDAY(B1040,2)+1)</f>
        <v/>
      </c>
      <c r="M1040" s="5">
        <f>IF(L1040="","",L1040+6)</f>
        <v/>
      </c>
      <c r="N1040" s="6">
        <f>IF(OR(A1040="",B1040=""),"",DATE(YEAR(B1040),MONTH(B1040),1))</f>
        <v/>
      </c>
      <c r="O1040" s="7">
        <f>IF(COUNTA(A1040:K1040)=0,"",IF(OR(A1040="",B1040=""),"Preencher CPF e entrada",IF(COUNTIFS($A$12:$A$5011,A1040,$B$12:$B$5011,B1040)&gt;1,"CPF + dia duplicado",IF(OR(AND(G1040&lt;&gt;"",G1040&lt;&gt;0,G1040&lt;&gt;1),AND(H1040&lt;&gt;"",H1040&lt;&gt;0,H1040&lt;&gt;1)),"Flags devem ser 0 ou 1",IF(AND(H1040=1,LEN(TRIM(I1040))=0),"Preencher nome do indicante",IF(AND(H1040&lt;&gt;1,I1040&lt;&gt;""),"Nome sem indicação interna",IF(AND(G1040=1,F1040=""),"Fechamento sem conversa",IF(OR(AND(E1040&lt;&gt;"",E1040&lt;B1040),AND(F1040&lt;&gt;"",F1040&lt;B1040)),"Evento anterior à entrada",IF(AND(F1040&lt;&gt;"",E1040=""),"Conversa sem agendamento",IF(OR(E1040&gt;TODAY(),F1040&gt;TODAY()),"Verificar evento futuro","OK"))))))))))</f>
        <v/>
      </c>
    </row>
    <row r="1041" spans="12:15">
      <c r="L1041" s="5">
        <f>IF(OR(A1041="",B1041=""),"",B1041-WEEKDAY(B1041,2)+1)</f>
        <v/>
      </c>
      <c r="M1041" s="5">
        <f>IF(L1041="","",L1041+6)</f>
        <v/>
      </c>
      <c r="N1041" s="6">
        <f>IF(OR(A1041="",B1041=""),"",DATE(YEAR(B1041),MONTH(B1041),1))</f>
        <v/>
      </c>
      <c r="O1041" s="7">
        <f>IF(COUNTA(A1041:K1041)=0,"",IF(OR(A1041="",B1041=""),"Preencher CPF e entrada",IF(COUNTIFS($A$12:$A$5011,A1041,$B$12:$B$5011,B1041)&gt;1,"CPF + dia duplicado",IF(OR(AND(G1041&lt;&gt;"",G1041&lt;&gt;0,G1041&lt;&gt;1),AND(H1041&lt;&gt;"",H1041&lt;&gt;0,H1041&lt;&gt;1)),"Flags devem ser 0 ou 1",IF(AND(H1041=1,LEN(TRIM(I1041))=0),"Preencher nome do indicante",IF(AND(H1041&lt;&gt;1,I1041&lt;&gt;""),"Nome sem indicação interna",IF(AND(G1041=1,F1041=""),"Fechamento sem conversa",IF(OR(AND(E1041&lt;&gt;"",E1041&lt;B1041),AND(F1041&lt;&gt;"",F1041&lt;B1041)),"Evento anterior à entrada",IF(AND(F1041&lt;&gt;"",E1041=""),"Conversa sem agendamento",IF(OR(E1041&gt;TODAY(),F1041&gt;TODAY()),"Verificar evento futuro","OK"))))))))))</f>
        <v/>
      </c>
    </row>
    <row r="1042" spans="12:15">
      <c r="L1042" s="5">
        <f>IF(OR(A1042="",B1042=""),"",B1042-WEEKDAY(B1042,2)+1)</f>
        <v/>
      </c>
      <c r="M1042" s="5">
        <f>IF(L1042="","",L1042+6)</f>
        <v/>
      </c>
      <c r="N1042" s="6">
        <f>IF(OR(A1042="",B1042=""),"",DATE(YEAR(B1042),MONTH(B1042),1))</f>
        <v/>
      </c>
      <c r="O1042" s="7">
        <f>IF(COUNTA(A1042:K1042)=0,"",IF(OR(A1042="",B1042=""),"Preencher CPF e entrada",IF(COUNTIFS($A$12:$A$5011,A1042,$B$12:$B$5011,B1042)&gt;1,"CPF + dia duplicado",IF(OR(AND(G1042&lt;&gt;"",G1042&lt;&gt;0,G1042&lt;&gt;1),AND(H1042&lt;&gt;"",H1042&lt;&gt;0,H1042&lt;&gt;1)),"Flags devem ser 0 ou 1",IF(AND(H1042=1,LEN(TRIM(I1042))=0),"Preencher nome do indicante",IF(AND(H1042&lt;&gt;1,I1042&lt;&gt;""),"Nome sem indicação interna",IF(AND(G1042=1,F1042=""),"Fechamento sem conversa",IF(OR(AND(E1042&lt;&gt;"",E1042&lt;B1042),AND(F1042&lt;&gt;"",F1042&lt;B1042)),"Evento anterior à entrada",IF(AND(F1042&lt;&gt;"",E1042=""),"Conversa sem agendamento",IF(OR(E1042&gt;TODAY(),F1042&gt;TODAY()),"Verificar evento futuro","OK"))))))))))</f>
        <v/>
      </c>
    </row>
    <row r="1043" spans="12:15">
      <c r="L1043" s="5">
        <f>IF(OR(A1043="",B1043=""),"",B1043-WEEKDAY(B1043,2)+1)</f>
        <v/>
      </c>
      <c r="M1043" s="5">
        <f>IF(L1043="","",L1043+6)</f>
        <v/>
      </c>
      <c r="N1043" s="6">
        <f>IF(OR(A1043="",B1043=""),"",DATE(YEAR(B1043),MONTH(B1043),1))</f>
        <v/>
      </c>
      <c r="O1043" s="7">
        <f>IF(COUNTA(A1043:K1043)=0,"",IF(OR(A1043="",B1043=""),"Preencher CPF e entrada",IF(COUNTIFS($A$12:$A$5011,A1043,$B$12:$B$5011,B1043)&gt;1,"CPF + dia duplicado",IF(OR(AND(G1043&lt;&gt;"",G1043&lt;&gt;0,G1043&lt;&gt;1),AND(H1043&lt;&gt;"",H1043&lt;&gt;0,H1043&lt;&gt;1)),"Flags devem ser 0 ou 1",IF(AND(H1043=1,LEN(TRIM(I1043))=0),"Preencher nome do indicante",IF(AND(H1043&lt;&gt;1,I1043&lt;&gt;""),"Nome sem indicação interna",IF(AND(G1043=1,F1043=""),"Fechamento sem conversa",IF(OR(AND(E1043&lt;&gt;"",E1043&lt;B1043),AND(F1043&lt;&gt;"",F1043&lt;B1043)),"Evento anterior à entrada",IF(AND(F1043&lt;&gt;"",E1043=""),"Conversa sem agendamento",IF(OR(E1043&gt;TODAY(),F1043&gt;TODAY()),"Verificar evento futuro","OK"))))))))))</f>
        <v/>
      </c>
    </row>
    <row r="1044" spans="12:15">
      <c r="L1044" s="5">
        <f>IF(OR(A1044="",B1044=""),"",B1044-WEEKDAY(B1044,2)+1)</f>
        <v/>
      </c>
      <c r="M1044" s="5">
        <f>IF(L1044="","",L1044+6)</f>
        <v/>
      </c>
      <c r="N1044" s="6">
        <f>IF(OR(A1044="",B1044=""),"",DATE(YEAR(B1044),MONTH(B1044),1))</f>
        <v/>
      </c>
      <c r="O1044" s="7">
        <f>IF(COUNTA(A1044:K1044)=0,"",IF(OR(A1044="",B1044=""),"Preencher CPF e entrada",IF(COUNTIFS($A$12:$A$5011,A1044,$B$12:$B$5011,B1044)&gt;1,"CPF + dia duplicado",IF(OR(AND(G1044&lt;&gt;"",G1044&lt;&gt;0,G1044&lt;&gt;1),AND(H1044&lt;&gt;"",H1044&lt;&gt;0,H1044&lt;&gt;1)),"Flags devem ser 0 ou 1",IF(AND(H1044=1,LEN(TRIM(I1044))=0),"Preencher nome do indicante",IF(AND(H1044&lt;&gt;1,I1044&lt;&gt;""),"Nome sem indicação interna",IF(AND(G1044=1,F1044=""),"Fechamento sem conversa",IF(OR(AND(E1044&lt;&gt;"",E1044&lt;B1044),AND(F1044&lt;&gt;"",F1044&lt;B1044)),"Evento anterior à entrada",IF(AND(F1044&lt;&gt;"",E1044=""),"Conversa sem agendamento",IF(OR(E1044&gt;TODAY(),F1044&gt;TODAY()),"Verificar evento futuro","OK"))))))))))</f>
        <v/>
      </c>
    </row>
    <row r="1045" spans="12:15">
      <c r="L1045" s="5">
        <f>IF(OR(A1045="",B1045=""),"",B1045-WEEKDAY(B1045,2)+1)</f>
        <v/>
      </c>
      <c r="M1045" s="5">
        <f>IF(L1045="","",L1045+6)</f>
        <v/>
      </c>
      <c r="N1045" s="6">
        <f>IF(OR(A1045="",B1045=""),"",DATE(YEAR(B1045),MONTH(B1045),1))</f>
        <v/>
      </c>
      <c r="O1045" s="7">
        <f>IF(COUNTA(A1045:K1045)=0,"",IF(OR(A1045="",B1045=""),"Preencher CPF e entrada",IF(COUNTIFS($A$12:$A$5011,A1045,$B$12:$B$5011,B1045)&gt;1,"CPF + dia duplicado",IF(OR(AND(G1045&lt;&gt;"",G1045&lt;&gt;0,G1045&lt;&gt;1),AND(H1045&lt;&gt;"",H1045&lt;&gt;0,H1045&lt;&gt;1)),"Flags devem ser 0 ou 1",IF(AND(H1045=1,LEN(TRIM(I1045))=0),"Preencher nome do indicante",IF(AND(H1045&lt;&gt;1,I1045&lt;&gt;""),"Nome sem indicação interna",IF(AND(G1045=1,F1045=""),"Fechamento sem conversa",IF(OR(AND(E1045&lt;&gt;"",E1045&lt;B1045),AND(F1045&lt;&gt;"",F1045&lt;B1045)),"Evento anterior à entrada",IF(AND(F1045&lt;&gt;"",E1045=""),"Conversa sem agendamento",IF(OR(E1045&gt;TODAY(),F1045&gt;TODAY()),"Verificar evento futuro","OK"))))))))))</f>
        <v/>
      </c>
    </row>
    <row r="1046" spans="12:15">
      <c r="L1046" s="5">
        <f>IF(OR(A1046="",B1046=""),"",B1046-WEEKDAY(B1046,2)+1)</f>
        <v/>
      </c>
      <c r="M1046" s="5">
        <f>IF(L1046="","",L1046+6)</f>
        <v/>
      </c>
      <c r="N1046" s="6">
        <f>IF(OR(A1046="",B1046=""),"",DATE(YEAR(B1046),MONTH(B1046),1))</f>
        <v/>
      </c>
      <c r="O1046" s="7">
        <f>IF(COUNTA(A1046:K1046)=0,"",IF(OR(A1046="",B1046=""),"Preencher CPF e entrada",IF(COUNTIFS($A$12:$A$5011,A1046,$B$12:$B$5011,B1046)&gt;1,"CPF + dia duplicado",IF(OR(AND(G1046&lt;&gt;"",G1046&lt;&gt;0,G1046&lt;&gt;1),AND(H1046&lt;&gt;"",H1046&lt;&gt;0,H1046&lt;&gt;1)),"Flags devem ser 0 ou 1",IF(AND(H1046=1,LEN(TRIM(I1046))=0),"Preencher nome do indicante",IF(AND(H1046&lt;&gt;1,I1046&lt;&gt;""),"Nome sem indicação interna",IF(AND(G1046=1,F1046=""),"Fechamento sem conversa",IF(OR(AND(E1046&lt;&gt;"",E1046&lt;B1046),AND(F1046&lt;&gt;"",F1046&lt;B1046)),"Evento anterior à entrada",IF(AND(F1046&lt;&gt;"",E1046=""),"Conversa sem agendamento",IF(OR(E1046&gt;TODAY(),F1046&gt;TODAY()),"Verificar evento futuro","OK"))))))))))</f>
        <v/>
      </c>
    </row>
    <row r="1047" spans="12:15">
      <c r="L1047" s="5">
        <f>IF(OR(A1047="",B1047=""),"",B1047-WEEKDAY(B1047,2)+1)</f>
        <v/>
      </c>
      <c r="M1047" s="5">
        <f>IF(L1047="","",L1047+6)</f>
        <v/>
      </c>
      <c r="N1047" s="6">
        <f>IF(OR(A1047="",B1047=""),"",DATE(YEAR(B1047),MONTH(B1047),1))</f>
        <v/>
      </c>
      <c r="O1047" s="7">
        <f>IF(COUNTA(A1047:K1047)=0,"",IF(OR(A1047="",B1047=""),"Preencher CPF e entrada",IF(COUNTIFS($A$12:$A$5011,A1047,$B$12:$B$5011,B1047)&gt;1,"CPF + dia duplicado",IF(OR(AND(G1047&lt;&gt;"",G1047&lt;&gt;0,G1047&lt;&gt;1),AND(H1047&lt;&gt;"",H1047&lt;&gt;0,H1047&lt;&gt;1)),"Flags devem ser 0 ou 1",IF(AND(H1047=1,LEN(TRIM(I1047))=0),"Preencher nome do indicante",IF(AND(H1047&lt;&gt;1,I1047&lt;&gt;""),"Nome sem indicação interna",IF(AND(G1047=1,F1047=""),"Fechamento sem conversa",IF(OR(AND(E1047&lt;&gt;"",E1047&lt;B1047),AND(F1047&lt;&gt;"",F1047&lt;B1047)),"Evento anterior à entrada",IF(AND(F1047&lt;&gt;"",E1047=""),"Conversa sem agendamento",IF(OR(E1047&gt;TODAY(),F1047&gt;TODAY()),"Verificar evento futuro","OK"))))))))))</f>
        <v/>
      </c>
    </row>
    <row r="1048" spans="12:15">
      <c r="L1048" s="5">
        <f>IF(OR(A1048="",B1048=""),"",B1048-WEEKDAY(B1048,2)+1)</f>
        <v/>
      </c>
      <c r="M1048" s="5">
        <f>IF(L1048="","",L1048+6)</f>
        <v/>
      </c>
      <c r="N1048" s="6">
        <f>IF(OR(A1048="",B1048=""),"",DATE(YEAR(B1048),MONTH(B1048),1))</f>
        <v/>
      </c>
      <c r="O1048" s="7">
        <f>IF(COUNTA(A1048:K1048)=0,"",IF(OR(A1048="",B1048=""),"Preencher CPF e entrada",IF(COUNTIFS($A$12:$A$5011,A1048,$B$12:$B$5011,B1048)&gt;1,"CPF + dia duplicado",IF(OR(AND(G1048&lt;&gt;"",G1048&lt;&gt;0,G1048&lt;&gt;1),AND(H1048&lt;&gt;"",H1048&lt;&gt;0,H1048&lt;&gt;1)),"Flags devem ser 0 ou 1",IF(AND(H1048=1,LEN(TRIM(I1048))=0),"Preencher nome do indicante",IF(AND(H1048&lt;&gt;1,I1048&lt;&gt;""),"Nome sem indicação interna",IF(AND(G1048=1,F1048=""),"Fechamento sem conversa",IF(OR(AND(E1048&lt;&gt;"",E1048&lt;B1048),AND(F1048&lt;&gt;"",F1048&lt;B1048)),"Evento anterior à entrada",IF(AND(F1048&lt;&gt;"",E1048=""),"Conversa sem agendamento",IF(OR(E1048&gt;TODAY(),F1048&gt;TODAY()),"Verificar evento futuro","OK"))))))))))</f>
        <v/>
      </c>
    </row>
    <row r="1049" spans="12:15">
      <c r="L1049" s="5">
        <f>IF(OR(A1049="",B1049=""),"",B1049-WEEKDAY(B1049,2)+1)</f>
        <v/>
      </c>
      <c r="M1049" s="5">
        <f>IF(L1049="","",L1049+6)</f>
        <v/>
      </c>
      <c r="N1049" s="6">
        <f>IF(OR(A1049="",B1049=""),"",DATE(YEAR(B1049),MONTH(B1049),1))</f>
        <v/>
      </c>
      <c r="O1049" s="7">
        <f>IF(COUNTA(A1049:K1049)=0,"",IF(OR(A1049="",B1049=""),"Preencher CPF e entrada",IF(COUNTIFS($A$12:$A$5011,A1049,$B$12:$B$5011,B1049)&gt;1,"CPF + dia duplicado",IF(OR(AND(G1049&lt;&gt;"",G1049&lt;&gt;0,G1049&lt;&gt;1),AND(H1049&lt;&gt;"",H1049&lt;&gt;0,H1049&lt;&gt;1)),"Flags devem ser 0 ou 1",IF(AND(H1049=1,LEN(TRIM(I1049))=0),"Preencher nome do indicante",IF(AND(H1049&lt;&gt;1,I1049&lt;&gt;""),"Nome sem indicação interna",IF(AND(G1049=1,F1049=""),"Fechamento sem conversa",IF(OR(AND(E1049&lt;&gt;"",E1049&lt;B1049),AND(F1049&lt;&gt;"",F1049&lt;B1049)),"Evento anterior à entrada",IF(AND(F1049&lt;&gt;"",E1049=""),"Conversa sem agendamento",IF(OR(E1049&gt;TODAY(),F1049&gt;TODAY()),"Verificar evento futuro","OK"))))))))))</f>
        <v/>
      </c>
    </row>
    <row r="1050" spans="12:15">
      <c r="L1050" s="5">
        <f>IF(OR(A1050="",B1050=""),"",B1050-WEEKDAY(B1050,2)+1)</f>
        <v/>
      </c>
      <c r="M1050" s="5">
        <f>IF(L1050="","",L1050+6)</f>
        <v/>
      </c>
      <c r="N1050" s="6">
        <f>IF(OR(A1050="",B1050=""),"",DATE(YEAR(B1050),MONTH(B1050),1))</f>
        <v/>
      </c>
      <c r="O1050" s="7">
        <f>IF(COUNTA(A1050:K1050)=0,"",IF(OR(A1050="",B1050=""),"Preencher CPF e entrada",IF(COUNTIFS($A$12:$A$5011,A1050,$B$12:$B$5011,B1050)&gt;1,"CPF + dia duplicado",IF(OR(AND(G1050&lt;&gt;"",G1050&lt;&gt;0,G1050&lt;&gt;1),AND(H1050&lt;&gt;"",H1050&lt;&gt;0,H1050&lt;&gt;1)),"Flags devem ser 0 ou 1",IF(AND(H1050=1,LEN(TRIM(I1050))=0),"Preencher nome do indicante",IF(AND(H1050&lt;&gt;1,I1050&lt;&gt;""),"Nome sem indicação interna",IF(AND(G1050=1,F1050=""),"Fechamento sem conversa",IF(OR(AND(E1050&lt;&gt;"",E1050&lt;B1050),AND(F1050&lt;&gt;"",F1050&lt;B1050)),"Evento anterior à entrada",IF(AND(F1050&lt;&gt;"",E1050=""),"Conversa sem agendamento",IF(OR(E1050&gt;TODAY(),F1050&gt;TODAY()),"Verificar evento futuro","OK"))))))))))</f>
        <v/>
      </c>
    </row>
    <row r="1051" spans="12:15">
      <c r="L1051" s="5">
        <f>IF(OR(A1051="",B1051=""),"",B1051-WEEKDAY(B1051,2)+1)</f>
        <v/>
      </c>
      <c r="M1051" s="5">
        <f>IF(L1051="","",L1051+6)</f>
        <v/>
      </c>
      <c r="N1051" s="6">
        <f>IF(OR(A1051="",B1051=""),"",DATE(YEAR(B1051),MONTH(B1051),1))</f>
        <v/>
      </c>
      <c r="O1051" s="7">
        <f>IF(COUNTA(A1051:K1051)=0,"",IF(OR(A1051="",B1051=""),"Preencher CPF e entrada",IF(COUNTIFS($A$12:$A$5011,A1051,$B$12:$B$5011,B1051)&gt;1,"CPF + dia duplicado",IF(OR(AND(G1051&lt;&gt;"",G1051&lt;&gt;0,G1051&lt;&gt;1),AND(H1051&lt;&gt;"",H1051&lt;&gt;0,H1051&lt;&gt;1)),"Flags devem ser 0 ou 1",IF(AND(H1051=1,LEN(TRIM(I1051))=0),"Preencher nome do indicante",IF(AND(H1051&lt;&gt;1,I1051&lt;&gt;""),"Nome sem indicação interna",IF(AND(G1051=1,F1051=""),"Fechamento sem conversa",IF(OR(AND(E1051&lt;&gt;"",E1051&lt;B1051),AND(F1051&lt;&gt;"",F1051&lt;B1051)),"Evento anterior à entrada",IF(AND(F1051&lt;&gt;"",E1051=""),"Conversa sem agendamento",IF(OR(E1051&gt;TODAY(),F1051&gt;TODAY()),"Verificar evento futuro","OK"))))))))))</f>
        <v/>
      </c>
    </row>
    <row r="1052" spans="12:15">
      <c r="L1052" s="5">
        <f>IF(OR(A1052="",B1052=""),"",B1052-WEEKDAY(B1052,2)+1)</f>
        <v/>
      </c>
      <c r="M1052" s="5">
        <f>IF(L1052="","",L1052+6)</f>
        <v/>
      </c>
      <c r="N1052" s="6">
        <f>IF(OR(A1052="",B1052=""),"",DATE(YEAR(B1052),MONTH(B1052),1))</f>
        <v/>
      </c>
      <c r="O1052" s="7">
        <f>IF(COUNTA(A1052:K1052)=0,"",IF(OR(A1052="",B1052=""),"Preencher CPF e entrada",IF(COUNTIFS($A$12:$A$5011,A1052,$B$12:$B$5011,B1052)&gt;1,"CPF + dia duplicado",IF(OR(AND(G1052&lt;&gt;"",G1052&lt;&gt;0,G1052&lt;&gt;1),AND(H1052&lt;&gt;"",H1052&lt;&gt;0,H1052&lt;&gt;1)),"Flags devem ser 0 ou 1",IF(AND(H1052=1,LEN(TRIM(I1052))=0),"Preencher nome do indicante",IF(AND(H1052&lt;&gt;1,I1052&lt;&gt;""),"Nome sem indicação interna",IF(AND(G1052=1,F1052=""),"Fechamento sem conversa",IF(OR(AND(E1052&lt;&gt;"",E1052&lt;B1052),AND(F1052&lt;&gt;"",F1052&lt;B1052)),"Evento anterior à entrada",IF(AND(F1052&lt;&gt;"",E1052=""),"Conversa sem agendamento",IF(OR(E1052&gt;TODAY(),F1052&gt;TODAY()),"Verificar evento futuro","OK"))))))))))</f>
        <v/>
      </c>
    </row>
    <row r="1053" spans="12:15">
      <c r="L1053" s="5">
        <f>IF(OR(A1053="",B1053=""),"",B1053-WEEKDAY(B1053,2)+1)</f>
        <v/>
      </c>
      <c r="M1053" s="5">
        <f>IF(L1053="","",L1053+6)</f>
        <v/>
      </c>
      <c r="N1053" s="6">
        <f>IF(OR(A1053="",B1053=""),"",DATE(YEAR(B1053),MONTH(B1053),1))</f>
        <v/>
      </c>
      <c r="O1053" s="7">
        <f>IF(COUNTA(A1053:K1053)=0,"",IF(OR(A1053="",B1053=""),"Preencher CPF e entrada",IF(COUNTIFS($A$12:$A$5011,A1053,$B$12:$B$5011,B1053)&gt;1,"CPF + dia duplicado",IF(OR(AND(G1053&lt;&gt;"",G1053&lt;&gt;0,G1053&lt;&gt;1),AND(H1053&lt;&gt;"",H1053&lt;&gt;0,H1053&lt;&gt;1)),"Flags devem ser 0 ou 1",IF(AND(H1053=1,LEN(TRIM(I1053))=0),"Preencher nome do indicante",IF(AND(H1053&lt;&gt;1,I1053&lt;&gt;""),"Nome sem indicação interna",IF(AND(G1053=1,F1053=""),"Fechamento sem conversa",IF(OR(AND(E1053&lt;&gt;"",E1053&lt;B1053),AND(F1053&lt;&gt;"",F1053&lt;B1053)),"Evento anterior à entrada",IF(AND(F1053&lt;&gt;"",E1053=""),"Conversa sem agendamento",IF(OR(E1053&gt;TODAY(),F1053&gt;TODAY()),"Verificar evento futuro","OK"))))))))))</f>
        <v/>
      </c>
    </row>
    <row r="1054" spans="12:15">
      <c r="L1054" s="5">
        <f>IF(OR(A1054="",B1054=""),"",B1054-WEEKDAY(B1054,2)+1)</f>
        <v/>
      </c>
      <c r="M1054" s="5">
        <f>IF(L1054="","",L1054+6)</f>
        <v/>
      </c>
      <c r="N1054" s="6">
        <f>IF(OR(A1054="",B1054=""),"",DATE(YEAR(B1054),MONTH(B1054),1))</f>
        <v/>
      </c>
      <c r="O1054" s="7">
        <f>IF(COUNTA(A1054:K1054)=0,"",IF(OR(A1054="",B1054=""),"Preencher CPF e entrada",IF(COUNTIFS($A$12:$A$5011,A1054,$B$12:$B$5011,B1054)&gt;1,"CPF + dia duplicado",IF(OR(AND(G1054&lt;&gt;"",G1054&lt;&gt;0,G1054&lt;&gt;1),AND(H1054&lt;&gt;"",H1054&lt;&gt;0,H1054&lt;&gt;1)),"Flags devem ser 0 ou 1",IF(AND(H1054=1,LEN(TRIM(I1054))=0),"Preencher nome do indicante",IF(AND(H1054&lt;&gt;1,I1054&lt;&gt;""),"Nome sem indicação interna",IF(AND(G1054=1,F1054=""),"Fechamento sem conversa",IF(OR(AND(E1054&lt;&gt;"",E1054&lt;B1054),AND(F1054&lt;&gt;"",F1054&lt;B1054)),"Evento anterior à entrada",IF(AND(F1054&lt;&gt;"",E1054=""),"Conversa sem agendamento",IF(OR(E1054&gt;TODAY(),F1054&gt;TODAY()),"Verificar evento futuro","OK"))))))))))</f>
        <v/>
      </c>
    </row>
    <row r="1055" spans="12:15">
      <c r="L1055" s="5">
        <f>IF(OR(A1055="",B1055=""),"",B1055-WEEKDAY(B1055,2)+1)</f>
        <v/>
      </c>
      <c r="M1055" s="5">
        <f>IF(L1055="","",L1055+6)</f>
        <v/>
      </c>
      <c r="N1055" s="6">
        <f>IF(OR(A1055="",B1055=""),"",DATE(YEAR(B1055),MONTH(B1055),1))</f>
        <v/>
      </c>
      <c r="O1055" s="7">
        <f>IF(COUNTA(A1055:K1055)=0,"",IF(OR(A1055="",B1055=""),"Preencher CPF e entrada",IF(COUNTIFS($A$12:$A$5011,A1055,$B$12:$B$5011,B1055)&gt;1,"CPF + dia duplicado",IF(OR(AND(G1055&lt;&gt;"",G1055&lt;&gt;0,G1055&lt;&gt;1),AND(H1055&lt;&gt;"",H1055&lt;&gt;0,H1055&lt;&gt;1)),"Flags devem ser 0 ou 1",IF(AND(H1055=1,LEN(TRIM(I1055))=0),"Preencher nome do indicante",IF(AND(H1055&lt;&gt;1,I1055&lt;&gt;""),"Nome sem indicação interna",IF(AND(G1055=1,F1055=""),"Fechamento sem conversa",IF(OR(AND(E1055&lt;&gt;"",E1055&lt;B1055),AND(F1055&lt;&gt;"",F1055&lt;B1055)),"Evento anterior à entrada",IF(AND(F1055&lt;&gt;"",E1055=""),"Conversa sem agendamento",IF(OR(E1055&gt;TODAY(),F1055&gt;TODAY()),"Verificar evento futuro","OK"))))))))))</f>
        <v/>
      </c>
    </row>
    <row r="1056" spans="12:15">
      <c r="L1056" s="5">
        <f>IF(OR(A1056="",B1056=""),"",B1056-WEEKDAY(B1056,2)+1)</f>
        <v/>
      </c>
      <c r="M1056" s="5">
        <f>IF(L1056="","",L1056+6)</f>
        <v/>
      </c>
      <c r="N1056" s="6">
        <f>IF(OR(A1056="",B1056=""),"",DATE(YEAR(B1056),MONTH(B1056),1))</f>
        <v/>
      </c>
      <c r="O1056" s="7">
        <f>IF(COUNTA(A1056:K1056)=0,"",IF(OR(A1056="",B1056=""),"Preencher CPF e entrada",IF(COUNTIFS($A$12:$A$5011,A1056,$B$12:$B$5011,B1056)&gt;1,"CPF + dia duplicado",IF(OR(AND(G1056&lt;&gt;"",G1056&lt;&gt;0,G1056&lt;&gt;1),AND(H1056&lt;&gt;"",H1056&lt;&gt;0,H1056&lt;&gt;1)),"Flags devem ser 0 ou 1",IF(AND(H1056=1,LEN(TRIM(I1056))=0),"Preencher nome do indicante",IF(AND(H1056&lt;&gt;1,I1056&lt;&gt;""),"Nome sem indicação interna",IF(AND(G1056=1,F1056=""),"Fechamento sem conversa",IF(OR(AND(E1056&lt;&gt;"",E1056&lt;B1056),AND(F1056&lt;&gt;"",F1056&lt;B1056)),"Evento anterior à entrada",IF(AND(F1056&lt;&gt;"",E1056=""),"Conversa sem agendamento",IF(OR(E1056&gt;TODAY(),F1056&gt;TODAY()),"Verificar evento futuro","OK"))))))))))</f>
        <v/>
      </c>
    </row>
    <row r="1057" spans="12:15">
      <c r="L1057" s="5">
        <f>IF(OR(A1057="",B1057=""),"",B1057-WEEKDAY(B1057,2)+1)</f>
        <v/>
      </c>
      <c r="M1057" s="5">
        <f>IF(L1057="","",L1057+6)</f>
        <v/>
      </c>
      <c r="N1057" s="6">
        <f>IF(OR(A1057="",B1057=""),"",DATE(YEAR(B1057),MONTH(B1057),1))</f>
        <v/>
      </c>
      <c r="O1057" s="7">
        <f>IF(COUNTA(A1057:K1057)=0,"",IF(OR(A1057="",B1057=""),"Preencher CPF e entrada",IF(COUNTIFS($A$12:$A$5011,A1057,$B$12:$B$5011,B1057)&gt;1,"CPF + dia duplicado",IF(OR(AND(G1057&lt;&gt;"",G1057&lt;&gt;0,G1057&lt;&gt;1),AND(H1057&lt;&gt;"",H1057&lt;&gt;0,H1057&lt;&gt;1)),"Flags devem ser 0 ou 1",IF(AND(H1057=1,LEN(TRIM(I1057))=0),"Preencher nome do indicante",IF(AND(H1057&lt;&gt;1,I1057&lt;&gt;""),"Nome sem indicação interna",IF(AND(G1057=1,F1057=""),"Fechamento sem conversa",IF(OR(AND(E1057&lt;&gt;"",E1057&lt;B1057),AND(F1057&lt;&gt;"",F1057&lt;B1057)),"Evento anterior à entrada",IF(AND(F1057&lt;&gt;"",E1057=""),"Conversa sem agendamento",IF(OR(E1057&gt;TODAY(),F1057&gt;TODAY()),"Verificar evento futuro","OK"))))))))))</f>
        <v/>
      </c>
    </row>
    <row r="1058" spans="12:15">
      <c r="L1058" s="5">
        <f>IF(OR(A1058="",B1058=""),"",B1058-WEEKDAY(B1058,2)+1)</f>
        <v/>
      </c>
      <c r="M1058" s="5">
        <f>IF(L1058="","",L1058+6)</f>
        <v/>
      </c>
      <c r="N1058" s="6">
        <f>IF(OR(A1058="",B1058=""),"",DATE(YEAR(B1058),MONTH(B1058),1))</f>
        <v/>
      </c>
      <c r="O1058" s="7">
        <f>IF(COUNTA(A1058:K1058)=0,"",IF(OR(A1058="",B1058=""),"Preencher CPF e entrada",IF(COUNTIFS($A$12:$A$5011,A1058,$B$12:$B$5011,B1058)&gt;1,"CPF + dia duplicado",IF(OR(AND(G1058&lt;&gt;"",G1058&lt;&gt;0,G1058&lt;&gt;1),AND(H1058&lt;&gt;"",H1058&lt;&gt;0,H1058&lt;&gt;1)),"Flags devem ser 0 ou 1",IF(AND(H1058=1,LEN(TRIM(I1058))=0),"Preencher nome do indicante",IF(AND(H1058&lt;&gt;1,I1058&lt;&gt;""),"Nome sem indicação interna",IF(AND(G1058=1,F1058=""),"Fechamento sem conversa",IF(OR(AND(E1058&lt;&gt;"",E1058&lt;B1058),AND(F1058&lt;&gt;"",F1058&lt;B1058)),"Evento anterior à entrada",IF(AND(F1058&lt;&gt;"",E1058=""),"Conversa sem agendamento",IF(OR(E1058&gt;TODAY(),F1058&gt;TODAY()),"Verificar evento futuro","OK"))))))))))</f>
        <v/>
      </c>
    </row>
    <row r="1059" spans="12:15">
      <c r="L1059" s="5">
        <f>IF(OR(A1059="",B1059=""),"",B1059-WEEKDAY(B1059,2)+1)</f>
        <v/>
      </c>
      <c r="M1059" s="5">
        <f>IF(L1059="","",L1059+6)</f>
        <v/>
      </c>
      <c r="N1059" s="6">
        <f>IF(OR(A1059="",B1059=""),"",DATE(YEAR(B1059),MONTH(B1059),1))</f>
        <v/>
      </c>
      <c r="O1059" s="7">
        <f>IF(COUNTA(A1059:K1059)=0,"",IF(OR(A1059="",B1059=""),"Preencher CPF e entrada",IF(COUNTIFS($A$12:$A$5011,A1059,$B$12:$B$5011,B1059)&gt;1,"CPF + dia duplicado",IF(OR(AND(G1059&lt;&gt;"",G1059&lt;&gt;0,G1059&lt;&gt;1),AND(H1059&lt;&gt;"",H1059&lt;&gt;0,H1059&lt;&gt;1)),"Flags devem ser 0 ou 1",IF(AND(H1059=1,LEN(TRIM(I1059))=0),"Preencher nome do indicante",IF(AND(H1059&lt;&gt;1,I1059&lt;&gt;""),"Nome sem indicação interna",IF(AND(G1059=1,F1059=""),"Fechamento sem conversa",IF(OR(AND(E1059&lt;&gt;"",E1059&lt;B1059),AND(F1059&lt;&gt;"",F1059&lt;B1059)),"Evento anterior à entrada",IF(AND(F1059&lt;&gt;"",E1059=""),"Conversa sem agendamento",IF(OR(E1059&gt;TODAY(),F1059&gt;TODAY()),"Verificar evento futuro","OK"))))))))))</f>
        <v/>
      </c>
    </row>
    <row r="1060" spans="12:15">
      <c r="L1060" s="5">
        <f>IF(OR(A1060="",B1060=""),"",B1060-WEEKDAY(B1060,2)+1)</f>
        <v/>
      </c>
      <c r="M1060" s="5">
        <f>IF(L1060="","",L1060+6)</f>
        <v/>
      </c>
      <c r="N1060" s="6">
        <f>IF(OR(A1060="",B1060=""),"",DATE(YEAR(B1060),MONTH(B1060),1))</f>
        <v/>
      </c>
      <c r="O1060" s="7">
        <f>IF(COUNTA(A1060:K1060)=0,"",IF(OR(A1060="",B1060=""),"Preencher CPF e entrada",IF(COUNTIFS($A$12:$A$5011,A1060,$B$12:$B$5011,B1060)&gt;1,"CPF + dia duplicado",IF(OR(AND(G1060&lt;&gt;"",G1060&lt;&gt;0,G1060&lt;&gt;1),AND(H1060&lt;&gt;"",H1060&lt;&gt;0,H1060&lt;&gt;1)),"Flags devem ser 0 ou 1",IF(AND(H1060=1,LEN(TRIM(I1060))=0),"Preencher nome do indicante",IF(AND(H1060&lt;&gt;1,I1060&lt;&gt;""),"Nome sem indicação interna",IF(AND(G1060=1,F1060=""),"Fechamento sem conversa",IF(OR(AND(E1060&lt;&gt;"",E1060&lt;B1060),AND(F1060&lt;&gt;"",F1060&lt;B1060)),"Evento anterior à entrada",IF(AND(F1060&lt;&gt;"",E1060=""),"Conversa sem agendamento",IF(OR(E1060&gt;TODAY(),F1060&gt;TODAY()),"Verificar evento futuro","OK"))))))))))</f>
        <v/>
      </c>
    </row>
    <row r="1061" spans="12:15">
      <c r="L1061" s="5">
        <f>IF(OR(A1061="",B1061=""),"",B1061-WEEKDAY(B1061,2)+1)</f>
        <v/>
      </c>
      <c r="M1061" s="5">
        <f>IF(L1061="","",L1061+6)</f>
        <v/>
      </c>
      <c r="N1061" s="6">
        <f>IF(OR(A1061="",B1061=""),"",DATE(YEAR(B1061),MONTH(B1061),1))</f>
        <v/>
      </c>
      <c r="O1061" s="7">
        <f>IF(COUNTA(A1061:K1061)=0,"",IF(OR(A1061="",B1061=""),"Preencher CPF e entrada",IF(COUNTIFS($A$12:$A$5011,A1061,$B$12:$B$5011,B1061)&gt;1,"CPF + dia duplicado",IF(OR(AND(G1061&lt;&gt;"",G1061&lt;&gt;0,G1061&lt;&gt;1),AND(H1061&lt;&gt;"",H1061&lt;&gt;0,H1061&lt;&gt;1)),"Flags devem ser 0 ou 1",IF(AND(H1061=1,LEN(TRIM(I1061))=0),"Preencher nome do indicante",IF(AND(H1061&lt;&gt;1,I1061&lt;&gt;""),"Nome sem indicação interna",IF(AND(G1061=1,F1061=""),"Fechamento sem conversa",IF(OR(AND(E1061&lt;&gt;"",E1061&lt;B1061),AND(F1061&lt;&gt;"",F1061&lt;B1061)),"Evento anterior à entrada",IF(AND(F1061&lt;&gt;"",E1061=""),"Conversa sem agendamento",IF(OR(E1061&gt;TODAY(),F1061&gt;TODAY()),"Verificar evento futuro","OK"))))))))))</f>
        <v/>
      </c>
    </row>
    <row r="1062" spans="12:15">
      <c r="L1062" s="5">
        <f>IF(OR(A1062="",B1062=""),"",B1062-WEEKDAY(B1062,2)+1)</f>
        <v/>
      </c>
      <c r="M1062" s="5">
        <f>IF(L1062="","",L1062+6)</f>
        <v/>
      </c>
      <c r="N1062" s="6">
        <f>IF(OR(A1062="",B1062=""),"",DATE(YEAR(B1062),MONTH(B1062),1))</f>
        <v/>
      </c>
      <c r="O1062" s="7">
        <f>IF(COUNTA(A1062:K1062)=0,"",IF(OR(A1062="",B1062=""),"Preencher CPF e entrada",IF(COUNTIFS($A$12:$A$5011,A1062,$B$12:$B$5011,B1062)&gt;1,"CPF + dia duplicado",IF(OR(AND(G1062&lt;&gt;"",G1062&lt;&gt;0,G1062&lt;&gt;1),AND(H1062&lt;&gt;"",H1062&lt;&gt;0,H1062&lt;&gt;1)),"Flags devem ser 0 ou 1",IF(AND(H1062=1,LEN(TRIM(I1062))=0),"Preencher nome do indicante",IF(AND(H1062&lt;&gt;1,I1062&lt;&gt;""),"Nome sem indicação interna",IF(AND(G1062=1,F1062=""),"Fechamento sem conversa",IF(OR(AND(E1062&lt;&gt;"",E1062&lt;B1062),AND(F1062&lt;&gt;"",F1062&lt;B1062)),"Evento anterior à entrada",IF(AND(F1062&lt;&gt;"",E1062=""),"Conversa sem agendamento",IF(OR(E1062&gt;TODAY(),F1062&gt;TODAY()),"Verificar evento futuro","OK"))))))))))</f>
        <v/>
      </c>
    </row>
    <row r="1063" spans="12:15">
      <c r="L1063" s="5">
        <f>IF(OR(A1063="",B1063=""),"",B1063-WEEKDAY(B1063,2)+1)</f>
        <v/>
      </c>
      <c r="M1063" s="5">
        <f>IF(L1063="","",L1063+6)</f>
        <v/>
      </c>
      <c r="N1063" s="6">
        <f>IF(OR(A1063="",B1063=""),"",DATE(YEAR(B1063),MONTH(B1063),1))</f>
        <v/>
      </c>
      <c r="O1063" s="7">
        <f>IF(COUNTA(A1063:K1063)=0,"",IF(OR(A1063="",B1063=""),"Preencher CPF e entrada",IF(COUNTIFS($A$12:$A$5011,A1063,$B$12:$B$5011,B1063)&gt;1,"CPF + dia duplicado",IF(OR(AND(G1063&lt;&gt;"",G1063&lt;&gt;0,G1063&lt;&gt;1),AND(H1063&lt;&gt;"",H1063&lt;&gt;0,H1063&lt;&gt;1)),"Flags devem ser 0 ou 1",IF(AND(H1063=1,LEN(TRIM(I1063))=0),"Preencher nome do indicante",IF(AND(H1063&lt;&gt;1,I1063&lt;&gt;""),"Nome sem indicação interna",IF(AND(G1063=1,F1063=""),"Fechamento sem conversa",IF(OR(AND(E1063&lt;&gt;"",E1063&lt;B1063),AND(F1063&lt;&gt;"",F1063&lt;B1063)),"Evento anterior à entrada",IF(AND(F1063&lt;&gt;"",E1063=""),"Conversa sem agendamento",IF(OR(E1063&gt;TODAY(),F1063&gt;TODAY()),"Verificar evento futuro","OK"))))))))))</f>
        <v/>
      </c>
    </row>
    <row r="1064" spans="12:15">
      <c r="L1064" s="5">
        <f>IF(OR(A1064="",B1064=""),"",B1064-WEEKDAY(B1064,2)+1)</f>
        <v/>
      </c>
      <c r="M1064" s="5">
        <f>IF(L1064="","",L1064+6)</f>
        <v/>
      </c>
      <c r="N1064" s="6">
        <f>IF(OR(A1064="",B1064=""),"",DATE(YEAR(B1064),MONTH(B1064),1))</f>
        <v/>
      </c>
      <c r="O1064" s="7">
        <f>IF(COUNTA(A1064:K1064)=0,"",IF(OR(A1064="",B1064=""),"Preencher CPF e entrada",IF(COUNTIFS($A$12:$A$5011,A1064,$B$12:$B$5011,B1064)&gt;1,"CPF + dia duplicado",IF(OR(AND(G1064&lt;&gt;"",G1064&lt;&gt;0,G1064&lt;&gt;1),AND(H1064&lt;&gt;"",H1064&lt;&gt;0,H1064&lt;&gt;1)),"Flags devem ser 0 ou 1",IF(AND(H1064=1,LEN(TRIM(I1064))=0),"Preencher nome do indicante",IF(AND(H1064&lt;&gt;1,I1064&lt;&gt;""),"Nome sem indicação interna",IF(AND(G1064=1,F1064=""),"Fechamento sem conversa",IF(OR(AND(E1064&lt;&gt;"",E1064&lt;B1064),AND(F1064&lt;&gt;"",F1064&lt;B1064)),"Evento anterior à entrada",IF(AND(F1064&lt;&gt;"",E1064=""),"Conversa sem agendamento",IF(OR(E1064&gt;TODAY(),F1064&gt;TODAY()),"Verificar evento futuro","OK"))))))))))</f>
        <v/>
      </c>
    </row>
    <row r="1065" spans="12:15">
      <c r="L1065" s="5">
        <f>IF(OR(A1065="",B1065=""),"",B1065-WEEKDAY(B1065,2)+1)</f>
        <v/>
      </c>
      <c r="M1065" s="5">
        <f>IF(L1065="","",L1065+6)</f>
        <v/>
      </c>
      <c r="N1065" s="6">
        <f>IF(OR(A1065="",B1065=""),"",DATE(YEAR(B1065),MONTH(B1065),1))</f>
        <v/>
      </c>
      <c r="O1065" s="7">
        <f>IF(COUNTA(A1065:K1065)=0,"",IF(OR(A1065="",B1065=""),"Preencher CPF e entrada",IF(COUNTIFS($A$12:$A$5011,A1065,$B$12:$B$5011,B1065)&gt;1,"CPF + dia duplicado",IF(OR(AND(G1065&lt;&gt;"",G1065&lt;&gt;0,G1065&lt;&gt;1),AND(H1065&lt;&gt;"",H1065&lt;&gt;0,H1065&lt;&gt;1)),"Flags devem ser 0 ou 1",IF(AND(H1065=1,LEN(TRIM(I1065))=0),"Preencher nome do indicante",IF(AND(H1065&lt;&gt;1,I1065&lt;&gt;""),"Nome sem indicação interna",IF(AND(G1065=1,F1065=""),"Fechamento sem conversa",IF(OR(AND(E1065&lt;&gt;"",E1065&lt;B1065),AND(F1065&lt;&gt;"",F1065&lt;B1065)),"Evento anterior à entrada",IF(AND(F1065&lt;&gt;"",E1065=""),"Conversa sem agendamento",IF(OR(E1065&gt;TODAY(),F1065&gt;TODAY()),"Verificar evento futuro","OK"))))))))))</f>
        <v/>
      </c>
    </row>
    <row r="1066" spans="12:15">
      <c r="L1066" s="5">
        <f>IF(OR(A1066="",B1066=""),"",B1066-WEEKDAY(B1066,2)+1)</f>
        <v/>
      </c>
      <c r="M1066" s="5">
        <f>IF(L1066="","",L1066+6)</f>
        <v/>
      </c>
      <c r="N1066" s="6">
        <f>IF(OR(A1066="",B1066=""),"",DATE(YEAR(B1066),MONTH(B1066),1))</f>
        <v/>
      </c>
      <c r="O1066" s="7">
        <f>IF(COUNTA(A1066:K1066)=0,"",IF(OR(A1066="",B1066=""),"Preencher CPF e entrada",IF(COUNTIFS($A$12:$A$5011,A1066,$B$12:$B$5011,B1066)&gt;1,"CPF + dia duplicado",IF(OR(AND(G1066&lt;&gt;"",G1066&lt;&gt;0,G1066&lt;&gt;1),AND(H1066&lt;&gt;"",H1066&lt;&gt;0,H1066&lt;&gt;1)),"Flags devem ser 0 ou 1",IF(AND(H1066=1,LEN(TRIM(I1066))=0),"Preencher nome do indicante",IF(AND(H1066&lt;&gt;1,I1066&lt;&gt;""),"Nome sem indicação interna",IF(AND(G1066=1,F1066=""),"Fechamento sem conversa",IF(OR(AND(E1066&lt;&gt;"",E1066&lt;B1066),AND(F1066&lt;&gt;"",F1066&lt;B1066)),"Evento anterior à entrada",IF(AND(F1066&lt;&gt;"",E1066=""),"Conversa sem agendamento",IF(OR(E1066&gt;TODAY(),F1066&gt;TODAY()),"Verificar evento futuro","OK"))))))))))</f>
        <v/>
      </c>
    </row>
    <row r="1067" spans="12:15">
      <c r="L1067" s="5">
        <f>IF(OR(A1067="",B1067=""),"",B1067-WEEKDAY(B1067,2)+1)</f>
        <v/>
      </c>
      <c r="M1067" s="5">
        <f>IF(L1067="","",L1067+6)</f>
        <v/>
      </c>
      <c r="N1067" s="6">
        <f>IF(OR(A1067="",B1067=""),"",DATE(YEAR(B1067),MONTH(B1067),1))</f>
        <v/>
      </c>
      <c r="O1067" s="7">
        <f>IF(COUNTA(A1067:K1067)=0,"",IF(OR(A1067="",B1067=""),"Preencher CPF e entrada",IF(COUNTIFS($A$12:$A$5011,A1067,$B$12:$B$5011,B1067)&gt;1,"CPF + dia duplicado",IF(OR(AND(G1067&lt;&gt;"",G1067&lt;&gt;0,G1067&lt;&gt;1),AND(H1067&lt;&gt;"",H1067&lt;&gt;0,H1067&lt;&gt;1)),"Flags devem ser 0 ou 1",IF(AND(H1067=1,LEN(TRIM(I1067))=0),"Preencher nome do indicante",IF(AND(H1067&lt;&gt;1,I1067&lt;&gt;""),"Nome sem indicação interna",IF(AND(G1067=1,F1067=""),"Fechamento sem conversa",IF(OR(AND(E1067&lt;&gt;"",E1067&lt;B1067),AND(F1067&lt;&gt;"",F1067&lt;B1067)),"Evento anterior à entrada",IF(AND(F1067&lt;&gt;"",E1067=""),"Conversa sem agendamento",IF(OR(E1067&gt;TODAY(),F1067&gt;TODAY()),"Verificar evento futuro","OK"))))))))))</f>
        <v/>
      </c>
    </row>
    <row r="1068" spans="12:15">
      <c r="L1068" s="5">
        <f>IF(OR(A1068="",B1068=""),"",B1068-WEEKDAY(B1068,2)+1)</f>
        <v/>
      </c>
      <c r="M1068" s="5">
        <f>IF(L1068="","",L1068+6)</f>
        <v/>
      </c>
      <c r="N1068" s="6">
        <f>IF(OR(A1068="",B1068=""),"",DATE(YEAR(B1068),MONTH(B1068),1))</f>
        <v/>
      </c>
      <c r="O1068" s="7">
        <f>IF(COUNTA(A1068:K1068)=0,"",IF(OR(A1068="",B1068=""),"Preencher CPF e entrada",IF(COUNTIFS($A$12:$A$5011,A1068,$B$12:$B$5011,B1068)&gt;1,"CPF + dia duplicado",IF(OR(AND(G1068&lt;&gt;"",G1068&lt;&gt;0,G1068&lt;&gt;1),AND(H1068&lt;&gt;"",H1068&lt;&gt;0,H1068&lt;&gt;1)),"Flags devem ser 0 ou 1",IF(AND(H1068=1,LEN(TRIM(I1068))=0),"Preencher nome do indicante",IF(AND(H1068&lt;&gt;1,I1068&lt;&gt;""),"Nome sem indicação interna",IF(AND(G1068=1,F1068=""),"Fechamento sem conversa",IF(OR(AND(E1068&lt;&gt;"",E1068&lt;B1068),AND(F1068&lt;&gt;"",F1068&lt;B1068)),"Evento anterior à entrada",IF(AND(F1068&lt;&gt;"",E1068=""),"Conversa sem agendamento",IF(OR(E1068&gt;TODAY(),F1068&gt;TODAY()),"Verificar evento futuro","OK"))))))))))</f>
        <v/>
      </c>
    </row>
    <row r="1069" spans="12:15">
      <c r="L1069" s="5">
        <f>IF(OR(A1069="",B1069=""),"",B1069-WEEKDAY(B1069,2)+1)</f>
        <v/>
      </c>
      <c r="M1069" s="5">
        <f>IF(L1069="","",L1069+6)</f>
        <v/>
      </c>
      <c r="N1069" s="6">
        <f>IF(OR(A1069="",B1069=""),"",DATE(YEAR(B1069),MONTH(B1069),1))</f>
        <v/>
      </c>
      <c r="O1069" s="7">
        <f>IF(COUNTA(A1069:K1069)=0,"",IF(OR(A1069="",B1069=""),"Preencher CPF e entrada",IF(COUNTIFS($A$12:$A$5011,A1069,$B$12:$B$5011,B1069)&gt;1,"CPF + dia duplicado",IF(OR(AND(G1069&lt;&gt;"",G1069&lt;&gt;0,G1069&lt;&gt;1),AND(H1069&lt;&gt;"",H1069&lt;&gt;0,H1069&lt;&gt;1)),"Flags devem ser 0 ou 1",IF(AND(H1069=1,LEN(TRIM(I1069))=0),"Preencher nome do indicante",IF(AND(H1069&lt;&gt;1,I1069&lt;&gt;""),"Nome sem indicação interna",IF(AND(G1069=1,F1069=""),"Fechamento sem conversa",IF(OR(AND(E1069&lt;&gt;"",E1069&lt;B1069),AND(F1069&lt;&gt;"",F1069&lt;B1069)),"Evento anterior à entrada",IF(AND(F1069&lt;&gt;"",E1069=""),"Conversa sem agendamento",IF(OR(E1069&gt;TODAY(),F1069&gt;TODAY()),"Verificar evento futuro","OK"))))))))))</f>
        <v/>
      </c>
    </row>
    <row r="1070" spans="12:15">
      <c r="L1070" s="5">
        <f>IF(OR(A1070="",B1070=""),"",B1070-WEEKDAY(B1070,2)+1)</f>
        <v/>
      </c>
      <c r="M1070" s="5">
        <f>IF(L1070="","",L1070+6)</f>
        <v/>
      </c>
      <c r="N1070" s="6">
        <f>IF(OR(A1070="",B1070=""),"",DATE(YEAR(B1070),MONTH(B1070),1))</f>
        <v/>
      </c>
      <c r="O1070" s="7">
        <f>IF(COUNTA(A1070:K1070)=0,"",IF(OR(A1070="",B1070=""),"Preencher CPF e entrada",IF(COUNTIFS($A$12:$A$5011,A1070,$B$12:$B$5011,B1070)&gt;1,"CPF + dia duplicado",IF(OR(AND(G1070&lt;&gt;"",G1070&lt;&gt;0,G1070&lt;&gt;1),AND(H1070&lt;&gt;"",H1070&lt;&gt;0,H1070&lt;&gt;1)),"Flags devem ser 0 ou 1",IF(AND(H1070=1,LEN(TRIM(I1070))=0),"Preencher nome do indicante",IF(AND(H1070&lt;&gt;1,I1070&lt;&gt;""),"Nome sem indicação interna",IF(AND(G1070=1,F1070=""),"Fechamento sem conversa",IF(OR(AND(E1070&lt;&gt;"",E1070&lt;B1070),AND(F1070&lt;&gt;"",F1070&lt;B1070)),"Evento anterior à entrada",IF(AND(F1070&lt;&gt;"",E1070=""),"Conversa sem agendamento",IF(OR(E1070&gt;TODAY(),F1070&gt;TODAY()),"Verificar evento futuro","OK"))))))))))</f>
        <v/>
      </c>
    </row>
    <row r="1071" spans="12:15">
      <c r="L1071" s="5">
        <f>IF(OR(A1071="",B1071=""),"",B1071-WEEKDAY(B1071,2)+1)</f>
        <v/>
      </c>
      <c r="M1071" s="5">
        <f>IF(L1071="","",L1071+6)</f>
        <v/>
      </c>
      <c r="N1071" s="6">
        <f>IF(OR(A1071="",B1071=""),"",DATE(YEAR(B1071),MONTH(B1071),1))</f>
        <v/>
      </c>
      <c r="O1071" s="7">
        <f>IF(COUNTA(A1071:K1071)=0,"",IF(OR(A1071="",B1071=""),"Preencher CPF e entrada",IF(COUNTIFS($A$12:$A$5011,A1071,$B$12:$B$5011,B1071)&gt;1,"CPF + dia duplicado",IF(OR(AND(G1071&lt;&gt;"",G1071&lt;&gt;0,G1071&lt;&gt;1),AND(H1071&lt;&gt;"",H1071&lt;&gt;0,H1071&lt;&gt;1)),"Flags devem ser 0 ou 1",IF(AND(H1071=1,LEN(TRIM(I1071))=0),"Preencher nome do indicante",IF(AND(H1071&lt;&gt;1,I1071&lt;&gt;""),"Nome sem indicação interna",IF(AND(G1071=1,F1071=""),"Fechamento sem conversa",IF(OR(AND(E1071&lt;&gt;"",E1071&lt;B1071),AND(F1071&lt;&gt;"",F1071&lt;B1071)),"Evento anterior à entrada",IF(AND(F1071&lt;&gt;"",E1071=""),"Conversa sem agendamento",IF(OR(E1071&gt;TODAY(),F1071&gt;TODAY()),"Verificar evento futuro","OK"))))))))))</f>
        <v/>
      </c>
    </row>
    <row r="1072" spans="12:15">
      <c r="L1072" s="5">
        <f>IF(OR(A1072="",B1072=""),"",B1072-WEEKDAY(B1072,2)+1)</f>
        <v/>
      </c>
      <c r="M1072" s="5">
        <f>IF(L1072="","",L1072+6)</f>
        <v/>
      </c>
      <c r="N1072" s="6">
        <f>IF(OR(A1072="",B1072=""),"",DATE(YEAR(B1072),MONTH(B1072),1))</f>
        <v/>
      </c>
      <c r="O1072" s="7">
        <f>IF(COUNTA(A1072:K1072)=0,"",IF(OR(A1072="",B1072=""),"Preencher CPF e entrada",IF(COUNTIFS($A$12:$A$5011,A1072,$B$12:$B$5011,B1072)&gt;1,"CPF + dia duplicado",IF(OR(AND(G1072&lt;&gt;"",G1072&lt;&gt;0,G1072&lt;&gt;1),AND(H1072&lt;&gt;"",H1072&lt;&gt;0,H1072&lt;&gt;1)),"Flags devem ser 0 ou 1",IF(AND(H1072=1,LEN(TRIM(I1072))=0),"Preencher nome do indicante",IF(AND(H1072&lt;&gt;1,I1072&lt;&gt;""),"Nome sem indicação interna",IF(AND(G1072=1,F1072=""),"Fechamento sem conversa",IF(OR(AND(E1072&lt;&gt;"",E1072&lt;B1072),AND(F1072&lt;&gt;"",F1072&lt;B1072)),"Evento anterior à entrada",IF(AND(F1072&lt;&gt;"",E1072=""),"Conversa sem agendamento",IF(OR(E1072&gt;TODAY(),F1072&gt;TODAY()),"Verificar evento futuro","OK"))))))))))</f>
        <v/>
      </c>
    </row>
    <row r="1073" spans="12:15">
      <c r="L1073" s="5">
        <f>IF(OR(A1073="",B1073=""),"",B1073-WEEKDAY(B1073,2)+1)</f>
        <v/>
      </c>
      <c r="M1073" s="5">
        <f>IF(L1073="","",L1073+6)</f>
        <v/>
      </c>
      <c r="N1073" s="6">
        <f>IF(OR(A1073="",B1073=""),"",DATE(YEAR(B1073),MONTH(B1073),1))</f>
        <v/>
      </c>
      <c r="O1073" s="7">
        <f>IF(COUNTA(A1073:K1073)=0,"",IF(OR(A1073="",B1073=""),"Preencher CPF e entrada",IF(COUNTIFS($A$12:$A$5011,A1073,$B$12:$B$5011,B1073)&gt;1,"CPF + dia duplicado",IF(OR(AND(G1073&lt;&gt;"",G1073&lt;&gt;0,G1073&lt;&gt;1),AND(H1073&lt;&gt;"",H1073&lt;&gt;0,H1073&lt;&gt;1)),"Flags devem ser 0 ou 1",IF(AND(H1073=1,LEN(TRIM(I1073))=0),"Preencher nome do indicante",IF(AND(H1073&lt;&gt;1,I1073&lt;&gt;""),"Nome sem indicação interna",IF(AND(G1073=1,F1073=""),"Fechamento sem conversa",IF(OR(AND(E1073&lt;&gt;"",E1073&lt;B1073),AND(F1073&lt;&gt;"",F1073&lt;B1073)),"Evento anterior à entrada",IF(AND(F1073&lt;&gt;"",E1073=""),"Conversa sem agendamento",IF(OR(E1073&gt;TODAY(),F1073&gt;TODAY()),"Verificar evento futuro","OK"))))))))))</f>
        <v/>
      </c>
    </row>
    <row r="1074" spans="12:15">
      <c r="L1074" s="5">
        <f>IF(OR(A1074="",B1074=""),"",B1074-WEEKDAY(B1074,2)+1)</f>
        <v/>
      </c>
      <c r="M1074" s="5">
        <f>IF(L1074="","",L1074+6)</f>
        <v/>
      </c>
      <c r="N1074" s="6">
        <f>IF(OR(A1074="",B1074=""),"",DATE(YEAR(B1074),MONTH(B1074),1))</f>
        <v/>
      </c>
      <c r="O1074" s="7">
        <f>IF(COUNTA(A1074:K1074)=0,"",IF(OR(A1074="",B1074=""),"Preencher CPF e entrada",IF(COUNTIFS($A$12:$A$5011,A1074,$B$12:$B$5011,B1074)&gt;1,"CPF + dia duplicado",IF(OR(AND(G1074&lt;&gt;"",G1074&lt;&gt;0,G1074&lt;&gt;1),AND(H1074&lt;&gt;"",H1074&lt;&gt;0,H1074&lt;&gt;1)),"Flags devem ser 0 ou 1",IF(AND(H1074=1,LEN(TRIM(I1074))=0),"Preencher nome do indicante",IF(AND(H1074&lt;&gt;1,I1074&lt;&gt;""),"Nome sem indicação interna",IF(AND(G1074=1,F1074=""),"Fechamento sem conversa",IF(OR(AND(E1074&lt;&gt;"",E1074&lt;B1074),AND(F1074&lt;&gt;"",F1074&lt;B1074)),"Evento anterior à entrada",IF(AND(F1074&lt;&gt;"",E1074=""),"Conversa sem agendamento",IF(OR(E1074&gt;TODAY(),F1074&gt;TODAY()),"Verificar evento futuro","OK"))))))))))</f>
        <v/>
      </c>
    </row>
    <row r="1075" spans="12:15">
      <c r="L1075" s="5">
        <f>IF(OR(A1075="",B1075=""),"",B1075-WEEKDAY(B1075,2)+1)</f>
        <v/>
      </c>
      <c r="M1075" s="5">
        <f>IF(L1075="","",L1075+6)</f>
        <v/>
      </c>
      <c r="N1075" s="6">
        <f>IF(OR(A1075="",B1075=""),"",DATE(YEAR(B1075),MONTH(B1075),1))</f>
        <v/>
      </c>
      <c r="O1075" s="7">
        <f>IF(COUNTA(A1075:K1075)=0,"",IF(OR(A1075="",B1075=""),"Preencher CPF e entrada",IF(COUNTIFS($A$12:$A$5011,A1075,$B$12:$B$5011,B1075)&gt;1,"CPF + dia duplicado",IF(OR(AND(G1075&lt;&gt;"",G1075&lt;&gt;0,G1075&lt;&gt;1),AND(H1075&lt;&gt;"",H1075&lt;&gt;0,H1075&lt;&gt;1)),"Flags devem ser 0 ou 1",IF(AND(H1075=1,LEN(TRIM(I1075))=0),"Preencher nome do indicante",IF(AND(H1075&lt;&gt;1,I1075&lt;&gt;""),"Nome sem indicação interna",IF(AND(G1075=1,F1075=""),"Fechamento sem conversa",IF(OR(AND(E1075&lt;&gt;"",E1075&lt;B1075),AND(F1075&lt;&gt;"",F1075&lt;B1075)),"Evento anterior à entrada",IF(AND(F1075&lt;&gt;"",E1075=""),"Conversa sem agendamento",IF(OR(E1075&gt;TODAY(),F1075&gt;TODAY()),"Verificar evento futuro","OK"))))))))))</f>
        <v/>
      </c>
    </row>
    <row r="1076" spans="12:15">
      <c r="L1076" s="5">
        <f>IF(OR(A1076="",B1076=""),"",B1076-WEEKDAY(B1076,2)+1)</f>
        <v/>
      </c>
      <c r="M1076" s="5">
        <f>IF(L1076="","",L1076+6)</f>
        <v/>
      </c>
      <c r="N1076" s="6">
        <f>IF(OR(A1076="",B1076=""),"",DATE(YEAR(B1076),MONTH(B1076),1))</f>
        <v/>
      </c>
      <c r="O1076" s="7">
        <f>IF(COUNTA(A1076:K1076)=0,"",IF(OR(A1076="",B1076=""),"Preencher CPF e entrada",IF(COUNTIFS($A$12:$A$5011,A1076,$B$12:$B$5011,B1076)&gt;1,"CPF + dia duplicado",IF(OR(AND(G1076&lt;&gt;"",G1076&lt;&gt;0,G1076&lt;&gt;1),AND(H1076&lt;&gt;"",H1076&lt;&gt;0,H1076&lt;&gt;1)),"Flags devem ser 0 ou 1",IF(AND(H1076=1,LEN(TRIM(I1076))=0),"Preencher nome do indicante",IF(AND(H1076&lt;&gt;1,I1076&lt;&gt;""),"Nome sem indicação interna",IF(AND(G1076=1,F1076=""),"Fechamento sem conversa",IF(OR(AND(E1076&lt;&gt;"",E1076&lt;B1076),AND(F1076&lt;&gt;"",F1076&lt;B1076)),"Evento anterior à entrada",IF(AND(F1076&lt;&gt;"",E1076=""),"Conversa sem agendamento",IF(OR(E1076&gt;TODAY(),F1076&gt;TODAY()),"Verificar evento futuro","OK"))))))))))</f>
        <v/>
      </c>
    </row>
    <row r="1077" spans="12:15">
      <c r="L1077" s="5">
        <f>IF(OR(A1077="",B1077=""),"",B1077-WEEKDAY(B1077,2)+1)</f>
        <v/>
      </c>
      <c r="M1077" s="5">
        <f>IF(L1077="","",L1077+6)</f>
        <v/>
      </c>
      <c r="N1077" s="6">
        <f>IF(OR(A1077="",B1077=""),"",DATE(YEAR(B1077),MONTH(B1077),1))</f>
        <v/>
      </c>
      <c r="O1077" s="7">
        <f>IF(COUNTA(A1077:K1077)=0,"",IF(OR(A1077="",B1077=""),"Preencher CPF e entrada",IF(COUNTIFS($A$12:$A$5011,A1077,$B$12:$B$5011,B1077)&gt;1,"CPF + dia duplicado",IF(OR(AND(G1077&lt;&gt;"",G1077&lt;&gt;0,G1077&lt;&gt;1),AND(H1077&lt;&gt;"",H1077&lt;&gt;0,H1077&lt;&gt;1)),"Flags devem ser 0 ou 1",IF(AND(H1077=1,LEN(TRIM(I1077))=0),"Preencher nome do indicante",IF(AND(H1077&lt;&gt;1,I1077&lt;&gt;""),"Nome sem indicação interna",IF(AND(G1077=1,F1077=""),"Fechamento sem conversa",IF(OR(AND(E1077&lt;&gt;"",E1077&lt;B1077),AND(F1077&lt;&gt;"",F1077&lt;B1077)),"Evento anterior à entrada",IF(AND(F1077&lt;&gt;"",E1077=""),"Conversa sem agendamento",IF(OR(E1077&gt;TODAY(),F1077&gt;TODAY()),"Verificar evento futuro","OK"))))))))))</f>
        <v/>
      </c>
    </row>
    <row r="1078" spans="12:15">
      <c r="L1078" s="5">
        <f>IF(OR(A1078="",B1078=""),"",B1078-WEEKDAY(B1078,2)+1)</f>
        <v/>
      </c>
      <c r="M1078" s="5">
        <f>IF(L1078="","",L1078+6)</f>
        <v/>
      </c>
      <c r="N1078" s="6">
        <f>IF(OR(A1078="",B1078=""),"",DATE(YEAR(B1078),MONTH(B1078),1))</f>
        <v/>
      </c>
      <c r="O1078" s="7">
        <f>IF(COUNTA(A1078:K1078)=0,"",IF(OR(A1078="",B1078=""),"Preencher CPF e entrada",IF(COUNTIFS($A$12:$A$5011,A1078,$B$12:$B$5011,B1078)&gt;1,"CPF + dia duplicado",IF(OR(AND(G1078&lt;&gt;"",G1078&lt;&gt;0,G1078&lt;&gt;1),AND(H1078&lt;&gt;"",H1078&lt;&gt;0,H1078&lt;&gt;1)),"Flags devem ser 0 ou 1",IF(AND(H1078=1,LEN(TRIM(I1078))=0),"Preencher nome do indicante",IF(AND(H1078&lt;&gt;1,I1078&lt;&gt;""),"Nome sem indicação interna",IF(AND(G1078=1,F1078=""),"Fechamento sem conversa",IF(OR(AND(E1078&lt;&gt;"",E1078&lt;B1078),AND(F1078&lt;&gt;"",F1078&lt;B1078)),"Evento anterior à entrada",IF(AND(F1078&lt;&gt;"",E1078=""),"Conversa sem agendamento",IF(OR(E1078&gt;TODAY(),F1078&gt;TODAY()),"Verificar evento futuro","OK"))))))))))</f>
        <v/>
      </c>
    </row>
    <row r="1079" spans="12:15">
      <c r="L1079" s="5">
        <f>IF(OR(A1079="",B1079=""),"",B1079-WEEKDAY(B1079,2)+1)</f>
        <v/>
      </c>
      <c r="M1079" s="5">
        <f>IF(L1079="","",L1079+6)</f>
        <v/>
      </c>
      <c r="N1079" s="6">
        <f>IF(OR(A1079="",B1079=""),"",DATE(YEAR(B1079),MONTH(B1079),1))</f>
        <v/>
      </c>
      <c r="O1079" s="7">
        <f>IF(COUNTA(A1079:K1079)=0,"",IF(OR(A1079="",B1079=""),"Preencher CPF e entrada",IF(COUNTIFS($A$12:$A$5011,A1079,$B$12:$B$5011,B1079)&gt;1,"CPF + dia duplicado",IF(OR(AND(G1079&lt;&gt;"",G1079&lt;&gt;0,G1079&lt;&gt;1),AND(H1079&lt;&gt;"",H1079&lt;&gt;0,H1079&lt;&gt;1)),"Flags devem ser 0 ou 1",IF(AND(H1079=1,LEN(TRIM(I1079))=0),"Preencher nome do indicante",IF(AND(H1079&lt;&gt;1,I1079&lt;&gt;""),"Nome sem indicação interna",IF(AND(G1079=1,F1079=""),"Fechamento sem conversa",IF(OR(AND(E1079&lt;&gt;"",E1079&lt;B1079),AND(F1079&lt;&gt;"",F1079&lt;B1079)),"Evento anterior à entrada",IF(AND(F1079&lt;&gt;"",E1079=""),"Conversa sem agendamento",IF(OR(E1079&gt;TODAY(),F1079&gt;TODAY()),"Verificar evento futuro","OK"))))))))))</f>
        <v/>
      </c>
    </row>
    <row r="1080" spans="12:15">
      <c r="L1080" s="5">
        <f>IF(OR(A1080="",B1080=""),"",B1080-WEEKDAY(B1080,2)+1)</f>
        <v/>
      </c>
      <c r="M1080" s="5">
        <f>IF(L1080="","",L1080+6)</f>
        <v/>
      </c>
      <c r="N1080" s="6">
        <f>IF(OR(A1080="",B1080=""),"",DATE(YEAR(B1080),MONTH(B1080),1))</f>
        <v/>
      </c>
      <c r="O1080" s="7">
        <f>IF(COUNTA(A1080:K1080)=0,"",IF(OR(A1080="",B1080=""),"Preencher CPF e entrada",IF(COUNTIFS($A$12:$A$5011,A1080,$B$12:$B$5011,B1080)&gt;1,"CPF + dia duplicado",IF(OR(AND(G1080&lt;&gt;"",G1080&lt;&gt;0,G1080&lt;&gt;1),AND(H1080&lt;&gt;"",H1080&lt;&gt;0,H1080&lt;&gt;1)),"Flags devem ser 0 ou 1",IF(AND(H1080=1,LEN(TRIM(I1080))=0),"Preencher nome do indicante",IF(AND(H1080&lt;&gt;1,I1080&lt;&gt;""),"Nome sem indicação interna",IF(AND(G1080=1,F1080=""),"Fechamento sem conversa",IF(OR(AND(E1080&lt;&gt;"",E1080&lt;B1080),AND(F1080&lt;&gt;"",F1080&lt;B1080)),"Evento anterior à entrada",IF(AND(F1080&lt;&gt;"",E1080=""),"Conversa sem agendamento",IF(OR(E1080&gt;TODAY(),F1080&gt;TODAY()),"Verificar evento futuro","OK"))))))))))</f>
        <v/>
      </c>
    </row>
    <row r="1081" spans="12:15">
      <c r="L1081" s="5">
        <f>IF(OR(A1081="",B1081=""),"",B1081-WEEKDAY(B1081,2)+1)</f>
        <v/>
      </c>
      <c r="M1081" s="5">
        <f>IF(L1081="","",L1081+6)</f>
        <v/>
      </c>
      <c r="N1081" s="6">
        <f>IF(OR(A1081="",B1081=""),"",DATE(YEAR(B1081),MONTH(B1081),1))</f>
        <v/>
      </c>
      <c r="O1081" s="7">
        <f>IF(COUNTA(A1081:K1081)=0,"",IF(OR(A1081="",B1081=""),"Preencher CPF e entrada",IF(COUNTIFS($A$12:$A$5011,A1081,$B$12:$B$5011,B1081)&gt;1,"CPF + dia duplicado",IF(OR(AND(G1081&lt;&gt;"",G1081&lt;&gt;0,G1081&lt;&gt;1),AND(H1081&lt;&gt;"",H1081&lt;&gt;0,H1081&lt;&gt;1)),"Flags devem ser 0 ou 1",IF(AND(H1081=1,LEN(TRIM(I1081))=0),"Preencher nome do indicante",IF(AND(H1081&lt;&gt;1,I1081&lt;&gt;""),"Nome sem indicação interna",IF(AND(G1081=1,F1081=""),"Fechamento sem conversa",IF(OR(AND(E1081&lt;&gt;"",E1081&lt;B1081),AND(F1081&lt;&gt;"",F1081&lt;B1081)),"Evento anterior à entrada",IF(AND(F1081&lt;&gt;"",E1081=""),"Conversa sem agendamento",IF(OR(E1081&gt;TODAY(),F1081&gt;TODAY()),"Verificar evento futuro","OK"))))))))))</f>
        <v/>
      </c>
    </row>
    <row r="1082" spans="12:15">
      <c r="L1082" s="5">
        <f>IF(OR(A1082="",B1082=""),"",B1082-WEEKDAY(B1082,2)+1)</f>
        <v/>
      </c>
      <c r="M1082" s="5">
        <f>IF(L1082="","",L1082+6)</f>
        <v/>
      </c>
      <c r="N1082" s="6">
        <f>IF(OR(A1082="",B1082=""),"",DATE(YEAR(B1082),MONTH(B1082),1))</f>
        <v/>
      </c>
      <c r="O1082" s="7">
        <f>IF(COUNTA(A1082:K1082)=0,"",IF(OR(A1082="",B1082=""),"Preencher CPF e entrada",IF(COUNTIFS($A$12:$A$5011,A1082,$B$12:$B$5011,B1082)&gt;1,"CPF + dia duplicado",IF(OR(AND(G1082&lt;&gt;"",G1082&lt;&gt;0,G1082&lt;&gt;1),AND(H1082&lt;&gt;"",H1082&lt;&gt;0,H1082&lt;&gt;1)),"Flags devem ser 0 ou 1",IF(AND(H1082=1,LEN(TRIM(I1082))=0),"Preencher nome do indicante",IF(AND(H1082&lt;&gt;1,I1082&lt;&gt;""),"Nome sem indicação interna",IF(AND(G1082=1,F1082=""),"Fechamento sem conversa",IF(OR(AND(E1082&lt;&gt;"",E1082&lt;B1082),AND(F1082&lt;&gt;"",F1082&lt;B1082)),"Evento anterior à entrada",IF(AND(F1082&lt;&gt;"",E1082=""),"Conversa sem agendamento",IF(OR(E1082&gt;TODAY(),F1082&gt;TODAY()),"Verificar evento futuro","OK"))))))))))</f>
        <v/>
      </c>
    </row>
    <row r="1083" spans="12:15">
      <c r="L1083" s="5">
        <f>IF(OR(A1083="",B1083=""),"",B1083-WEEKDAY(B1083,2)+1)</f>
        <v/>
      </c>
      <c r="M1083" s="5">
        <f>IF(L1083="","",L1083+6)</f>
        <v/>
      </c>
      <c r="N1083" s="6">
        <f>IF(OR(A1083="",B1083=""),"",DATE(YEAR(B1083),MONTH(B1083),1))</f>
        <v/>
      </c>
      <c r="O1083" s="7">
        <f>IF(COUNTA(A1083:K1083)=0,"",IF(OR(A1083="",B1083=""),"Preencher CPF e entrada",IF(COUNTIFS($A$12:$A$5011,A1083,$B$12:$B$5011,B1083)&gt;1,"CPF + dia duplicado",IF(OR(AND(G1083&lt;&gt;"",G1083&lt;&gt;0,G1083&lt;&gt;1),AND(H1083&lt;&gt;"",H1083&lt;&gt;0,H1083&lt;&gt;1)),"Flags devem ser 0 ou 1",IF(AND(H1083=1,LEN(TRIM(I1083))=0),"Preencher nome do indicante",IF(AND(H1083&lt;&gt;1,I1083&lt;&gt;""),"Nome sem indicação interna",IF(AND(G1083=1,F1083=""),"Fechamento sem conversa",IF(OR(AND(E1083&lt;&gt;"",E1083&lt;B1083),AND(F1083&lt;&gt;"",F1083&lt;B1083)),"Evento anterior à entrada",IF(AND(F1083&lt;&gt;"",E1083=""),"Conversa sem agendamento",IF(OR(E1083&gt;TODAY(),F1083&gt;TODAY()),"Verificar evento futuro","OK"))))))))))</f>
        <v/>
      </c>
    </row>
    <row r="1084" spans="12:15">
      <c r="L1084" s="5">
        <f>IF(OR(A1084="",B1084=""),"",B1084-WEEKDAY(B1084,2)+1)</f>
        <v/>
      </c>
      <c r="M1084" s="5">
        <f>IF(L1084="","",L1084+6)</f>
        <v/>
      </c>
      <c r="N1084" s="6">
        <f>IF(OR(A1084="",B1084=""),"",DATE(YEAR(B1084),MONTH(B1084),1))</f>
        <v/>
      </c>
      <c r="O1084" s="7">
        <f>IF(COUNTA(A1084:K1084)=0,"",IF(OR(A1084="",B1084=""),"Preencher CPF e entrada",IF(COUNTIFS($A$12:$A$5011,A1084,$B$12:$B$5011,B1084)&gt;1,"CPF + dia duplicado",IF(OR(AND(G1084&lt;&gt;"",G1084&lt;&gt;0,G1084&lt;&gt;1),AND(H1084&lt;&gt;"",H1084&lt;&gt;0,H1084&lt;&gt;1)),"Flags devem ser 0 ou 1",IF(AND(H1084=1,LEN(TRIM(I1084))=0),"Preencher nome do indicante",IF(AND(H1084&lt;&gt;1,I1084&lt;&gt;""),"Nome sem indicação interna",IF(AND(G1084=1,F1084=""),"Fechamento sem conversa",IF(OR(AND(E1084&lt;&gt;"",E1084&lt;B1084),AND(F1084&lt;&gt;"",F1084&lt;B1084)),"Evento anterior à entrada",IF(AND(F1084&lt;&gt;"",E1084=""),"Conversa sem agendamento",IF(OR(E1084&gt;TODAY(),F1084&gt;TODAY()),"Verificar evento futuro","OK"))))))))))</f>
        <v/>
      </c>
    </row>
    <row r="1085" spans="12:15">
      <c r="L1085" s="5">
        <f>IF(OR(A1085="",B1085=""),"",B1085-WEEKDAY(B1085,2)+1)</f>
        <v/>
      </c>
      <c r="M1085" s="5">
        <f>IF(L1085="","",L1085+6)</f>
        <v/>
      </c>
      <c r="N1085" s="6">
        <f>IF(OR(A1085="",B1085=""),"",DATE(YEAR(B1085),MONTH(B1085),1))</f>
        <v/>
      </c>
      <c r="O1085" s="7">
        <f>IF(COUNTA(A1085:K1085)=0,"",IF(OR(A1085="",B1085=""),"Preencher CPF e entrada",IF(COUNTIFS($A$12:$A$5011,A1085,$B$12:$B$5011,B1085)&gt;1,"CPF + dia duplicado",IF(OR(AND(G1085&lt;&gt;"",G1085&lt;&gt;0,G1085&lt;&gt;1),AND(H1085&lt;&gt;"",H1085&lt;&gt;0,H1085&lt;&gt;1)),"Flags devem ser 0 ou 1",IF(AND(H1085=1,LEN(TRIM(I1085))=0),"Preencher nome do indicante",IF(AND(H1085&lt;&gt;1,I1085&lt;&gt;""),"Nome sem indicação interna",IF(AND(G1085=1,F1085=""),"Fechamento sem conversa",IF(OR(AND(E1085&lt;&gt;"",E1085&lt;B1085),AND(F1085&lt;&gt;"",F1085&lt;B1085)),"Evento anterior à entrada",IF(AND(F1085&lt;&gt;"",E1085=""),"Conversa sem agendamento",IF(OR(E1085&gt;TODAY(),F1085&gt;TODAY()),"Verificar evento futuro","OK"))))))))))</f>
        <v/>
      </c>
    </row>
    <row r="1086" spans="12:15">
      <c r="L1086" s="5">
        <f>IF(OR(A1086="",B1086=""),"",B1086-WEEKDAY(B1086,2)+1)</f>
        <v/>
      </c>
      <c r="M1086" s="5">
        <f>IF(L1086="","",L1086+6)</f>
        <v/>
      </c>
      <c r="N1086" s="6">
        <f>IF(OR(A1086="",B1086=""),"",DATE(YEAR(B1086),MONTH(B1086),1))</f>
        <v/>
      </c>
      <c r="O1086" s="7">
        <f>IF(COUNTA(A1086:K1086)=0,"",IF(OR(A1086="",B1086=""),"Preencher CPF e entrada",IF(COUNTIFS($A$12:$A$5011,A1086,$B$12:$B$5011,B1086)&gt;1,"CPF + dia duplicado",IF(OR(AND(G1086&lt;&gt;"",G1086&lt;&gt;0,G1086&lt;&gt;1),AND(H1086&lt;&gt;"",H1086&lt;&gt;0,H1086&lt;&gt;1)),"Flags devem ser 0 ou 1",IF(AND(H1086=1,LEN(TRIM(I1086))=0),"Preencher nome do indicante",IF(AND(H1086&lt;&gt;1,I1086&lt;&gt;""),"Nome sem indicação interna",IF(AND(G1086=1,F1086=""),"Fechamento sem conversa",IF(OR(AND(E1086&lt;&gt;"",E1086&lt;B1086),AND(F1086&lt;&gt;"",F1086&lt;B1086)),"Evento anterior à entrada",IF(AND(F1086&lt;&gt;"",E1086=""),"Conversa sem agendamento",IF(OR(E1086&gt;TODAY(),F1086&gt;TODAY()),"Verificar evento futuro","OK"))))))))))</f>
        <v/>
      </c>
    </row>
    <row r="1087" spans="12:15">
      <c r="L1087" s="5">
        <f>IF(OR(A1087="",B1087=""),"",B1087-WEEKDAY(B1087,2)+1)</f>
        <v/>
      </c>
      <c r="M1087" s="5">
        <f>IF(L1087="","",L1087+6)</f>
        <v/>
      </c>
      <c r="N1087" s="6">
        <f>IF(OR(A1087="",B1087=""),"",DATE(YEAR(B1087),MONTH(B1087),1))</f>
        <v/>
      </c>
      <c r="O1087" s="7">
        <f>IF(COUNTA(A1087:K1087)=0,"",IF(OR(A1087="",B1087=""),"Preencher CPF e entrada",IF(COUNTIFS($A$12:$A$5011,A1087,$B$12:$B$5011,B1087)&gt;1,"CPF + dia duplicado",IF(OR(AND(G1087&lt;&gt;"",G1087&lt;&gt;0,G1087&lt;&gt;1),AND(H1087&lt;&gt;"",H1087&lt;&gt;0,H1087&lt;&gt;1)),"Flags devem ser 0 ou 1",IF(AND(H1087=1,LEN(TRIM(I1087))=0),"Preencher nome do indicante",IF(AND(H1087&lt;&gt;1,I1087&lt;&gt;""),"Nome sem indicação interna",IF(AND(G1087=1,F1087=""),"Fechamento sem conversa",IF(OR(AND(E1087&lt;&gt;"",E1087&lt;B1087),AND(F1087&lt;&gt;"",F1087&lt;B1087)),"Evento anterior à entrada",IF(AND(F1087&lt;&gt;"",E1087=""),"Conversa sem agendamento",IF(OR(E1087&gt;TODAY(),F1087&gt;TODAY()),"Verificar evento futuro","OK"))))))))))</f>
        <v/>
      </c>
    </row>
    <row r="1088" spans="12:15">
      <c r="L1088" s="5">
        <f>IF(OR(A1088="",B1088=""),"",B1088-WEEKDAY(B1088,2)+1)</f>
        <v/>
      </c>
      <c r="M1088" s="5">
        <f>IF(L1088="","",L1088+6)</f>
        <v/>
      </c>
      <c r="N1088" s="6">
        <f>IF(OR(A1088="",B1088=""),"",DATE(YEAR(B1088),MONTH(B1088),1))</f>
        <v/>
      </c>
      <c r="O1088" s="7">
        <f>IF(COUNTA(A1088:K1088)=0,"",IF(OR(A1088="",B1088=""),"Preencher CPF e entrada",IF(COUNTIFS($A$12:$A$5011,A1088,$B$12:$B$5011,B1088)&gt;1,"CPF + dia duplicado",IF(OR(AND(G1088&lt;&gt;"",G1088&lt;&gt;0,G1088&lt;&gt;1),AND(H1088&lt;&gt;"",H1088&lt;&gt;0,H1088&lt;&gt;1)),"Flags devem ser 0 ou 1",IF(AND(H1088=1,LEN(TRIM(I1088))=0),"Preencher nome do indicante",IF(AND(H1088&lt;&gt;1,I1088&lt;&gt;""),"Nome sem indicação interna",IF(AND(G1088=1,F1088=""),"Fechamento sem conversa",IF(OR(AND(E1088&lt;&gt;"",E1088&lt;B1088),AND(F1088&lt;&gt;"",F1088&lt;B1088)),"Evento anterior à entrada",IF(AND(F1088&lt;&gt;"",E1088=""),"Conversa sem agendamento",IF(OR(E1088&gt;TODAY(),F1088&gt;TODAY()),"Verificar evento futuro","OK"))))))))))</f>
        <v/>
      </c>
    </row>
    <row r="1089" spans="12:15">
      <c r="L1089" s="5">
        <f>IF(OR(A1089="",B1089=""),"",B1089-WEEKDAY(B1089,2)+1)</f>
        <v/>
      </c>
      <c r="M1089" s="5">
        <f>IF(L1089="","",L1089+6)</f>
        <v/>
      </c>
      <c r="N1089" s="6">
        <f>IF(OR(A1089="",B1089=""),"",DATE(YEAR(B1089),MONTH(B1089),1))</f>
        <v/>
      </c>
      <c r="O1089" s="7">
        <f>IF(COUNTA(A1089:K1089)=0,"",IF(OR(A1089="",B1089=""),"Preencher CPF e entrada",IF(COUNTIFS($A$12:$A$5011,A1089,$B$12:$B$5011,B1089)&gt;1,"CPF + dia duplicado",IF(OR(AND(G1089&lt;&gt;"",G1089&lt;&gt;0,G1089&lt;&gt;1),AND(H1089&lt;&gt;"",H1089&lt;&gt;0,H1089&lt;&gt;1)),"Flags devem ser 0 ou 1",IF(AND(H1089=1,LEN(TRIM(I1089))=0),"Preencher nome do indicante",IF(AND(H1089&lt;&gt;1,I1089&lt;&gt;""),"Nome sem indicação interna",IF(AND(G1089=1,F1089=""),"Fechamento sem conversa",IF(OR(AND(E1089&lt;&gt;"",E1089&lt;B1089),AND(F1089&lt;&gt;"",F1089&lt;B1089)),"Evento anterior à entrada",IF(AND(F1089&lt;&gt;"",E1089=""),"Conversa sem agendamento",IF(OR(E1089&gt;TODAY(),F1089&gt;TODAY()),"Verificar evento futuro","OK"))))))))))</f>
        <v/>
      </c>
    </row>
    <row r="1090" spans="12:15">
      <c r="L1090" s="5">
        <f>IF(OR(A1090="",B1090=""),"",B1090-WEEKDAY(B1090,2)+1)</f>
        <v/>
      </c>
      <c r="M1090" s="5">
        <f>IF(L1090="","",L1090+6)</f>
        <v/>
      </c>
      <c r="N1090" s="6">
        <f>IF(OR(A1090="",B1090=""),"",DATE(YEAR(B1090),MONTH(B1090),1))</f>
        <v/>
      </c>
      <c r="O1090" s="7">
        <f>IF(COUNTA(A1090:K1090)=0,"",IF(OR(A1090="",B1090=""),"Preencher CPF e entrada",IF(COUNTIFS($A$12:$A$5011,A1090,$B$12:$B$5011,B1090)&gt;1,"CPF + dia duplicado",IF(OR(AND(G1090&lt;&gt;"",G1090&lt;&gt;0,G1090&lt;&gt;1),AND(H1090&lt;&gt;"",H1090&lt;&gt;0,H1090&lt;&gt;1)),"Flags devem ser 0 ou 1",IF(AND(H1090=1,LEN(TRIM(I1090))=0),"Preencher nome do indicante",IF(AND(H1090&lt;&gt;1,I1090&lt;&gt;""),"Nome sem indicação interna",IF(AND(G1090=1,F1090=""),"Fechamento sem conversa",IF(OR(AND(E1090&lt;&gt;"",E1090&lt;B1090),AND(F1090&lt;&gt;"",F1090&lt;B1090)),"Evento anterior à entrada",IF(AND(F1090&lt;&gt;"",E1090=""),"Conversa sem agendamento",IF(OR(E1090&gt;TODAY(),F1090&gt;TODAY()),"Verificar evento futuro","OK"))))))))))</f>
        <v/>
      </c>
    </row>
    <row r="1091" spans="12:15">
      <c r="L1091" s="5">
        <f>IF(OR(A1091="",B1091=""),"",B1091-WEEKDAY(B1091,2)+1)</f>
        <v/>
      </c>
      <c r="M1091" s="5">
        <f>IF(L1091="","",L1091+6)</f>
        <v/>
      </c>
      <c r="N1091" s="6">
        <f>IF(OR(A1091="",B1091=""),"",DATE(YEAR(B1091),MONTH(B1091),1))</f>
        <v/>
      </c>
      <c r="O1091" s="7">
        <f>IF(COUNTA(A1091:K1091)=0,"",IF(OR(A1091="",B1091=""),"Preencher CPF e entrada",IF(COUNTIFS($A$12:$A$5011,A1091,$B$12:$B$5011,B1091)&gt;1,"CPF + dia duplicado",IF(OR(AND(G1091&lt;&gt;"",G1091&lt;&gt;0,G1091&lt;&gt;1),AND(H1091&lt;&gt;"",H1091&lt;&gt;0,H1091&lt;&gt;1)),"Flags devem ser 0 ou 1",IF(AND(H1091=1,LEN(TRIM(I1091))=0),"Preencher nome do indicante",IF(AND(H1091&lt;&gt;1,I1091&lt;&gt;""),"Nome sem indicação interna",IF(AND(G1091=1,F1091=""),"Fechamento sem conversa",IF(OR(AND(E1091&lt;&gt;"",E1091&lt;B1091),AND(F1091&lt;&gt;"",F1091&lt;B1091)),"Evento anterior à entrada",IF(AND(F1091&lt;&gt;"",E1091=""),"Conversa sem agendamento",IF(OR(E1091&gt;TODAY(),F1091&gt;TODAY()),"Verificar evento futuro","OK"))))))))))</f>
        <v/>
      </c>
    </row>
    <row r="1092" spans="12:15">
      <c r="L1092" s="5">
        <f>IF(OR(A1092="",B1092=""),"",B1092-WEEKDAY(B1092,2)+1)</f>
        <v/>
      </c>
      <c r="M1092" s="5">
        <f>IF(L1092="","",L1092+6)</f>
        <v/>
      </c>
      <c r="N1092" s="6">
        <f>IF(OR(A1092="",B1092=""),"",DATE(YEAR(B1092),MONTH(B1092),1))</f>
        <v/>
      </c>
      <c r="O1092" s="7">
        <f>IF(COUNTA(A1092:K1092)=0,"",IF(OR(A1092="",B1092=""),"Preencher CPF e entrada",IF(COUNTIFS($A$12:$A$5011,A1092,$B$12:$B$5011,B1092)&gt;1,"CPF + dia duplicado",IF(OR(AND(G1092&lt;&gt;"",G1092&lt;&gt;0,G1092&lt;&gt;1),AND(H1092&lt;&gt;"",H1092&lt;&gt;0,H1092&lt;&gt;1)),"Flags devem ser 0 ou 1",IF(AND(H1092=1,LEN(TRIM(I1092))=0),"Preencher nome do indicante",IF(AND(H1092&lt;&gt;1,I1092&lt;&gt;""),"Nome sem indicação interna",IF(AND(G1092=1,F1092=""),"Fechamento sem conversa",IF(OR(AND(E1092&lt;&gt;"",E1092&lt;B1092),AND(F1092&lt;&gt;"",F1092&lt;B1092)),"Evento anterior à entrada",IF(AND(F1092&lt;&gt;"",E1092=""),"Conversa sem agendamento",IF(OR(E1092&gt;TODAY(),F1092&gt;TODAY()),"Verificar evento futuro","OK"))))))))))</f>
        <v/>
      </c>
    </row>
    <row r="1093" spans="12:15">
      <c r="L1093" s="5">
        <f>IF(OR(A1093="",B1093=""),"",B1093-WEEKDAY(B1093,2)+1)</f>
        <v/>
      </c>
      <c r="M1093" s="5">
        <f>IF(L1093="","",L1093+6)</f>
        <v/>
      </c>
      <c r="N1093" s="6">
        <f>IF(OR(A1093="",B1093=""),"",DATE(YEAR(B1093),MONTH(B1093),1))</f>
        <v/>
      </c>
      <c r="O1093" s="7">
        <f>IF(COUNTA(A1093:K1093)=0,"",IF(OR(A1093="",B1093=""),"Preencher CPF e entrada",IF(COUNTIFS($A$12:$A$5011,A1093,$B$12:$B$5011,B1093)&gt;1,"CPF + dia duplicado",IF(OR(AND(G1093&lt;&gt;"",G1093&lt;&gt;0,G1093&lt;&gt;1),AND(H1093&lt;&gt;"",H1093&lt;&gt;0,H1093&lt;&gt;1)),"Flags devem ser 0 ou 1",IF(AND(H1093=1,LEN(TRIM(I1093))=0),"Preencher nome do indicante",IF(AND(H1093&lt;&gt;1,I1093&lt;&gt;""),"Nome sem indicação interna",IF(AND(G1093=1,F1093=""),"Fechamento sem conversa",IF(OR(AND(E1093&lt;&gt;"",E1093&lt;B1093),AND(F1093&lt;&gt;"",F1093&lt;B1093)),"Evento anterior à entrada",IF(AND(F1093&lt;&gt;"",E1093=""),"Conversa sem agendamento",IF(OR(E1093&gt;TODAY(),F1093&gt;TODAY()),"Verificar evento futuro","OK"))))))))))</f>
        <v/>
      </c>
    </row>
    <row r="1094" spans="12:15">
      <c r="L1094" s="5">
        <f>IF(OR(A1094="",B1094=""),"",B1094-WEEKDAY(B1094,2)+1)</f>
        <v/>
      </c>
      <c r="M1094" s="5">
        <f>IF(L1094="","",L1094+6)</f>
        <v/>
      </c>
      <c r="N1094" s="6">
        <f>IF(OR(A1094="",B1094=""),"",DATE(YEAR(B1094),MONTH(B1094),1))</f>
        <v/>
      </c>
      <c r="O1094" s="7">
        <f>IF(COUNTA(A1094:K1094)=0,"",IF(OR(A1094="",B1094=""),"Preencher CPF e entrada",IF(COUNTIFS($A$12:$A$5011,A1094,$B$12:$B$5011,B1094)&gt;1,"CPF + dia duplicado",IF(OR(AND(G1094&lt;&gt;"",G1094&lt;&gt;0,G1094&lt;&gt;1),AND(H1094&lt;&gt;"",H1094&lt;&gt;0,H1094&lt;&gt;1)),"Flags devem ser 0 ou 1",IF(AND(H1094=1,LEN(TRIM(I1094))=0),"Preencher nome do indicante",IF(AND(H1094&lt;&gt;1,I1094&lt;&gt;""),"Nome sem indicação interna",IF(AND(G1094=1,F1094=""),"Fechamento sem conversa",IF(OR(AND(E1094&lt;&gt;"",E1094&lt;B1094),AND(F1094&lt;&gt;"",F1094&lt;B1094)),"Evento anterior à entrada",IF(AND(F1094&lt;&gt;"",E1094=""),"Conversa sem agendamento",IF(OR(E1094&gt;TODAY(),F1094&gt;TODAY()),"Verificar evento futuro","OK"))))))))))</f>
        <v/>
      </c>
    </row>
    <row r="1095" spans="12:15">
      <c r="L1095" s="5">
        <f>IF(OR(A1095="",B1095=""),"",B1095-WEEKDAY(B1095,2)+1)</f>
        <v/>
      </c>
      <c r="M1095" s="5">
        <f>IF(L1095="","",L1095+6)</f>
        <v/>
      </c>
      <c r="N1095" s="6">
        <f>IF(OR(A1095="",B1095=""),"",DATE(YEAR(B1095),MONTH(B1095),1))</f>
        <v/>
      </c>
      <c r="O1095" s="7">
        <f>IF(COUNTA(A1095:K1095)=0,"",IF(OR(A1095="",B1095=""),"Preencher CPF e entrada",IF(COUNTIFS($A$12:$A$5011,A1095,$B$12:$B$5011,B1095)&gt;1,"CPF + dia duplicado",IF(OR(AND(G1095&lt;&gt;"",G1095&lt;&gt;0,G1095&lt;&gt;1),AND(H1095&lt;&gt;"",H1095&lt;&gt;0,H1095&lt;&gt;1)),"Flags devem ser 0 ou 1",IF(AND(H1095=1,LEN(TRIM(I1095))=0),"Preencher nome do indicante",IF(AND(H1095&lt;&gt;1,I1095&lt;&gt;""),"Nome sem indicação interna",IF(AND(G1095=1,F1095=""),"Fechamento sem conversa",IF(OR(AND(E1095&lt;&gt;"",E1095&lt;B1095),AND(F1095&lt;&gt;"",F1095&lt;B1095)),"Evento anterior à entrada",IF(AND(F1095&lt;&gt;"",E1095=""),"Conversa sem agendamento",IF(OR(E1095&gt;TODAY(),F1095&gt;TODAY()),"Verificar evento futuro","OK"))))))))))</f>
        <v/>
      </c>
    </row>
    <row r="1096" spans="12:15">
      <c r="L1096" s="5">
        <f>IF(OR(A1096="",B1096=""),"",B1096-WEEKDAY(B1096,2)+1)</f>
        <v/>
      </c>
      <c r="M1096" s="5">
        <f>IF(L1096="","",L1096+6)</f>
        <v/>
      </c>
      <c r="N1096" s="6">
        <f>IF(OR(A1096="",B1096=""),"",DATE(YEAR(B1096),MONTH(B1096),1))</f>
        <v/>
      </c>
      <c r="O1096" s="7">
        <f>IF(COUNTA(A1096:K1096)=0,"",IF(OR(A1096="",B1096=""),"Preencher CPF e entrada",IF(COUNTIFS($A$12:$A$5011,A1096,$B$12:$B$5011,B1096)&gt;1,"CPF + dia duplicado",IF(OR(AND(G1096&lt;&gt;"",G1096&lt;&gt;0,G1096&lt;&gt;1),AND(H1096&lt;&gt;"",H1096&lt;&gt;0,H1096&lt;&gt;1)),"Flags devem ser 0 ou 1",IF(AND(H1096=1,LEN(TRIM(I1096))=0),"Preencher nome do indicante",IF(AND(H1096&lt;&gt;1,I1096&lt;&gt;""),"Nome sem indicação interna",IF(AND(G1096=1,F1096=""),"Fechamento sem conversa",IF(OR(AND(E1096&lt;&gt;"",E1096&lt;B1096),AND(F1096&lt;&gt;"",F1096&lt;B1096)),"Evento anterior à entrada",IF(AND(F1096&lt;&gt;"",E1096=""),"Conversa sem agendamento",IF(OR(E1096&gt;TODAY(),F1096&gt;TODAY()),"Verificar evento futuro","OK"))))))))))</f>
        <v/>
      </c>
    </row>
    <row r="1097" spans="12:15">
      <c r="L1097" s="5">
        <f>IF(OR(A1097="",B1097=""),"",B1097-WEEKDAY(B1097,2)+1)</f>
        <v/>
      </c>
      <c r="M1097" s="5">
        <f>IF(L1097="","",L1097+6)</f>
        <v/>
      </c>
      <c r="N1097" s="6">
        <f>IF(OR(A1097="",B1097=""),"",DATE(YEAR(B1097),MONTH(B1097),1))</f>
        <v/>
      </c>
      <c r="O1097" s="7">
        <f>IF(COUNTA(A1097:K1097)=0,"",IF(OR(A1097="",B1097=""),"Preencher CPF e entrada",IF(COUNTIFS($A$12:$A$5011,A1097,$B$12:$B$5011,B1097)&gt;1,"CPF + dia duplicado",IF(OR(AND(G1097&lt;&gt;"",G1097&lt;&gt;0,G1097&lt;&gt;1),AND(H1097&lt;&gt;"",H1097&lt;&gt;0,H1097&lt;&gt;1)),"Flags devem ser 0 ou 1",IF(AND(H1097=1,LEN(TRIM(I1097))=0),"Preencher nome do indicante",IF(AND(H1097&lt;&gt;1,I1097&lt;&gt;""),"Nome sem indicação interna",IF(AND(G1097=1,F1097=""),"Fechamento sem conversa",IF(OR(AND(E1097&lt;&gt;"",E1097&lt;B1097),AND(F1097&lt;&gt;"",F1097&lt;B1097)),"Evento anterior à entrada",IF(AND(F1097&lt;&gt;"",E1097=""),"Conversa sem agendamento",IF(OR(E1097&gt;TODAY(),F1097&gt;TODAY()),"Verificar evento futuro","OK"))))))))))</f>
        <v/>
      </c>
    </row>
    <row r="1098" spans="12:15">
      <c r="L1098" s="5">
        <f>IF(OR(A1098="",B1098=""),"",B1098-WEEKDAY(B1098,2)+1)</f>
        <v/>
      </c>
      <c r="M1098" s="5">
        <f>IF(L1098="","",L1098+6)</f>
        <v/>
      </c>
      <c r="N1098" s="6">
        <f>IF(OR(A1098="",B1098=""),"",DATE(YEAR(B1098),MONTH(B1098),1))</f>
        <v/>
      </c>
      <c r="O1098" s="7">
        <f>IF(COUNTA(A1098:K1098)=0,"",IF(OR(A1098="",B1098=""),"Preencher CPF e entrada",IF(COUNTIFS($A$12:$A$5011,A1098,$B$12:$B$5011,B1098)&gt;1,"CPF + dia duplicado",IF(OR(AND(G1098&lt;&gt;"",G1098&lt;&gt;0,G1098&lt;&gt;1),AND(H1098&lt;&gt;"",H1098&lt;&gt;0,H1098&lt;&gt;1)),"Flags devem ser 0 ou 1",IF(AND(H1098=1,LEN(TRIM(I1098))=0),"Preencher nome do indicante",IF(AND(H1098&lt;&gt;1,I1098&lt;&gt;""),"Nome sem indicação interna",IF(AND(G1098=1,F1098=""),"Fechamento sem conversa",IF(OR(AND(E1098&lt;&gt;"",E1098&lt;B1098),AND(F1098&lt;&gt;"",F1098&lt;B1098)),"Evento anterior à entrada",IF(AND(F1098&lt;&gt;"",E1098=""),"Conversa sem agendamento",IF(OR(E1098&gt;TODAY(),F1098&gt;TODAY()),"Verificar evento futuro","OK"))))))))))</f>
        <v/>
      </c>
    </row>
    <row r="1099" spans="12:15">
      <c r="L1099" s="5">
        <f>IF(OR(A1099="",B1099=""),"",B1099-WEEKDAY(B1099,2)+1)</f>
        <v/>
      </c>
      <c r="M1099" s="5">
        <f>IF(L1099="","",L1099+6)</f>
        <v/>
      </c>
      <c r="N1099" s="6">
        <f>IF(OR(A1099="",B1099=""),"",DATE(YEAR(B1099),MONTH(B1099),1))</f>
        <v/>
      </c>
      <c r="O1099" s="7">
        <f>IF(COUNTA(A1099:K1099)=0,"",IF(OR(A1099="",B1099=""),"Preencher CPF e entrada",IF(COUNTIFS($A$12:$A$5011,A1099,$B$12:$B$5011,B1099)&gt;1,"CPF + dia duplicado",IF(OR(AND(G1099&lt;&gt;"",G1099&lt;&gt;0,G1099&lt;&gt;1),AND(H1099&lt;&gt;"",H1099&lt;&gt;0,H1099&lt;&gt;1)),"Flags devem ser 0 ou 1",IF(AND(H1099=1,LEN(TRIM(I1099))=0),"Preencher nome do indicante",IF(AND(H1099&lt;&gt;1,I1099&lt;&gt;""),"Nome sem indicação interna",IF(AND(G1099=1,F1099=""),"Fechamento sem conversa",IF(OR(AND(E1099&lt;&gt;"",E1099&lt;B1099),AND(F1099&lt;&gt;"",F1099&lt;B1099)),"Evento anterior à entrada",IF(AND(F1099&lt;&gt;"",E1099=""),"Conversa sem agendamento",IF(OR(E1099&gt;TODAY(),F1099&gt;TODAY()),"Verificar evento futuro","OK"))))))))))</f>
        <v/>
      </c>
    </row>
    <row r="1100" spans="12:15">
      <c r="L1100" s="5">
        <f>IF(OR(A1100="",B1100=""),"",B1100-WEEKDAY(B1100,2)+1)</f>
        <v/>
      </c>
      <c r="M1100" s="5">
        <f>IF(L1100="","",L1100+6)</f>
        <v/>
      </c>
      <c r="N1100" s="6">
        <f>IF(OR(A1100="",B1100=""),"",DATE(YEAR(B1100),MONTH(B1100),1))</f>
        <v/>
      </c>
      <c r="O1100" s="7">
        <f>IF(COUNTA(A1100:K1100)=0,"",IF(OR(A1100="",B1100=""),"Preencher CPF e entrada",IF(COUNTIFS($A$12:$A$5011,A1100,$B$12:$B$5011,B1100)&gt;1,"CPF + dia duplicado",IF(OR(AND(G1100&lt;&gt;"",G1100&lt;&gt;0,G1100&lt;&gt;1),AND(H1100&lt;&gt;"",H1100&lt;&gt;0,H1100&lt;&gt;1)),"Flags devem ser 0 ou 1",IF(AND(H1100=1,LEN(TRIM(I1100))=0),"Preencher nome do indicante",IF(AND(H1100&lt;&gt;1,I1100&lt;&gt;""),"Nome sem indicação interna",IF(AND(G1100=1,F1100=""),"Fechamento sem conversa",IF(OR(AND(E1100&lt;&gt;"",E1100&lt;B1100),AND(F1100&lt;&gt;"",F1100&lt;B1100)),"Evento anterior à entrada",IF(AND(F1100&lt;&gt;"",E1100=""),"Conversa sem agendamento",IF(OR(E1100&gt;TODAY(),F1100&gt;TODAY()),"Verificar evento futuro","OK"))))))))))</f>
        <v/>
      </c>
    </row>
    <row r="1101" spans="12:15">
      <c r="L1101" s="5">
        <f>IF(OR(A1101="",B1101=""),"",B1101-WEEKDAY(B1101,2)+1)</f>
        <v/>
      </c>
      <c r="M1101" s="5">
        <f>IF(L1101="","",L1101+6)</f>
        <v/>
      </c>
      <c r="N1101" s="6">
        <f>IF(OR(A1101="",B1101=""),"",DATE(YEAR(B1101),MONTH(B1101),1))</f>
        <v/>
      </c>
      <c r="O1101" s="7">
        <f>IF(COUNTA(A1101:K1101)=0,"",IF(OR(A1101="",B1101=""),"Preencher CPF e entrada",IF(COUNTIFS($A$12:$A$5011,A1101,$B$12:$B$5011,B1101)&gt;1,"CPF + dia duplicado",IF(OR(AND(G1101&lt;&gt;"",G1101&lt;&gt;0,G1101&lt;&gt;1),AND(H1101&lt;&gt;"",H1101&lt;&gt;0,H1101&lt;&gt;1)),"Flags devem ser 0 ou 1",IF(AND(H1101=1,LEN(TRIM(I1101))=0),"Preencher nome do indicante",IF(AND(H1101&lt;&gt;1,I1101&lt;&gt;""),"Nome sem indicação interna",IF(AND(G1101=1,F1101=""),"Fechamento sem conversa",IF(OR(AND(E1101&lt;&gt;"",E1101&lt;B1101),AND(F1101&lt;&gt;"",F1101&lt;B1101)),"Evento anterior à entrada",IF(AND(F1101&lt;&gt;"",E1101=""),"Conversa sem agendamento",IF(OR(E1101&gt;TODAY(),F1101&gt;TODAY()),"Verificar evento futuro","OK"))))))))))</f>
        <v/>
      </c>
    </row>
    <row r="1102" spans="12:15">
      <c r="L1102" s="5">
        <f>IF(OR(A1102="",B1102=""),"",B1102-WEEKDAY(B1102,2)+1)</f>
        <v/>
      </c>
      <c r="M1102" s="5">
        <f>IF(L1102="","",L1102+6)</f>
        <v/>
      </c>
      <c r="N1102" s="6">
        <f>IF(OR(A1102="",B1102=""),"",DATE(YEAR(B1102),MONTH(B1102),1))</f>
        <v/>
      </c>
      <c r="O1102" s="7">
        <f>IF(COUNTA(A1102:K1102)=0,"",IF(OR(A1102="",B1102=""),"Preencher CPF e entrada",IF(COUNTIFS($A$12:$A$5011,A1102,$B$12:$B$5011,B1102)&gt;1,"CPF + dia duplicado",IF(OR(AND(G1102&lt;&gt;"",G1102&lt;&gt;0,G1102&lt;&gt;1),AND(H1102&lt;&gt;"",H1102&lt;&gt;0,H1102&lt;&gt;1)),"Flags devem ser 0 ou 1",IF(AND(H1102=1,LEN(TRIM(I1102))=0),"Preencher nome do indicante",IF(AND(H1102&lt;&gt;1,I1102&lt;&gt;""),"Nome sem indicação interna",IF(AND(G1102=1,F1102=""),"Fechamento sem conversa",IF(OR(AND(E1102&lt;&gt;"",E1102&lt;B1102),AND(F1102&lt;&gt;"",F1102&lt;B1102)),"Evento anterior à entrada",IF(AND(F1102&lt;&gt;"",E1102=""),"Conversa sem agendamento",IF(OR(E1102&gt;TODAY(),F1102&gt;TODAY()),"Verificar evento futuro","OK"))))))))))</f>
        <v/>
      </c>
    </row>
    <row r="1103" spans="12:15">
      <c r="L1103" s="5">
        <f>IF(OR(A1103="",B1103=""),"",B1103-WEEKDAY(B1103,2)+1)</f>
        <v/>
      </c>
      <c r="M1103" s="5">
        <f>IF(L1103="","",L1103+6)</f>
        <v/>
      </c>
      <c r="N1103" s="6">
        <f>IF(OR(A1103="",B1103=""),"",DATE(YEAR(B1103),MONTH(B1103),1))</f>
        <v/>
      </c>
      <c r="O1103" s="7">
        <f>IF(COUNTA(A1103:K1103)=0,"",IF(OR(A1103="",B1103=""),"Preencher CPF e entrada",IF(COUNTIFS($A$12:$A$5011,A1103,$B$12:$B$5011,B1103)&gt;1,"CPF + dia duplicado",IF(OR(AND(G1103&lt;&gt;"",G1103&lt;&gt;0,G1103&lt;&gt;1),AND(H1103&lt;&gt;"",H1103&lt;&gt;0,H1103&lt;&gt;1)),"Flags devem ser 0 ou 1",IF(AND(H1103=1,LEN(TRIM(I1103))=0),"Preencher nome do indicante",IF(AND(H1103&lt;&gt;1,I1103&lt;&gt;""),"Nome sem indicação interna",IF(AND(G1103=1,F1103=""),"Fechamento sem conversa",IF(OR(AND(E1103&lt;&gt;"",E1103&lt;B1103),AND(F1103&lt;&gt;"",F1103&lt;B1103)),"Evento anterior à entrada",IF(AND(F1103&lt;&gt;"",E1103=""),"Conversa sem agendamento",IF(OR(E1103&gt;TODAY(),F1103&gt;TODAY()),"Verificar evento futuro","OK"))))))))))</f>
        <v/>
      </c>
    </row>
    <row r="1104" spans="12:15">
      <c r="L1104" s="5">
        <f>IF(OR(A1104="",B1104=""),"",B1104-WEEKDAY(B1104,2)+1)</f>
        <v/>
      </c>
      <c r="M1104" s="5">
        <f>IF(L1104="","",L1104+6)</f>
        <v/>
      </c>
      <c r="N1104" s="6">
        <f>IF(OR(A1104="",B1104=""),"",DATE(YEAR(B1104),MONTH(B1104),1))</f>
        <v/>
      </c>
      <c r="O1104" s="7">
        <f>IF(COUNTA(A1104:K1104)=0,"",IF(OR(A1104="",B1104=""),"Preencher CPF e entrada",IF(COUNTIFS($A$12:$A$5011,A1104,$B$12:$B$5011,B1104)&gt;1,"CPF + dia duplicado",IF(OR(AND(G1104&lt;&gt;"",G1104&lt;&gt;0,G1104&lt;&gt;1),AND(H1104&lt;&gt;"",H1104&lt;&gt;0,H1104&lt;&gt;1)),"Flags devem ser 0 ou 1",IF(AND(H1104=1,LEN(TRIM(I1104))=0),"Preencher nome do indicante",IF(AND(H1104&lt;&gt;1,I1104&lt;&gt;""),"Nome sem indicação interna",IF(AND(G1104=1,F1104=""),"Fechamento sem conversa",IF(OR(AND(E1104&lt;&gt;"",E1104&lt;B1104),AND(F1104&lt;&gt;"",F1104&lt;B1104)),"Evento anterior à entrada",IF(AND(F1104&lt;&gt;"",E1104=""),"Conversa sem agendamento",IF(OR(E1104&gt;TODAY(),F1104&gt;TODAY()),"Verificar evento futuro","OK"))))))))))</f>
        <v/>
      </c>
    </row>
    <row r="1105" spans="12:15">
      <c r="L1105" s="5">
        <f>IF(OR(A1105="",B1105=""),"",B1105-WEEKDAY(B1105,2)+1)</f>
        <v/>
      </c>
      <c r="M1105" s="5">
        <f>IF(L1105="","",L1105+6)</f>
        <v/>
      </c>
      <c r="N1105" s="6">
        <f>IF(OR(A1105="",B1105=""),"",DATE(YEAR(B1105),MONTH(B1105),1))</f>
        <v/>
      </c>
      <c r="O1105" s="7">
        <f>IF(COUNTA(A1105:K1105)=0,"",IF(OR(A1105="",B1105=""),"Preencher CPF e entrada",IF(COUNTIFS($A$12:$A$5011,A1105,$B$12:$B$5011,B1105)&gt;1,"CPF + dia duplicado",IF(OR(AND(G1105&lt;&gt;"",G1105&lt;&gt;0,G1105&lt;&gt;1),AND(H1105&lt;&gt;"",H1105&lt;&gt;0,H1105&lt;&gt;1)),"Flags devem ser 0 ou 1",IF(AND(H1105=1,LEN(TRIM(I1105))=0),"Preencher nome do indicante",IF(AND(H1105&lt;&gt;1,I1105&lt;&gt;""),"Nome sem indicação interna",IF(AND(G1105=1,F1105=""),"Fechamento sem conversa",IF(OR(AND(E1105&lt;&gt;"",E1105&lt;B1105),AND(F1105&lt;&gt;"",F1105&lt;B1105)),"Evento anterior à entrada",IF(AND(F1105&lt;&gt;"",E1105=""),"Conversa sem agendamento",IF(OR(E1105&gt;TODAY(),F1105&gt;TODAY()),"Verificar evento futuro","OK"))))))))))</f>
        <v/>
      </c>
    </row>
    <row r="1106" spans="12:15">
      <c r="L1106" s="5">
        <f>IF(OR(A1106="",B1106=""),"",B1106-WEEKDAY(B1106,2)+1)</f>
        <v/>
      </c>
      <c r="M1106" s="5">
        <f>IF(L1106="","",L1106+6)</f>
        <v/>
      </c>
      <c r="N1106" s="6">
        <f>IF(OR(A1106="",B1106=""),"",DATE(YEAR(B1106),MONTH(B1106),1))</f>
        <v/>
      </c>
      <c r="O1106" s="7">
        <f>IF(COUNTA(A1106:K1106)=0,"",IF(OR(A1106="",B1106=""),"Preencher CPF e entrada",IF(COUNTIFS($A$12:$A$5011,A1106,$B$12:$B$5011,B1106)&gt;1,"CPF + dia duplicado",IF(OR(AND(G1106&lt;&gt;"",G1106&lt;&gt;0,G1106&lt;&gt;1),AND(H1106&lt;&gt;"",H1106&lt;&gt;0,H1106&lt;&gt;1)),"Flags devem ser 0 ou 1",IF(AND(H1106=1,LEN(TRIM(I1106))=0),"Preencher nome do indicante",IF(AND(H1106&lt;&gt;1,I1106&lt;&gt;""),"Nome sem indicação interna",IF(AND(G1106=1,F1106=""),"Fechamento sem conversa",IF(OR(AND(E1106&lt;&gt;"",E1106&lt;B1106),AND(F1106&lt;&gt;"",F1106&lt;B1106)),"Evento anterior à entrada",IF(AND(F1106&lt;&gt;"",E1106=""),"Conversa sem agendamento",IF(OR(E1106&gt;TODAY(),F1106&gt;TODAY()),"Verificar evento futuro","OK"))))))))))</f>
        <v/>
      </c>
    </row>
    <row r="1107" spans="12:15">
      <c r="L1107" s="5">
        <f>IF(OR(A1107="",B1107=""),"",B1107-WEEKDAY(B1107,2)+1)</f>
        <v/>
      </c>
      <c r="M1107" s="5">
        <f>IF(L1107="","",L1107+6)</f>
        <v/>
      </c>
      <c r="N1107" s="6">
        <f>IF(OR(A1107="",B1107=""),"",DATE(YEAR(B1107),MONTH(B1107),1))</f>
        <v/>
      </c>
      <c r="O1107" s="7">
        <f>IF(COUNTA(A1107:K1107)=0,"",IF(OR(A1107="",B1107=""),"Preencher CPF e entrada",IF(COUNTIFS($A$12:$A$5011,A1107,$B$12:$B$5011,B1107)&gt;1,"CPF + dia duplicado",IF(OR(AND(G1107&lt;&gt;"",G1107&lt;&gt;0,G1107&lt;&gt;1),AND(H1107&lt;&gt;"",H1107&lt;&gt;0,H1107&lt;&gt;1)),"Flags devem ser 0 ou 1",IF(AND(H1107=1,LEN(TRIM(I1107))=0),"Preencher nome do indicante",IF(AND(H1107&lt;&gt;1,I1107&lt;&gt;""),"Nome sem indicação interna",IF(AND(G1107=1,F1107=""),"Fechamento sem conversa",IF(OR(AND(E1107&lt;&gt;"",E1107&lt;B1107),AND(F1107&lt;&gt;"",F1107&lt;B1107)),"Evento anterior à entrada",IF(AND(F1107&lt;&gt;"",E1107=""),"Conversa sem agendamento",IF(OR(E1107&gt;TODAY(),F1107&gt;TODAY()),"Verificar evento futuro","OK"))))))))))</f>
        <v/>
      </c>
    </row>
    <row r="1108" spans="12:15">
      <c r="L1108" s="5">
        <f>IF(OR(A1108="",B1108=""),"",B1108-WEEKDAY(B1108,2)+1)</f>
        <v/>
      </c>
      <c r="M1108" s="5">
        <f>IF(L1108="","",L1108+6)</f>
        <v/>
      </c>
      <c r="N1108" s="6">
        <f>IF(OR(A1108="",B1108=""),"",DATE(YEAR(B1108),MONTH(B1108),1))</f>
        <v/>
      </c>
      <c r="O1108" s="7">
        <f>IF(COUNTA(A1108:K1108)=0,"",IF(OR(A1108="",B1108=""),"Preencher CPF e entrada",IF(COUNTIFS($A$12:$A$5011,A1108,$B$12:$B$5011,B1108)&gt;1,"CPF + dia duplicado",IF(OR(AND(G1108&lt;&gt;"",G1108&lt;&gt;0,G1108&lt;&gt;1),AND(H1108&lt;&gt;"",H1108&lt;&gt;0,H1108&lt;&gt;1)),"Flags devem ser 0 ou 1",IF(AND(H1108=1,LEN(TRIM(I1108))=0),"Preencher nome do indicante",IF(AND(H1108&lt;&gt;1,I1108&lt;&gt;""),"Nome sem indicação interna",IF(AND(G1108=1,F1108=""),"Fechamento sem conversa",IF(OR(AND(E1108&lt;&gt;"",E1108&lt;B1108),AND(F1108&lt;&gt;"",F1108&lt;B1108)),"Evento anterior à entrada",IF(AND(F1108&lt;&gt;"",E1108=""),"Conversa sem agendamento",IF(OR(E1108&gt;TODAY(),F1108&gt;TODAY()),"Verificar evento futuro","OK"))))))))))</f>
        <v/>
      </c>
    </row>
    <row r="1109" spans="12:15">
      <c r="L1109" s="5">
        <f>IF(OR(A1109="",B1109=""),"",B1109-WEEKDAY(B1109,2)+1)</f>
        <v/>
      </c>
      <c r="M1109" s="5">
        <f>IF(L1109="","",L1109+6)</f>
        <v/>
      </c>
      <c r="N1109" s="6">
        <f>IF(OR(A1109="",B1109=""),"",DATE(YEAR(B1109),MONTH(B1109),1))</f>
        <v/>
      </c>
      <c r="O1109" s="7">
        <f>IF(COUNTA(A1109:K1109)=0,"",IF(OR(A1109="",B1109=""),"Preencher CPF e entrada",IF(COUNTIFS($A$12:$A$5011,A1109,$B$12:$B$5011,B1109)&gt;1,"CPF + dia duplicado",IF(OR(AND(G1109&lt;&gt;"",G1109&lt;&gt;0,G1109&lt;&gt;1),AND(H1109&lt;&gt;"",H1109&lt;&gt;0,H1109&lt;&gt;1)),"Flags devem ser 0 ou 1",IF(AND(H1109=1,LEN(TRIM(I1109))=0),"Preencher nome do indicante",IF(AND(H1109&lt;&gt;1,I1109&lt;&gt;""),"Nome sem indicação interna",IF(AND(G1109=1,F1109=""),"Fechamento sem conversa",IF(OR(AND(E1109&lt;&gt;"",E1109&lt;B1109),AND(F1109&lt;&gt;"",F1109&lt;B1109)),"Evento anterior à entrada",IF(AND(F1109&lt;&gt;"",E1109=""),"Conversa sem agendamento",IF(OR(E1109&gt;TODAY(),F1109&gt;TODAY()),"Verificar evento futuro","OK"))))))))))</f>
        <v/>
      </c>
    </row>
    <row r="1110" spans="12:15">
      <c r="L1110" s="5">
        <f>IF(OR(A1110="",B1110=""),"",B1110-WEEKDAY(B1110,2)+1)</f>
        <v/>
      </c>
      <c r="M1110" s="5">
        <f>IF(L1110="","",L1110+6)</f>
        <v/>
      </c>
      <c r="N1110" s="6">
        <f>IF(OR(A1110="",B1110=""),"",DATE(YEAR(B1110),MONTH(B1110),1))</f>
        <v/>
      </c>
      <c r="O1110" s="7">
        <f>IF(COUNTA(A1110:K1110)=0,"",IF(OR(A1110="",B1110=""),"Preencher CPF e entrada",IF(COUNTIFS($A$12:$A$5011,A1110,$B$12:$B$5011,B1110)&gt;1,"CPF + dia duplicado",IF(OR(AND(G1110&lt;&gt;"",G1110&lt;&gt;0,G1110&lt;&gt;1),AND(H1110&lt;&gt;"",H1110&lt;&gt;0,H1110&lt;&gt;1)),"Flags devem ser 0 ou 1",IF(AND(H1110=1,LEN(TRIM(I1110))=0),"Preencher nome do indicante",IF(AND(H1110&lt;&gt;1,I1110&lt;&gt;""),"Nome sem indicação interna",IF(AND(G1110=1,F1110=""),"Fechamento sem conversa",IF(OR(AND(E1110&lt;&gt;"",E1110&lt;B1110),AND(F1110&lt;&gt;"",F1110&lt;B1110)),"Evento anterior à entrada",IF(AND(F1110&lt;&gt;"",E1110=""),"Conversa sem agendamento",IF(OR(E1110&gt;TODAY(),F1110&gt;TODAY()),"Verificar evento futuro","OK"))))))))))</f>
        <v/>
      </c>
    </row>
    <row r="1111" spans="12:15">
      <c r="L1111" s="5">
        <f>IF(OR(A1111="",B1111=""),"",B1111-WEEKDAY(B1111,2)+1)</f>
        <v/>
      </c>
      <c r="M1111" s="5">
        <f>IF(L1111="","",L1111+6)</f>
        <v/>
      </c>
      <c r="N1111" s="6">
        <f>IF(OR(A1111="",B1111=""),"",DATE(YEAR(B1111),MONTH(B1111),1))</f>
        <v/>
      </c>
      <c r="O1111" s="7">
        <f>IF(COUNTA(A1111:K1111)=0,"",IF(OR(A1111="",B1111=""),"Preencher CPF e entrada",IF(COUNTIFS($A$12:$A$5011,A1111,$B$12:$B$5011,B1111)&gt;1,"CPF + dia duplicado",IF(OR(AND(G1111&lt;&gt;"",G1111&lt;&gt;0,G1111&lt;&gt;1),AND(H1111&lt;&gt;"",H1111&lt;&gt;0,H1111&lt;&gt;1)),"Flags devem ser 0 ou 1",IF(AND(H1111=1,LEN(TRIM(I1111))=0),"Preencher nome do indicante",IF(AND(H1111&lt;&gt;1,I1111&lt;&gt;""),"Nome sem indicação interna",IF(AND(G1111=1,F1111=""),"Fechamento sem conversa",IF(OR(AND(E1111&lt;&gt;"",E1111&lt;B1111),AND(F1111&lt;&gt;"",F1111&lt;B1111)),"Evento anterior à entrada",IF(AND(F1111&lt;&gt;"",E1111=""),"Conversa sem agendamento",IF(OR(E1111&gt;TODAY(),F1111&gt;TODAY()),"Verificar evento futuro","OK"))))))))))</f>
        <v/>
      </c>
    </row>
    <row r="1112" spans="12:15">
      <c r="L1112" s="5">
        <f>IF(OR(A1112="",B1112=""),"",B1112-WEEKDAY(B1112,2)+1)</f>
        <v/>
      </c>
      <c r="M1112" s="5">
        <f>IF(L1112="","",L1112+6)</f>
        <v/>
      </c>
      <c r="N1112" s="6">
        <f>IF(OR(A1112="",B1112=""),"",DATE(YEAR(B1112),MONTH(B1112),1))</f>
        <v/>
      </c>
      <c r="O1112" s="7">
        <f>IF(COUNTA(A1112:K1112)=0,"",IF(OR(A1112="",B1112=""),"Preencher CPF e entrada",IF(COUNTIFS($A$12:$A$5011,A1112,$B$12:$B$5011,B1112)&gt;1,"CPF + dia duplicado",IF(OR(AND(G1112&lt;&gt;"",G1112&lt;&gt;0,G1112&lt;&gt;1),AND(H1112&lt;&gt;"",H1112&lt;&gt;0,H1112&lt;&gt;1)),"Flags devem ser 0 ou 1",IF(AND(H1112=1,LEN(TRIM(I1112))=0),"Preencher nome do indicante",IF(AND(H1112&lt;&gt;1,I1112&lt;&gt;""),"Nome sem indicação interna",IF(AND(G1112=1,F1112=""),"Fechamento sem conversa",IF(OR(AND(E1112&lt;&gt;"",E1112&lt;B1112),AND(F1112&lt;&gt;"",F1112&lt;B1112)),"Evento anterior à entrada",IF(AND(F1112&lt;&gt;"",E1112=""),"Conversa sem agendamento",IF(OR(E1112&gt;TODAY(),F1112&gt;TODAY()),"Verificar evento futuro","OK"))))))))))</f>
        <v/>
      </c>
    </row>
    <row r="1113" spans="12:15">
      <c r="L1113" s="5">
        <f>IF(OR(A1113="",B1113=""),"",B1113-WEEKDAY(B1113,2)+1)</f>
        <v/>
      </c>
      <c r="M1113" s="5">
        <f>IF(L1113="","",L1113+6)</f>
        <v/>
      </c>
      <c r="N1113" s="6">
        <f>IF(OR(A1113="",B1113=""),"",DATE(YEAR(B1113),MONTH(B1113),1))</f>
        <v/>
      </c>
      <c r="O1113" s="7">
        <f>IF(COUNTA(A1113:K1113)=0,"",IF(OR(A1113="",B1113=""),"Preencher CPF e entrada",IF(COUNTIFS($A$12:$A$5011,A1113,$B$12:$B$5011,B1113)&gt;1,"CPF + dia duplicado",IF(OR(AND(G1113&lt;&gt;"",G1113&lt;&gt;0,G1113&lt;&gt;1),AND(H1113&lt;&gt;"",H1113&lt;&gt;0,H1113&lt;&gt;1)),"Flags devem ser 0 ou 1",IF(AND(H1113=1,LEN(TRIM(I1113))=0),"Preencher nome do indicante",IF(AND(H1113&lt;&gt;1,I1113&lt;&gt;""),"Nome sem indicação interna",IF(AND(G1113=1,F1113=""),"Fechamento sem conversa",IF(OR(AND(E1113&lt;&gt;"",E1113&lt;B1113),AND(F1113&lt;&gt;"",F1113&lt;B1113)),"Evento anterior à entrada",IF(AND(F1113&lt;&gt;"",E1113=""),"Conversa sem agendamento",IF(OR(E1113&gt;TODAY(),F1113&gt;TODAY()),"Verificar evento futuro","OK"))))))))))</f>
        <v/>
      </c>
    </row>
    <row r="1114" spans="12:15">
      <c r="L1114" s="5">
        <f>IF(OR(A1114="",B1114=""),"",B1114-WEEKDAY(B1114,2)+1)</f>
        <v/>
      </c>
      <c r="M1114" s="5">
        <f>IF(L1114="","",L1114+6)</f>
        <v/>
      </c>
      <c r="N1114" s="6">
        <f>IF(OR(A1114="",B1114=""),"",DATE(YEAR(B1114),MONTH(B1114),1))</f>
        <v/>
      </c>
      <c r="O1114" s="7">
        <f>IF(COUNTA(A1114:K1114)=0,"",IF(OR(A1114="",B1114=""),"Preencher CPF e entrada",IF(COUNTIFS($A$12:$A$5011,A1114,$B$12:$B$5011,B1114)&gt;1,"CPF + dia duplicado",IF(OR(AND(G1114&lt;&gt;"",G1114&lt;&gt;0,G1114&lt;&gt;1),AND(H1114&lt;&gt;"",H1114&lt;&gt;0,H1114&lt;&gt;1)),"Flags devem ser 0 ou 1",IF(AND(H1114=1,LEN(TRIM(I1114))=0),"Preencher nome do indicante",IF(AND(H1114&lt;&gt;1,I1114&lt;&gt;""),"Nome sem indicação interna",IF(AND(G1114=1,F1114=""),"Fechamento sem conversa",IF(OR(AND(E1114&lt;&gt;"",E1114&lt;B1114),AND(F1114&lt;&gt;"",F1114&lt;B1114)),"Evento anterior à entrada",IF(AND(F1114&lt;&gt;"",E1114=""),"Conversa sem agendamento",IF(OR(E1114&gt;TODAY(),F1114&gt;TODAY()),"Verificar evento futuro","OK"))))))))))</f>
        <v/>
      </c>
    </row>
    <row r="1115" spans="12:15">
      <c r="L1115" s="5">
        <f>IF(OR(A1115="",B1115=""),"",B1115-WEEKDAY(B1115,2)+1)</f>
        <v/>
      </c>
      <c r="M1115" s="5">
        <f>IF(L1115="","",L1115+6)</f>
        <v/>
      </c>
      <c r="N1115" s="6">
        <f>IF(OR(A1115="",B1115=""),"",DATE(YEAR(B1115),MONTH(B1115),1))</f>
        <v/>
      </c>
      <c r="O1115" s="7">
        <f>IF(COUNTA(A1115:K1115)=0,"",IF(OR(A1115="",B1115=""),"Preencher CPF e entrada",IF(COUNTIFS($A$12:$A$5011,A1115,$B$12:$B$5011,B1115)&gt;1,"CPF + dia duplicado",IF(OR(AND(G1115&lt;&gt;"",G1115&lt;&gt;0,G1115&lt;&gt;1),AND(H1115&lt;&gt;"",H1115&lt;&gt;0,H1115&lt;&gt;1)),"Flags devem ser 0 ou 1",IF(AND(H1115=1,LEN(TRIM(I1115))=0),"Preencher nome do indicante",IF(AND(H1115&lt;&gt;1,I1115&lt;&gt;""),"Nome sem indicação interna",IF(AND(G1115=1,F1115=""),"Fechamento sem conversa",IF(OR(AND(E1115&lt;&gt;"",E1115&lt;B1115),AND(F1115&lt;&gt;"",F1115&lt;B1115)),"Evento anterior à entrada",IF(AND(F1115&lt;&gt;"",E1115=""),"Conversa sem agendamento",IF(OR(E1115&gt;TODAY(),F1115&gt;TODAY()),"Verificar evento futuro","OK"))))))))))</f>
        <v/>
      </c>
    </row>
    <row r="1116" spans="12:15">
      <c r="L1116" s="5">
        <f>IF(OR(A1116="",B1116=""),"",B1116-WEEKDAY(B1116,2)+1)</f>
        <v/>
      </c>
      <c r="M1116" s="5">
        <f>IF(L1116="","",L1116+6)</f>
        <v/>
      </c>
      <c r="N1116" s="6">
        <f>IF(OR(A1116="",B1116=""),"",DATE(YEAR(B1116),MONTH(B1116),1))</f>
        <v/>
      </c>
      <c r="O1116" s="7">
        <f>IF(COUNTA(A1116:K1116)=0,"",IF(OR(A1116="",B1116=""),"Preencher CPF e entrada",IF(COUNTIFS($A$12:$A$5011,A1116,$B$12:$B$5011,B1116)&gt;1,"CPF + dia duplicado",IF(OR(AND(G1116&lt;&gt;"",G1116&lt;&gt;0,G1116&lt;&gt;1),AND(H1116&lt;&gt;"",H1116&lt;&gt;0,H1116&lt;&gt;1)),"Flags devem ser 0 ou 1",IF(AND(H1116=1,LEN(TRIM(I1116))=0),"Preencher nome do indicante",IF(AND(H1116&lt;&gt;1,I1116&lt;&gt;""),"Nome sem indicação interna",IF(AND(G1116=1,F1116=""),"Fechamento sem conversa",IF(OR(AND(E1116&lt;&gt;"",E1116&lt;B1116),AND(F1116&lt;&gt;"",F1116&lt;B1116)),"Evento anterior à entrada",IF(AND(F1116&lt;&gt;"",E1116=""),"Conversa sem agendamento",IF(OR(E1116&gt;TODAY(),F1116&gt;TODAY()),"Verificar evento futuro","OK"))))))))))</f>
        <v/>
      </c>
    </row>
    <row r="1117" spans="12:15">
      <c r="L1117" s="5">
        <f>IF(OR(A1117="",B1117=""),"",B1117-WEEKDAY(B1117,2)+1)</f>
        <v/>
      </c>
      <c r="M1117" s="5">
        <f>IF(L1117="","",L1117+6)</f>
        <v/>
      </c>
      <c r="N1117" s="6">
        <f>IF(OR(A1117="",B1117=""),"",DATE(YEAR(B1117),MONTH(B1117),1))</f>
        <v/>
      </c>
      <c r="O1117" s="7">
        <f>IF(COUNTA(A1117:K1117)=0,"",IF(OR(A1117="",B1117=""),"Preencher CPF e entrada",IF(COUNTIFS($A$12:$A$5011,A1117,$B$12:$B$5011,B1117)&gt;1,"CPF + dia duplicado",IF(OR(AND(G1117&lt;&gt;"",G1117&lt;&gt;0,G1117&lt;&gt;1),AND(H1117&lt;&gt;"",H1117&lt;&gt;0,H1117&lt;&gt;1)),"Flags devem ser 0 ou 1",IF(AND(H1117=1,LEN(TRIM(I1117))=0),"Preencher nome do indicante",IF(AND(H1117&lt;&gt;1,I1117&lt;&gt;""),"Nome sem indicação interna",IF(AND(G1117=1,F1117=""),"Fechamento sem conversa",IF(OR(AND(E1117&lt;&gt;"",E1117&lt;B1117),AND(F1117&lt;&gt;"",F1117&lt;B1117)),"Evento anterior à entrada",IF(AND(F1117&lt;&gt;"",E1117=""),"Conversa sem agendamento",IF(OR(E1117&gt;TODAY(),F1117&gt;TODAY()),"Verificar evento futuro","OK"))))))))))</f>
        <v/>
      </c>
    </row>
    <row r="1118" spans="12:15">
      <c r="L1118" s="5">
        <f>IF(OR(A1118="",B1118=""),"",B1118-WEEKDAY(B1118,2)+1)</f>
        <v/>
      </c>
      <c r="M1118" s="5">
        <f>IF(L1118="","",L1118+6)</f>
        <v/>
      </c>
      <c r="N1118" s="6">
        <f>IF(OR(A1118="",B1118=""),"",DATE(YEAR(B1118),MONTH(B1118),1))</f>
        <v/>
      </c>
      <c r="O1118" s="7">
        <f>IF(COUNTA(A1118:K1118)=0,"",IF(OR(A1118="",B1118=""),"Preencher CPF e entrada",IF(COUNTIFS($A$12:$A$5011,A1118,$B$12:$B$5011,B1118)&gt;1,"CPF + dia duplicado",IF(OR(AND(G1118&lt;&gt;"",G1118&lt;&gt;0,G1118&lt;&gt;1),AND(H1118&lt;&gt;"",H1118&lt;&gt;0,H1118&lt;&gt;1)),"Flags devem ser 0 ou 1",IF(AND(H1118=1,LEN(TRIM(I1118))=0),"Preencher nome do indicante",IF(AND(H1118&lt;&gt;1,I1118&lt;&gt;""),"Nome sem indicação interna",IF(AND(G1118=1,F1118=""),"Fechamento sem conversa",IF(OR(AND(E1118&lt;&gt;"",E1118&lt;B1118),AND(F1118&lt;&gt;"",F1118&lt;B1118)),"Evento anterior à entrada",IF(AND(F1118&lt;&gt;"",E1118=""),"Conversa sem agendamento",IF(OR(E1118&gt;TODAY(),F1118&gt;TODAY()),"Verificar evento futuro","OK"))))))))))</f>
        <v/>
      </c>
    </row>
    <row r="1119" spans="12:15">
      <c r="L1119" s="5">
        <f>IF(OR(A1119="",B1119=""),"",B1119-WEEKDAY(B1119,2)+1)</f>
        <v/>
      </c>
      <c r="M1119" s="5">
        <f>IF(L1119="","",L1119+6)</f>
        <v/>
      </c>
      <c r="N1119" s="6">
        <f>IF(OR(A1119="",B1119=""),"",DATE(YEAR(B1119),MONTH(B1119),1))</f>
        <v/>
      </c>
      <c r="O1119" s="7">
        <f>IF(COUNTA(A1119:K1119)=0,"",IF(OR(A1119="",B1119=""),"Preencher CPF e entrada",IF(COUNTIFS($A$12:$A$5011,A1119,$B$12:$B$5011,B1119)&gt;1,"CPF + dia duplicado",IF(OR(AND(G1119&lt;&gt;"",G1119&lt;&gt;0,G1119&lt;&gt;1),AND(H1119&lt;&gt;"",H1119&lt;&gt;0,H1119&lt;&gt;1)),"Flags devem ser 0 ou 1",IF(AND(H1119=1,LEN(TRIM(I1119))=0),"Preencher nome do indicante",IF(AND(H1119&lt;&gt;1,I1119&lt;&gt;""),"Nome sem indicação interna",IF(AND(G1119=1,F1119=""),"Fechamento sem conversa",IF(OR(AND(E1119&lt;&gt;"",E1119&lt;B1119),AND(F1119&lt;&gt;"",F1119&lt;B1119)),"Evento anterior à entrada",IF(AND(F1119&lt;&gt;"",E1119=""),"Conversa sem agendamento",IF(OR(E1119&gt;TODAY(),F1119&gt;TODAY()),"Verificar evento futuro","OK"))))))))))</f>
        <v/>
      </c>
    </row>
    <row r="1120" spans="12:15">
      <c r="L1120" s="5">
        <f>IF(OR(A1120="",B1120=""),"",B1120-WEEKDAY(B1120,2)+1)</f>
        <v/>
      </c>
      <c r="M1120" s="5">
        <f>IF(L1120="","",L1120+6)</f>
        <v/>
      </c>
      <c r="N1120" s="6">
        <f>IF(OR(A1120="",B1120=""),"",DATE(YEAR(B1120),MONTH(B1120),1))</f>
        <v/>
      </c>
      <c r="O1120" s="7">
        <f>IF(COUNTA(A1120:K1120)=0,"",IF(OR(A1120="",B1120=""),"Preencher CPF e entrada",IF(COUNTIFS($A$12:$A$5011,A1120,$B$12:$B$5011,B1120)&gt;1,"CPF + dia duplicado",IF(OR(AND(G1120&lt;&gt;"",G1120&lt;&gt;0,G1120&lt;&gt;1),AND(H1120&lt;&gt;"",H1120&lt;&gt;0,H1120&lt;&gt;1)),"Flags devem ser 0 ou 1",IF(AND(H1120=1,LEN(TRIM(I1120))=0),"Preencher nome do indicante",IF(AND(H1120&lt;&gt;1,I1120&lt;&gt;""),"Nome sem indicação interna",IF(AND(G1120=1,F1120=""),"Fechamento sem conversa",IF(OR(AND(E1120&lt;&gt;"",E1120&lt;B1120),AND(F1120&lt;&gt;"",F1120&lt;B1120)),"Evento anterior à entrada",IF(AND(F1120&lt;&gt;"",E1120=""),"Conversa sem agendamento",IF(OR(E1120&gt;TODAY(),F1120&gt;TODAY()),"Verificar evento futuro","OK"))))))))))</f>
        <v/>
      </c>
    </row>
    <row r="1121" spans="12:15">
      <c r="L1121" s="5">
        <f>IF(OR(A1121="",B1121=""),"",B1121-WEEKDAY(B1121,2)+1)</f>
        <v/>
      </c>
      <c r="M1121" s="5">
        <f>IF(L1121="","",L1121+6)</f>
        <v/>
      </c>
      <c r="N1121" s="6">
        <f>IF(OR(A1121="",B1121=""),"",DATE(YEAR(B1121),MONTH(B1121),1))</f>
        <v/>
      </c>
      <c r="O1121" s="7">
        <f>IF(COUNTA(A1121:K1121)=0,"",IF(OR(A1121="",B1121=""),"Preencher CPF e entrada",IF(COUNTIFS($A$12:$A$5011,A1121,$B$12:$B$5011,B1121)&gt;1,"CPF + dia duplicado",IF(OR(AND(G1121&lt;&gt;"",G1121&lt;&gt;0,G1121&lt;&gt;1),AND(H1121&lt;&gt;"",H1121&lt;&gt;0,H1121&lt;&gt;1)),"Flags devem ser 0 ou 1",IF(AND(H1121=1,LEN(TRIM(I1121))=0),"Preencher nome do indicante",IF(AND(H1121&lt;&gt;1,I1121&lt;&gt;""),"Nome sem indicação interna",IF(AND(G1121=1,F1121=""),"Fechamento sem conversa",IF(OR(AND(E1121&lt;&gt;"",E1121&lt;B1121),AND(F1121&lt;&gt;"",F1121&lt;B1121)),"Evento anterior à entrada",IF(AND(F1121&lt;&gt;"",E1121=""),"Conversa sem agendamento",IF(OR(E1121&gt;TODAY(),F1121&gt;TODAY()),"Verificar evento futuro","OK"))))))))))</f>
        <v/>
      </c>
    </row>
    <row r="1122" spans="12:15">
      <c r="L1122" s="5">
        <f>IF(OR(A1122="",B1122=""),"",B1122-WEEKDAY(B1122,2)+1)</f>
        <v/>
      </c>
      <c r="M1122" s="5">
        <f>IF(L1122="","",L1122+6)</f>
        <v/>
      </c>
      <c r="N1122" s="6">
        <f>IF(OR(A1122="",B1122=""),"",DATE(YEAR(B1122),MONTH(B1122),1))</f>
        <v/>
      </c>
      <c r="O1122" s="7">
        <f>IF(COUNTA(A1122:K1122)=0,"",IF(OR(A1122="",B1122=""),"Preencher CPF e entrada",IF(COUNTIFS($A$12:$A$5011,A1122,$B$12:$B$5011,B1122)&gt;1,"CPF + dia duplicado",IF(OR(AND(G1122&lt;&gt;"",G1122&lt;&gt;0,G1122&lt;&gt;1),AND(H1122&lt;&gt;"",H1122&lt;&gt;0,H1122&lt;&gt;1)),"Flags devem ser 0 ou 1",IF(AND(H1122=1,LEN(TRIM(I1122))=0),"Preencher nome do indicante",IF(AND(H1122&lt;&gt;1,I1122&lt;&gt;""),"Nome sem indicação interna",IF(AND(G1122=1,F1122=""),"Fechamento sem conversa",IF(OR(AND(E1122&lt;&gt;"",E1122&lt;B1122),AND(F1122&lt;&gt;"",F1122&lt;B1122)),"Evento anterior à entrada",IF(AND(F1122&lt;&gt;"",E1122=""),"Conversa sem agendamento",IF(OR(E1122&gt;TODAY(),F1122&gt;TODAY()),"Verificar evento futuro","OK"))))))))))</f>
        <v/>
      </c>
    </row>
    <row r="1123" spans="12:15">
      <c r="L1123" s="5">
        <f>IF(OR(A1123="",B1123=""),"",B1123-WEEKDAY(B1123,2)+1)</f>
        <v/>
      </c>
      <c r="M1123" s="5">
        <f>IF(L1123="","",L1123+6)</f>
        <v/>
      </c>
      <c r="N1123" s="6">
        <f>IF(OR(A1123="",B1123=""),"",DATE(YEAR(B1123),MONTH(B1123),1))</f>
        <v/>
      </c>
      <c r="O1123" s="7">
        <f>IF(COUNTA(A1123:K1123)=0,"",IF(OR(A1123="",B1123=""),"Preencher CPF e entrada",IF(COUNTIFS($A$12:$A$5011,A1123,$B$12:$B$5011,B1123)&gt;1,"CPF + dia duplicado",IF(OR(AND(G1123&lt;&gt;"",G1123&lt;&gt;0,G1123&lt;&gt;1),AND(H1123&lt;&gt;"",H1123&lt;&gt;0,H1123&lt;&gt;1)),"Flags devem ser 0 ou 1",IF(AND(H1123=1,LEN(TRIM(I1123))=0),"Preencher nome do indicante",IF(AND(H1123&lt;&gt;1,I1123&lt;&gt;""),"Nome sem indicação interna",IF(AND(G1123=1,F1123=""),"Fechamento sem conversa",IF(OR(AND(E1123&lt;&gt;"",E1123&lt;B1123),AND(F1123&lt;&gt;"",F1123&lt;B1123)),"Evento anterior à entrada",IF(AND(F1123&lt;&gt;"",E1123=""),"Conversa sem agendamento",IF(OR(E1123&gt;TODAY(),F1123&gt;TODAY()),"Verificar evento futuro","OK"))))))))))</f>
        <v/>
      </c>
    </row>
    <row r="1124" spans="12:15">
      <c r="L1124" s="5">
        <f>IF(OR(A1124="",B1124=""),"",B1124-WEEKDAY(B1124,2)+1)</f>
        <v/>
      </c>
      <c r="M1124" s="5">
        <f>IF(L1124="","",L1124+6)</f>
        <v/>
      </c>
      <c r="N1124" s="6">
        <f>IF(OR(A1124="",B1124=""),"",DATE(YEAR(B1124),MONTH(B1124),1))</f>
        <v/>
      </c>
      <c r="O1124" s="7">
        <f>IF(COUNTA(A1124:K1124)=0,"",IF(OR(A1124="",B1124=""),"Preencher CPF e entrada",IF(COUNTIFS($A$12:$A$5011,A1124,$B$12:$B$5011,B1124)&gt;1,"CPF + dia duplicado",IF(OR(AND(G1124&lt;&gt;"",G1124&lt;&gt;0,G1124&lt;&gt;1),AND(H1124&lt;&gt;"",H1124&lt;&gt;0,H1124&lt;&gt;1)),"Flags devem ser 0 ou 1",IF(AND(H1124=1,LEN(TRIM(I1124))=0),"Preencher nome do indicante",IF(AND(H1124&lt;&gt;1,I1124&lt;&gt;""),"Nome sem indicação interna",IF(AND(G1124=1,F1124=""),"Fechamento sem conversa",IF(OR(AND(E1124&lt;&gt;"",E1124&lt;B1124),AND(F1124&lt;&gt;"",F1124&lt;B1124)),"Evento anterior à entrada",IF(AND(F1124&lt;&gt;"",E1124=""),"Conversa sem agendamento",IF(OR(E1124&gt;TODAY(),F1124&gt;TODAY()),"Verificar evento futuro","OK"))))))))))</f>
        <v/>
      </c>
    </row>
    <row r="1125" spans="12:15">
      <c r="L1125" s="5">
        <f>IF(OR(A1125="",B1125=""),"",B1125-WEEKDAY(B1125,2)+1)</f>
        <v/>
      </c>
      <c r="M1125" s="5">
        <f>IF(L1125="","",L1125+6)</f>
        <v/>
      </c>
      <c r="N1125" s="6">
        <f>IF(OR(A1125="",B1125=""),"",DATE(YEAR(B1125),MONTH(B1125),1))</f>
        <v/>
      </c>
      <c r="O1125" s="7">
        <f>IF(COUNTA(A1125:K1125)=0,"",IF(OR(A1125="",B1125=""),"Preencher CPF e entrada",IF(COUNTIFS($A$12:$A$5011,A1125,$B$12:$B$5011,B1125)&gt;1,"CPF + dia duplicado",IF(OR(AND(G1125&lt;&gt;"",G1125&lt;&gt;0,G1125&lt;&gt;1),AND(H1125&lt;&gt;"",H1125&lt;&gt;0,H1125&lt;&gt;1)),"Flags devem ser 0 ou 1",IF(AND(H1125=1,LEN(TRIM(I1125))=0),"Preencher nome do indicante",IF(AND(H1125&lt;&gt;1,I1125&lt;&gt;""),"Nome sem indicação interna",IF(AND(G1125=1,F1125=""),"Fechamento sem conversa",IF(OR(AND(E1125&lt;&gt;"",E1125&lt;B1125),AND(F1125&lt;&gt;"",F1125&lt;B1125)),"Evento anterior à entrada",IF(AND(F1125&lt;&gt;"",E1125=""),"Conversa sem agendamento",IF(OR(E1125&gt;TODAY(),F1125&gt;TODAY()),"Verificar evento futuro","OK"))))))))))</f>
        <v/>
      </c>
    </row>
    <row r="1126" spans="12:15">
      <c r="L1126" s="5">
        <f>IF(OR(A1126="",B1126=""),"",B1126-WEEKDAY(B1126,2)+1)</f>
        <v/>
      </c>
      <c r="M1126" s="5">
        <f>IF(L1126="","",L1126+6)</f>
        <v/>
      </c>
      <c r="N1126" s="6">
        <f>IF(OR(A1126="",B1126=""),"",DATE(YEAR(B1126),MONTH(B1126),1))</f>
        <v/>
      </c>
      <c r="O1126" s="7">
        <f>IF(COUNTA(A1126:K1126)=0,"",IF(OR(A1126="",B1126=""),"Preencher CPF e entrada",IF(COUNTIFS($A$12:$A$5011,A1126,$B$12:$B$5011,B1126)&gt;1,"CPF + dia duplicado",IF(OR(AND(G1126&lt;&gt;"",G1126&lt;&gt;0,G1126&lt;&gt;1),AND(H1126&lt;&gt;"",H1126&lt;&gt;0,H1126&lt;&gt;1)),"Flags devem ser 0 ou 1",IF(AND(H1126=1,LEN(TRIM(I1126))=0),"Preencher nome do indicante",IF(AND(H1126&lt;&gt;1,I1126&lt;&gt;""),"Nome sem indicação interna",IF(AND(G1126=1,F1126=""),"Fechamento sem conversa",IF(OR(AND(E1126&lt;&gt;"",E1126&lt;B1126),AND(F1126&lt;&gt;"",F1126&lt;B1126)),"Evento anterior à entrada",IF(AND(F1126&lt;&gt;"",E1126=""),"Conversa sem agendamento",IF(OR(E1126&gt;TODAY(),F1126&gt;TODAY()),"Verificar evento futuro","OK"))))))))))</f>
        <v/>
      </c>
    </row>
    <row r="1127" spans="12:15">
      <c r="L1127" s="5">
        <f>IF(OR(A1127="",B1127=""),"",B1127-WEEKDAY(B1127,2)+1)</f>
        <v/>
      </c>
      <c r="M1127" s="5">
        <f>IF(L1127="","",L1127+6)</f>
        <v/>
      </c>
      <c r="N1127" s="6">
        <f>IF(OR(A1127="",B1127=""),"",DATE(YEAR(B1127),MONTH(B1127),1))</f>
        <v/>
      </c>
      <c r="O1127" s="7">
        <f>IF(COUNTA(A1127:K1127)=0,"",IF(OR(A1127="",B1127=""),"Preencher CPF e entrada",IF(COUNTIFS($A$12:$A$5011,A1127,$B$12:$B$5011,B1127)&gt;1,"CPF + dia duplicado",IF(OR(AND(G1127&lt;&gt;"",G1127&lt;&gt;0,G1127&lt;&gt;1),AND(H1127&lt;&gt;"",H1127&lt;&gt;0,H1127&lt;&gt;1)),"Flags devem ser 0 ou 1",IF(AND(H1127=1,LEN(TRIM(I1127))=0),"Preencher nome do indicante",IF(AND(H1127&lt;&gt;1,I1127&lt;&gt;""),"Nome sem indicação interna",IF(AND(G1127=1,F1127=""),"Fechamento sem conversa",IF(OR(AND(E1127&lt;&gt;"",E1127&lt;B1127),AND(F1127&lt;&gt;"",F1127&lt;B1127)),"Evento anterior à entrada",IF(AND(F1127&lt;&gt;"",E1127=""),"Conversa sem agendamento",IF(OR(E1127&gt;TODAY(),F1127&gt;TODAY()),"Verificar evento futuro","OK"))))))))))</f>
        <v/>
      </c>
    </row>
    <row r="1128" spans="12:15">
      <c r="L1128" s="5">
        <f>IF(OR(A1128="",B1128=""),"",B1128-WEEKDAY(B1128,2)+1)</f>
        <v/>
      </c>
      <c r="M1128" s="5">
        <f>IF(L1128="","",L1128+6)</f>
        <v/>
      </c>
      <c r="N1128" s="6">
        <f>IF(OR(A1128="",B1128=""),"",DATE(YEAR(B1128),MONTH(B1128),1))</f>
        <v/>
      </c>
      <c r="O1128" s="7">
        <f>IF(COUNTA(A1128:K1128)=0,"",IF(OR(A1128="",B1128=""),"Preencher CPF e entrada",IF(COUNTIFS($A$12:$A$5011,A1128,$B$12:$B$5011,B1128)&gt;1,"CPF + dia duplicado",IF(OR(AND(G1128&lt;&gt;"",G1128&lt;&gt;0,G1128&lt;&gt;1),AND(H1128&lt;&gt;"",H1128&lt;&gt;0,H1128&lt;&gt;1)),"Flags devem ser 0 ou 1",IF(AND(H1128=1,LEN(TRIM(I1128))=0),"Preencher nome do indicante",IF(AND(H1128&lt;&gt;1,I1128&lt;&gt;""),"Nome sem indicação interna",IF(AND(G1128=1,F1128=""),"Fechamento sem conversa",IF(OR(AND(E1128&lt;&gt;"",E1128&lt;B1128),AND(F1128&lt;&gt;"",F1128&lt;B1128)),"Evento anterior à entrada",IF(AND(F1128&lt;&gt;"",E1128=""),"Conversa sem agendamento",IF(OR(E1128&gt;TODAY(),F1128&gt;TODAY()),"Verificar evento futuro","OK"))))))))))</f>
        <v/>
      </c>
    </row>
    <row r="1129" spans="12:15">
      <c r="L1129" s="5">
        <f>IF(OR(A1129="",B1129=""),"",B1129-WEEKDAY(B1129,2)+1)</f>
        <v/>
      </c>
      <c r="M1129" s="5">
        <f>IF(L1129="","",L1129+6)</f>
        <v/>
      </c>
      <c r="N1129" s="6">
        <f>IF(OR(A1129="",B1129=""),"",DATE(YEAR(B1129),MONTH(B1129),1))</f>
        <v/>
      </c>
      <c r="O1129" s="7">
        <f>IF(COUNTA(A1129:K1129)=0,"",IF(OR(A1129="",B1129=""),"Preencher CPF e entrada",IF(COUNTIFS($A$12:$A$5011,A1129,$B$12:$B$5011,B1129)&gt;1,"CPF + dia duplicado",IF(OR(AND(G1129&lt;&gt;"",G1129&lt;&gt;0,G1129&lt;&gt;1),AND(H1129&lt;&gt;"",H1129&lt;&gt;0,H1129&lt;&gt;1)),"Flags devem ser 0 ou 1",IF(AND(H1129=1,LEN(TRIM(I1129))=0),"Preencher nome do indicante",IF(AND(H1129&lt;&gt;1,I1129&lt;&gt;""),"Nome sem indicação interna",IF(AND(G1129=1,F1129=""),"Fechamento sem conversa",IF(OR(AND(E1129&lt;&gt;"",E1129&lt;B1129),AND(F1129&lt;&gt;"",F1129&lt;B1129)),"Evento anterior à entrada",IF(AND(F1129&lt;&gt;"",E1129=""),"Conversa sem agendamento",IF(OR(E1129&gt;TODAY(),F1129&gt;TODAY()),"Verificar evento futuro","OK"))))))))))</f>
        <v/>
      </c>
    </row>
    <row r="1130" spans="12:15">
      <c r="L1130" s="5">
        <f>IF(OR(A1130="",B1130=""),"",B1130-WEEKDAY(B1130,2)+1)</f>
        <v/>
      </c>
      <c r="M1130" s="5">
        <f>IF(L1130="","",L1130+6)</f>
        <v/>
      </c>
      <c r="N1130" s="6">
        <f>IF(OR(A1130="",B1130=""),"",DATE(YEAR(B1130),MONTH(B1130),1))</f>
        <v/>
      </c>
      <c r="O1130" s="7">
        <f>IF(COUNTA(A1130:K1130)=0,"",IF(OR(A1130="",B1130=""),"Preencher CPF e entrada",IF(COUNTIFS($A$12:$A$5011,A1130,$B$12:$B$5011,B1130)&gt;1,"CPF + dia duplicado",IF(OR(AND(G1130&lt;&gt;"",G1130&lt;&gt;0,G1130&lt;&gt;1),AND(H1130&lt;&gt;"",H1130&lt;&gt;0,H1130&lt;&gt;1)),"Flags devem ser 0 ou 1",IF(AND(H1130=1,LEN(TRIM(I1130))=0),"Preencher nome do indicante",IF(AND(H1130&lt;&gt;1,I1130&lt;&gt;""),"Nome sem indicação interna",IF(AND(G1130=1,F1130=""),"Fechamento sem conversa",IF(OR(AND(E1130&lt;&gt;"",E1130&lt;B1130),AND(F1130&lt;&gt;"",F1130&lt;B1130)),"Evento anterior à entrada",IF(AND(F1130&lt;&gt;"",E1130=""),"Conversa sem agendamento",IF(OR(E1130&gt;TODAY(),F1130&gt;TODAY()),"Verificar evento futuro","OK"))))))))))</f>
        <v/>
      </c>
    </row>
    <row r="1131" spans="12:15">
      <c r="L1131" s="5">
        <f>IF(OR(A1131="",B1131=""),"",B1131-WEEKDAY(B1131,2)+1)</f>
        <v/>
      </c>
      <c r="M1131" s="5">
        <f>IF(L1131="","",L1131+6)</f>
        <v/>
      </c>
      <c r="N1131" s="6">
        <f>IF(OR(A1131="",B1131=""),"",DATE(YEAR(B1131),MONTH(B1131),1))</f>
        <v/>
      </c>
      <c r="O1131" s="7">
        <f>IF(COUNTA(A1131:K1131)=0,"",IF(OR(A1131="",B1131=""),"Preencher CPF e entrada",IF(COUNTIFS($A$12:$A$5011,A1131,$B$12:$B$5011,B1131)&gt;1,"CPF + dia duplicado",IF(OR(AND(G1131&lt;&gt;"",G1131&lt;&gt;0,G1131&lt;&gt;1),AND(H1131&lt;&gt;"",H1131&lt;&gt;0,H1131&lt;&gt;1)),"Flags devem ser 0 ou 1",IF(AND(H1131=1,LEN(TRIM(I1131))=0),"Preencher nome do indicante",IF(AND(H1131&lt;&gt;1,I1131&lt;&gt;""),"Nome sem indicação interna",IF(AND(G1131=1,F1131=""),"Fechamento sem conversa",IF(OR(AND(E1131&lt;&gt;"",E1131&lt;B1131),AND(F1131&lt;&gt;"",F1131&lt;B1131)),"Evento anterior à entrada",IF(AND(F1131&lt;&gt;"",E1131=""),"Conversa sem agendamento",IF(OR(E1131&gt;TODAY(),F1131&gt;TODAY()),"Verificar evento futuro","OK"))))))))))</f>
        <v/>
      </c>
    </row>
    <row r="1132" spans="12:15">
      <c r="L1132" s="5">
        <f>IF(OR(A1132="",B1132=""),"",B1132-WEEKDAY(B1132,2)+1)</f>
        <v/>
      </c>
      <c r="M1132" s="5">
        <f>IF(L1132="","",L1132+6)</f>
        <v/>
      </c>
      <c r="N1132" s="6">
        <f>IF(OR(A1132="",B1132=""),"",DATE(YEAR(B1132),MONTH(B1132),1))</f>
        <v/>
      </c>
      <c r="O1132" s="7">
        <f>IF(COUNTA(A1132:K1132)=0,"",IF(OR(A1132="",B1132=""),"Preencher CPF e entrada",IF(COUNTIFS($A$12:$A$5011,A1132,$B$12:$B$5011,B1132)&gt;1,"CPF + dia duplicado",IF(OR(AND(G1132&lt;&gt;"",G1132&lt;&gt;0,G1132&lt;&gt;1),AND(H1132&lt;&gt;"",H1132&lt;&gt;0,H1132&lt;&gt;1)),"Flags devem ser 0 ou 1",IF(AND(H1132=1,LEN(TRIM(I1132))=0),"Preencher nome do indicante",IF(AND(H1132&lt;&gt;1,I1132&lt;&gt;""),"Nome sem indicação interna",IF(AND(G1132=1,F1132=""),"Fechamento sem conversa",IF(OR(AND(E1132&lt;&gt;"",E1132&lt;B1132),AND(F1132&lt;&gt;"",F1132&lt;B1132)),"Evento anterior à entrada",IF(AND(F1132&lt;&gt;"",E1132=""),"Conversa sem agendamento",IF(OR(E1132&gt;TODAY(),F1132&gt;TODAY()),"Verificar evento futuro","OK"))))))))))</f>
        <v/>
      </c>
    </row>
    <row r="1133" spans="12:15">
      <c r="L1133" s="5">
        <f>IF(OR(A1133="",B1133=""),"",B1133-WEEKDAY(B1133,2)+1)</f>
        <v/>
      </c>
      <c r="M1133" s="5">
        <f>IF(L1133="","",L1133+6)</f>
        <v/>
      </c>
      <c r="N1133" s="6">
        <f>IF(OR(A1133="",B1133=""),"",DATE(YEAR(B1133),MONTH(B1133),1))</f>
        <v/>
      </c>
      <c r="O1133" s="7">
        <f>IF(COUNTA(A1133:K1133)=0,"",IF(OR(A1133="",B1133=""),"Preencher CPF e entrada",IF(COUNTIFS($A$12:$A$5011,A1133,$B$12:$B$5011,B1133)&gt;1,"CPF + dia duplicado",IF(OR(AND(G1133&lt;&gt;"",G1133&lt;&gt;0,G1133&lt;&gt;1),AND(H1133&lt;&gt;"",H1133&lt;&gt;0,H1133&lt;&gt;1)),"Flags devem ser 0 ou 1",IF(AND(H1133=1,LEN(TRIM(I1133))=0),"Preencher nome do indicante",IF(AND(H1133&lt;&gt;1,I1133&lt;&gt;""),"Nome sem indicação interna",IF(AND(G1133=1,F1133=""),"Fechamento sem conversa",IF(OR(AND(E1133&lt;&gt;"",E1133&lt;B1133),AND(F1133&lt;&gt;"",F1133&lt;B1133)),"Evento anterior à entrada",IF(AND(F1133&lt;&gt;"",E1133=""),"Conversa sem agendamento",IF(OR(E1133&gt;TODAY(),F1133&gt;TODAY()),"Verificar evento futuro","OK"))))))))))</f>
        <v/>
      </c>
    </row>
    <row r="1134" spans="12:15">
      <c r="L1134" s="5">
        <f>IF(OR(A1134="",B1134=""),"",B1134-WEEKDAY(B1134,2)+1)</f>
        <v/>
      </c>
      <c r="M1134" s="5">
        <f>IF(L1134="","",L1134+6)</f>
        <v/>
      </c>
      <c r="N1134" s="6">
        <f>IF(OR(A1134="",B1134=""),"",DATE(YEAR(B1134),MONTH(B1134),1))</f>
        <v/>
      </c>
      <c r="O1134" s="7">
        <f>IF(COUNTA(A1134:K1134)=0,"",IF(OR(A1134="",B1134=""),"Preencher CPF e entrada",IF(COUNTIFS($A$12:$A$5011,A1134,$B$12:$B$5011,B1134)&gt;1,"CPF + dia duplicado",IF(OR(AND(G1134&lt;&gt;"",G1134&lt;&gt;0,G1134&lt;&gt;1),AND(H1134&lt;&gt;"",H1134&lt;&gt;0,H1134&lt;&gt;1)),"Flags devem ser 0 ou 1",IF(AND(H1134=1,LEN(TRIM(I1134))=0),"Preencher nome do indicante",IF(AND(H1134&lt;&gt;1,I1134&lt;&gt;""),"Nome sem indicação interna",IF(AND(G1134=1,F1134=""),"Fechamento sem conversa",IF(OR(AND(E1134&lt;&gt;"",E1134&lt;B1134),AND(F1134&lt;&gt;"",F1134&lt;B1134)),"Evento anterior à entrada",IF(AND(F1134&lt;&gt;"",E1134=""),"Conversa sem agendamento",IF(OR(E1134&gt;TODAY(),F1134&gt;TODAY()),"Verificar evento futuro","OK"))))))))))</f>
        <v/>
      </c>
    </row>
    <row r="1135" spans="12:15">
      <c r="L1135" s="5">
        <f>IF(OR(A1135="",B1135=""),"",B1135-WEEKDAY(B1135,2)+1)</f>
        <v/>
      </c>
      <c r="M1135" s="5">
        <f>IF(L1135="","",L1135+6)</f>
        <v/>
      </c>
      <c r="N1135" s="6">
        <f>IF(OR(A1135="",B1135=""),"",DATE(YEAR(B1135),MONTH(B1135),1))</f>
        <v/>
      </c>
      <c r="O1135" s="7">
        <f>IF(COUNTA(A1135:K1135)=0,"",IF(OR(A1135="",B1135=""),"Preencher CPF e entrada",IF(COUNTIFS($A$12:$A$5011,A1135,$B$12:$B$5011,B1135)&gt;1,"CPF + dia duplicado",IF(OR(AND(G1135&lt;&gt;"",G1135&lt;&gt;0,G1135&lt;&gt;1),AND(H1135&lt;&gt;"",H1135&lt;&gt;0,H1135&lt;&gt;1)),"Flags devem ser 0 ou 1",IF(AND(H1135=1,LEN(TRIM(I1135))=0),"Preencher nome do indicante",IF(AND(H1135&lt;&gt;1,I1135&lt;&gt;""),"Nome sem indicação interna",IF(AND(G1135=1,F1135=""),"Fechamento sem conversa",IF(OR(AND(E1135&lt;&gt;"",E1135&lt;B1135),AND(F1135&lt;&gt;"",F1135&lt;B1135)),"Evento anterior à entrada",IF(AND(F1135&lt;&gt;"",E1135=""),"Conversa sem agendamento",IF(OR(E1135&gt;TODAY(),F1135&gt;TODAY()),"Verificar evento futuro","OK"))))))))))</f>
        <v/>
      </c>
    </row>
    <row r="1136" spans="12:15">
      <c r="L1136" s="5">
        <f>IF(OR(A1136="",B1136=""),"",B1136-WEEKDAY(B1136,2)+1)</f>
        <v/>
      </c>
      <c r="M1136" s="5">
        <f>IF(L1136="","",L1136+6)</f>
        <v/>
      </c>
      <c r="N1136" s="6">
        <f>IF(OR(A1136="",B1136=""),"",DATE(YEAR(B1136),MONTH(B1136),1))</f>
        <v/>
      </c>
      <c r="O1136" s="7">
        <f>IF(COUNTA(A1136:K1136)=0,"",IF(OR(A1136="",B1136=""),"Preencher CPF e entrada",IF(COUNTIFS($A$12:$A$5011,A1136,$B$12:$B$5011,B1136)&gt;1,"CPF + dia duplicado",IF(OR(AND(G1136&lt;&gt;"",G1136&lt;&gt;0,G1136&lt;&gt;1),AND(H1136&lt;&gt;"",H1136&lt;&gt;0,H1136&lt;&gt;1)),"Flags devem ser 0 ou 1",IF(AND(H1136=1,LEN(TRIM(I1136))=0),"Preencher nome do indicante",IF(AND(H1136&lt;&gt;1,I1136&lt;&gt;""),"Nome sem indicação interna",IF(AND(G1136=1,F1136=""),"Fechamento sem conversa",IF(OR(AND(E1136&lt;&gt;"",E1136&lt;B1136),AND(F1136&lt;&gt;"",F1136&lt;B1136)),"Evento anterior à entrada",IF(AND(F1136&lt;&gt;"",E1136=""),"Conversa sem agendamento",IF(OR(E1136&gt;TODAY(),F1136&gt;TODAY()),"Verificar evento futuro","OK"))))))))))</f>
        <v/>
      </c>
    </row>
    <row r="1137" spans="12:15">
      <c r="L1137" s="5">
        <f>IF(OR(A1137="",B1137=""),"",B1137-WEEKDAY(B1137,2)+1)</f>
        <v/>
      </c>
      <c r="M1137" s="5">
        <f>IF(L1137="","",L1137+6)</f>
        <v/>
      </c>
      <c r="N1137" s="6">
        <f>IF(OR(A1137="",B1137=""),"",DATE(YEAR(B1137),MONTH(B1137),1))</f>
        <v/>
      </c>
      <c r="O1137" s="7">
        <f>IF(COUNTA(A1137:K1137)=0,"",IF(OR(A1137="",B1137=""),"Preencher CPF e entrada",IF(COUNTIFS($A$12:$A$5011,A1137,$B$12:$B$5011,B1137)&gt;1,"CPF + dia duplicado",IF(OR(AND(G1137&lt;&gt;"",G1137&lt;&gt;0,G1137&lt;&gt;1),AND(H1137&lt;&gt;"",H1137&lt;&gt;0,H1137&lt;&gt;1)),"Flags devem ser 0 ou 1",IF(AND(H1137=1,LEN(TRIM(I1137))=0),"Preencher nome do indicante",IF(AND(H1137&lt;&gt;1,I1137&lt;&gt;""),"Nome sem indicação interna",IF(AND(G1137=1,F1137=""),"Fechamento sem conversa",IF(OR(AND(E1137&lt;&gt;"",E1137&lt;B1137),AND(F1137&lt;&gt;"",F1137&lt;B1137)),"Evento anterior à entrada",IF(AND(F1137&lt;&gt;"",E1137=""),"Conversa sem agendamento",IF(OR(E1137&gt;TODAY(),F1137&gt;TODAY()),"Verificar evento futuro","OK"))))))))))</f>
        <v/>
      </c>
    </row>
    <row r="1138" spans="12:15">
      <c r="L1138" s="5">
        <f>IF(OR(A1138="",B1138=""),"",B1138-WEEKDAY(B1138,2)+1)</f>
        <v/>
      </c>
      <c r="M1138" s="5">
        <f>IF(L1138="","",L1138+6)</f>
        <v/>
      </c>
      <c r="N1138" s="6">
        <f>IF(OR(A1138="",B1138=""),"",DATE(YEAR(B1138),MONTH(B1138),1))</f>
        <v/>
      </c>
      <c r="O1138" s="7">
        <f>IF(COUNTA(A1138:K1138)=0,"",IF(OR(A1138="",B1138=""),"Preencher CPF e entrada",IF(COUNTIFS($A$12:$A$5011,A1138,$B$12:$B$5011,B1138)&gt;1,"CPF + dia duplicado",IF(OR(AND(G1138&lt;&gt;"",G1138&lt;&gt;0,G1138&lt;&gt;1),AND(H1138&lt;&gt;"",H1138&lt;&gt;0,H1138&lt;&gt;1)),"Flags devem ser 0 ou 1",IF(AND(H1138=1,LEN(TRIM(I1138))=0),"Preencher nome do indicante",IF(AND(H1138&lt;&gt;1,I1138&lt;&gt;""),"Nome sem indicação interna",IF(AND(G1138=1,F1138=""),"Fechamento sem conversa",IF(OR(AND(E1138&lt;&gt;"",E1138&lt;B1138),AND(F1138&lt;&gt;"",F1138&lt;B1138)),"Evento anterior à entrada",IF(AND(F1138&lt;&gt;"",E1138=""),"Conversa sem agendamento",IF(OR(E1138&gt;TODAY(),F1138&gt;TODAY()),"Verificar evento futuro","OK"))))))))))</f>
        <v/>
      </c>
    </row>
    <row r="1139" spans="12:15">
      <c r="L1139" s="5">
        <f>IF(OR(A1139="",B1139=""),"",B1139-WEEKDAY(B1139,2)+1)</f>
        <v/>
      </c>
      <c r="M1139" s="5">
        <f>IF(L1139="","",L1139+6)</f>
        <v/>
      </c>
      <c r="N1139" s="6">
        <f>IF(OR(A1139="",B1139=""),"",DATE(YEAR(B1139),MONTH(B1139),1))</f>
        <v/>
      </c>
      <c r="O1139" s="7">
        <f>IF(COUNTA(A1139:K1139)=0,"",IF(OR(A1139="",B1139=""),"Preencher CPF e entrada",IF(COUNTIFS($A$12:$A$5011,A1139,$B$12:$B$5011,B1139)&gt;1,"CPF + dia duplicado",IF(OR(AND(G1139&lt;&gt;"",G1139&lt;&gt;0,G1139&lt;&gt;1),AND(H1139&lt;&gt;"",H1139&lt;&gt;0,H1139&lt;&gt;1)),"Flags devem ser 0 ou 1",IF(AND(H1139=1,LEN(TRIM(I1139))=0),"Preencher nome do indicante",IF(AND(H1139&lt;&gt;1,I1139&lt;&gt;""),"Nome sem indicação interna",IF(AND(G1139=1,F1139=""),"Fechamento sem conversa",IF(OR(AND(E1139&lt;&gt;"",E1139&lt;B1139),AND(F1139&lt;&gt;"",F1139&lt;B1139)),"Evento anterior à entrada",IF(AND(F1139&lt;&gt;"",E1139=""),"Conversa sem agendamento",IF(OR(E1139&gt;TODAY(),F1139&gt;TODAY()),"Verificar evento futuro","OK"))))))))))</f>
        <v/>
      </c>
    </row>
    <row r="1140" spans="12:15">
      <c r="L1140" s="5">
        <f>IF(OR(A1140="",B1140=""),"",B1140-WEEKDAY(B1140,2)+1)</f>
        <v/>
      </c>
      <c r="M1140" s="5">
        <f>IF(L1140="","",L1140+6)</f>
        <v/>
      </c>
      <c r="N1140" s="6">
        <f>IF(OR(A1140="",B1140=""),"",DATE(YEAR(B1140),MONTH(B1140),1))</f>
        <v/>
      </c>
      <c r="O1140" s="7">
        <f>IF(COUNTA(A1140:K1140)=0,"",IF(OR(A1140="",B1140=""),"Preencher CPF e entrada",IF(COUNTIFS($A$12:$A$5011,A1140,$B$12:$B$5011,B1140)&gt;1,"CPF + dia duplicado",IF(OR(AND(G1140&lt;&gt;"",G1140&lt;&gt;0,G1140&lt;&gt;1),AND(H1140&lt;&gt;"",H1140&lt;&gt;0,H1140&lt;&gt;1)),"Flags devem ser 0 ou 1",IF(AND(H1140=1,LEN(TRIM(I1140))=0),"Preencher nome do indicante",IF(AND(H1140&lt;&gt;1,I1140&lt;&gt;""),"Nome sem indicação interna",IF(AND(G1140=1,F1140=""),"Fechamento sem conversa",IF(OR(AND(E1140&lt;&gt;"",E1140&lt;B1140),AND(F1140&lt;&gt;"",F1140&lt;B1140)),"Evento anterior à entrada",IF(AND(F1140&lt;&gt;"",E1140=""),"Conversa sem agendamento",IF(OR(E1140&gt;TODAY(),F1140&gt;TODAY()),"Verificar evento futuro","OK"))))))))))</f>
        <v/>
      </c>
    </row>
    <row r="1141" spans="12:15">
      <c r="L1141" s="5">
        <f>IF(OR(A1141="",B1141=""),"",B1141-WEEKDAY(B1141,2)+1)</f>
        <v/>
      </c>
      <c r="M1141" s="5">
        <f>IF(L1141="","",L1141+6)</f>
        <v/>
      </c>
      <c r="N1141" s="6">
        <f>IF(OR(A1141="",B1141=""),"",DATE(YEAR(B1141),MONTH(B1141),1))</f>
        <v/>
      </c>
      <c r="O1141" s="7">
        <f>IF(COUNTA(A1141:K1141)=0,"",IF(OR(A1141="",B1141=""),"Preencher CPF e entrada",IF(COUNTIFS($A$12:$A$5011,A1141,$B$12:$B$5011,B1141)&gt;1,"CPF + dia duplicado",IF(OR(AND(G1141&lt;&gt;"",G1141&lt;&gt;0,G1141&lt;&gt;1),AND(H1141&lt;&gt;"",H1141&lt;&gt;0,H1141&lt;&gt;1)),"Flags devem ser 0 ou 1",IF(AND(H1141=1,LEN(TRIM(I1141))=0),"Preencher nome do indicante",IF(AND(H1141&lt;&gt;1,I1141&lt;&gt;""),"Nome sem indicação interna",IF(AND(G1141=1,F1141=""),"Fechamento sem conversa",IF(OR(AND(E1141&lt;&gt;"",E1141&lt;B1141),AND(F1141&lt;&gt;"",F1141&lt;B1141)),"Evento anterior à entrada",IF(AND(F1141&lt;&gt;"",E1141=""),"Conversa sem agendamento",IF(OR(E1141&gt;TODAY(),F1141&gt;TODAY()),"Verificar evento futuro","OK"))))))))))</f>
        <v/>
      </c>
    </row>
    <row r="1142" spans="12:15">
      <c r="L1142" s="5">
        <f>IF(OR(A1142="",B1142=""),"",B1142-WEEKDAY(B1142,2)+1)</f>
        <v/>
      </c>
      <c r="M1142" s="5">
        <f>IF(L1142="","",L1142+6)</f>
        <v/>
      </c>
      <c r="N1142" s="6">
        <f>IF(OR(A1142="",B1142=""),"",DATE(YEAR(B1142),MONTH(B1142),1))</f>
        <v/>
      </c>
      <c r="O1142" s="7">
        <f>IF(COUNTA(A1142:K1142)=0,"",IF(OR(A1142="",B1142=""),"Preencher CPF e entrada",IF(COUNTIFS($A$12:$A$5011,A1142,$B$12:$B$5011,B1142)&gt;1,"CPF + dia duplicado",IF(OR(AND(G1142&lt;&gt;"",G1142&lt;&gt;0,G1142&lt;&gt;1),AND(H1142&lt;&gt;"",H1142&lt;&gt;0,H1142&lt;&gt;1)),"Flags devem ser 0 ou 1",IF(AND(H1142=1,LEN(TRIM(I1142))=0),"Preencher nome do indicante",IF(AND(H1142&lt;&gt;1,I1142&lt;&gt;""),"Nome sem indicação interna",IF(AND(G1142=1,F1142=""),"Fechamento sem conversa",IF(OR(AND(E1142&lt;&gt;"",E1142&lt;B1142),AND(F1142&lt;&gt;"",F1142&lt;B1142)),"Evento anterior à entrada",IF(AND(F1142&lt;&gt;"",E1142=""),"Conversa sem agendamento",IF(OR(E1142&gt;TODAY(),F1142&gt;TODAY()),"Verificar evento futuro","OK"))))))))))</f>
        <v/>
      </c>
    </row>
    <row r="1143" spans="12:15">
      <c r="L1143" s="5">
        <f>IF(OR(A1143="",B1143=""),"",B1143-WEEKDAY(B1143,2)+1)</f>
        <v/>
      </c>
      <c r="M1143" s="5">
        <f>IF(L1143="","",L1143+6)</f>
        <v/>
      </c>
      <c r="N1143" s="6">
        <f>IF(OR(A1143="",B1143=""),"",DATE(YEAR(B1143),MONTH(B1143),1))</f>
        <v/>
      </c>
      <c r="O1143" s="7">
        <f>IF(COUNTA(A1143:K1143)=0,"",IF(OR(A1143="",B1143=""),"Preencher CPF e entrada",IF(COUNTIFS($A$12:$A$5011,A1143,$B$12:$B$5011,B1143)&gt;1,"CPF + dia duplicado",IF(OR(AND(G1143&lt;&gt;"",G1143&lt;&gt;0,G1143&lt;&gt;1),AND(H1143&lt;&gt;"",H1143&lt;&gt;0,H1143&lt;&gt;1)),"Flags devem ser 0 ou 1",IF(AND(H1143=1,LEN(TRIM(I1143))=0),"Preencher nome do indicante",IF(AND(H1143&lt;&gt;1,I1143&lt;&gt;""),"Nome sem indicação interna",IF(AND(G1143=1,F1143=""),"Fechamento sem conversa",IF(OR(AND(E1143&lt;&gt;"",E1143&lt;B1143),AND(F1143&lt;&gt;"",F1143&lt;B1143)),"Evento anterior à entrada",IF(AND(F1143&lt;&gt;"",E1143=""),"Conversa sem agendamento",IF(OR(E1143&gt;TODAY(),F1143&gt;TODAY()),"Verificar evento futuro","OK"))))))))))</f>
        <v/>
      </c>
    </row>
    <row r="1144" spans="12:15">
      <c r="L1144" s="5">
        <f>IF(OR(A1144="",B1144=""),"",B1144-WEEKDAY(B1144,2)+1)</f>
        <v/>
      </c>
      <c r="M1144" s="5">
        <f>IF(L1144="","",L1144+6)</f>
        <v/>
      </c>
      <c r="N1144" s="6">
        <f>IF(OR(A1144="",B1144=""),"",DATE(YEAR(B1144),MONTH(B1144),1))</f>
        <v/>
      </c>
      <c r="O1144" s="7">
        <f>IF(COUNTA(A1144:K1144)=0,"",IF(OR(A1144="",B1144=""),"Preencher CPF e entrada",IF(COUNTIFS($A$12:$A$5011,A1144,$B$12:$B$5011,B1144)&gt;1,"CPF + dia duplicado",IF(OR(AND(G1144&lt;&gt;"",G1144&lt;&gt;0,G1144&lt;&gt;1),AND(H1144&lt;&gt;"",H1144&lt;&gt;0,H1144&lt;&gt;1)),"Flags devem ser 0 ou 1",IF(AND(H1144=1,LEN(TRIM(I1144))=0),"Preencher nome do indicante",IF(AND(H1144&lt;&gt;1,I1144&lt;&gt;""),"Nome sem indicação interna",IF(AND(G1144=1,F1144=""),"Fechamento sem conversa",IF(OR(AND(E1144&lt;&gt;"",E1144&lt;B1144),AND(F1144&lt;&gt;"",F1144&lt;B1144)),"Evento anterior à entrada",IF(AND(F1144&lt;&gt;"",E1144=""),"Conversa sem agendamento",IF(OR(E1144&gt;TODAY(),F1144&gt;TODAY()),"Verificar evento futuro","OK"))))))))))</f>
        <v/>
      </c>
    </row>
    <row r="1145" spans="12:15">
      <c r="L1145" s="5">
        <f>IF(OR(A1145="",B1145=""),"",B1145-WEEKDAY(B1145,2)+1)</f>
        <v/>
      </c>
      <c r="M1145" s="5">
        <f>IF(L1145="","",L1145+6)</f>
        <v/>
      </c>
      <c r="N1145" s="6">
        <f>IF(OR(A1145="",B1145=""),"",DATE(YEAR(B1145),MONTH(B1145),1))</f>
        <v/>
      </c>
      <c r="O1145" s="7">
        <f>IF(COUNTA(A1145:K1145)=0,"",IF(OR(A1145="",B1145=""),"Preencher CPF e entrada",IF(COUNTIFS($A$12:$A$5011,A1145,$B$12:$B$5011,B1145)&gt;1,"CPF + dia duplicado",IF(OR(AND(G1145&lt;&gt;"",G1145&lt;&gt;0,G1145&lt;&gt;1),AND(H1145&lt;&gt;"",H1145&lt;&gt;0,H1145&lt;&gt;1)),"Flags devem ser 0 ou 1",IF(AND(H1145=1,LEN(TRIM(I1145))=0),"Preencher nome do indicante",IF(AND(H1145&lt;&gt;1,I1145&lt;&gt;""),"Nome sem indicação interna",IF(AND(G1145=1,F1145=""),"Fechamento sem conversa",IF(OR(AND(E1145&lt;&gt;"",E1145&lt;B1145),AND(F1145&lt;&gt;"",F1145&lt;B1145)),"Evento anterior à entrada",IF(AND(F1145&lt;&gt;"",E1145=""),"Conversa sem agendamento",IF(OR(E1145&gt;TODAY(),F1145&gt;TODAY()),"Verificar evento futuro","OK"))))))))))</f>
        <v/>
      </c>
    </row>
    <row r="1146" spans="12:15">
      <c r="L1146" s="5">
        <f>IF(OR(A1146="",B1146=""),"",B1146-WEEKDAY(B1146,2)+1)</f>
        <v/>
      </c>
      <c r="M1146" s="5">
        <f>IF(L1146="","",L1146+6)</f>
        <v/>
      </c>
      <c r="N1146" s="6">
        <f>IF(OR(A1146="",B1146=""),"",DATE(YEAR(B1146),MONTH(B1146),1))</f>
        <v/>
      </c>
      <c r="O1146" s="7">
        <f>IF(COUNTA(A1146:K1146)=0,"",IF(OR(A1146="",B1146=""),"Preencher CPF e entrada",IF(COUNTIFS($A$12:$A$5011,A1146,$B$12:$B$5011,B1146)&gt;1,"CPF + dia duplicado",IF(OR(AND(G1146&lt;&gt;"",G1146&lt;&gt;0,G1146&lt;&gt;1),AND(H1146&lt;&gt;"",H1146&lt;&gt;0,H1146&lt;&gt;1)),"Flags devem ser 0 ou 1",IF(AND(H1146=1,LEN(TRIM(I1146))=0),"Preencher nome do indicante",IF(AND(H1146&lt;&gt;1,I1146&lt;&gt;""),"Nome sem indicação interna",IF(AND(G1146=1,F1146=""),"Fechamento sem conversa",IF(OR(AND(E1146&lt;&gt;"",E1146&lt;B1146),AND(F1146&lt;&gt;"",F1146&lt;B1146)),"Evento anterior à entrada",IF(AND(F1146&lt;&gt;"",E1146=""),"Conversa sem agendamento",IF(OR(E1146&gt;TODAY(),F1146&gt;TODAY()),"Verificar evento futuro","OK"))))))))))</f>
        <v/>
      </c>
    </row>
    <row r="1147" spans="12:15">
      <c r="L1147" s="5">
        <f>IF(OR(A1147="",B1147=""),"",B1147-WEEKDAY(B1147,2)+1)</f>
        <v/>
      </c>
      <c r="M1147" s="5">
        <f>IF(L1147="","",L1147+6)</f>
        <v/>
      </c>
      <c r="N1147" s="6">
        <f>IF(OR(A1147="",B1147=""),"",DATE(YEAR(B1147),MONTH(B1147),1))</f>
        <v/>
      </c>
      <c r="O1147" s="7">
        <f>IF(COUNTA(A1147:K1147)=0,"",IF(OR(A1147="",B1147=""),"Preencher CPF e entrada",IF(COUNTIFS($A$12:$A$5011,A1147,$B$12:$B$5011,B1147)&gt;1,"CPF + dia duplicado",IF(OR(AND(G1147&lt;&gt;"",G1147&lt;&gt;0,G1147&lt;&gt;1),AND(H1147&lt;&gt;"",H1147&lt;&gt;0,H1147&lt;&gt;1)),"Flags devem ser 0 ou 1",IF(AND(H1147=1,LEN(TRIM(I1147))=0),"Preencher nome do indicante",IF(AND(H1147&lt;&gt;1,I1147&lt;&gt;""),"Nome sem indicação interna",IF(AND(G1147=1,F1147=""),"Fechamento sem conversa",IF(OR(AND(E1147&lt;&gt;"",E1147&lt;B1147),AND(F1147&lt;&gt;"",F1147&lt;B1147)),"Evento anterior à entrada",IF(AND(F1147&lt;&gt;"",E1147=""),"Conversa sem agendamento",IF(OR(E1147&gt;TODAY(),F1147&gt;TODAY()),"Verificar evento futuro","OK"))))))))))</f>
        <v/>
      </c>
    </row>
    <row r="1148" spans="12:15">
      <c r="L1148" s="5">
        <f>IF(OR(A1148="",B1148=""),"",B1148-WEEKDAY(B1148,2)+1)</f>
        <v/>
      </c>
      <c r="M1148" s="5">
        <f>IF(L1148="","",L1148+6)</f>
        <v/>
      </c>
      <c r="N1148" s="6">
        <f>IF(OR(A1148="",B1148=""),"",DATE(YEAR(B1148),MONTH(B1148),1))</f>
        <v/>
      </c>
      <c r="O1148" s="7">
        <f>IF(COUNTA(A1148:K1148)=0,"",IF(OR(A1148="",B1148=""),"Preencher CPF e entrada",IF(COUNTIFS($A$12:$A$5011,A1148,$B$12:$B$5011,B1148)&gt;1,"CPF + dia duplicado",IF(OR(AND(G1148&lt;&gt;"",G1148&lt;&gt;0,G1148&lt;&gt;1),AND(H1148&lt;&gt;"",H1148&lt;&gt;0,H1148&lt;&gt;1)),"Flags devem ser 0 ou 1",IF(AND(H1148=1,LEN(TRIM(I1148))=0),"Preencher nome do indicante",IF(AND(H1148&lt;&gt;1,I1148&lt;&gt;""),"Nome sem indicação interna",IF(AND(G1148=1,F1148=""),"Fechamento sem conversa",IF(OR(AND(E1148&lt;&gt;"",E1148&lt;B1148),AND(F1148&lt;&gt;"",F1148&lt;B1148)),"Evento anterior à entrada",IF(AND(F1148&lt;&gt;"",E1148=""),"Conversa sem agendamento",IF(OR(E1148&gt;TODAY(),F1148&gt;TODAY()),"Verificar evento futuro","OK"))))))))))</f>
        <v/>
      </c>
    </row>
    <row r="1149" spans="12:15">
      <c r="L1149" s="5">
        <f>IF(OR(A1149="",B1149=""),"",B1149-WEEKDAY(B1149,2)+1)</f>
        <v/>
      </c>
      <c r="M1149" s="5">
        <f>IF(L1149="","",L1149+6)</f>
        <v/>
      </c>
      <c r="N1149" s="6">
        <f>IF(OR(A1149="",B1149=""),"",DATE(YEAR(B1149),MONTH(B1149),1))</f>
        <v/>
      </c>
      <c r="O1149" s="7">
        <f>IF(COUNTA(A1149:K1149)=0,"",IF(OR(A1149="",B1149=""),"Preencher CPF e entrada",IF(COUNTIFS($A$12:$A$5011,A1149,$B$12:$B$5011,B1149)&gt;1,"CPF + dia duplicado",IF(OR(AND(G1149&lt;&gt;"",G1149&lt;&gt;0,G1149&lt;&gt;1),AND(H1149&lt;&gt;"",H1149&lt;&gt;0,H1149&lt;&gt;1)),"Flags devem ser 0 ou 1",IF(AND(H1149=1,LEN(TRIM(I1149))=0),"Preencher nome do indicante",IF(AND(H1149&lt;&gt;1,I1149&lt;&gt;""),"Nome sem indicação interna",IF(AND(G1149=1,F1149=""),"Fechamento sem conversa",IF(OR(AND(E1149&lt;&gt;"",E1149&lt;B1149),AND(F1149&lt;&gt;"",F1149&lt;B1149)),"Evento anterior à entrada",IF(AND(F1149&lt;&gt;"",E1149=""),"Conversa sem agendamento",IF(OR(E1149&gt;TODAY(),F1149&gt;TODAY()),"Verificar evento futuro","OK"))))))))))</f>
        <v/>
      </c>
    </row>
    <row r="1150" spans="12:15">
      <c r="L1150" s="5">
        <f>IF(OR(A1150="",B1150=""),"",B1150-WEEKDAY(B1150,2)+1)</f>
        <v/>
      </c>
      <c r="M1150" s="5">
        <f>IF(L1150="","",L1150+6)</f>
        <v/>
      </c>
      <c r="N1150" s="6">
        <f>IF(OR(A1150="",B1150=""),"",DATE(YEAR(B1150),MONTH(B1150),1))</f>
        <v/>
      </c>
      <c r="O1150" s="7">
        <f>IF(COUNTA(A1150:K1150)=0,"",IF(OR(A1150="",B1150=""),"Preencher CPF e entrada",IF(COUNTIFS($A$12:$A$5011,A1150,$B$12:$B$5011,B1150)&gt;1,"CPF + dia duplicado",IF(OR(AND(G1150&lt;&gt;"",G1150&lt;&gt;0,G1150&lt;&gt;1),AND(H1150&lt;&gt;"",H1150&lt;&gt;0,H1150&lt;&gt;1)),"Flags devem ser 0 ou 1",IF(AND(H1150=1,LEN(TRIM(I1150))=0),"Preencher nome do indicante",IF(AND(H1150&lt;&gt;1,I1150&lt;&gt;""),"Nome sem indicação interna",IF(AND(G1150=1,F1150=""),"Fechamento sem conversa",IF(OR(AND(E1150&lt;&gt;"",E1150&lt;B1150),AND(F1150&lt;&gt;"",F1150&lt;B1150)),"Evento anterior à entrada",IF(AND(F1150&lt;&gt;"",E1150=""),"Conversa sem agendamento",IF(OR(E1150&gt;TODAY(),F1150&gt;TODAY()),"Verificar evento futuro","OK"))))))))))</f>
        <v/>
      </c>
    </row>
    <row r="1151" spans="12:15">
      <c r="L1151" s="5">
        <f>IF(OR(A1151="",B1151=""),"",B1151-WEEKDAY(B1151,2)+1)</f>
        <v/>
      </c>
      <c r="M1151" s="5">
        <f>IF(L1151="","",L1151+6)</f>
        <v/>
      </c>
      <c r="N1151" s="6">
        <f>IF(OR(A1151="",B1151=""),"",DATE(YEAR(B1151),MONTH(B1151),1))</f>
        <v/>
      </c>
      <c r="O1151" s="7">
        <f>IF(COUNTA(A1151:K1151)=0,"",IF(OR(A1151="",B1151=""),"Preencher CPF e entrada",IF(COUNTIFS($A$12:$A$5011,A1151,$B$12:$B$5011,B1151)&gt;1,"CPF + dia duplicado",IF(OR(AND(G1151&lt;&gt;"",G1151&lt;&gt;0,G1151&lt;&gt;1),AND(H1151&lt;&gt;"",H1151&lt;&gt;0,H1151&lt;&gt;1)),"Flags devem ser 0 ou 1",IF(AND(H1151=1,LEN(TRIM(I1151))=0),"Preencher nome do indicante",IF(AND(H1151&lt;&gt;1,I1151&lt;&gt;""),"Nome sem indicação interna",IF(AND(G1151=1,F1151=""),"Fechamento sem conversa",IF(OR(AND(E1151&lt;&gt;"",E1151&lt;B1151),AND(F1151&lt;&gt;"",F1151&lt;B1151)),"Evento anterior à entrada",IF(AND(F1151&lt;&gt;"",E1151=""),"Conversa sem agendamento",IF(OR(E1151&gt;TODAY(),F1151&gt;TODAY()),"Verificar evento futuro","OK"))))))))))</f>
        <v/>
      </c>
    </row>
    <row r="1152" spans="12:15">
      <c r="L1152" s="5">
        <f>IF(OR(A1152="",B1152=""),"",B1152-WEEKDAY(B1152,2)+1)</f>
        <v/>
      </c>
      <c r="M1152" s="5">
        <f>IF(L1152="","",L1152+6)</f>
        <v/>
      </c>
      <c r="N1152" s="6">
        <f>IF(OR(A1152="",B1152=""),"",DATE(YEAR(B1152),MONTH(B1152),1))</f>
        <v/>
      </c>
      <c r="O1152" s="7">
        <f>IF(COUNTA(A1152:K1152)=0,"",IF(OR(A1152="",B1152=""),"Preencher CPF e entrada",IF(COUNTIFS($A$12:$A$5011,A1152,$B$12:$B$5011,B1152)&gt;1,"CPF + dia duplicado",IF(OR(AND(G1152&lt;&gt;"",G1152&lt;&gt;0,G1152&lt;&gt;1),AND(H1152&lt;&gt;"",H1152&lt;&gt;0,H1152&lt;&gt;1)),"Flags devem ser 0 ou 1",IF(AND(H1152=1,LEN(TRIM(I1152))=0),"Preencher nome do indicante",IF(AND(H1152&lt;&gt;1,I1152&lt;&gt;""),"Nome sem indicação interna",IF(AND(G1152=1,F1152=""),"Fechamento sem conversa",IF(OR(AND(E1152&lt;&gt;"",E1152&lt;B1152),AND(F1152&lt;&gt;"",F1152&lt;B1152)),"Evento anterior à entrada",IF(AND(F1152&lt;&gt;"",E1152=""),"Conversa sem agendamento",IF(OR(E1152&gt;TODAY(),F1152&gt;TODAY()),"Verificar evento futuro","OK"))))))))))</f>
        <v/>
      </c>
    </row>
    <row r="1153" spans="12:15">
      <c r="L1153" s="5">
        <f>IF(OR(A1153="",B1153=""),"",B1153-WEEKDAY(B1153,2)+1)</f>
        <v/>
      </c>
      <c r="M1153" s="5">
        <f>IF(L1153="","",L1153+6)</f>
        <v/>
      </c>
      <c r="N1153" s="6">
        <f>IF(OR(A1153="",B1153=""),"",DATE(YEAR(B1153),MONTH(B1153),1))</f>
        <v/>
      </c>
      <c r="O1153" s="7">
        <f>IF(COUNTA(A1153:K1153)=0,"",IF(OR(A1153="",B1153=""),"Preencher CPF e entrada",IF(COUNTIFS($A$12:$A$5011,A1153,$B$12:$B$5011,B1153)&gt;1,"CPF + dia duplicado",IF(OR(AND(G1153&lt;&gt;"",G1153&lt;&gt;0,G1153&lt;&gt;1),AND(H1153&lt;&gt;"",H1153&lt;&gt;0,H1153&lt;&gt;1)),"Flags devem ser 0 ou 1",IF(AND(H1153=1,LEN(TRIM(I1153))=0),"Preencher nome do indicante",IF(AND(H1153&lt;&gt;1,I1153&lt;&gt;""),"Nome sem indicação interna",IF(AND(G1153=1,F1153=""),"Fechamento sem conversa",IF(OR(AND(E1153&lt;&gt;"",E1153&lt;B1153),AND(F1153&lt;&gt;"",F1153&lt;B1153)),"Evento anterior à entrada",IF(AND(F1153&lt;&gt;"",E1153=""),"Conversa sem agendamento",IF(OR(E1153&gt;TODAY(),F1153&gt;TODAY()),"Verificar evento futuro","OK"))))))))))</f>
        <v/>
      </c>
    </row>
    <row r="1154" spans="12:15">
      <c r="L1154" s="5">
        <f>IF(OR(A1154="",B1154=""),"",B1154-WEEKDAY(B1154,2)+1)</f>
        <v/>
      </c>
      <c r="M1154" s="5">
        <f>IF(L1154="","",L1154+6)</f>
        <v/>
      </c>
      <c r="N1154" s="6">
        <f>IF(OR(A1154="",B1154=""),"",DATE(YEAR(B1154),MONTH(B1154),1))</f>
        <v/>
      </c>
      <c r="O1154" s="7">
        <f>IF(COUNTA(A1154:K1154)=0,"",IF(OR(A1154="",B1154=""),"Preencher CPF e entrada",IF(COUNTIFS($A$12:$A$5011,A1154,$B$12:$B$5011,B1154)&gt;1,"CPF + dia duplicado",IF(OR(AND(G1154&lt;&gt;"",G1154&lt;&gt;0,G1154&lt;&gt;1),AND(H1154&lt;&gt;"",H1154&lt;&gt;0,H1154&lt;&gt;1)),"Flags devem ser 0 ou 1",IF(AND(H1154=1,LEN(TRIM(I1154))=0),"Preencher nome do indicante",IF(AND(H1154&lt;&gt;1,I1154&lt;&gt;""),"Nome sem indicação interna",IF(AND(G1154=1,F1154=""),"Fechamento sem conversa",IF(OR(AND(E1154&lt;&gt;"",E1154&lt;B1154),AND(F1154&lt;&gt;"",F1154&lt;B1154)),"Evento anterior à entrada",IF(AND(F1154&lt;&gt;"",E1154=""),"Conversa sem agendamento",IF(OR(E1154&gt;TODAY(),F1154&gt;TODAY()),"Verificar evento futuro","OK"))))))))))</f>
        <v/>
      </c>
    </row>
    <row r="1155" spans="12:15">
      <c r="L1155" s="5">
        <f>IF(OR(A1155="",B1155=""),"",B1155-WEEKDAY(B1155,2)+1)</f>
        <v/>
      </c>
      <c r="M1155" s="5">
        <f>IF(L1155="","",L1155+6)</f>
        <v/>
      </c>
      <c r="N1155" s="6">
        <f>IF(OR(A1155="",B1155=""),"",DATE(YEAR(B1155),MONTH(B1155),1))</f>
        <v/>
      </c>
      <c r="O1155" s="7">
        <f>IF(COUNTA(A1155:K1155)=0,"",IF(OR(A1155="",B1155=""),"Preencher CPF e entrada",IF(COUNTIFS($A$12:$A$5011,A1155,$B$12:$B$5011,B1155)&gt;1,"CPF + dia duplicado",IF(OR(AND(G1155&lt;&gt;"",G1155&lt;&gt;0,G1155&lt;&gt;1),AND(H1155&lt;&gt;"",H1155&lt;&gt;0,H1155&lt;&gt;1)),"Flags devem ser 0 ou 1",IF(AND(H1155=1,LEN(TRIM(I1155))=0),"Preencher nome do indicante",IF(AND(H1155&lt;&gt;1,I1155&lt;&gt;""),"Nome sem indicação interna",IF(AND(G1155=1,F1155=""),"Fechamento sem conversa",IF(OR(AND(E1155&lt;&gt;"",E1155&lt;B1155),AND(F1155&lt;&gt;"",F1155&lt;B1155)),"Evento anterior à entrada",IF(AND(F1155&lt;&gt;"",E1155=""),"Conversa sem agendamento",IF(OR(E1155&gt;TODAY(),F1155&gt;TODAY()),"Verificar evento futuro","OK"))))))))))</f>
        <v/>
      </c>
    </row>
    <row r="1156" spans="12:15">
      <c r="L1156" s="5">
        <f>IF(OR(A1156="",B1156=""),"",B1156-WEEKDAY(B1156,2)+1)</f>
        <v/>
      </c>
      <c r="M1156" s="5">
        <f>IF(L1156="","",L1156+6)</f>
        <v/>
      </c>
      <c r="N1156" s="6">
        <f>IF(OR(A1156="",B1156=""),"",DATE(YEAR(B1156),MONTH(B1156),1))</f>
        <v/>
      </c>
      <c r="O1156" s="7">
        <f>IF(COUNTA(A1156:K1156)=0,"",IF(OR(A1156="",B1156=""),"Preencher CPF e entrada",IF(COUNTIFS($A$12:$A$5011,A1156,$B$12:$B$5011,B1156)&gt;1,"CPF + dia duplicado",IF(OR(AND(G1156&lt;&gt;"",G1156&lt;&gt;0,G1156&lt;&gt;1),AND(H1156&lt;&gt;"",H1156&lt;&gt;0,H1156&lt;&gt;1)),"Flags devem ser 0 ou 1",IF(AND(H1156=1,LEN(TRIM(I1156))=0),"Preencher nome do indicante",IF(AND(H1156&lt;&gt;1,I1156&lt;&gt;""),"Nome sem indicação interna",IF(AND(G1156=1,F1156=""),"Fechamento sem conversa",IF(OR(AND(E1156&lt;&gt;"",E1156&lt;B1156),AND(F1156&lt;&gt;"",F1156&lt;B1156)),"Evento anterior à entrada",IF(AND(F1156&lt;&gt;"",E1156=""),"Conversa sem agendamento",IF(OR(E1156&gt;TODAY(),F1156&gt;TODAY()),"Verificar evento futuro","OK"))))))))))</f>
        <v/>
      </c>
    </row>
    <row r="1157" spans="12:15">
      <c r="L1157" s="5">
        <f>IF(OR(A1157="",B1157=""),"",B1157-WEEKDAY(B1157,2)+1)</f>
        <v/>
      </c>
      <c r="M1157" s="5">
        <f>IF(L1157="","",L1157+6)</f>
        <v/>
      </c>
      <c r="N1157" s="6">
        <f>IF(OR(A1157="",B1157=""),"",DATE(YEAR(B1157),MONTH(B1157),1))</f>
        <v/>
      </c>
      <c r="O1157" s="7">
        <f>IF(COUNTA(A1157:K1157)=0,"",IF(OR(A1157="",B1157=""),"Preencher CPF e entrada",IF(COUNTIFS($A$12:$A$5011,A1157,$B$12:$B$5011,B1157)&gt;1,"CPF + dia duplicado",IF(OR(AND(G1157&lt;&gt;"",G1157&lt;&gt;0,G1157&lt;&gt;1),AND(H1157&lt;&gt;"",H1157&lt;&gt;0,H1157&lt;&gt;1)),"Flags devem ser 0 ou 1",IF(AND(H1157=1,LEN(TRIM(I1157))=0),"Preencher nome do indicante",IF(AND(H1157&lt;&gt;1,I1157&lt;&gt;""),"Nome sem indicação interna",IF(AND(G1157=1,F1157=""),"Fechamento sem conversa",IF(OR(AND(E1157&lt;&gt;"",E1157&lt;B1157),AND(F1157&lt;&gt;"",F1157&lt;B1157)),"Evento anterior à entrada",IF(AND(F1157&lt;&gt;"",E1157=""),"Conversa sem agendamento",IF(OR(E1157&gt;TODAY(),F1157&gt;TODAY()),"Verificar evento futuro","OK"))))))))))</f>
        <v/>
      </c>
    </row>
    <row r="1158" spans="12:15">
      <c r="L1158" s="5">
        <f>IF(OR(A1158="",B1158=""),"",B1158-WEEKDAY(B1158,2)+1)</f>
        <v/>
      </c>
      <c r="M1158" s="5">
        <f>IF(L1158="","",L1158+6)</f>
        <v/>
      </c>
      <c r="N1158" s="6">
        <f>IF(OR(A1158="",B1158=""),"",DATE(YEAR(B1158),MONTH(B1158),1))</f>
        <v/>
      </c>
      <c r="O1158" s="7">
        <f>IF(COUNTA(A1158:K1158)=0,"",IF(OR(A1158="",B1158=""),"Preencher CPF e entrada",IF(COUNTIFS($A$12:$A$5011,A1158,$B$12:$B$5011,B1158)&gt;1,"CPF + dia duplicado",IF(OR(AND(G1158&lt;&gt;"",G1158&lt;&gt;0,G1158&lt;&gt;1),AND(H1158&lt;&gt;"",H1158&lt;&gt;0,H1158&lt;&gt;1)),"Flags devem ser 0 ou 1",IF(AND(H1158=1,LEN(TRIM(I1158))=0),"Preencher nome do indicante",IF(AND(H1158&lt;&gt;1,I1158&lt;&gt;""),"Nome sem indicação interna",IF(AND(G1158=1,F1158=""),"Fechamento sem conversa",IF(OR(AND(E1158&lt;&gt;"",E1158&lt;B1158),AND(F1158&lt;&gt;"",F1158&lt;B1158)),"Evento anterior à entrada",IF(AND(F1158&lt;&gt;"",E1158=""),"Conversa sem agendamento",IF(OR(E1158&gt;TODAY(),F1158&gt;TODAY()),"Verificar evento futuro","OK"))))))))))</f>
        <v/>
      </c>
    </row>
    <row r="1159" spans="12:15">
      <c r="L1159" s="5">
        <f>IF(OR(A1159="",B1159=""),"",B1159-WEEKDAY(B1159,2)+1)</f>
        <v/>
      </c>
      <c r="M1159" s="5">
        <f>IF(L1159="","",L1159+6)</f>
        <v/>
      </c>
      <c r="N1159" s="6">
        <f>IF(OR(A1159="",B1159=""),"",DATE(YEAR(B1159),MONTH(B1159),1))</f>
        <v/>
      </c>
      <c r="O1159" s="7">
        <f>IF(COUNTA(A1159:K1159)=0,"",IF(OR(A1159="",B1159=""),"Preencher CPF e entrada",IF(COUNTIFS($A$12:$A$5011,A1159,$B$12:$B$5011,B1159)&gt;1,"CPF + dia duplicado",IF(OR(AND(G1159&lt;&gt;"",G1159&lt;&gt;0,G1159&lt;&gt;1),AND(H1159&lt;&gt;"",H1159&lt;&gt;0,H1159&lt;&gt;1)),"Flags devem ser 0 ou 1",IF(AND(H1159=1,LEN(TRIM(I1159))=0),"Preencher nome do indicante",IF(AND(H1159&lt;&gt;1,I1159&lt;&gt;""),"Nome sem indicação interna",IF(AND(G1159=1,F1159=""),"Fechamento sem conversa",IF(OR(AND(E1159&lt;&gt;"",E1159&lt;B1159),AND(F1159&lt;&gt;"",F1159&lt;B1159)),"Evento anterior à entrada",IF(AND(F1159&lt;&gt;"",E1159=""),"Conversa sem agendamento",IF(OR(E1159&gt;TODAY(),F1159&gt;TODAY()),"Verificar evento futuro","OK"))))))))))</f>
        <v/>
      </c>
    </row>
    <row r="1160" spans="12:15">
      <c r="L1160" s="5">
        <f>IF(OR(A1160="",B1160=""),"",B1160-WEEKDAY(B1160,2)+1)</f>
        <v/>
      </c>
      <c r="M1160" s="5">
        <f>IF(L1160="","",L1160+6)</f>
        <v/>
      </c>
      <c r="N1160" s="6">
        <f>IF(OR(A1160="",B1160=""),"",DATE(YEAR(B1160),MONTH(B1160),1))</f>
        <v/>
      </c>
      <c r="O1160" s="7">
        <f>IF(COUNTA(A1160:K1160)=0,"",IF(OR(A1160="",B1160=""),"Preencher CPF e entrada",IF(COUNTIFS($A$12:$A$5011,A1160,$B$12:$B$5011,B1160)&gt;1,"CPF + dia duplicado",IF(OR(AND(G1160&lt;&gt;"",G1160&lt;&gt;0,G1160&lt;&gt;1),AND(H1160&lt;&gt;"",H1160&lt;&gt;0,H1160&lt;&gt;1)),"Flags devem ser 0 ou 1",IF(AND(H1160=1,LEN(TRIM(I1160))=0),"Preencher nome do indicante",IF(AND(H1160&lt;&gt;1,I1160&lt;&gt;""),"Nome sem indicação interna",IF(AND(G1160=1,F1160=""),"Fechamento sem conversa",IF(OR(AND(E1160&lt;&gt;"",E1160&lt;B1160),AND(F1160&lt;&gt;"",F1160&lt;B1160)),"Evento anterior à entrada",IF(AND(F1160&lt;&gt;"",E1160=""),"Conversa sem agendamento",IF(OR(E1160&gt;TODAY(),F1160&gt;TODAY()),"Verificar evento futuro","OK"))))))))))</f>
        <v/>
      </c>
    </row>
    <row r="1161" spans="12:15">
      <c r="L1161" s="5">
        <f>IF(OR(A1161="",B1161=""),"",B1161-WEEKDAY(B1161,2)+1)</f>
        <v/>
      </c>
      <c r="M1161" s="5">
        <f>IF(L1161="","",L1161+6)</f>
        <v/>
      </c>
      <c r="N1161" s="6">
        <f>IF(OR(A1161="",B1161=""),"",DATE(YEAR(B1161),MONTH(B1161),1))</f>
        <v/>
      </c>
      <c r="O1161" s="7">
        <f>IF(COUNTA(A1161:K1161)=0,"",IF(OR(A1161="",B1161=""),"Preencher CPF e entrada",IF(COUNTIFS($A$12:$A$5011,A1161,$B$12:$B$5011,B1161)&gt;1,"CPF + dia duplicado",IF(OR(AND(G1161&lt;&gt;"",G1161&lt;&gt;0,G1161&lt;&gt;1),AND(H1161&lt;&gt;"",H1161&lt;&gt;0,H1161&lt;&gt;1)),"Flags devem ser 0 ou 1",IF(AND(H1161=1,LEN(TRIM(I1161))=0),"Preencher nome do indicante",IF(AND(H1161&lt;&gt;1,I1161&lt;&gt;""),"Nome sem indicação interna",IF(AND(G1161=1,F1161=""),"Fechamento sem conversa",IF(OR(AND(E1161&lt;&gt;"",E1161&lt;B1161),AND(F1161&lt;&gt;"",F1161&lt;B1161)),"Evento anterior à entrada",IF(AND(F1161&lt;&gt;"",E1161=""),"Conversa sem agendamento",IF(OR(E1161&gt;TODAY(),F1161&gt;TODAY()),"Verificar evento futuro","OK"))))))))))</f>
        <v/>
      </c>
    </row>
    <row r="1162" spans="12:15">
      <c r="L1162" s="5">
        <f>IF(OR(A1162="",B1162=""),"",B1162-WEEKDAY(B1162,2)+1)</f>
        <v/>
      </c>
      <c r="M1162" s="5">
        <f>IF(L1162="","",L1162+6)</f>
        <v/>
      </c>
      <c r="N1162" s="6">
        <f>IF(OR(A1162="",B1162=""),"",DATE(YEAR(B1162),MONTH(B1162),1))</f>
        <v/>
      </c>
      <c r="O1162" s="7">
        <f>IF(COUNTA(A1162:K1162)=0,"",IF(OR(A1162="",B1162=""),"Preencher CPF e entrada",IF(COUNTIFS($A$12:$A$5011,A1162,$B$12:$B$5011,B1162)&gt;1,"CPF + dia duplicado",IF(OR(AND(G1162&lt;&gt;"",G1162&lt;&gt;0,G1162&lt;&gt;1),AND(H1162&lt;&gt;"",H1162&lt;&gt;0,H1162&lt;&gt;1)),"Flags devem ser 0 ou 1",IF(AND(H1162=1,LEN(TRIM(I1162))=0),"Preencher nome do indicante",IF(AND(H1162&lt;&gt;1,I1162&lt;&gt;""),"Nome sem indicação interna",IF(AND(G1162=1,F1162=""),"Fechamento sem conversa",IF(OR(AND(E1162&lt;&gt;"",E1162&lt;B1162),AND(F1162&lt;&gt;"",F1162&lt;B1162)),"Evento anterior à entrada",IF(AND(F1162&lt;&gt;"",E1162=""),"Conversa sem agendamento",IF(OR(E1162&gt;TODAY(),F1162&gt;TODAY()),"Verificar evento futuro","OK"))))))))))</f>
        <v/>
      </c>
    </row>
    <row r="1163" spans="12:15">
      <c r="L1163" s="5">
        <f>IF(OR(A1163="",B1163=""),"",B1163-WEEKDAY(B1163,2)+1)</f>
        <v/>
      </c>
      <c r="M1163" s="5">
        <f>IF(L1163="","",L1163+6)</f>
        <v/>
      </c>
      <c r="N1163" s="6">
        <f>IF(OR(A1163="",B1163=""),"",DATE(YEAR(B1163),MONTH(B1163),1))</f>
        <v/>
      </c>
      <c r="O1163" s="7">
        <f>IF(COUNTA(A1163:K1163)=0,"",IF(OR(A1163="",B1163=""),"Preencher CPF e entrada",IF(COUNTIFS($A$12:$A$5011,A1163,$B$12:$B$5011,B1163)&gt;1,"CPF + dia duplicado",IF(OR(AND(G1163&lt;&gt;"",G1163&lt;&gt;0,G1163&lt;&gt;1),AND(H1163&lt;&gt;"",H1163&lt;&gt;0,H1163&lt;&gt;1)),"Flags devem ser 0 ou 1",IF(AND(H1163=1,LEN(TRIM(I1163))=0),"Preencher nome do indicante",IF(AND(H1163&lt;&gt;1,I1163&lt;&gt;""),"Nome sem indicação interna",IF(AND(G1163=1,F1163=""),"Fechamento sem conversa",IF(OR(AND(E1163&lt;&gt;"",E1163&lt;B1163),AND(F1163&lt;&gt;"",F1163&lt;B1163)),"Evento anterior à entrada",IF(AND(F1163&lt;&gt;"",E1163=""),"Conversa sem agendamento",IF(OR(E1163&gt;TODAY(),F1163&gt;TODAY()),"Verificar evento futuro","OK"))))))))))</f>
        <v/>
      </c>
    </row>
    <row r="1164" spans="12:15">
      <c r="L1164" s="5">
        <f>IF(OR(A1164="",B1164=""),"",B1164-WEEKDAY(B1164,2)+1)</f>
        <v/>
      </c>
      <c r="M1164" s="5">
        <f>IF(L1164="","",L1164+6)</f>
        <v/>
      </c>
      <c r="N1164" s="6">
        <f>IF(OR(A1164="",B1164=""),"",DATE(YEAR(B1164),MONTH(B1164),1))</f>
        <v/>
      </c>
      <c r="O1164" s="7">
        <f>IF(COUNTA(A1164:K1164)=0,"",IF(OR(A1164="",B1164=""),"Preencher CPF e entrada",IF(COUNTIFS($A$12:$A$5011,A1164,$B$12:$B$5011,B1164)&gt;1,"CPF + dia duplicado",IF(OR(AND(G1164&lt;&gt;"",G1164&lt;&gt;0,G1164&lt;&gt;1),AND(H1164&lt;&gt;"",H1164&lt;&gt;0,H1164&lt;&gt;1)),"Flags devem ser 0 ou 1",IF(AND(H1164=1,LEN(TRIM(I1164))=0),"Preencher nome do indicante",IF(AND(H1164&lt;&gt;1,I1164&lt;&gt;""),"Nome sem indicação interna",IF(AND(G1164=1,F1164=""),"Fechamento sem conversa",IF(OR(AND(E1164&lt;&gt;"",E1164&lt;B1164),AND(F1164&lt;&gt;"",F1164&lt;B1164)),"Evento anterior à entrada",IF(AND(F1164&lt;&gt;"",E1164=""),"Conversa sem agendamento",IF(OR(E1164&gt;TODAY(),F1164&gt;TODAY()),"Verificar evento futuro","OK"))))))))))</f>
        <v/>
      </c>
    </row>
    <row r="1165" spans="12:15">
      <c r="L1165" s="5">
        <f>IF(OR(A1165="",B1165=""),"",B1165-WEEKDAY(B1165,2)+1)</f>
        <v/>
      </c>
      <c r="M1165" s="5">
        <f>IF(L1165="","",L1165+6)</f>
        <v/>
      </c>
      <c r="N1165" s="6">
        <f>IF(OR(A1165="",B1165=""),"",DATE(YEAR(B1165),MONTH(B1165),1))</f>
        <v/>
      </c>
      <c r="O1165" s="7">
        <f>IF(COUNTA(A1165:K1165)=0,"",IF(OR(A1165="",B1165=""),"Preencher CPF e entrada",IF(COUNTIFS($A$12:$A$5011,A1165,$B$12:$B$5011,B1165)&gt;1,"CPF + dia duplicado",IF(OR(AND(G1165&lt;&gt;"",G1165&lt;&gt;0,G1165&lt;&gt;1),AND(H1165&lt;&gt;"",H1165&lt;&gt;0,H1165&lt;&gt;1)),"Flags devem ser 0 ou 1",IF(AND(H1165=1,LEN(TRIM(I1165))=0),"Preencher nome do indicante",IF(AND(H1165&lt;&gt;1,I1165&lt;&gt;""),"Nome sem indicação interna",IF(AND(G1165=1,F1165=""),"Fechamento sem conversa",IF(OR(AND(E1165&lt;&gt;"",E1165&lt;B1165),AND(F1165&lt;&gt;"",F1165&lt;B1165)),"Evento anterior à entrada",IF(AND(F1165&lt;&gt;"",E1165=""),"Conversa sem agendamento",IF(OR(E1165&gt;TODAY(),F1165&gt;TODAY()),"Verificar evento futuro","OK"))))))))))</f>
        <v/>
      </c>
    </row>
    <row r="1166" spans="12:15">
      <c r="L1166" s="5">
        <f>IF(OR(A1166="",B1166=""),"",B1166-WEEKDAY(B1166,2)+1)</f>
        <v/>
      </c>
      <c r="M1166" s="5">
        <f>IF(L1166="","",L1166+6)</f>
        <v/>
      </c>
      <c r="N1166" s="6">
        <f>IF(OR(A1166="",B1166=""),"",DATE(YEAR(B1166),MONTH(B1166),1))</f>
        <v/>
      </c>
      <c r="O1166" s="7">
        <f>IF(COUNTA(A1166:K1166)=0,"",IF(OR(A1166="",B1166=""),"Preencher CPF e entrada",IF(COUNTIFS($A$12:$A$5011,A1166,$B$12:$B$5011,B1166)&gt;1,"CPF + dia duplicado",IF(OR(AND(G1166&lt;&gt;"",G1166&lt;&gt;0,G1166&lt;&gt;1),AND(H1166&lt;&gt;"",H1166&lt;&gt;0,H1166&lt;&gt;1)),"Flags devem ser 0 ou 1",IF(AND(H1166=1,LEN(TRIM(I1166))=0),"Preencher nome do indicante",IF(AND(H1166&lt;&gt;1,I1166&lt;&gt;""),"Nome sem indicação interna",IF(AND(G1166=1,F1166=""),"Fechamento sem conversa",IF(OR(AND(E1166&lt;&gt;"",E1166&lt;B1166),AND(F1166&lt;&gt;"",F1166&lt;B1166)),"Evento anterior à entrada",IF(AND(F1166&lt;&gt;"",E1166=""),"Conversa sem agendamento",IF(OR(E1166&gt;TODAY(),F1166&gt;TODAY()),"Verificar evento futuro","OK"))))))))))</f>
        <v/>
      </c>
    </row>
    <row r="1167" spans="12:15">
      <c r="L1167" s="5">
        <f>IF(OR(A1167="",B1167=""),"",B1167-WEEKDAY(B1167,2)+1)</f>
        <v/>
      </c>
      <c r="M1167" s="5">
        <f>IF(L1167="","",L1167+6)</f>
        <v/>
      </c>
      <c r="N1167" s="6">
        <f>IF(OR(A1167="",B1167=""),"",DATE(YEAR(B1167),MONTH(B1167),1))</f>
        <v/>
      </c>
      <c r="O1167" s="7">
        <f>IF(COUNTA(A1167:K1167)=0,"",IF(OR(A1167="",B1167=""),"Preencher CPF e entrada",IF(COUNTIFS($A$12:$A$5011,A1167,$B$12:$B$5011,B1167)&gt;1,"CPF + dia duplicado",IF(OR(AND(G1167&lt;&gt;"",G1167&lt;&gt;0,G1167&lt;&gt;1),AND(H1167&lt;&gt;"",H1167&lt;&gt;0,H1167&lt;&gt;1)),"Flags devem ser 0 ou 1",IF(AND(H1167=1,LEN(TRIM(I1167))=0),"Preencher nome do indicante",IF(AND(H1167&lt;&gt;1,I1167&lt;&gt;""),"Nome sem indicação interna",IF(AND(G1167=1,F1167=""),"Fechamento sem conversa",IF(OR(AND(E1167&lt;&gt;"",E1167&lt;B1167),AND(F1167&lt;&gt;"",F1167&lt;B1167)),"Evento anterior à entrada",IF(AND(F1167&lt;&gt;"",E1167=""),"Conversa sem agendamento",IF(OR(E1167&gt;TODAY(),F1167&gt;TODAY()),"Verificar evento futuro","OK"))))))))))</f>
        <v/>
      </c>
    </row>
    <row r="1168" spans="12:15">
      <c r="L1168" s="5">
        <f>IF(OR(A1168="",B1168=""),"",B1168-WEEKDAY(B1168,2)+1)</f>
        <v/>
      </c>
      <c r="M1168" s="5">
        <f>IF(L1168="","",L1168+6)</f>
        <v/>
      </c>
      <c r="N1168" s="6">
        <f>IF(OR(A1168="",B1168=""),"",DATE(YEAR(B1168),MONTH(B1168),1))</f>
        <v/>
      </c>
      <c r="O1168" s="7">
        <f>IF(COUNTA(A1168:K1168)=0,"",IF(OR(A1168="",B1168=""),"Preencher CPF e entrada",IF(COUNTIFS($A$12:$A$5011,A1168,$B$12:$B$5011,B1168)&gt;1,"CPF + dia duplicado",IF(OR(AND(G1168&lt;&gt;"",G1168&lt;&gt;0,G1168&lt;&gt;1),AND(H1168&lt;&gt;"",H1168&lt;&gt;0,H1168&lt;&gt;1)),"Flags devem ser 0 ou 1",IF(AND(H1168=1,LEN(TRIM(I1168))=0),"Preencher nome do indicante",IF(AND(H1168&lt;&gt;1,I1168&lt;&gt;""),"Nome sem indicação interna",IF(AND(G1168=1,F1168=""),"Fechamento sem conversa",IF(OR(AND(E1168&lt;&gt;"",E1168&lt;B1168),AND(F1168&lt;&gt;"",F1168&lt;B1168)),"Evento anterior à entrada",IF(AND(F1168&lt;&gt;"",E1168=""),"Conversa sem agendamento",IF(OR(E1168&gt;TODAY(),F1168&gt;TODAY()),"Verificar evento futuro","OK"))))))))))</f>
        <v/>
      </c>
    </row>
    <row r="1169" spans="12:15">
      <c r="L1169" s="5">
        <f>IF(OR(A1169="",B1169=""),"",B1169-WEEKDAY(B1169,2)+1)</f>
        <v/>
      </c>
      <c r="M1169" s="5">
        <f>IF(L1169="","",L1169+6)</f>
        <v/>
      </c>
      <c r="N1169" s="6">
        <f>IF(OR(A1169="",B1169=""),"",DATE(YEAR(B1169),MONTH(B1169),1))</f>
        <v/>
      </c>
      <c r="O1169" s="7">
        <f>IF(COUNTA(A1169:K1169)=0,"",IF(OR(A1169="",B1169=""),"Preencher CPF e entrada",IF(COUNTIFS($A$12:$A$5011,A1169,$B$12:$B$5011,B1169)&gt;1,"CPF + dia duplicado",IF(OR(AND(G1169&lt;&gt;"",G1169&lt;&gt;0,G1169&lt;&gt;1),AND(H1169&lt;&gt;"",H1169&lt;&gt;0,H1169&lt;&gt;1)),"Flags devem ser 0 ou 1",IF(AND(H1169=1,LEN(TRIM(I1169))=0),"Preencher nome do indicante",IF(AND(H1169&lt;&gt;1,I1169&lt;&gt;""),"Nome sem indicação interna",IF(AND(G1169=1,F1169=""),"Fechamento sem conversa",IF(OR(AND(E1169&lt;&gt;"",E1169&lt;B1169),AND(F1169&lt;&gt;"",F1169&lt;B1169)),"Evento anterior à entrada",IF(AND(F1169&lt;&gt;"",E1169=""),"Conversa sem agendamento",IF(OR(E1169&gt;TODAY(),F1169&gt;TODAY()),"Verificar evento futuro","OK"))))))))))</f>
        <v/>
      </c>
    </row>
    <row r="1170" spans="12:15">
      <c r="L1170" s="5">
        <f>IF(OR(A1170="",B1170=""),"",B1170-WEEKDAY(B1170,2)+1)</f>
        <v/>
      </c>
      <c r="M1170" s="5">
        <f>IF(L1170="","",L1170+6)</f>
        <v/>
      </c>
      <c r="N1170" s="6">
        <f>IF(OR(A1170="",B1170=""),"",DATE(YEAR(B1170),MONTH(B1170),1))</f>
        <v/>
      </c>
      <c r="O1170" s="7">
        <f>IF(COUNTA(A1170:K1170)=0,"",IF(OR(A1170="",B1170=""),"Preencher CPF e entrada",IF(COUNTIFS($A$12:$A$5011,A1170,$B$12:$B$5011,B1170)&gt;1,"CPF + dia duplicado",IF(OR(AND(G1170&lt;&gt;"",G1170&lt;&gt;0,G1170&lt;&gt;1),AND(H1170&lt;&gt;"",H1170&lt;&gt;0,H1170&lt;&gt;1)),"Flags devem ser 0 ou 1",IF(AND(H1170=1,LEN(TRIM(I1170))=0),"Preencher nome do indicante",IF(AND(H1170&lt;&gt;1,I1170&lt;&gt;""),"Nome sem indicação interna",IF(AND(G1170=1,F1170=""),"Fechamento sem conversa",IF(OR(AND(E1170&lt;&gt;"",E1170&lt;B1170),AND(F1170&lt;&gt;"",F1170&lt;B1170)),"Evento anterior à entrada",IF(AND(F1170&lt;&gt;"",E1170=""),"Conversa sem agendamento",IF(OR(E1170&gt;TODAY(),F1170&gt;TODAY()),"Verificar evento futuro","OK"))))))))))</f>
        <v/>
      </c>
    </row>
    <row r="1171" spans="12:15">
      <c r="L1171" s="5">
        <f>IF(OR(A1171="",B1171=""),"",B1171-WEEKDAY(B1171,2)+1)</f>
        <v/>
      </c>
      <c r="M1171" s="5">
        <f>IF(L1171="","",L1171+6)</f>
        <v/>
      </c>
      <c r="N1171" s="6">
        <f>IF(OR(A1171="",B1171=""),"",DATE(YEAR(B1171),MONTH(B1171),1))</f>
        <v/>
      </c>
      <c r="O1171" s="7">
        <f>IF(COUNTA(A1171:K1171)=0,"",IF(OR(A1171="",B1171=""),"Preencher CPF e entrada",IF(COUNTIFS($A$12:$A$5011,A1171,$B$12:$B$5011,B1171)&gt;1,"CPF + dia duplicado",IF(OR(AND(G1171&lt;&gt;"",G1171&lt;&gt;0,G1171&lt;&gt;1),AND(H1171&lt;&gt;"",H1171&lt;&gt;0,H1171&lt;&gt;1)),"Flags devem ser 0 ou 1",IF(AND(H1171=1,LEN(TRIM(I1171))=0),"Preencher nome do indicante",IF(AND(H1171&lt;&gt;1,I1171&lt;&gt;""),"Nome sem indicação interna",IF(AND(G1171=1,F1171=""),"Fechamento sem conversa",IF(OR(AND(E1171&lt;&gt;"",E1171&lt;B1171),AND(F1171&lt;&gt;"",F1171&lt;B1171)),"Evento anterior à entrada",IF(AND(F1171&lt;&gt;"",E1171=""),"Conversa sem agendamento",IF(OR(E1171&gt;TODAY(),F1171&gt;TODAY()),"Verificar evento futuro","OK"))))))))))</f>
        <v/>
      </c>
    </row>
    <row r="1172" spans="12:15">
      <c r="L1172" s="5">
        <f>IF(OR(A1172="",B1172=""),"",B1172-WEEKDAY(B1172,2)+1)</f>
        <v/>
      </c>
      <c r="M1172" s="5">
        <f>IF(L1172="","",L1172+6)</f>
        <v/>
      </c>
      <c r="N1172" s="6">
        <f>IF(OR(A1172="",B1172=""),"",DATE(YEAR(B1172),MONTH(B1172),1))</f>
        <v/>
      </c>
      <c r="O1172" s="7">
        <f>IF(COUNTA(A1172:K1172)=0,"",IF(OR(A1172="",B1172=""),"Preencher CPF e entrada",IF(COUNTIFS($A$12:$A$5011,A1172,$B$12:$B$5011,B1172)&gt;1,"CPF + dia duplicado",IF(OR(AND(G1172&lt;&gt;"",G1172&lt;&gt;0,G1172&lt;&gt;1),AND(H1172&lt;&gt;"",H1172&lt;&gt;0,H1172&lt;&gt;1)),"Flags devem ser 0 ou 1",IF(AND(H1172=1,LEN(TRIM(I1172))=0),"Preencher nome do indicante",IF(AND(H1172&lt;&gt;1,I1172&lt;&gt;""),"Nome sem indicação interna",IF(AND(G1172=1,F1172=""),"Fechamento sem conversa",IF(OR(AND(E1172&lt;&gt;"",E1172&lt;B1172),AND(F1172&lt;&gt;"",F1172&lt;B1172)),"Evento anterior à entrada",IF(AND(F1172&lt;&gt;"",E1172=""),"Conversa sem agendamento",IF(OR(E1172&gt;TODAY(),F1172&gt;TODAY()),"Verificar evento futuro","OK"))))))))))</f>
        <v/>
      </c>
    </row>
    <row r="1173" spans="12:15">
      <c r="L1173" s="5">
        <f>IF(OR(A1173="",B1173=""),"",B1173-WEEKDAY(B1173,2)+1)</f>
        <v/>
      </c>
      <c r="M1173" s="5">
        <f>IF(L1173="","",L1173+6)</f>
        <v/>
      </c>
      <c r="N1173" s="6">
        <f>IF(OR(A1173="",B1173=""),"",DATE(YEAR(B1173),MONTH(B1173),1))</f>
        <v/>
      </c>
      <c r="O1173" s="7">
        <f>IF(COUNTA(A1173:K1173)=0,"",IF(OR(A1173="",B1173=""),"Preencher CPF e entrada",IF(COUNTIFS($A$12:$A$5011,A1173,$B$12:$B$5011,B1173)&gt;1,"CPF + dia duplicado",IF(OR(AND(G1173&lt;&gt;"",G1173&lt;&gt;0,G1173&lt;&gt;1),AND(H1173&lt;&gt;"",H1173&lt;&gt;0,H1173&lt;&gt;1)),"Flags devem ser 0 ou 1",IF(AND(H1173=1,LEN(TRIM(I1173))=0),"Preencher nome do indicante",IF(AND(H1173&lt;&gt;1,I1173&lt;&gt;""),"Nome sem indicação interna",IF(AND(G1173=1,F1173=""),"Fechamento sem conversa",IF(OR(AND(E1173&lt;&gt;"",E1173&lt;B1173),AND(F1173&lt;&gt;"",F1173&lt;B1173)),"Evento anterior à entrada",IF(AND(F1173&lt;&gt;"",E1173=""),"Conversa sem agendamento",IF(OR(E1173&gt;TODAY(),F1173&gt;TODAY()),"Verificar evento futuro","OK"))))))))))</f>
        <v/>
      </c>
    </row>
    <row r="1174" spans="12:15">
      <c r="L1174" s="5">
        <f>IF(OR(A1174="",B1174=""),"",B1174-WEEKDAY(B1174,2)+1)</f>
        <v/>
      </c>
      <c r="M1174" s="5">
        <f>IF(L1174="","",L1174+6)</f>
        <v/>
      </c>
      <c r="N1174" s="6">
        <f>IF(OR(A1174="",B1174=""),"",DATE(YEAR(B1174),MONTH(B1174),1))</f>
        <v/>
      </c>
      <c r="O1174" s="7">
        <f>IF(COUNTA(A1174:K1174)=0,"",IF(OR(A1174="",B1174=""),"Preencher CPF e entrada",IF(COUNTIFS($A$12:$A$5011,A1174,$B$12:$B$5011,B1174)&gt;1,"CPF + dia duplicado",IF(OR(AND(G1174&lt;&gt;"",G1174&lt;&gt;0,G1174&lt;&gt;1),AND(H1174&lt;&gt;"",H1174&lt;&gt;0,H1174&lt;&gt;1)),"Flags devem ser 0 ou 1",IF(AND(H1174=1,LEN(TRIM(I1174))=0),"Preencher nome do indicante",IF(AND(H1174&lt;&gt;1,I1174&lt;&gt;""),"Nome sem indicação interna",IF(AND(G1174=1,F1174=""),"Fechamento sem conversa",IF(OR(AND(E1174&lt;&gt;"",E1174&lt;B1174),AND(F1174&lt;&gt;"",F1174&lt;B1174)),"Evento anterior à entrada",IF(AND(F1174&lt;&gt;"",E1174=""),"Conversa sem agendamento",IF(OR(E1174&gt;TODAY(),F1174&gt;TODAY()),"Verificar evento futuro","OK"))))))))))</f>
        <v/>
      </c>
    </row>
    <row r="1175" spans="12:15">
      <c r="L1175" s="5">
        <f>IF(OR(A1175="",B1175=""),"",B1175-WEEKDAY(B1175,2)+1)</f>
        <v/>
      </c>
      <c r="M1175" s="5">
        <f>IF(L1175="","",L1175+6)</f>
        <v/>
      </c>
      <c r="N1175" s="6">
        <f>IF(OR(A1175="",B1175=""),"",DATE(YEAR(B1175),MONTH(B1175),1))</f>
        <v/>
      </c>
      <c r="O1175" s="7">
        <f>IF(COUNTA(A1175:K1175)=0,"",IF(OR(A1175="",B1175=""),"Preencher CPF e entrada",IF(COUNTIFS($A$12:$A$5011,A1175,$B$12:$B$5011,B1175)&gt;1,"CPF + dia duplicado",IF(OR(AND(G1175&lt;&gt;"",G1175&lt;&gt;0,G1175&lt;&gt;1),AND(H1175&lt;&gt;"",H1175&lt;&gt;0,H1175&lt;&gt;1)),"Flags devem ser 0 ou 1",IF(AND(H1175=1,LEN(TRIM(I1175))=0),"Preencher nome do indicante",IF(AND(H1175&lt;&gt;1,I1175&lt;&gt;""),"Nome sem indicação interna",IF(AND(G1175=1,F1175=""),"Fechamento sem conversa",IF(OR(AND(E1175&lt;&gt;"",E1175&lt;B1175),AND(F1175&lt;&gt;"",F1175&lt;B1175)),"Evento anterior à entrada",IF(AND(F1175&lt;&gt;"",E1175=""),"Conversa sem agendamento",IF(OR(E1175&gt;TODAY(),F1175&gt;TODAY()),"Verificar evento futuro","OK"))))))))))</f>
        <v/>
      </c>
    </row>
    <row r="1176" spans="12:15">
      <c r="L1176" s="5">
        <f>IF(OR(A1176="",B1176=""),"",B1176-WEEKDAY(B1176,2)+1)</f>
        <v/>
      </c>
      <c r="M1176" s="5">
        <f>IF(L1176="","",L1176+6)</f>
        <v/>
      </c>
      <c r="N1176" s="6">
        <f>IF(OR(A1176="",B1176=""),"",DATE(YEAR(B1176),MONTH(B1176),1))</f>
        <v/>
      </c>
      <c r="O1176" s="7">
        <f>IF(COUNTA(A1176:K1176)=0,"",IF(OR(A1176="",B1176=""),"Preencher CPF e entrada",IF(COUNTIFS($A$12:$A$5011,A1176,$B$12:$B$5011,B1176)&gt;1,"CPF + dia duplicado",IF(OR(AND(G1176&lt;&gt;"",G1176&lt;&gt;0,G1176&lt;&gt;1),AND(H1176&lt;&gt;"",H1176&lt;&gt;0,H1176&lt;&gt;1)),"Flags devem ser 0 ou 1",IF(AND(H1176=1,LEN(TRIM(I1176))=0),"Preencher nome do indicante",IF(AND(H1176&lt;&gt;1,I1176&lt;&gt;""),"Nome sem indicação interna",IF(AND(G1176=1,F1176=""),"Fechamento sem conversa",IF(OR(AND(E1176&lt;&gt;"",E1176&lt;B1176),AND(F1176&lt;&gt;"",F1176&lt;B1176)),"Evento anterior à entrada",IF(AND(F1176&lt;&gt;"",E1176=""),"Conversa sem agendamento",IF(OR(E1176&gt;TODAY(),F1176&gt;TODAY()),"Verificar evento futuro","OK"))))))))))</f>
        <v/>
      </c>
    </row>
    <row r="1177" spans="12:15">
      <c r="L1177" s="5">
        <f>IF(OR(A1177="",B1177=""),"",B1177-WEEKDAY(B1177,2)+1)</f>
        <v/>
      </c>
      <c r="M1177" s="5">
        <f>IF(L1177="","",L1177+6)</f>
        <v/>
      </c>
      <c r="N1177" s="6">
        <f>IF(OR(A1177="",B1177=""),"",DATE(YEAR(B1177),MONTH(B1177),1))</f>
        <v/>
      </c>
      <c r="O1177" s="7">
        <f>IF(COUNTA(A1177:K1177)=0,"",IF(OR(A1177="",B1177=""),"Preencher CPF e entrada",IF(COUNTIFS($A$12:$A$5011,A1177,$B$12:$B$5011,B1177)&gt;1,"CPF + dia duplicado",IF(OR(AND(G1177&lt;&gt;"",G1177&lt;&gt;0,G1177&lt;&gt;1),AND(H1177&lt;&gt;"",H1177&lt;&gt;0,H1177&lt;&gt;1)),"Flags devem ser 0 ou 1",IF(AND(H1177=1,LEN(TRIM(I1177))=0),"Preencher nome do indicante",IF(AND(H1177&lt;&gt;1,I1177&lt;&gt;""),"Nome sem indicação interna",IF(AND(G1177=1,F1177=""),"Fechamento sem conversa",IF(OR(AND(E1177&lt;&gt;"",E1177&lt;B1177),AND(F1177&lt;&gt;"",F1177&lt;B1177)),"Evento anterior à entrada",IF(AND(F1177&lt;&gt;"",E1177=""),"Conversa sem agendamento",IF(OR(E1177&gt;TODAY(),F1177&gt;TODAY()),"Verificar evento futuro","OK"))))))))))</f>
        <v/>
      </c>
    </row>
    <row r="1178" spans="12:15">
      <c r="L1178" s="5">
        <f>IF(OR(A1178="",B1178=""),"",B1178-WEEKDAY(B1178,2)+1)</f>
        <v/>
      </c>
      <c r="M1178" s="5">
        <f>IF(L1178="","",L1178+6)</f>
        <v/>
      </c>
      <c r="N1178" s="6">
        <f>IF(OR(A1178="",B1178=""),"",DATE(YEAR(B1178),MONTH(B1178),1))</f>
        <v/>
      </c>
      <c r="O1178" s="7">
        <f>IF(COUNTA(A1178:K1178)=0,"",IF(OR(A1178="",B1178=""),"Preencher CPF e entrada",IF(COUNTIFS($A$12:$A$5011,A1178,$B$12:$B$5011,B1178)&gt;1,"CPF + dia duplicado",IF(OR(AND(G1178&lt;&gt;"",G1178&lt;&gt;0,G1178&lt;&gt;1),AND(H1178&lt;&gt;"",H1178&lt;&gt;0,H1178&lt;&gt;1)),"Flags devem ser 0 ou 1",IF(AND(H1178=1,LEN(TRIM(I1178))=0),"Preencher nome do indicante",IF(AND(H1178&lt;&gt;1,I1178&lt;&gt;""),"Nome sem indicação interna",IF(AND(G1178=1,F1178=""),"Fechamento sem conversa",IF(OR(AND(E1178&lt;&gt;"",E1178&lt;B1178),AND(F1178&lt;&gt;"",F1178&lt;B1178)),"Evento anterior à entrada",IF(AND(F1178&lt;&gt;"",E1178=""),"Conversa sem agendamento",IF(OR(E1178&gt;TODAY(),F1178&gt;TODAY()),"Verificar evento futuro","OK"))))))))))</f>
        <v/>
      </c>
    </row>
    <row r="1179" spans="12:15">
      <c r="L1179" s="5">
        <f>IF(OR(A1179="",B1179=""),"",B1179-WEEKDAY(B1179,2)+1)</f>
        <v/>
      </c>
      <c r="M1179" s="5">
        <f>IF(L1179="","",L1179+6)</f>
        <v/>
      </c>
      <c r="N1179" s="6">
        <f>IF(OR(A1179="",B1179=""),"",DATE(YEAR(B1179),MONTH(B1179),1))</f>
        <v/>
      </c>
      <c r="O1179" s="7">
        <f>IF(COUNTA(A1179:K1179)=0,"",IF(OR(A1179="",B1179=""),"Preencher CPF e entrada",IF(COUNTIFS($A$12:$A$5011,A1179,$B$12:$B$5011,B1179)&gt;1,"CPF + dia duplicado",IF(OR(AND(G1179&lt;&gt;"",G1179&lt;&gt;0,G1179&lt;&gt;1),AND(H1179&lt;&gt;"",H1179&lt;&gt;0,H1179&lt;&gt;1)),"Flags devem ser 0 ou 1",IF(AND(H1179=1,LEN(TRIM(I1179))=0),"Preencher nome do indicante",IF(AND(H1179&lt;&gt;1,I1179&lt;&gt;""),"Nome sem indicação interna",IF(AND(G1179=1,F1179=""),"Fechamento sem conversa",IF(OR(AND(E1179&lt;&gt;"",E1179&lt;B1179),AND(F1179&lt;&gt;"",F1179&lt;B1179)),"Evento anterior à entrada",IF(AND(F1179&lt;&gt;"",E1179=""),"Conversa sem agendamento",IF(OR(E1179&gt;TODAY(),F1179&gt;TODAY()),"Verificar evento futuro","OK"))))))))))</f>
        <v/>
      </c>
    </row>
    <row r="1180" spans="12:15">
      <c r="L1180" s="5">
        <f>IF(OR(A1180="",B1180=""),"",B1180-WEEKDAY(B1180,2)+1)</f>
        <v/>
      </c>
      <c r="M1180" s="5">
        <f>IF(L1180="","",L1180+6)</f>
        <v/>
      </c>
      <c r="N1180" s="6">
        <f>IF(OR(A1180="",B1180=""),"",DATE(YEAR(B1180),MONTH(B1180),1))</f>
        <v/>
      </c>
      <c r="O1180" s="7">
        <f>IF(COUNTA(A1180:K1180)=0,"",IF(OR(A1180="",B1180=""),"Preencher CPF e entrada",IF(COUNTIFS($A$12:$A$5011,A1180,$B$12:$B$5011,B1180)&gt;1,"CPF + dia duplicado",IF(OR(AND(G1180&lt;&gt;"",G1180&lt;&gt;0,G1180&lt;&gt;1),AND(H1180&lt;&gt;"",H1180&lt;&gt;0,H1180&lt;&gt;1)),"Flags devem ser 0 ou 1",IF(AND(H1180=1,LEN(TRIM(I1180))=0),"Preencher nome do indicante",IF(AND(H1180&lt;&gt;1,I1180&lt;&gt;""),"Nome sem indicação interna",IF(AND(G1180=1,F1180=""),"Fechamento sem conversa",IF(OR(AND(E1180&lt;&gt;"",E1180&lt;B1180),AND(F1180&lt;&gt;"",F1180&lt;B1180)),"Evento anterior à entrada",IF(AND(F1180&lt;&gt;"",E1180=""),"Conversa sem agendamento",IF(OR(E1180&gt;TODAY(),F1180&gt;TODAY()),"Verificar evento futuro","OK"))))))))))</f>
        <v/>
      </c>
    </row>
    <row r="1181" spans="12:15">
      <c r="L1181" s="5">
        <f>IF(OR(A1181="",B1181=""),"",B1181-WEEKDAY(B1181,2)+1)</f>
        <v/>
      </c>
      <c r="M1181" s="5">
        <f>IF(L1181="","",L1181+6)</f>
        <v/>
      </c>
      <c r="N1181" s="6">
        <f>IF(OR(A1181="",B1181=""),"",DATE(YEAR(B1181),MONTH(B1181),1))</f>
        <v/>
      </c>
      <c r="O1181" s="7">
        <f>IF(COUNTA(A1181:K1181)=0,"",IF(OR(A1181="",B1181=""),"Preencher CPF e entrada",IF(COUNTIFS($A$12:$A$5011,A1181,$B$12:$B$5011,B1181)&gt;1,"CPF + dia duplicado",IF(OR(AND(G1181&lt;&gt;"",G1181&lt;&gt;0,G1181&lt;&gt;1),AND(H1181&lt;&gt;"",H1181&lt;&gt;0,H1181&lt;&gt;1)),"Flags devem ser 0 ou 1",IF(AND(H1181=1,LEN(TRIM(I1181))=0),"Preencher nome do indicante",IF(AND(H1181&lt;&gt;1,I1181&lt;&gt;""),"Nome sem indicação interna",IF(AND(G1181=1,F1181=""),"Fechamento sem conversa",IF(OR(AND(E1181&lt;&gt;"",E1181&lt;B1181),AND(F1181&lt;&gt;"",F1181&lt;B1181)),"Evento anterior à entrada",IF(AND(F1181&lt;&gt;"",E1181=""),"Conversa sem agendamento",IF(OR(E1181&gt;TODAY(),F1181&gt;TODAY()),"Verificar evento futuro","OK"))))))))))</f>
        <v/>
      </c>
    </row>
    <row r="1182" spans="12:15">
      <c r="L1182" s="5">
        <f>IF(OR(A1182="",B1182=""),"",B1182-WEEKDAY(B1182,2)+1)</f>
        <v/>
      </c>
      <c r="M1182" s="5">
        <f>IF(L1182="","",L1182+6)</f>
        <v/>
      </c>
      <c r="N1182" s="6">
        <f>IF(OR(A1182="",B1182=""),"",DATE(YEAR(B1182),MONTH(B1182),1))</f>
        <v/>
      </c>
      <c r="O1182" s="7">
        <f>IF(COUNTA(A1182:K1182)=0,"",IF(OR(A1182="",B1182=""),"Preencher CPF e entrada",IF(COUNTIFS($A$12:$A$5011,A1182,$B$12:$B$5011,B1182)&gt;1,"CPF + dia duplicado",IF(OR(AND(G1182&lt;&gt;"",G1182&lt;&gt;0,G1182&lt;&gt;1),AND(H1182&lt;&gt;"",H1182&lt;&gt;0,H1182&lt;&gt;1)),"Flags devem ser 0 ou 1",IF(AND(H1182=1,LEN(TRIM(I1182))=0),"Preencher nome do indicante",IF(AND(H1182&lt;&gt;1,I1182&lt;&gt;""),"Nome sem indicação interna",IF(AND(G1182=1,F1182=""),"Fechamento sem conversa",IF(OR(AND(E1182&lt;&gt;"",E1182&lt;B1182),AND(F1182&lt;&gt;"",F1182&lt;B1182)),"Evento anterior à entrada",IF(AND(F1182&lt;&gt;"",E1182=""),"Conversa sem agendamento",IF(OR(E1182&gt;TODAY(),F1182&gt;TODAY()),"Verificar evento futuro","OK"))))))))))</f>
        <v/>
      </c>
    </row>
    <row r="1183" spans="12:15">
      <c r="L1183" s="5">
        <f>IF(OR(A1183="",B1183=""),"",B1183-WEEKDAY(B1183,2)+1)</f>
        <v/>
      </c>
      <c r="M1183" s="5">
        <f>IF(L1183="","",L1183+6)</f>
        <v/>
      </c>
      <c r="N1183" s="6">
        <f>IF(OR(A1183="",B1183=""),"",DATE(YEAR(B1183),MONTH(B1183),1))</f>
        <v/>
      </c>
      <c r="O1183" s="7">
        <f>IF(COUNTA(A1183:K1183)=0,"",IF(OR(A1183="",B1183=""),"Preencher CPF e entrada",IF(COUNTIFS($A$12:$A$5011,A1183,$B$12:$B$5011,B1183)&gt;1,"CPF + dia duplicado",IF(OR(AND(G1183&lt;&gt;"",G1183&lt;&gt;0,G1183&lt;&gt;1),AND(H1183&lt;&gt;"",H1183&lt;&gt;0,H1183&lt;&gt;1)),"Flags devem ser 0 ou 1",IF(AND(H1183=1,LEN(TRIM(I1183))=0),"Preencher nome do indicante",IF(AND(H1183&lt;&gt;1,I1183&lt;&gt;""),"Nome sem indicação interna",IF(AND(G1183=1,F1183=""),"Fechamento sem conversa",IF(OR(AND(E1183&lt;&gt;"",E1183&lt;B1183),AND(F1183&lt;&gt;"",F1183&lt;B1183)),"Evento anterior à entrada",IF(AND(F1183&lt;&gt;"",E1183=""),"Conversa sem agendamento",IF(OR(E1183&gt;TODAY(),F1183&gt;TODAY()),"Verificar evento futuro","OK"))))))))))</f>
        <v/>
      </c>
    </row>
    <row r="1184" spans="12:15">
      <c r="L1184" s="5">
        <f>IF(OR(A1184="",B1184=""),"",B1184-WEEKDAY(B1184,2)+1)</f>
        <v/>
      </c>
      <c r="M1184" s="5">
        <f>IF(L1184="","",L1184+6)</f>
        <v/>
      </c>
      <c r="N1184" s="6">
        <f>IF(OR(A1184="",B1184=""),"",DATE(YEAR(B1184),MONTH(B1184),1))</f>
        <v/>
      </c>
      <c r="O1184" s="7">
        <f>IF(COUNTA(A1184:K1184)=0,"",IF(OR(A1184="",B1184=""),"Preencher CPF e entrada",IF(COUNTIFS($A$12:$A$5011,A1184,$B$12:$B$5011,B1184)&gt;1,"CPF + dia duplicado",IF(OR(AND(G1184&lt;&gt;"",G1184&lt;&gt;0,G1184&lt;&gt;1),AND(H1184&lt;&gt;"",H1184&lt;&gt;0,H1184&lt;&gt;1)),"Flags devem ser 0 ou 1",IF(AND(H1184=1,LEN(TRIM(I1184))=0),"Preencher nome do indicante",IF(AND(H1184&lt;&gt;1,I1184&lt;&gt;""),"Nome sem indicação interna",IF(AND(G1184=1,F1184=""),"Fechamento sem conversa",IF(OR(AND(E1184&lt;&gt;"",E1184&lt;B1184),AND(F1184&lt;&gt;"",F1184&lt;B1184)),"Evento anterior à entrada",IF(AND(F1184&lt;&gt;"",E1184=""),"Conversa sem agendamento",IF(OR(E1184&gt;TODAY(),F1184&gt;TODAY()),"Verificar evento futuro","OK"))))))))))</f>
        <v/>
      </c>
    </row>
    <row r="1185" spans="12:15">
      <c r="L1185" s="5">
        <f>IF(OR(A1185="",B1185=""),"",B1185-WEEKDAY(B1185,2)+1)</f>
        <v/>
      </c>
      <c r="M1185" s="5">
        <f>IF(L1185="","",L1185+6)</f>
        <v/>
      </c>
      <c r="N1185" s="6">
        <f>IF(OR(A1185="",B1185=""),"",DATE(YEAR(B1185),MONTH(B1185),1))</f>
        <v/>
      </c>
      <c r="O1185" s="7">
        <f>IF(COUNTA(A1185:K1185)=0,"",IF(OR(A1185="",B1185=""),"Preencher CPF e entrada",IF(COUNTIFS($A$12:$A$5011,A1185,$B$12:$B$5011,B1185)&gt;1,"CPF + dia duplicado",IF(OR(AND(G1185&lt;&gt;"",G1185&lt;&gt;0,G1185&lt;&gt;1),AND(H1185&lt;&gt;"",H1185&lt;&gt;0,H1185&lt;&gt;1)),"Flags devem ser 0 ou 1",IF(AND(H1185=1,LEN(TRIM(I1185))=0),"Preencher nome do indicante",IF(AND(H1185&lt;&gt;1,I1185&lt;&gt;""),"Nome sem indicação interna",IF(AND(G1185=1,F1185=""),"Fechamento sem conversa",IF(OR(AND(E1185&lt;&gt;"",E1185&lt;B1185),AND(F1185&lt;&gt;"",F1185&lt;B1185)),"Evento anterior à entrada",IF(AND(F1185&lt;&gt;"",E1185=""),"Conversa sem agendamento",IF(OR(E1185&gt;TODAY(),F1185&gt;TODAY()),"Verificar evento futuro","OK"))))))))))</f>
        <v/>
      </c>
    </row>
    <row r="1186" spans="12:15">
      <c r="L1186" s="5">
        <f>IF(OR(A1186="",B1186=""),"",B1186-WEEKDAY(B1186,2)+1)</f>
        <v/>
      </c>
      <c r="M1186" s="5">
        <f>IF(L1186="","",L1186+6)</f>
        <v/>
      </c>
      <c r="N1186" s="6">
        <f>IF(OR(A1186="",B1186=""),"",DATE(YEAR(B1186),MONTH(B1186),1))</f>
        <v/>
      </c>
      <c r="O1186" s="7">
        <f>IF(COUNTA(A1186:K1186)=0,"",IF(OR(A1186="",B1186=""),"Preencher CPF e entrada",IF(COUNTIFS($A$12:$A$5011,A1186,$B$12:$B$5011,B1186)&gt;1,"CPF + dia duplicado",IF(OR(AND(G1186&lt;&gt;"",G1186&lt;&gt;0,G1186&lt;&gt;1),AND(H1186&lt;&gt;"",H1186&lt;&gt;0,H1186&lt;&gt;1)),"Flags devem ser 0 ou 1",IF(AND(H1186=1,LEN(TRIM(I1186))=0),"Preencher nome do indicante",IF(AND(H1186&lt;&gt;1,I1186&lt;&gt;""),"Nome sem indicação interna",IF(AND(G1186=1,F1186=""),"Fechamento sem conversa",IF(OR(AND(E1186&lt;&gt;"",E1186&lt;B1186),AND(F1186&lt;&gt;"",F1186&lt;B1186)),"Evento anterior à entrada",IF(AND(F1186&lt;&gt;"",E1186=""),"Conversa sem agendamento",IF(OR(E1186&gt;TODAY(),F1186&gt;TODAY()),"Verificar evento futuro","OK"))))))))))</f>
        <v/>
      </c>
    </row>
    <row r="1187" spans="12:15">
      <c r="L1187" s="5">
        <f>IF(OR(A1187="",B1187=""),"",B1187-WEEKDAY(B1187,2)+1)</f>
        <v/>
      </c>
      <c r="M1187" s="5">
        <f>IF(L1187="","",L1187+6)</f>
        <v/>
      </c>
      <c r="N1187" s="6">
        <f>IF(OR(A1187="",B1187=""),"",DATE(YEAR(B1187),MONTH(B1187),1))</f>
        <v/>
      </c>
      <c r="O1187" s="7">
        <f>IF(COUNTA(A1187:K1187)=0,"",IF(OR(A1187="",B1187=""),"Preencher CPF e entrada",IF(COUNTIFS($A$12:$A$5011,A1187,$B$12:$B$5011,B1187)&gt;1,"CPF + dia duplicado",IF(OR(AND(G1187&lt;&gt;"",G1187&lt;&gt;0,G1187&lt;&gt;1),AND(H1187&lt;&gt;"",H1187&lt;&gt;0,H1187&lt;&gt;1)),"Flags devem ser 0 ou 1",IF(AND(H1187=1,LEN(TRIM(I1187))=0),"Preencher nome do indicante",IF(AND(H1187&lt;&gt;1,I1187&lt;&gt;""),"Nome sem indicação interna",IF(AND(G1187=1,F1187=""),"Fechamento sem conversa",IF(OR(AND(E1187&lt;&gt;"",E1187&lt;B1187),AND(F1187&lt;&gt;"",F1187&lt;B1187)),"Evento anterior à entrada",IF(AND(F1187&lt;&gt;"",E1187=""),"Conversa sem agendamento",IF(OR(E1187&gt;TODAY(),F1187&gt;TODAY()),"Verificar evento futuro","OK"))))))))))</f>
        <v/>
      </c>
    </row>
    <row r="1188" spans="12:15">
      <c r="L1188" s="5">
        <f>IF(OR(A1188="",B1188=""),"",B1188-WEEKDAY(B1188,2)+1)</f>
        <v/>
      </c>
      <c r="M1188" s="5">
        <f>IF(L1188="","",L1188+6)</f>
        <v/>
      </c>
      <c r="N1188" s="6">
        <f>IF(OR(A1188="",B1188=""),"",DATE(YEAR(B1188),MONTH(B1188),1))</f>
        <v/>
      </c>
      <c r="O1188" s="7">
        <f>IF(COUNTA(A1188:K1188)=0,"",IF(OR(A1188="",B1188=""),"Preencher CPF e entrada",IF(COUNTIFS($A$12:$A$5011,A1188,$B$12:$B$5011,B1188)&gt;1,"CPF + dia duplicado",IF(OR(AND(G1188&lt;&gt;"",G1188&lt;&gt;0,G1188&lt;&gt;1),AND(H1188&lt;&gt;"",H1188&lt;&gt;0,H1188&lt;&gt;1)),"Flags devem ser 0 ou 1",IF(AND(H1188=1,LEN(TRIM(I1188))=0),"Preencher nome do indicante",IF(AND(H1188&lt;&gt;1,I1188&lt;&gt;""),"Nome sem indicação interna",IF(AND(G1188=1,F1188=""),"Fechamento sem conversa",IF(OR(AND(E1188&lt;&gt;"",E1188&lt;B1188),AND(F1188&lt;&gt;"",F1188&lt;B1188)),"Evento anterior à entrada",IF(AND(F1188&lt;&gt;"",E1188=""),"Conversa sem agendamento",IF(OR(E1188&gt;TODAY(),F1188&gt;TODAY()),"Verificar evento futuro","OK"))))))))))</f>
        <v/>
      </c>
    </row>
    <row r="1189" spans="12:15">
      <c r="L1189" s="5">
        <f>IF(OR(A1189="",B1189=""),"",B1189-WEEKDAY(B1189,2)+1)</f>
        <v/>
      </c>
      <c r="M1189" s="5">
        <f>IF(L1189="","",L1189+6)</f>
        <v/>
      </c>
      <c r="N1189" s="6">
        <f>IF(OR(A1189="",B1189=""),"",DATE(YEAR(B1189),MONTH(B1189),1))</f>
        <v/>
      </c>
      <c r="O1189" s="7">
        <f>IF(COUNTA(A1189:K1189)=0,"",IF(OR(A1189="",B1189=""),"Preencher CPF e entrada",IF(COUNTIFS($A$12:$A$5011,A1189,$B$12:$B$5011,B1189)&gt;1,"CPF + dia duplicado",IF(OR(AND(G1189&lt;&gt;"",G1189&lt;&gt;0,G1189&lt;&gt;1),AND(H1189&lt;&gt;"",H1189&lt;&gt;0,H1189&lt;&gt;1)),"Flags devem ser 0 ou 1",IF(AND(H1189=1,LEN(TRIM(I1189))=0),"Preencher nome do indicante",IF(AND(H1189&lt;&gt;1,I1189&lt;&gt;""),"Nome sem indicação interna",IF(AND(G1189=1,F1189=""),"Fechamento sem conversa",IF(OR(AND(E1189&lt;&gt;"",E1189&lt;B1189),AND(F1189&lt;&gt;"",F1189&lt;B1189)),"Evento anterior à entrada",IF(AND(F1189&lt;&gt;"",E1189=""),"Conversa sem agendamento",IF(OR(E1189&gt;TODAY(),F1189&gt;TODAY()),"Verificar evento futuro","OK"))))))))))</f>
        <v/>
      </c>
    </row>
    <row r="1190" spans="12:15">
      <c r="L1190" s="5">
        <f>IF(OR(A1190="",B1190=""),"",B1190-WEEKDAY(B1190,2)+1)</f>
        <v/>
      </c>
      <c r="M1190" s="5">
        <f>IF(L1190="","",L1190+6)</f>
        <v/>
      </c>
      <c r="N1190" s="6">
        <f>IF(OR(A1190="",B1190=""),"",DATE(YEAR(B1190),MONTH(B1190),1))</f>
        <v/>
      </c>
      <c r="O1190" s="7">
        <f>IF(COUNTA(A1190:K1190)=0,"",IF(OR(A1190="",B1190=""),"Preencher CPF e entrada",IF(COUNTIFS($A$12:$A$5011,A1190,$B$12:$B$5011,B1190)&gt;1,"CPF + dia duplicado",IF(OR(AND(G1190&lt;&gt;"",G1190&lt;&gt;0,G1190&lt;&gt;1),AND(H1190&lt;&gt;"",H1190&lt;&gt;0,H1190&lt;&gt;1)),"Flags devem ser 0 ou 1",IF(AND(H1190=1,LEN(TRIM(I1190))=0),"Preencher nome do indicante",IF(AND(H1190&lt;&gt;1,I1190&lt;&gt;""),"Nome sem indicação interna",IF(AND(G1190=1,F1190=""),"Fechamento sem conversa",IF(OR(AND(E1190&lt;&gt;"",E1190&lt;B1190),AND(F1190&lt;&gt;"",F1190&lt;B1190)),"Evento anterior à entrada",IF(AND(F1190&lt;&gt;"",E1190=""),"Conversa sem agendamento",IF(OR(E1190&gt;TODAY(),F1190&gt;TODAY()),"Verificar evento futuro","OK"))))))))))</f>
        <v/>
      </c>
    </row>
    <row r="1191" spans="12:15">
      <c r="L1191" s="5">
        <f>IF(OR(A1191="",B1191=""),"",B1191-WEEKDAY(B1191,2)+1)</f>
        <v/>
      </c>
      <c r="M1191" s="5">
        <f>IF(L1191="","",L1191+6)</f>
        <v/>
      </c>
      <c r="N1191" s="6">
        <f>IF(OR(A1191="",B1191=""),"",DATE(YEAR(B1191),MONTH(B1191),1))</f>
        <v/>
      </c>
      <c r="O1191" s="7">
        <f>IF(COUNTA(A1191:K1191)=0,"",IF(OR(A1191="",B1191=""),"Preencher CPF e entrada",IF(COUNTIFS($A$12:$A$5011,A1191,$B$12:$B$5011,B1191)&gt;1,"CPF + dia duplicado",IF(OR(AND(G1191&lt;&gt;"",G1191&lt;&gt;0,G1191&lt;&gt;1),AND(H1191&lt;&gt;"",H1191&lt;&gt;0,H1191&lt;&gt;1)),"Flags devem ser 0 ou 1",IF(AND(H1191=1,LEN(TRIM(I1191))=0),"Preencher nome do indicante",IF(AND(H1191&lt;&gt;1,I1191&lt;&gt;""),"Nome sem indicação interna",IF(AND(G1191=1,F1191=""),"Fechamento sem conversa",IF(OR(AND(E1191&lt;&gt;"",E1191&lt;B1191),AND(F1191&lt;&gt;"",F1191&lt;B1191)),"Evento anterior à entrada",IF(AND(F1191&lt;&gt;"",E1191=""),"Conversa sem agendamento",IF(OR(E1191&gt;TODAY(),F1191&gt;TODAY()),"Verificar evento futuro","OK"))))))))))</f>
        <v/>
      </c>
    </row>
    <row r="1192" spans="12:15">
      <c r="L1192" s="5">
        <f>IF(OR(A1192="",B1192=""),"",B1192-WEEKDAY(B1192,2)+1)</f>
        <v/>
      </c>
      <c r="M1192" s="5">
        <f>IF(L1192="","",L1192+6)</f>
        <v/>
      </c>
      <c r="N1192" s="6">
        <f>IF(OR(A1192="",B1192=""),"",DATE(YEAR(B1192),MONTH(B1192),1))</f>
        <v/>
      </c>
      <c r="O1192" s="7">
        <f>IF(COUNTA(A1192:K1192)=0,"",IF(OR(A1192="",B1192=""),"Preencher CPF e entrada",IF(COUNTIFS($A$12:$A$5011,A1192,$B$12:$B$5011,B1192)&gt;1,"CPF + dia duplicado",IF(OR(AND(G1192&lt;&gt;"",G1192&lt;&gt;0,G1192&lt;&gt;1),AND(H1192&lt;&gt;"",H1192&lt;&gt;0,H1192&lt;&gt;1)),"Flags devem ser 0 ou 1",IF(AND(H1192=1,LEN(TRIM(I1192))=0),"Preencher nome do indicante",IF(AND(H1192&lt;&gt;1,I1192&lt;&gt;""),"Nome sem indicação interna",IF(AND(G1192=1,F1192=""),"Fechamento sem conversa",IF(OR(AND(E1192&lt;&gt;"",E1192&lt;B1192),AND(F1192&lt;&gt;"",F1192&lt;B1192)),"Evento anterior à entrada",IF(AND(F1192&lt;&gt;"",E1192=""),"Conversa sem agendamento",IF(OR(E1192&gt;TODAY(),F1192&gt;TODAY()),"Verificar evento futuro","OK"))))))))))</f>
        <v/>
      </c>
    </row>
    <row r="1193" spans="12:15">
      <c r="L1193" s="5">
        <f>IF(OR(A1193="",B1193=""),"",B1193-WEEKDAY(B1193,2)+1)</f>
        <v/>
      </c>
      <c r="M1193" s="5">
        <f>IF(L1193="","",L1193+6)</f>
        <v/>
      </c>
      <c r="N1193" s="6">
        <f>IF(OR(A1193="",B1193=""),"",DATE(YEAR(B1193),MONTH(B1193),1))</f>
        <v/>
      </c>
      <c r="O1193" s="7">
        <f>IF(COUNTA(A1193:K1193)=0,"",IF(OR(A1193="",B1193=""),"Preencher CPF e entrada",IF(COUNTIFS($A$12:$A$5011,A1193,$B$12:$B$5011,B1193)&gt;1,"CPF + dia duplicado",IF(OR(AND(G1193&lt;&gt;"",G1193&lt;&gt;0,G1193&lt;&gt;1),AND(H1193&lt;&gt;"",H1193&lt;&gt;0,H1193&lt;&gt;1)),"Flags devem ser 0 ou 1",IF(AND(H1193=1,LEN(TRIM(I1193))=0),"Preencher nome do indicante",IF(AND(H1193&lt;&gt;1,I1193&lt;&gt;""),"Nome sem indicação interna",IF(AND(G1193=1,F1193=""),"Fechamento sem conversa",IF(OR(AND(E1193&lt;&gt;"",E1193&lt;B1193),AND(F1193&lt;&gt;"",F1193&lt;B1193)),"Evento anterior à entrada",IF(AND(F1193&lt;&gt;"",E1193=""),"Conversa sem agendamento",IF(OR(E1193&gt;TODAY(),F1193&gt;TODAY()),"Verificar evento futuro","OK"))))))))))</f>
        <v/>
      </c>
    </row>
    <row r="1194" spans="12:15">
      <c r="L1194" s="5">
        <f>IF(OR(A1194="",B1194=""),"",B1194-WEEKDAY(B1194,2)+1)</f>
        <v/>
      </c>
      <c r="M1194" s="5">
        <f>IF(L1194="","",L1194+6)</f>
        <v/>
      </c>
      <c r="N1194" s="6">
        <f>IF(OR(A1194="",B1194=""),"",DATE(YEAR(B1194),MONTH(B1194),1))</f>
        <v/>
      </c>
      <c r="O1194" s="7">
        <f>IF(COUNTA(A1194:K1194)=0,"",IF(OR(A1194="",B1194=""),"Preencher CPF e entrada",IF(COUNTIFS($A$12:$A$5011,A1194,$B$12:$B$5011,B1194)&gt;1,"CPF + dia duplicado",IF(OR(AND(G1194&lt;&gt;"",G1194&lt;&gt;0,G1194&lt;&gt;1),AND(H1194&lt;&gt;"",H1194&lt;&gt;0,H1194&lt;&gt;1)),"Flags devem ser 0 ou 1",IF(AND(H1194=1,LEN(TRIM(I1194))=0),"Preencher nome do indicante",IF(AND(H1194&lt;&gt;1,I1194&lt;&gt;""),"Nome sem indicação interna",IF(AND(G1194=1,F1194=""),"Fechamento sem conversa",IF(OR(AND(E1194&lt;&gt;"",E1194&lt;B1194),AND(F1194&lt;&gt;"",F1194&lt;B1194)),"Evento anterior à entrada",IF(AND(F1194&lt;&gt;"",E1194=""),"Conversa sem agendamento",IF(OR(E1194&gt;TODAY(),F1194&gt;TODAY()),"Verificar evento futuro","OK"))))))))))</f>
        <v/>
      </c>
    </row>
    <row r="1195" spans="12:15">
      <c r="L1195" s="5">
        <f>IF(OR(A1195="",B1195=""),"",B1195-WEEKDAY(B1195,2)+1)</f>
        <v/>
      </c>
      <c r="M1195" s="5">
        <f>IF(L1195="","",L1195+6)</f>
        <v/>
      </c>
      <c r="N1195" s="6">
        <f>IF(OR(A1195="",B1195=""),"",DATE(YEAR(B1195),MONTH(B1195),1))</f>
        <v/>
      </c>
      <c r="O1195" s="7">
        <f>IF(COUNTA(A1195:K1195)=0,"",IF(OR(A1195="",B1195=""),"Preencher CPF e entrada",IF(COUNTIFS($A$12:$A$5011,A1195,$B$12:$B$5011,B1195)&gt;1,"CPF + dia duplicado",IF(OR(AND(G1195&lt;&gt;"",G1195&lt;&gt;0,G1195&lt;&gt;1),AND(H1195&lt;&gt;"",H1195&lt;&gt;0,H1195&lt;&gt;1)),"Flags devem ser 0 ou 1",IF(AND(H1195=1,LEN(TRIM(I1195))=0),"Preencher nome do indicante",IF(AND(H1195&lt;&gt;1,I1195&lt;&gt;""),"Nome sem indicação interna",IF(AND(G1195=1,F1195=""),"Fechamento sem conversa",IF(OR(AND(E1195&lt;&gt;"",E1195&lt;B1195),AND(F1195&lt;&gt;"",F1195&lt;B1195)),"Evento anterior à entrada",IF(AND(F1195&lt;&gt;"",E1195=""),"Conversa sem agendamento",IF(OR(E1195&gt;TODAY(),F1195&gt;TODAY()),"Verificar evento futuro","OK"))))))))))</f>
        <v/>
      </c>
    </row>
    <row r="1196" spans="12:15">
      <c r="L1196" s="5">
        <f>IF(OR(A1196="",B1196=""),"",B1196-WEEKDAY(B1196,2)+1)</f>
        <v/>
      </c>
      <c r="M1196" s="5">
        <f>IF(L1196="","",L1196+6)</f>
        <v/>
      </c>
      <c r="N1196" s="6">
        <f>IF(OR(A1196="",B1196=""),"",DATE(YEAR(B1196),MONTH(B1196),1))</f>
        <v/>
      </c>
      <c r="O1196" s="7">
        <f>IF(COUNTA(A1196:K1196)=0,"",IF(OR(A1196="",B1196=""),"Preencher CPF e entrada",IF(COUNTIFS($A$12:$A$5011,A1196,$B$12:$B$5011,B1196)&gt;1,"CPF + dia duplicado",IF(OR(AND(G1196&lt;&gt;"",G1196&lt;&gt;0,G1196&lt;&gt;1),AND(H1196&lt;&gt;"",H1196&lt;&gt;0,H1196&lt;&gt;1)),"Flags devem ser 0 ou 1",IF(AND(H1196=1,LEN(TRIM(I1196))=0),"Preencher nome do indicante",IF(AND(H1196&lt;&gt;1,I1196&lt;&gt;""),"Nome sem indicação interna",IF(AND(G1196=1,F1196=""),"Fechamento sem conversa",IF(OR(AND(E1196&lt;&gt;"",E1196&lt;B1196),AND(F1196&lt;&gt;"",F1196&lt;B1196)),"Evento anterior à entrada",IF(AND(F1196&lt;&gt;"",E1196=""),"Conversa sem agendamento",IF(OR(E1196&gt;TODAY(),F1196&gt;TODAY()),"Verificar evento futuro","OK"))))))))))</f>
        <v/>
      </c>
    </row>
    <row r="1197" spans="12:15">
      <c r="L1197" s="5">
        <f>IF(OR(A1197="",B1197=""),"",B1197-WEEKDAY(B1197,2)+1)</f>
        <v/>
      </c>
      <c r="M1197" s="5">
        <f>IF(L1197="","",L1197+6)</f>
        <v/>
      </c>
      <c r="N1197" s="6">
        <f>IF(OR(A1197="",B1197=""),"",DATE(YEAR(B1197),MONTH(B1197),1))</f>
        <v/>
      </c>
      <c r="O1197" s="7">
        <f>IF(COUNTA(A1197:K1197)=0,"",IF(OR(A1197="",B1197=""),"Preencher CPF e entrada",IF(COUNTIFS($A$12:$A$5011,A1197,$B$12:$B$5011,B1197)&gt;1,"CPF + dia duplicado",IF(OR(AND(G1197&lt;&gt;"",G1197&lt;&gt;0,G1197&lt;&gt;1),AND(H1197&lt;&gt;"",H1197&lt;&gt;0,H1197&lt;&gt;1)),"Flags devem ser 0 ou 1",IF(AND(H1197=1,LEN(TRIM(I1197))=0),"Preencher nome do indicante",IF(AND(H1197&lt;&gt;1,I1197&lt;&gt;""),"Nome sem indicação interna",IF(AND(G1197=1,F1197=""),"Fechamento sem conversa",IF(OR(AND(E1197&lt;&gt;"",E1197&lt;B1197),AND(F1197&lt;&gt;"",F1197&lt;B1197)),"Evento anterior à entrada",IF(AND(F1197&lt;&gt;"",E1197=""),"Conversa sem agendamento",IF(OR(E1197&gt;TODAY(),F1197&gt;TODAY()),"Verificar evento futuro","OK"))))))))))</f>
        <v/>
      </c>
    </row>
    <row r="1198" spans="12:15">
      <c r="L1198" s="5">
        <f>IF(OR(A1198="",B1198=""),"",B1198-WEEKDAY(B1198,2)+1)</f>
        <v/>
      </c>
      <c r="M1198" s="5">
        <f>IF(L1198="","",L1198+6)</f>
        <v/>
      </c>
      <c r="N1198" s="6">
        <f>IF(OR(A1198="",B1198=""),"",DATE(YEAR(B1198),MONTH(B1198),1))</f>
        <v/>
      </c>
      <c r="O1198" s="7">
        <f>IF(COUNTA(A1198:K1198)=0,"",IF(OR(A1198="",B1198=""),"Preencher CPF e entrada",IF(COUNTIFS($A$12:$A$5011,A1198,$B$12:$B$5011,B1198)&gt;1,"CPF + dia duplicado",IF(OR(AND(G1198&lt;&gt;"",G1198&lt;&gt;0,G1198&lt;&gt;1),AND(H1198&lt;&gt;"",H1198&lt;&gt;0,H1198&lt;&gt;1)),"Flags devem ser 0 ou 1",IF(AND(H1198=1,LEN(TRIM(I1198))=0),"Preencher nome do indicante",IF(AND(H1198&lt;&gt;1,I1198&lt;&gt;""),"Nome sem indicação interna",IF(AND(G1198=1,F1198=""),"Fechamento sem conversa",IF(OR(AND(E1198&lt;&gt;"",E1198&lt;B1198),AND(F1198&lt;&gt;"",F1198&lt;B1198)),"Evento anterior à entrada",IF(AND(F1198&lt;&gt;"",E1198=""),"Conversa sem agendamento",IF(OR(E1198&gt;TODAY(),F1198&gt;TODAY()),"Verificar evento futuro","OK"))))))))))</f>
        <v/>
      </c>
    </row>
    <row r="1199" spans="12:15">
      <c r="L1199" s="5">
        <f>IF(OR(A1199="",B1199=""),"",B1199-WEEKDAY(B1199,2)+1)</f>
        <v/>
      </c>
      <c r="M1199" s="5">
        <f>IF(L1199="","",L1199+6)</f>
        <v/>
      </c>
      <c r="N1199" s="6">
        <f>IF(OR(A1199="",B1199=""),"",DATE(YEAR(B1199),MONTH(B1199),1))</f>
        <v/>
      </c>
      <c r="O1199" s="7">
        <f>IF(COUNTA(A1199:K1199)=0,"",IF(OR(A1199="",B1199=""),"Preencher CPF e entrada",IF(COUNTIFS($A$12:$A$5011,A1199,$B$12:$B$5011,B1199)&gt;1,"CPF + dia duplicado",IF(OR(AND(G1199&lt;&gt;"",G1199&lt;&gt;0,G1199&lt;&gt;1),AND(H1199&lt;&gt;"",H1199&lt;&gt;0,H1199&lt;&gt;1)),"Flags devem ser 0 ou 1",IF(AND(H1199=1,LEN(TRIM(I1199))=0),"Preencher nome do indicante",IF(AND(H1199&lt;&gt;1,I1199&lt;&gt;""),"Nome sem indicação interna",IF(AND(G1199=1,F1199=""),"Fechamento sem conversa",IF(OR(AND(E1199&lt;&gt;"",E1199&lt;B1199),AND(F1199&lt;&gt;"",F1199&lt;B1199)),"Evento anterior à entrada",IF(AND(F1199&lt;&gt;"",E1199=""),"Conversa sem agendamento",IF(OR(E1199&gt;TODAY(),F1199&gt;TODAY()),"Verificar evento futuro","OK"))))))))))</f>
        <v/>
      </c>
    </row>
    <row r="1200" spans="12:15">
      <c r="L1200" s="5">
        <f>IF(OR(A1200="",B1200=""),"",B1200-WEEKDAY(B1200,2)+1)</f>
        <v/>
      </c>
      <c r="M1200" s="5">
        <f>IF(L1200="","",L1200+6)</f>
        <v/>
      </c>
      <c r="N1200" s="6">
        <f>IF(OR(A1200="",B1200=""),"",DATE(YEAR(B1200),MONTH(B1200),1))</f>
        <v/>
      </c>
      <c r="O1200" s="7">
        <f>IF(COUNTA(A1200:K1200)=0,"",IF(OR(A1200="",B1200=""),"Preencher CPF e entrada",IF(COUNTIFS($A$12:$A$5011,A1200,$B$12:$B$5011,B1200)&gt;1,"CPF + dia duplicado",IF(OR(AND(G1200&lt;&gt;"",G1200&lt;&gt;0,G1200&lt;&gt;1),AND(H1200&lt;&gt;"",H1200&lt;&gt;0,H1200&lt;&gt;1)),"Flags devem ser 0 ou 1",IF(AND(H1200=1,LEN(TRIM(I1200))=0),"Preencher nome do indicante",IF(AND(H1200&lt;&gt;1,I1200&lt;&gt;""),"Nome sem indicação interna",IF(AND(G1200=1,F1200=""),"Fechamento sem conversa",IF(OR(AND(E1200&lt;&gt;"",E1200&lt;B1200),AND(F1200&lt;&gt;"",F1200&lt;B1200)),"Evento anterior à entrada",IF(AND(F1200&lt;&gt;"",E1200=""),"Conversa sem agendamento",IF(OR(E1200&gt;TODAY(),F1200&gt;TODAY()),"Verificar evento futuro","OK"))))))))))</f>
        <v/>
      </c>
    </row>
    <row r="1201" spans="12:15">
      <c r="L1201" s="5">
        <f>IF(OR(A1201="",B1201=""),"",B1201-WEEKDAY(B1201,2)+1)</f>
        <v/>
      </c>
      <c r="M1201" s="5">
        <f>IF(L1201="","",L1201+6)</f>
        <v/>
      </c>
      <c r="N1201" s="6">
        <f>IF(OR(A1201="",B1201=""),"",DATE(YEAR(B1201),MONTH(B1201),1))</f>
        <v/>
      </c>
      <c r="O1201" s="7">
        <f>IF(COUNTA(A1201:K1201)=0,"",IF(OR(A1201="",B1201=""),"Preencher CPF e entrada",IF(COUNTIFS($A$12:$A$5011,A1201,$B$12:$B$5011,B1201)&gt;1,"CPF + dia duplicado",IF(OR(AND(G1201&lt;&gt;"",G1201&lt;&gt;0,G1201&lt;&gt;1),AND(H1201&lt;&gt;"",H1201&lt;&gt;0,H1201&lt;&gt;1)),"Flags devem ser 0 ou 1",IF(AND(H1201=1,LEN(TRIM(I1201))=0),"Preencher nome do indicante",IF(AND(H1201&lt;&gt;1,I1201&lt;&gt;""),"Nome sem indicação interna",IF(AND(G1201=1,F1201=""),"Fechamento sem conversa",IF(OR(AND(E1201&lt;&gt;"",E1201&lt;B1201),AND(F1201&lt;&gt;"",F1201&lt;B1201)),"Evento anterior à entrada",IF(AND(F1201&lt;&gt;"",E1201=""),"Conversa sem agendamento",IF(OR(E1201&gt;TODAY(),F1201&gt;TODAY()),"Verificar evento futuro","OK"))))))))))</f>
        <v/>
      </c>
    </row>
    <row r="1202" spans="12:15">
      <c r="L1202" s="5">
        <f>IF(OR(A1202="",B1202=""),"",B1202-WEEKDAY(B1202,2)+1)</f>
        <v/>
      </c>
      <c r="M1202" s="5">
        <f>IF(L1202="","",L1202+6)</f>
        <v/>
      </c>
      <c r="N1202" s="6">
        <f>IF(OR(A1202="",B1202=""),"",DATE(YEAR(B1202),MONTH(B1202),1))</f>
        <v/>
      </c>
      <c r="O1202" s="7">
        <f>IF(COUNTA(A1202:K1202)=0,"",IF(OR(A1202="",B1202=""),"Preencher CPF e entrada",IF(COUNTIFS($A$12:$A$5011,A1202,$B$12:$B$5011,B1202)&gt;1,"CPF + dia duplicado",IF(OR(AND(G1202&lt;&gt;"",G1202&lt;&gt;0,G1202&lt;&gt;1),AND(H1202&lt;&gt;"",H1202&lt;&gt;0,H1202&lt;&gt;1)),"Flags devem ser 0 ou 1",IF(AND(H1202=1,LEN(TRIM(I1202))=0),"Preencher nome do indicante",IF(AND(H1202&lt;&gt;1,I1202&lt;&gt;""),"Nome sem indicação interna",IF(AND(G1202=1,F1202=""),"Fechamento sem conversa",IF(OR(AND(E1202&lt;&gt;"",E1202&lt;B1202),AND(F1202&lt;&gt;"",F1202&lt;B1202)),"Evento anterior à entrada",IF(AND(F1202&lt;&gt;"",E1202=""),"Conversa sem agendamento",IF(OR(E1202&gt;TODAY(),F1202&gt;TODAY()),"Verificar evento futuro","OK"))))))))))</f>
        <v/>
      </c>
    </row>
    <row r="1203" spans="12:15">
      <c r="L1203" s="5">
        <f>IF(OR(A1203="",B1203=""),"",B1203-WEEKDAY(B1203,2)+1)</f>
        <v/>
      </c>
      <c r="M1203" s="5">
        <f>IF(L1203="","",L1203+6)</f>
        <v/>
      </c>
      <c r="N1203" s="6">
        <f>IF(OR(A1203="",B1203=""),"",DATE(YEAR(B1203),MONTH(B1203),1))</f>
        <v/>
      </c>
      <c r="O1203" s="7">
        <f>IF(COUNTA(A1203:K1203)=0,"",IF(OR(A1203="",B1203=""),"Preencher CPF e entrada",IF(COUNTIFS($A$12:$A$5011,A1203,$B$12:$B$5011,B1203)&gt;1,"CPF + dia duplicado",IF(OR(AND(G1203&lt;&gt;"",G1203&lt;&gt;0,G1203&lt;&gt;1),AND(H1203&lt;&gt;"",H1203&lt;&gt;0,H1203&lt;&gt;1)),"Flags devem ser 0 ou 1",IF(AND(H1203=1,LEN(TRIM(I1203))=0),"Preencher nome do indicante",IF(AND(H1203&lt;&gt;1,I1203&lt;&gt;""),"Nome sem indicação interna",IF(AND(G1203=1,F1203=""),"Fechamento sem conversa",IF(OR(AND(E1203&lt;&gt;"",E1203&lt;B1203),AND(F1203&lt;&gt;"",F1203&lt;B1203)),"Evento anterior à entrada",IF(AND(F1203&lt;&gt;"",E1203=""),"Conversa sem agendamento",IF(OR(E1203&gt;TODAY(),F1203&gt;TODAY()),"Verificar evento futuro","OK"))))))))))</f>
        <v/>
      </c>
    </row>
    <row r="1204" spans="12:15">
      <c r="L1204" s="5">
        <f>IF(OR(A1204="",B1204=""),"",B1204-WEEKDAY(B1204,2)+1)</f>
        <v/>
      </c>
      <c r="M1204" s="5">
        <f>IF(L1204="","",L1204+6)</f>
        <v/>
      </c>
      <c r="N1204" s="6">
        <f>IF(OR(A1204="",B1204=""),"",DATE(YEAR(B1204),MONTH(B1204),1))</f>
        <v/>
      </c>
      <c r="O1204" s="7">
        <f>IF(COUNTA(A1204:K1204)=0,"",IF(OR(A1204="",B1204=""),"Preencher CPF e entrada",IF(COUNTIFS($A$12:$A$5011,A1204,$B$12:$B$5011,B1204)&gt;1,"CPF + dia duplicado",IF(OR(AND(G1204&lt;&gt;"",G1204&lt;&gt;0,G1204&lt;&gt;1),AND(H1204&lt;&gt;"",H1204&lt;&gt;0,H1204&lt;&gt;1)),"Flags devem ser 0 ou 1",IF(AND(H1204=1,LEN(TRIM(I1204))=0),"Preencher nome do indicante",IF(AND(H1204&lt;&gt;1,I1204&lt;&gt;""),"Nome sem indicação interna",IF(AND(G1204=1,F1204=""),"Fechamento sem conversa",IF(OR(AND(E1204&lt;&gt;"",E1204&lt;B1204),AND(F1204&lt;&gt;"",F1204&lt;B1204)),"Evento anterior à entrada",IF(AND(F1204&lt;&gt;"",E1204=""),"Conversa sem agendamento",IF(OR(E1204&gt;TODAY(),F1204&gt;TODAY()),"Verificar evento futuro","OK"))))))))))</f>
        <v/>
      </c>
    </row>
    <row r="1205" spans="12:15">
      <c r="L1205" s="5">
        <f>IF(OR(A1205="",B1205=""),"",B1205-WEEKDAY(B1205,2)+1)</f>
        <v/>
      </c>
      <c r="M1205" s="5">
        <f>IF(L1205="","",L1205+6)</f>
        <v/>
      </c>
      <c r="N1205" s="6">
        <f>IF(OR(A1205="",B1205=""),"",DATE(YEAR(B1205),MONTH(B1205),1))</f>
        <v/>
      </c>
      <c r="O1205" s="7">
        <f>IF(COUNTA(A1205:K1205)=0,"",IF(OR(A1205="",B1205=""),"Preencher CPF e entrada",IF(COUNTIFS($A$12:$A$5011,A1205,$B$12:$B$5011,B1205)&gt;1,"CPF + dia duplicado",IF(OR(AND(G1205&lt;&gt;"",G1205&lt;&gt;0,G1205&lt;&gt;1),AND(H1205&lt;&gt;"",H1205&lt;&gt;0,H1205&lt;&gt;1)),"Flags devem ser 0 ou 1",IF(AND(H1205=1,LEN(TRIM(I1205))=0),"Preencher nome do indicante",IF(AND(H1205&lt;&gt;1,I1205&lt;&gt;""),"Nome sem indicação interna",IF(AND(G1205=1,F1205=""),"Fechamento sem conversa",IF(OR(AND(E1205&lt;&gt;"",E1205&lt;B1205),AND(F1205&lt;&gt;"",F1205&lt;B1205)),"Evento anterior à entrada",IF(AND(F1205&lt;&gt;"",E1205=""),"Conversa sem agendamento",IF(OR(E1205&gt;TODAY(),F1205&gt;TODAY()),"Verificar evento futuro","OK"))))))))))</f>
        <v/>
      </c>
    </row>
    <row r="1206" spans="12:15">
      <c r="L1206" s="5">
        <f>IF(OR(A1206="",B1206=""),"",B1206-WEEKDAY(B1206,2)+1)</f>
        <v/>
      </c>
      <c r="M1206" s="5">
        <f>IF(L1206="","",L1206+6)</f>
        <v/>
      </c>
      <c r="N1206" s="6">
        <f>IF(OR(A1206="",B1206=""),"",DATE(YEAR(B1206),MONTH(B1206),1))</f>
        <v/>
      </c>
      <c r="O1206" s="7">
        <f>IF(COUNTA(A1206:K1206)=0,"",IF(OR(A1206="",B1206=""),"Preencher CPF e entrada",IF(COUNTIFS($A$12:$A$5011,A1206,$B$12:$B$5011,B1206)&gt;1,"CPF + dia duplicado",IF(OR(AND(G1206&lt;&gt;"",G1206&lt;&gt;0,G1206&lt;&gt;1),AND(H1206&lt;&gt;"",H1206&lt;&gt;0,H1206&lt;&gt;1)),"Flags devem ser 0 ou 1",IF(AND(H1206=1,LEN(TRIM(I1206))=0),"Preencher nome do indicante",IF(AND(H1206&lt;&gt;1,I1206&lt;&gt;""),"Nome sem indicação interna",IF(AND(G1206=1,F1206=""),"Fechamento sem conversa",IF(OR(AND(E1206&lt;&gt;"",E1206&lt;B1206),AND(F1206&lt;&gt;"",F1206&lt;B1206)),"Evento anterior à entrada",IF(AND(F1206&lt;&gt;"",E1206=""),"Conversa sem agendamento",IF(OR(E1206&gt;TODAY(),F1206&gt;TODAY()),"Verificar evento futuro","OK"))))))))))</f>
        <v/>
      </c>
    </row>
    <row r="1207" spans="12:15">
      <c r="L1207" s="5">
        <f>IF(OR(A1207="",B1207=""),"",B1207-WEEKDAY(B1207,2)+1)</f>
        <v/>
      </c>
      <c r="M1207" s="5">
        <f>IF(L1207="","",L1207+6)</f>
        <v/>
      </c>
      <c r="N1207" s="6">
        <f>IF(OR(A1207="",B1207=""),"",DATE(YEAR(B1207),MONTH(B1207),1))</f>
        <v/>
      </c>
      <c r="O1207" s="7">
        <f>IF(COUNTA(A1207:K1207)=0,"",IF(OR(A1207="",B1207=""),"Preencher CPF e entrada",IF(COUNTIFS($A$12:$A$5011,A1207,$B$12:$B$5011,B1207)&gt;1,"CPF + dia duplicado",IF(OR(AND(G1207&lt;&gt;"",G1207&lt;&gt;0,G1207&lt;&gt;1),AND(H1207&lt;&gt;"",H1207&lt;&gt;0,H1207&lt;&gt;1)),"Flags devem ser 0 ou 1",IF(AND(H1207=1,LEN(TRIM(I1207))=0),"Preencher nome do indicante",IF(AND(H1207&lt;&gt;1,I1207&lt;&gt;""),"Nome sem indicação interna",IF(AND(G1207=1,F1207=""),"Fechamento sem conversa",IF(OR(AND(E1207&lt;&gt;"",E1207&lt;B1207),AND(F1207&lt;&gt;"",F1207&lt;B1207)),"Evento anterior à entrada",IF(AND(F1207&lt;&gt;"",E1207=""),"Conversa sem agendamento",IF(OR(E1207&gt;TODAY(),F1207&gt;TODAY()),"Verificar evento futuro","OK"))))))))))</f>
        <v/>
      </c>
    </row>
    <row r="1208" spans="12:15">
      <c r="L1208" s="5">
        <f>IF(OR(A1208="",B1208=""),"",B1208-WEEKDAY(B1208,2)+1)</f>
        <v/>
      </c>
      <c r="M1208" s="5">
        <f>IF(L1208="","",L1208+6)</f>
        <v/>
      </c>
      <c r="N1208" s="6">
        <f>IF(OR(A1208="",B1208=""),"",DATE(YEAR(B1208),MONTH(B1208),1))</f>
        <v/>
      </c>
      <c r="O1208" s="7">
        <f>IF(COUNTA(A1208:K1208)=0,"",IF(OR(A1208="",B1208=""),"Preencher CPF e entrada",IF(COUNTIFS($A$12:$A$5011,A1208,$B$12:$B$5011,B1208)&gt;1,"CPF + dia duplicado",IF(OR(AND(G1208&lt;&gt;"",G1208&lt;&gt;0,G1208&lt;&gt;1),AND(H1208&lt;&gt;"",H1208&lt;&gt;0,H1208&lt;&gt;1)),"Flags devem ser 0 ou 1",IF(AND(H1208=1,LEN(TRIM(I1208))=0),"Preencher nome do indicante",IF(AND(H1208&lt;&gt;1,I1208&lt;&gt;""),"Nome sem indicação interna",IF(AND(G1208=1,F1208=""),"Fechamento sem conversa",IF(OR(AND(E1208&lt;&gt;"",E1208&lt;B1208),AND(F1208&lt;&gt;"",F1208&lt;B1208)),"Evento anterior à entrada",IF(AND(F1208&lt;&gt;"",E1208=""),"Conversa sem agendamento",IF(OR(E1208&gt;TODAY(),F1208&gt;TODAY()),"Verificar evento futuro","OK"))))))))))</f>
        <v/>
      </c>
    </row>
    <row r="1209" spans="12:15">
      <c r="L1209" s="5">
        <f>IF(OR(A1209="",B1209=""),"",B1209-WEEKDAY(B1209,2)+1)</f>
        <v/>
      </c>
      <c r="M1209" s="5">
        <f>IF(L1209="","",L1209+6)</f>
        <v/>
      </c>
      <c r="N1209" s="6">
        <f>IF(OR(A1209="",B1209=""),"",DATE(YEAR(B1209),MONTH(B1209),1))</f>
        <v/>
      </c>
      <c r="O1209" s="7">
        <f>IF(COUNTA(A1209:K1209)=0,"",IF(OR(A1209="",B1209=""),"Preencher CPF e entrada",IF(COUNTIFS($A$12:$A$5011,A1209,$B$12:$B$5011,B1209)&gt;1,"CPF + dia duplicado",IF(OR(AND(G1209&lt;&gt;"",G1209&lt;&gt;0,G1209&lt;&gt;1),AND(H1209&lt;&gt;"",H1209&lt;&gt;0,H1209&lt;&gt;1)),"Flags devem ser 0 ou 1",IF(AND(H1209=1,LEN(TRIM(I1209))=0),"Preencher nome do indicante",IF(AND(H1209&lt;&gt;1,I1209&lt;&gt;""),"Nome sem indicação interna",IF(AND(G1209=1,F1209=""),"Fechamento sem conversa",IF(OR(AND(E1209&lt;&gt;"",E1209&lt;B1209),AND(F1209&lt;&gt;"",F1209&lt;B1209)),"Evento anterior à entrada",IF(AND(F1209&lt;&gt;"",E1209=""),"Conversa sem agendamento",IF(OR(E1209&gt;TODAY(),F1209&gt;TODAY()),"Verificar evento futuro","OK"))))))))))</f>
        <v/>
      </c>
    </row>
    <row r="1210" spans="12:15">
      <c r="L1210" s="5">
        <f>IF(OR(A1210="",B1210=""),"",B1210-WEEKDAY(B1210,2)+1)</f>
        <v/>
      </c>
      <c r="M1210" s="5">
        <f>IF(L1210="","",L1210+6)</f>
        <v/>
      </c>
      <c r="N1210" s="6">
        <f>IF(OR(A1210="",B1210=""),"",DATE(YEAR(B1210),MONTH(B1210),1))</f>
        <v/>
      </c>
      <c r="O1210" s="7">
        <f>IF(COUNTA(A1210:K1210)=0,"",IF(OR(A1210="",B1210=""),"Preencher CPF e entrada",IF(COUNTIFS($A$12:$A$5011,A1210,$B$12:$B$5011,B1210)&gt;1,"CPF + dia duplicado",IF(OR(AND(G1210&lt;&gt;"",G1210&lt;&gt;0,G1210&lt;&gt;1),AND(H1210&lt;&gt;"",H1210&lt;&gt;0,H1210&lt;&gt;1)),"Flags devem ser 0 ou 1",IF(AND(H1210=1,LEN(TRIM(I1210))=0),"Preencher nome do indicante",IF(AND(H1210&lt;&gt;1,I1210&lt;&gt;""),"Nome sem indicação interna",IF(AND(G1210=1,F1210=""),"Fechamento sem conversa",IF(OR(AND(E1210&lt;&gt;"",E1210&lt;B1210),AND(F1210&lt;&gt;"",F1210&lt;B1210)),"Evento anterior à entrada",IF(AND(F1210&lt;&gt;"",E1210=""),"Conversa sem agendamento",IF(OR(E1210&gt;TODAY(),F1210&gt;TODAY()),"Verificar evento futuro","OK"))))))))))</f>
        <v/>
      </c>
    </row>
    <row r="1211" spans="12:15">
      <c r="L1211" s="5">
        <f>IF(OR(A1211="",B1211=""),"",B1211-WEEKDAY(B1211,2)+1)</f>
        <v/>
      </c>
      <c r="M1211" s="5">
        <f>IF(L1211="","",L1211+6)</f>
        <v/>
      </c>
      <c r="N1211" s="6">
        <f>IF(OR(A1211="",B1211=""),"",DATE(YEAR(B1211),MONTH(B1211),1))</f>
        <v/>
      </c>
      <c r="O1211" s="7">
        <f>IF(COUNTA(A1211:K1211)=0,"",IF(OR(A1211="",B1211=""),"Preencher CPF e entrada",IF(COUNTIFS($A$12:$A$5011,A1211,$B$12:$B$5011,B1211)&gt;1,"CPF + dia duplicado",IF(OR(AND(G1211&lt;&gt;"",G1211&lt;&gt;0,G1211&lt;&gt;1),AND(H1211&lt;&gt;"",H1211&lt;&gt;0,H1211&lt;&gt;1)),"Flags devem ser 0 ou 1",IF(AND(H1211=1,LEN(TRIM(I1211))=0),"Preencher nome do indicante",IF(AND(H1211&lt;&gt;1,I1211&lt;&gt;""),"Nome sem indicação interna",IF(AND(G1211=1,F1211=""),"Fechamento sem conversa",IF(OR(AND(E1211&lt;&gt;"",E1211&lt;B1211),AND(F1211&lt;&gt;"",F1211&lt;B1211)),"Evento anterior à entrada",IF(AND(F1211&lt;&gt;"",E1211=""),"Conversa sem agendamento",IF(OR(E1211&gt;TODAY(),F1211&gt;TODAY()),"Verificar evento futuro","OK"))))))))))</f>
        <v/>
      </c>
    </row>
    <row r="1212" spans="12:15">
      <c r="L1212" s="5">
        <f>IF(OR(A1212="",B1212=""),"",B1212-WEEKDAY(B1212,2)+1)</f>
        <v/>
      </c>
      <c r="M1212" s="5">
        <f>IF(L1212="","",L1212+6)</f>
        <v/>
      </c>
      <c r="N1212" s="6">
        <f>IF(OR(A1212="",B1212=""),"",DATE(YEAR(B1212),MONTH(B1212),1))</f>
        <v/>
      </c>
      <c r="O1212" s="7">
        <f>IF(COUNTA(A1212:K1212)=0,"",IF(OR(A1212="",B1212=""),"Preencher CPF e entrada",IF(COUNTIFS($A$12:$A$5011,A1212,$B$12:$B$5011,B1212)&gt;1,"CPF + dia duplicado",IF(OR(AND(G1212&lt;&gt;"",G1212&lt;&gt;0,G1212&lt;&gt;1),AND(H1212&lt;&gt;"",H1212&lt;&gt;0,H1212&lt;&gt;1)),"Flags devem ser 0 ou 1",IF(AND(H1212=1,LEN(TRIM(I1212))=0),"Preencher nome do indicante",IF(AND(H1212&lt;&gt;1,I1212&lt;&gt;""),"Nome sem indicação interna",IF(AND(G1212=1,F1212=""),"Fechamento sem conversa",IF(OR(AND(E1212&lt;&gt;"",E1212&lt;B1212),AND(F1212&lt;&gt;"",F1212&lt;B1212)),"Evento anterior à entrada",IF(AND(F1212&lt;&gt;"",E1212=""),"Conversa sem agendamento",IF(OR(E1212&gt;TODAY(),F1212&gt;TODAY()),"Verificar evento futuro","OK"))))))))))</f>
        <v/>
      </c>
    </row>
    <row r="1213" spans="12:15">
      <c r="L1213" s="5">
        <f>IF(OR(A1213="",B1213=""),"",B1213-WEEKDAY(B1213,2)+1)</f>
        <v/>
      </c>
      <c r="M1213" s="5">
        <f>IF(L1213="","",L1213+6)</f>
        <v/>
      </c>
      <c r="N1213" s="6">
        <f>IF(OR(A1213="",B1213=""),"",DATE(YEAR(B1213),MONTH(B1213),1))</f>
        <v/>
      </c>
      <c r="O1213" s="7">
        <f>IF(COUNTA(A1213:K1213)=0,"",IF(OR(A1213="",B1213=""),"Preencher CPF e entrada",IF(COUNTIFS($A$12:$A$5011,A1213,$B$12:$B$5011,B1213)&gt;1,"CPF + dia duplicado",IF(OR(AND(G1213&lt;&gt;"",G1213&lt;&gt;0,G1213&lt;&gt;1),AND(H1213&lt;&gt;"",H1213&lt;&gt;0,H1213&lt;&gt;1)),"Flags devem ser 0 ou 1",IF(AND(H1213=1,LEN(TRIM(I1213))=0),"Preencher nome do indicante",IF(AND(H1213&lt;&gt;1,I1213&lt;&gt;""),"Nome sem indicação interna",IF(AND(G1213=1,F1213=""),"Fechamento sem conversa",IF(OR(AND(E1213&lt;&gt;"",E1213&lt;B1213),AND(F1213&lt;&gt;"",F1213&lt;B1213)),"Evento anterior à entrada",IF(AND(F1213&lt;&gt;"",E1213=""),"Conversa sem agendamento",IF(OR(E1213&gt;TODAY(),F1213&gt;TODAY()),"Verificar evento futuro","OK"))))))))))</f>
        <v/>
      </c>
    </row>
    <row r="1214" spans="12:15">
      <c r="L1214" s="5">
        <f>IF(OR(A1214="",B1214=""),"",B1214-WEEKDAY(B1214,2)+1)</f>
        <v/>
      </c>
      <c r="M1214" s="5">
        <f>IF(L1214="","",L1214+6)</f>
        <v/>
      </c>
      <c r="N1214" s="6">
        <f>IF(OR(A1214="",B1214=""),"",DATE(YEAR(B1214),MONTH(B1214),1))</f>
        <v/>
      </c>
      <c r="O1214" s="7">
        <f>IF(COUNTA(A1214:K1214)=0,"",IF(OR(A1214="",B1214=""),"Preencher CPF e entrada",IF(COUNTIFS($A$12:$A$5011,A1214,$B$12:$B$5011,B1214)&gt;1,"CPF + dia duplicado",IF(OR(AND(G1214&lt;&gt;"",G1214&lt;&gt;0,G1214&lt;&gt;1),AND(H1214&lt;&gt;"",H1214&lt;&gt;0,H1214&lt;&gt;1)),"Flags devem ser 0 ou 1",IF(AND(H1214=1,LEN(TRIM(I1214))=0),"Preencher nome do indicante",IF(AND(H1214&lt;&gt;1,I1214&lt;&gt;""),"Nome sem indicação interna",IF(AND(G1214=1,F1214=""),"Fechamento sem conversa",IF(OR(AND(E1214&lt;&gt;"",E1214&lt;B1214),AND(F1214&lt;&gt;"",F1214&lt;B1214)),"Evento anterior à entrada",IF(AND(F1214&lt;&gt;"",E1214=""),"Conversa sem agendamento",IF(OR(E1214&gt;TODAY(),F1214&gt;TODAY()),"Verificar evento futuro","OK"))))))))))</f>
        <v/>
      </c>
    </row>
    <row r="1215" spans="12:15">
      <c r="L1215" s="5">
        <f>IF(OR(A1215="",B1215=""),"",B1215-WEEKDAY(B1215,2)+1)</f>
        <v/>
      </c>
      <c r="M1215" s="5">
        <f>IF(L1215="","",L1215+6)</f>
        <v/>
      </c>
      <c r="N1215" s="6">
        <f>IF(OR(A1215="",B1215=""),"",DATE(YEAR(B1215),MONTH(B1215),1))</f>
        <v/>
      </c>
      <c r="O1215" s="7">
        <f>IF(COUNTA(A1215:K1215)=0,"",IF(OR(A1215="",B1215=""),"Preencher CPF e entrada",IF(COUNTIFS($A$12:$A$5011,A1215,$B$12:$B$5011,B1215)&gt;1,"CPF + dia duplicado",IF(OR(AND(G1215&lt;&gt;"",G1215&lt;&gt;0,G1215&lt;&gt;1),AND(H1215&lt;&gt;"",H1215&lt;&gt;0,H1215&lt;&gt;1)),"Flags devem ser 0 ou 1",IF(AND(H1215=1,LEN(TRIM(I1215))=0),"Preencher nome do indicante",IF(AND(H1215&lt;&gt;1,I1215&lt;&gt;""),"Nome sem indicação interna",IF(AND(G1215=1,F1215=""),"Fechamento sem conversa",IF(OR(AND(E1215&lt;&gt;"",E1215&lt;B1215),AND(F1215&lt;&gt;"",F1215&lt;B1215)),"Evento anterior à entrada",IF(AND(F1215&lt;&gt;"",E1215=""),"Conversa sem agendamento",IF(OR(E1215&gt;TODAY(),F1215&gt;TODAY()),"Verificar evento futuro","OK"))))))))))</f>
        <v/>
      </c>
    </row>
    <row r="1216" spans="12:15">
      <c r="L1216" s="5">
        <f>IF(OR(A1216="",B1216=""),"",B1216-WEEKDAY(B1216,2)+1)</f>
        <v/>
      </c>
      <c r="M1216" s="5">
        <f>IF(L1216="","",L1216+6)</f>
        <v/>
      </c>
      <c r="N1216" s="6">
        <f>IF(OR(A1216="",B1216=""),"",DATE(YEAR(B1216),MONTH(B1216),1))</f>
        <v/>
      </c>
      <c r="O1216" s="7">
        <f>IF(COUNTA(A1216:K1216)=0,"",IF(OR(A1216="",B1216=""),"Preencher CPF e entrada",IF(COUNTIFS($A$12:$A$5011,A1216,$B$12:$B$5011,B1216)&gt;1,"CPF + dia duplicado",IF(OR(AND(G1216&lt;&gt;"",G1216&lt;&gt;0,G1216&lt;&gt;1),AND(H1216&lt;&gt;"",H1216&lt;&gt;0,H1216&lt;&gt;1)),"Flags devem ser 0 ou 1",IF(AND(H1216=1,LEN(TRIM(I1216))=0),"Preencher nome do indicante",IF(AND(H1216&lt;&gt;1,I1216&lt;&gt;""),"Nome sem indicação interna",IF(AND(G1216=1,F1216=""),"Fechamento sem conversa",IF(OR(AND(E1216&lt;&gt;"",E1216&lt;B1216),AND(F1216&lt;&gt;"",F1216&lt;B1216)),"Evento anterior à entrada",IF(AND(F1216&lt;&gt;"",E1216=""),"Conversa sem agendamento",IF(OR(E1216&gt;TODAY(),F1216&gt;TODAY()),"Verificar evento futuro","OK"))))))))))</f>
        <v/>
      </c>
    </row>
    <row r="1217" spans="12:15">
      <c r="L1217" s="5">
        <f>IF(OR(A1217="",B1217=""),"",B1217-WEEKDAY(B1217,2)+1)</f>
        <v/>
      </c>
      <c r="M1217" s="5">
        <f>IF(L1217="","",L1217+6)</f>
        <v/>
      </c>
      <c r="N1217" s="6">
        <f>IF(OR(A1217="",B1217=""),"",DATE(YEAR(B1217),MONTH(B1217),1))</f>
        <v/>
      </c>
      <c r="O1217" s="7">
        <f>IF(COUNTA(A1217:K1217)=0,"",IF(OR(A1217="",B1217=""),"Preencher CPF e entrada",IF(COUNTIFS($A$12:$A$5011,A1217,$B$12:$B$5011,B1217)&gt;1,"CPF + dia duplicado",IF(OR(AND(G1217&lt;&gt;"",G1217&lt;&gt;0,G1217&lt;&gt;1),AND(H1217&lt;&gt;"",H1217&lt;&gt;0,H1217&lt;&gt;1)),"Flags devem ser 0 ou 1",IF(AND(H1217=1,LEN(TRIM(I1217))=0),"Preencher nome do indicante",IF(AND(H1217&lt;&gt;1,I1217&lt;&gt;""),"Nome sem indicação interna",IF(AND(G1217=1,F1217=""),"Fechamento sem conversa",IF(OR(AND(E1217&lt;&gt;"",E1217&lt;B1217),AND(F1217&lt;&gt;"",F1217&lt;B1217)),"Evento anterior à entrada",IF(AND(F1217&lt;&gt;"",E1217=""),"Conversa sem agendamento",IF(OR(E1217&gt;TODAY(),F1217&gt;TODAY()),"Verificar evento futuro","OK"))))))))))</f>
        <v/>
      </c>
    </row>
    <row r="1218" spans="12:15">
      <c r="L1218" s="5">
        <f>IF(OR(A1218="",B1218=""),"",B1218-WEEKDAY(B1218,2)+1)</f>
        <v/>
      </c>
      <c r="M1218" s="5">
        <f>IF(L1218="","",L1218+6)</f>
        <v/>
      </c>
      <c r="N1218" s="6">
        <f>IF(OR(A1218="",B1218=""),"",DATE(YEAR(B1218),MONTH(B1218),1))</f>
        <v/>
      </c>
      <c r="O1218" s="7">
        <f>IF(COUNTA(A1218:K1218)=0,"",IF(OR(A1218="",B1218=""),"Preencher CPF e entrada",IF(COUNTIFS($A$12:$A$5011,A1218,$B$12:$B$5011,B1218)&gt;1,"CPF + dia duplicado",IF(OR(AND(G1218&lt;&gt;"",G1218&lt;&gt;0,G1218&lt;&gt;1),AND(H1218&lt;&gt;"",H1218&lt;&gt;0,H1218&lt;&gt;1)),"Flags devem ser 0 ou 1",IF(AND(H1218=1,LEN(TRIM(I1218))=0),"Preencher nome do indicante",IF(AND(H1218&lt;&gt;1,I1218&lt;&gt;""),"Nome sem indicação interna",IF(AND(G1218=1,F1218=""),"Fechamento sem conversa",IF(OR(AND(E1218&lt;&gt;"",E1218&lt;B1218),AND(F1218&lt;&gt;"",F1218&lt;B1218)),"Evento anterior à entrada",IF(AND(F1218&lt;&gt;"",E1218=""),"Conversa sem agendamento",IF(OR(E1218&gt;TODAY(),F1218&gt;TODAY()),"Verificar evento futuro","OK"))))))))))</f>
        <v/>
      </c>
    </row>
    <row r="1219" spans="12:15">
      <c r="L1219" s="5">
        <f>IF(OR(A1219="",B1219=""),"",B1219-WEEKDAY(B1219,2)+1)</f>
        <v/>
      </c>
      <c r="M1219" s="5">
        <f>IF(L1219="","",L1219+6)</f>
        <v/>
      </c>
      <c r="N1219" s="6">
        <f>IF(OR(A1219="",B1219=""),"",DATE(YEAR(B1219),MONTH(B1219),1))</f>
        <v/>
      </c>
      <c r="O1219" s="7">
        <f>IF(COUNTA(A1219:K1219)=0,"",IF(OR(A1219="",B1219=""),"Preencher CPF e entrada",IF(COUNTIFS($A$12:$A$5011,A1219,$B$12:$B$5011,B1219)&gt;1,"CPF + dia duplicado",IF(OR(AND(G1219&lt;&gt;"",G1219&lt;&gt;0,G1219&lt;&gt;1),AND(H1219&lt;&gt;"",H1219&lt;&gt;0,H1219&lt;&gt;1)),"Flags devem ser 0 ou 1",IF(AND(H1219=1,LEN(TRIM(I1219))=0),"Preencher nome do indicante",IF(AND(H1219&lt;&gt;1,I1219&lt;&gt;""),"Nome sem indicação interna",IF(AND(G1219=1,F1219=""),"Fechamento sem conversa",IF(OR(AND(E1219&lt;&gt;"",E1219&lt;B1219),AND(F1219&lt;&gt;"",F1219&lt;B1219)),"Evento anterior à entrada",IF(AND(F1219&lt;&gt;"",E1219=""),"Conversa sem agendamento",IF(OR(E1219&gt;TODAY(),F1219&gt;TODAY()),"Verificar evento futuro","OK"))))))))))</f>
        <v/>
      </c>
    </row>
    <row r="1220" spans="12:15">
      <c r="L1220" s="5">
        <f>IF(OR(A1220="",B1220=""),"",B1220-WEEKDAY(B1220,2)+1)</f>
        <v/>
      </c>
      <c r="M1220" s="5">
        <f>IF(L1220="","",L1220+6)</f>
        <v/>
      </c>
      <c r="N1220" s="6">
        <f>IF(OR(A1220="",B1220=""),"",DATE(YEAR(B1220),MONTH(B1220),1))</f>
        <v/>
      </c>
      <c r="O1220" s="7">
        <f>IF(COUNTA(A1220:K1220)=0,"",IF(OR(A1220="",B1220=""),"Preencher CPF e entrada",IF(COUNTIFS($A$12:$A$5011,A1220,$B$12:$B$5011,B1220)&gt;1,"CPF + dia duplicado",IF(OR(AND(G1220&lt;&gt;"",G1220&lt;&gt;0,G1220&lt;&gt;1),AND(H1220&lt;&gt;"",H1220&lt;&gt;0,H1220&lt;&gt;1)),"Flags devem ser 0 ou 1",IF(AND(H1220=1,LEN(TRIM(I1220))=0),"Preencher nome do indicante",IF(AND(H1220&lt;&gt;1,I1220&lt;&gt;""),"Nome sem indicação interna",IF(AND(G1220=1,F1220=""),"Fechamento sem conversa",IF(OR(AND(E1220&lt;&gt;"",E1220&lt;B1220),AND(F1220&lt;&gt;"",F1220&lt;B1220)),"Evento anterior à entrada",IF(AND(F1220&lt;&gt;"",E1220=""),"Conversa sem agendamento",IF(OR(E1220&gt;TODAY(),F1220&gt;TODAY()),"Verificar evento futuro","OK"))))))))))</f>
        <v/>
      </c>
    </row>
    <row r="1221" spans="12:15">
      <c r="L1221" s="5">
        <f>IF(OR(A1221="",B1221=""),"",B1221-WEEKDAY(B1221,2)+1)</f>
        <v/>
      </c>
      <c r="M1221" s="5">
        <f>IF(L1221="","",L1221+6)</f>
        <v/>
      </c>
      <c r="N1221" s="6">
        <f>IF(OR(A1221="",B1221=""),"",DATE(YEAR(B1221),MONTH(B1221),1))</f>
        <v/>
      </c>
      <c r="O1221" s="7">
        <f>IF(COUNTA(A1221:K1221)=0,"",IF(OR(A1221="",B1221=""),"Preencher CPF e entrada",IF(COUNTIFS($A$12:$A$5011,A1221,$B$12:$B$5011,B1221)&gt;1,"CPF + dia duplicado",IF(OR(AND(G1221&lt;&gt;"",G1221&lt;&gt;0,G1221&lt;&gt;1),AND(H1221&lt;&gt;"",H1221&lt;&gt;0,H1221&lt;&gt;1)),"Flags devem ser 0 ou 1",IF(AND(H1221=1,LEN(TRIM(I1221))=0),"Preencher nome do indicante",IF(AND(H1221&lt;&gt;1,I1221&lt;&gt;""),"Nome sem indicação interna",IF(AND(G1221=1,F1221=""),"Fechamento sem conversa",IF(OR(AND(E1221&lt;&gt;"",E1221&lt;B1221),AND(F1221&lt;&gt;"",F1221&lt;B1221)),"Evento anterior à entrada",IF(AND(F1221&lt;&gt;"",E1221=""),"Conversa sem agendamento",IF(OR(E1221&gt;TODAY(),F1221&gt;TODAY()),"Verificar evento futuro","OK"))))))))))</f>
        <v/>
      </c>
    </row>
    <row r="1222" spans="12:15">
      <c r="L1222" s="5">
        <f>IF(OR(A1222="",B1222=""),"",B1222-WEEKDAY(B1222,2)+1)</f>
        <v/>
      </c>
      <c r="M1222" s="5">
        <f>IF(L1222="","",L1222+6)</f>
        <v/>
      </c>
      <c r="N1222" s="6">
        <f>IF(OR(A1222="",B1222=""),"",DATE(YEAR(B1222),MONTH(B1222),1))</f>
        <v/>
      </c>
      <c r="O1222" s="7">
        <f>IF(COUNTA(A1222:K1222)=0,"",IF(OR(A1222="",B1222=""),"Preencher CPF e entrada",IF(COUNTIFS($A$12:$A$5011,A1222,$B$12:$B$5011,B1222)&gt;1,"CPF + dia duplicado",IF(OR(AND(G1222&lt;&gt;"",G1222&lt;&gt;0,G1222&lt;&gt;1),AND(H1222&lt;&gt;"",H1222&lt;&gt;0,H1222&lt;&gt;1)),"Flags devem ser 0 ou 1",IF(AND(H1222=1,LEN(TRIM(I1222))=0),"Preencher nome do indicante",IF(AND(H1222&lt;&gt;1,I1222&lt;&gt;""),"Nome sem indicação interna",IF(AND(G1222=1,F1222=""),"Fechamento sem conversa",IF(OR(AND(E1222&lt;&gt;"",E1222&lt;B1222),AND(F1222&lt;&gt;"",F1222&lt;B1222)),"Evento anterior à entrada",IF(AND(F1222&lt;&gt;"",E1222=""),"Conversa sem agendamento",IF(OR(E1222&gt;TODAY(),F1222&gt;TODAY()),"Verificar evento futuro","OK"))))))))))</f>
        <v/>
      </c>
    </row>
    <row r="1223" spans="12:15">
      <c r="L1223" s="5">
        <f>IF(OR(A1223="",B1223=""),"",B1223-WEEKDAY(B1223,2)+1)</f>
        <v/>
      </c>
      <c r="M1223" s="5">
        <f>IF(L1223="","",L1223+6)</f>
        <v/>
      </c>
      <c r="N1223" s="6">
        <f>IF(OR(A1223="",B1223=""),"",DATE(YEAR(B1223),MONTH(B1223),1))</f>
        <v/>
      </c>
      <c r="O1223" s="7">
        <f>IF(COUNTA(A1223:K1223)=0,"",IF(OR(A1223="",B1223=""),"Preencher CPF e entrada",IF(COUNTIFS($A$12:$A$5011,A1223,$B$12:$B$5011,B1223)&gt;1,"CPF + dia duplicado",IF(OR(AND(G1223&lt;&gt;"",G1223&lt;&gt;0,G1223&lt;&gt;1),AND(H1223&lt;&gt;"",H1223&lt;&gt;0,H1223&lt;&gt;1)),"Flags devem ser 0 ou 1",IF(AND(H1223=1,LEN(TRIM(I1223))=0),"Preencher nome do indicante",IF(AND(H1223&lt;&gt;1,I1223&lt;&gt;""),"Nome sem indicação interna",IF(AND(G1223=1,F1223=""),"Fechamento sem conversa",IF(OR(AND(E1223&lt;&gt;"",E1223&lt;B1223),AND(F1223&lt;&gt;"",F1223&lt;B1223)),"Evento anterior à entrada",IF(AND(F1223&lt;&gt;"",E1223=""),"Conversa sem agendamento",IF(OR(E1223&gt;TODAY(),F1223&gt;TODAY()),"Verificar evento futuro","OK"))))))))))</f>
        <v/>
      </c>
    </row>
    <row r="1224" spans="12:15">
      <c r="L1224" s="5">
        <f>IF(OR(A1224="",B1224=""),"",B1224-WEEKDAY(B1224,2)+1)</f>
        <v/>
      </c>
      <c r="M1224" s="5">
        <f>IF(L1224="","",L1224+6)</f>
        <v/>
      </c>
      <c r="N1224" s="6">
        <f>IF(OR(A1224="",B1224=""),"",DATE(YEAR(B1224),MONTH(B1224),1))</f>
        <v/>
      </c>
      <c r="O1224" s="7">
        <f>IF(COUNTA(A1224:K1224)=0,"",IF(OR(A1224="",B1224=""),"Preencher CPF e entrada",IF(COUNTIFS($A$12:$A$5011,A1224,$B$12:$B$5011,B1224)&gt;1,"CPF + dia duplicado",IF(OR(AND(G1224&lt;&gt;"",G1224&lt;&gt;0,G1224&lt;&gt;1),AND(H1224&lt;&gt;"",H1224&lt;&gt;0,H1224&lt;&gt;1)),"Flags devem ser 0 ou 1",IF(AND(H1224=1,LEN(TRIM(I1224))=0),"Preencher nome do indicante",IF(AND(H1224&lt;&gt;1,I1224&lt;&gt;""),"Nome sem indicação interna",IF(AND(G1224=1,F1224=""),"Fechamento sem conversa",IF(OR(AND(E1224&lt;&gt;"",E1224&lt;B1224),AND(F1224&lt;&gt;"",F1224&lt;B1224)),"Evento anterior à entrada",IF(AND(F1224&lt;&gt;"",E1224=""),"Conversa sem agendamento",IF(OR(E1224&gt;TODAY(),F1224&gt;TODAY()),"Verificar evento futuro","OK"))))))))))</f>
        <v/>
      </c>
    </row>
    <row r="1225" spans="12:15">
      <c r="L1225" s="5">
        <f>IF(OR(A1225="",B1225=""),"",B1225-WEEKDAY(B1225,2)+1)</f>
        <v/>
      </c>
      <c r="M1225" s="5">
        <f>IF(L1225="","",L1225+6)</f>
        <v/>
      </c>
      <c r="N1225" s="6">
        <f>IF(OR(A1225="",B1225=""),"",DATE(YEAR(B1225),MONTH(B1225),1))</f>
        <v/>
      </c>
      <c r="O1225" s="7">
        <f>IF(COUNTA(A1225:K1225)=0,"",IF(OR(A1225="",B1225=""),"Preencher CPF e entrada",IF(COUNTIFS($A$12:$A$5011,A1225,$B$12:$B$5011,B1225)&gt;1,"CPF + dia duplicado",IF(OR(AND(G1225&lt;&gt;"",G1225&lt;&gt;0,G1225&lt;&gt;1),AND(H1225&lt;&gt;"",H1225&lt;&gt;0,H1225&lt;&gt;1)),"Flags devem ser 0 ou 1",IF(AND(H1225=1,LEN(TRIM(I1225))=0),"Preencher nome do indicante",IF(AND(H1225&lt;&gt;1,I1225&lt;&gt;""),"Nome sem indicação interna",IF(AND(G1225=1,F1225=""),"Fechamento sem conversa",IF(OR(AND(E1225&lt;&gt;"",E1225&lt;B1225),AND(F1225&lt;&gt;"",F1225&lt;B1225)),"Evento anterior à entrada",IF(AND(F1225&lt;&gt;"",E1225=""),"Conversa sem agendamento",IF(OR(E1225&gt;TODAY(),F1225&gt;TODAY()),"Verificar evento futuro","OK"))))))))))</f>
        <v/>
      </c>
    </row>
    <row r="1226" spans="12:15">
      <c r="L1226" s="5">
        <f>IF(OR(A1226="",B1226=""),"",B1226-WEEKDAY(B1226,2)+1)</f>
        <v/>
      </c>
      <c r="M1226" s="5">
        <f>IF(L1226="","",L1226+6)</f>
        <v/>
      </c>
      <c r="N1226" s="6">
        <f>IF(OR(A1226="",B1226=""),"",DATE(YEAR(B1226),MONTH(B1226),1))</f>
        <v/>
      </c>
      <c r="O1226" s="7">
        <f>IF(COUNTA(A1226:K1226)=0,"",IF(OR(A1226="",B1226=""),"Preencher CPF e entrada",IF(COUNTIFS($A$12:$A$5011,A1226,$B$12:$B$5011,B1226)&gt;1,"CPF + dia duplicado",IF(OR(AND(G1226&lt;&gt;"",G1226&lt;&gt;0,G1226&lt;&gt;1),AND(H1226&lt;&gt;"",H1226&lt;&gt;0,H1226&lt;&gt;1)),"Flags devem ser 0 ou 1",IF(AND(H1226=1,LEN(TRIM(I1226))=0),"Preencher nome do indicante",IF(AND(H1226&lt;&gt;1,I1226&lt;&gt;""),"Nome sem indicação interna",IF(AND(G1226=1,F1226=""),"Fechamento sem conversa",IF(OR(AND(E1226&lt;&gt;"",E1226&lt;B1226),AND(F1226&lt;&gt;"",F1226&lt;B1226)),"Evento anterior à entrada",IF(AND(F1226&lt;&gt;"",E1226=""),"Conversa sem agendamento",IF(OR(E1226&gt;TODAY(),F1226&gt;TODAY()),"Verificar evento futuro","OK"))))))))))</f>
        <v/>
      </c>
    </row>
    <row r="1227" spans="12:15">
      <c r="L1227" s="5">
        <f>IF(OR(A1227="",B1227=""),"",B1227-WEEKDAY(B1227,2)+1)</f>
        <v/>
      </c>
      <c r="M1227" s="5">
        <f>IF(L1227="","",L1227+6)</f>
        <v/>
      </c>
      <c r="N1227" s="6">
        <f>IF(OR(A1227="",B1227=""),"",DATE(YEAR(B1227),MONTH(B1227),1))</f>
        <v/>
      </c>
      <c r="O1227" s="7">
        <f>IF(COUNTA(A1227:K1227)=0,"",IF(OR(A1227="",B1227=""),"Preencher CPF e entrada",IF(COUNTIFS($A$12:$A$5011,A1227,$B$12:$B$5011,B1227)&gt;1,"CPF + dia duplicado",IF(OR(AND(G1227&lt;&gt;"",G1227&lt;&gt;0,G1227&lt;&gt;1),AND(H1227&lt;&gt;"",H1227&lt;&gt;0,H1227&lt;&gt;1)),"Flags devem ser 0 ou 1",IF(AND(H1227=1,LEN(TRIM(I1227))=0),"Preencher nome do indicante",IF(AND(H1227&lt;&gt;1,I1227&lt;&gt;""),"Nome sem indicação interna",IF(AND(G1227=1,F1227=""),"Fechamento sem conversa",IF(OR(AND(E1227&lt;&gt;"",E1227&lt;B1227),AND(F1227&lt;&gt;"",F1227&lt;B1227)),"Evento anterior à entrada",IF(AND(F1227&lt;&gt;"",E1227=""),"Conversa sem agendamento",IF(OR(E1227&gt;TODAY(),F1227&gt;TODAY()),"Verificar evento futuro","OK"))))))))))</f>
        <v/>
      </c>
    </row>
    <row r="1228" spans="12:15">
      <c r="L1228" s="5">
        <f>IF(OR(A1228="",B1228=""),"",B1228-WEEKDAY(B1228,2)+1)</f>
        <v/>
      </c>
      <c r="M1228" s="5">
        <f>IF(L1228="","",L1228+6)</f>
        <v/>
      </c>
      <c r="N1228" s="6">
        <f>IF(OR(A1228="",B1228=""),"",DATE(YEAR(B1228),MONTH(B1228),1))</f>
        <v/>
      </c>
      <c r="O1228" s="7">
        <f>IF(COUNTA(A1228:K1228)=0,"",IF(OR(A1228="",B1228=""),"Preencher CPF e entrada",IF(COUNTIFS($A$12:$A$5011,A1228,$B$12:$B$5011,B1228)&gt;1,"CPF + dia duplicado",IF(OR(AND(G1228&lt;&gt;"",G1228&lt;&gt;0,G1228&lt;&gt;1),AND(H1228&lt;&gt;"",H1228&lt;&gt;0,H1228&lt;&gt;1)),"Flags devem ser 0 ou 1",IF(AND(H1228=1,LEN(TRIM(I1228))=0),"Preencher nome do indicante",IF(AND(H1228&lt;&gt;1,I1228&lt;&gt;""),"Nome sem indicação interna",IF(AND(G1228=1,F1228=""),"Fechamento sem conversa",IF(OR(AND(E1228&lt;&gt;"",E1228&lt;B1228),AND(F1228&lt;&gt;"",F1228&lt;B1228)),"Evento anterior à entrada",IF(AND(F1228&lt;&gt;"",E1228=""),"Conversa sem agendamento",IF(OR(E1228&gt;TODAY(),F1228&gt;TODAY()),"Verificar evento futuro","OK"))))))))))</f>
        <v/>
      </c>
    </row>
    <row r="1229" spans="12:15">
      <c r="L1229" s="5">
        <f>IF(OR(A1229="",B1229=""),"",B1229-WEEKDAY(B1229,2)+1)</f>
        <v/>
      </c>
      <c r="M1229" s="5">
        <f>IF(L1229="","",L1229+6)</f>
        <v/>
      </c>
      <c r="N1229" s="6">
        <f>IF(OR(A1229="",B1229=""),"",DATE(YEAR(B1229),MONTH(B1229),1))</f>
        <v/>
      </c>
      <c r="O1229" s="7">
        <f>IF(COUNTA(A1229:K1229)=0,"",IF(OR(A1229="",B1229=""),"Preencher CPF e entrada",IF(COUNTIFS($A$12:$A$5011,A1229,$B$12:$B$5011,B1229)&gt;1,"CPF + dia duplicado",IF(OR(AND(G1229&lt;&gt;"",G1229&lt;&gt;0,G1229&lt;&gt;1),AND(H1229&lt;&gt;"",H1229&lt;&gt;0,H1229&lt;&gt;1)),"Flags devem ser 0 ou 1",IF(AND(H1229=1,LEN(TRIM(I1229))=0),"Preencher nome do indicante",IF(AND(H1229&lt;&gt;1,I1229&lt;&gt;""),"Nome sem indicação interna",IF(AND(G1229=1,F1229=""),"Fechamento sem conversa",IF(OR(AND(E1229&lt;&gt;"",E1229&lt;B1229),AND(F1229&lt;&gt;"",F1229&lt;B1229)),"Evento anterior à entrada",IF(AND(F1229&lt;&gt;"",E1229=""),"Conversa sem agendamento",IF(OR(E1229&gt;TODAY(),F1229&gt;TODAY()),"Verificar evento futuro","OK"))))))))))</f>
        <v/>
      </c>
    </row>
    <row r="1230" spans="12:15">
      <c r="L1230" s="5">
        <f>IF(OR(A1230="",B1230=""),"",B1230-WEEKDAY(B1230,2)+1)</f>
        <v/>
      </c>
      <c r="M1230" s="5">
        <f>IF(L1230="","",L1230+6)</f>
        <v/>
      </c>
      <c r="N1230" s="6">
        <f>IF(OR(A1230="",B1230=""),"",DATE(YEAR(B1230),MONTH(B1230),1))</f>
        <v/>
      </c>
      <c r="O1230" s="7">
        <f>IF(COUNTA(A1230:K1230)=0,"",IF(OR(A1230="",B1230=""),"Preencher CPF e entrada",IF(COUNTIFS($A$12:$A$5011,A1230,$B$12:$B$5011,B1230)&gt;1,"CPF + dia duplicado",IF(OR(AND(G1230&lt;&gt;"",G1230&lt;&gt;0,G1230&lt;&gt;1),AND(H1230&lt;&gt;"",H1230&lt;&gt;0,H1230&lt;&gt;1)),"Flags devem ser 0 ou 1",IF(AND(H1230=1,LEN(TRIM(I1230))=0),"Preencher nome do indicante",IF(AND(H1230&lt;&gt;1,I1230&lt;&gt;""),"Nome sem indicação interna",IF(AND(G1230=1,F1230=""),"Fechamento sem conversa",IF(OR(AND(E1230&lt;&gt;"",E1230&lt;B1230),AND(F1230&lt;&gt;"",F1230&lt;B1230)),"Evento anterior à entrada",IF(AND(F1230&lt;&gt;"",E1230=""),"Conversa sem agendamento",IF(OR(E1230&gt;TODAY(),F1230&gt;TODAY()),"Verificar evento futuro","OK"))))))))))</f>
        <v/>
      </c>
    </row>
    <row r="1231" spans="12:15">
      <c r="L1231" s="5">
        <f>IF(OR(A1231="",B1231=""),"",B1231-WEEKDAY(B1231,2)+1)</f>
        <v/>
      </c>
      <c r="M1231" s="5">
        <f>IF(L1231="","",L1231+6)</f>
        <v/>
      </c>
      <c r="N1231" s="6">
        <f>IF(OR(A1231="",B1231=""),"",DATE(YEAR(B1231),MONTH(B1231),1))</f>
        <v/>
      </c>
      <c r="O1231" s="7">
        <f>IF(COUNTA(A1231:K1231)=0,"",IF(OR(A1231="",B1231=""),"Preencher CPF e entrada",IF(COUNTIFS($A$12:$A$5011,A1231,$B$12:$B$5011,B1231)&gt;1,"CPF + dia duplicado",IF(OR(AND(G1231&lt;&gt;"",G1231&lt;&gt;0,G1231&lt;&gt;1),AND(H1231&lt;&gt;"",H1231&lt;&gt;0,H1231&lt;&gt;1)),"Flags devem ser 0 ou 1",IF(AND(H1231=1,LEN(TRIM(I1231))=0),"Preencher nome do indicante",IF(AND(H1231&lt;&gt;1,I1231&lt;&gt;""),"Nome sem indicação interna",IF(AND(G1231=1,F1231=""),"Fechamento sem conversa",IF(OR(AND(E1231&lt;&gt;"",E1231&lt;B1231),AND(F1231&lt;&gt;"",F1231&lt;B1231)),"Evento anterior à entrada",IF(AND(F1231&lt;&gt;"",E1231=""),"Conversa sem agendamento",IF(OR(E1231&gt;TODAY(),F1231&gt;TODAY()),"Verificar evento futuro","OK"))))))))))</f>
        <v/>
      </c>
    </row>
    <row r="1232" spans="12:15">
      <c r="L1232" s="5">
        <f>IF(OR(A1232="",B1232=""),"",B1232-WEEKDAY(B1232,2)+1)</f>
        <v/>
      </c>
      <c r="M1232" s="5">
        <f>IF(L1232="","",L1232+6)</f>
        <v/>
      </c>
      <c r="N1232" s="6">
        <f>IF(OR(A1232="",B1232=""),"",DATE(YEAR(B1232),MONTH(B1232),1))</f>
        <v/>
      </c>
      <c r="O1232" s="7">
        <f>IF(COUNTA(A1232:K1232)=0,"",IF(OR(A1232="",B1232=""),"Preencher CPF e entrada",IF(COUNTIFS($A$12:$A$5011,A1232,$B$12:$B$5011,B1232)&gt;1,"CPF + dia duplicado",IF(OR(AND(G1232&lt;&gt;"",G1232&lt;&gt;0,G1232&lt;&gt;1),AND(H1232&lt;&gt;"",H1232&lt;&gt;0,H1232&lt;&gt;1)),"Flags devem ser 0 ou 1",IF(AND(H1232=1,LEN(TRIM(I1232))=0),"Preencher nome do indicante",IF(AND(H1232&lt;&gt;1,I1232&lt;&gt;""),"Nome sem indicação interna",IF(AND(G1232=1,F1232=""),"Fechamento sem conversa",IF(OR(AND(E1232&lt;&gt;"",E1232&lt;B1232),AND(F1232&lt;&gt;"",F1232&lt;B1232)),"Evento anterior à entrada",IF(AND(F1232&lt;&gt;"",E1232=""),"Conversa sem agendamento",IF(OR(E1232&gt;TODAY(),F1232&gt;TODAY()),"Verificar evento futuro","OK"))))))))))</f>
        <v/>
      </c>
    </row>
    <row r="1233" spans="12:15">
      <c r="L1233" s="5">
        <f>IF(OR(A1233="",B1233=""),"",B1233-WEEKDAY(B1233,2)+1)</f>
        <v/>
      </c>
      <c r="M1233" s="5">
        <f>IF(L1233="","",L1233+6)</f>
        <v/>
      </c>
      <c r="N1233" s="6">
        <f>IF(OR(A1233="",B1233=""),"",DATE(YEAR(B1233),MONTH(B1233),1))</f>
        <v/>
      </c>
      <c r="O1233" s="7">
        <f>IF(COUNTA(A1233:K1233)=0,"",IF(OR(A1233="",B1233=""),"Preencher CPF e entrada",IF(COUNTIFS($A$12:$A$5011,A1233,$B$12:$B$5011,B1233)&gt;1,"CPF + dia duplicado",IF(OR(AND(G1233&lt;&gt;"",G1233&lt;&gt;0,G1233&lt;&gt;1),AND(H1233&lt;&gt;"",H1233&lt;&gt;0,H1233&lt;&gt;1)),"Flags devem ser 0 ou 1",IF(AND(H1233=1,LEN(TRIM(I1233))=0),"Preencher nome do indicante",IF(AND(H1233&lt;&gt;1,I1233&lt;&gt;""),"Nome sem indicação interna",IF(AND(G1233=1,F1233=""),"Fechamento sem conversa",IF(OR(AND(E1233&lt;&gt;"",E1233&lt;B1233),AND(F1233&lt;&gt;"",F1233&lt;B1233)),"Evento anterior à entrada",IF(AND(F1233&lt;&gt;"",E1233=""),"Conversa sem agendamento",IF(OR(E1233&gt;TODAY(),F1233&gt;TODAY()),"Verificar evento futuro","OK"))))))))))</f>
        <v/>
      </c>
    </row>
    <row r="1234" spans="12:15">
      <c r="L1234" s="5">
        <f>IF(OR(A1234="",B1234=""),"",B1234-WEEKDAY(B1234,2)+1)</f>
        <v/>
      </c>
      <c r="M1234" s="5">
        <f>IF(L1234="","",L1234+6)</f>
        <v/>
      </c>
      <c r="N1234" s="6">
        <f>IF(OR(A1234="",B1234=""),"",DATE(YEAR(B1234),MONTH(B1234),1))</f>
        <v/>
      </c>
      <c r="O1234" s="7">
        <f>IF(COUNTA(A1234:K1234)=0,"",IF(OR(A1234="",B1234=""),"Preencher CPF e entrada",IF(COUNTIFS($A$12:$A$5011,A1234,$B$12:$B$5011,B1234)&gt;1,"CPF + dia duplicado",IF(OR(AND(G1234&lt;&gt;"",G1234&lt;&gt;0,G1234&lt;&gt;1),AND(H1234&lt;&gt;"",H1234&lt;&gt;0,H1234&lt;&gt;1)),"Flags devem ser 0 ou 1",IF(AND(H1234=1,LEN(TRIM(I1234))=0),"Preencher nome do indicante",IF(AND(H1234&lt;&gt;1,I1234&lt;&gt;""),"Nome sem indicação interna",IF(AND(G1234=1,F1234=""),"Fechamento sem conversa",IF(OR(AND(E1234&lt;&gt;"",E1234&lt;B1234),AND(F1234&lt;&gt;"",F1234&lt;B1234)),"Evento anterior à entrada",IF(AND(F1234&lt;&gt;"",E1234=""),"Conversa sem agendamento",IF(OR(E1234&gt;TODAY(),F1234&gt;TODAY()),"Verificar evento futuro","OK"))))))))))</f>
        <v/>
      </c>
    </row>
    <row r="1235" spans="12:15">
      <c r="L1235" s="5">
        <f>IF(OR(A1235="",B1235=""),"",B1235-WEEKDAY(B1235,2)+1)</f>
        <v/>
      </c>
      <c r="M1235" s="5">
        <f>IF(L1235="","",L1235+6)</f>
        <v/>
      </c>
      <c r="N1235" s="6">
        <f>IF(OR(A1235="",B1235=""),"",DATE(YEAR(B1235),MONTH(B1235),1))</f>
        <v/>
      </c>
      <c r="O1235" s="7">
        <f>IF(COUNTA(A1235:K1235)=0,"",IF(OR(A1235="",B1235=""),"Preencher CPF e entrada",IF(COUNTIFS($A$12:$A$5011,A1235,$B$12:$B$5011,B1235)&gt;1,"CPF + dia duplicado",IF(OR(AND(G1235&lt;&gt;"",G1235&lt;&gt;0,G1235&lt;&gt;1),AND(H1235&lt;&gt;"",H1235&lt;&gt;0,H1235&lt;&gt;1)),"Flags devem ser 0 ou 1",IF(AND(H1235=1,LEN(TRIM(I1235))=0),"Preencher nome do indicante",IF(AND(H1235&lt;&gt;1,I1235&lt;&gt;""),"Nome sem indicação interna",IF(AND(G1235=1,F1235=""),"Fechamento sem conversa",IF(OR(AND(E1235&lt;&gt;"",E1235&lt;B1235),AND(F1235&lt;&gt;"",F1235&lt;B1235)),"Evento anterior à entrada",IF(AND(F1235&lt;&gt;"",E1235=""),"Conversa sem agendamento",IF(OR(E1235&gt;TODAY(),F1235&gt;TODAY()),"Verificar evento futuro","OK"))))))))))</f>
        <v/>
      </c>
    </row>
    <row r="1236" spans="12:15">
      <c r="L1236" s="5">
        <f>IF(OR(A1236="",B1236=""),"",B1236-WEEKDAY(B1236,2)+1)</f>
        <v/>
      </c>
      <c r="M1236" s="5">
        <f>IF(L1236="","",L1236+6)</f>
        <v/>
      </c>
      <c r="N1236" s="6">
        <f>IF(OR(A1236="",B1236=""),"",DATE(YEAR(B1236),MONTH(B1236),1))</f>
        <v/>
      </c>
      <c r="O1236" s="7">
        <f>IF(COUNTA(A1236:K1236)=0,"",IF(OR(A1236="",B1236=""),"Preencher CPF e entrada",IF(COUNTIFS($A$12:$A$5011,A1236,$B$12:$B$5011,B1236)&gt;1,"CPF + dia duplicado",IF(OR(AND(G1236&lt;&gt;"",G1236&lt;&gt;0,G1236&lt;&gt;1),AND(H1236&lt;&gt;"",H1236&lt;&gt;0,H1236&lt;&gt;1)),"Flags devem ser 0 ou 1",IF(AND(H1236=1,LEN(TRIM(I1236))=0),"Preencher nome do indicante",IF(AND(H1236&lt;&gt;1,I1236&lt;&gt;""),"Nome sem indicação interna",IF(AND(G1236=1,F1236=""),"Fechamento sem conversa",IF(OR(AND(E1236&lt;&gt;"",E1236&lt;B1236),AND(F1236&lt;&gt;"",F1236&lt;B1236)),"Evento anterior à entrada",IF(AND(F1236&lt;&gt;"",E1236=""),"Conversa sem agendamento",IF(OR(E1236&gt;TODAY(),F1236&gt;TODAY()),"Verificar evento futuro","OK"))))))))))</f>
        <v/>
      </c>
    </row>
    <row r="1237" spans="12:15">
      <c r="L1237" s="5">
        <f>IF(OR(A1237="",B1237=""),"",B1237-WEEKDAY(B1237,2)+1)</f>
        <v/>
      </c>
      <c r="M1237" s="5">
        <f>IF(L1237="","",L1237+6)</f>
        <v/>
      </c>
      <c r="N1237" s="6">
        <f>IF(OR(A1237="",B1237=""),"",DATE(YEAR(B1237),MONTH(B1237),1))</f>
        <v/>
      </c>
      <c r="O1237" s="7">
        <f>IF(COUNTA(A1237:K1237)=0,"",IF(OR(A1237="",B1237=""),"Preencher CPF e entrada",IF(COUNTIFS($A$12:$A$5011,A1237,$B$12:$B$5011,B1237)&gt;1,"CPF + dia duplicado",IF(OR(AND(G1237&lt;&gt;"",G1237&lt;&gt;0,G1237&lt;&gt;1),AND(H1237&lt;&gt;"",H1237&lt;&gt;0,H1237&lt;&gt;1)),"Flags devem ser 0 ou 1",IF(AND(H1237=1,LEN(TRIM(I1237))=0),"Preencher nome do indicante",IF(AND(H1237&lt;&gt;1,I1237&lt;&gt;""),"Nome sem indicação interna",IF(AND(G1237=1,F1237=""),"Fechamento sem conversa",IF(OR(AND(E1237&lt;&gt;"",E1237&lt;B1237),AND(F1237&lt;&gt;"",F1237&lt;B1237)),"Evento anterior à entrada",IF(AND(F1237&lt;&gt;"",E1237=""),"Conversa sem agendamento",IF(OR(E1237&gt;TODAY(),F1237&gt;TODAY()),"Verificar evento futuro","OK"))))))))))</f>
        <v/>
      </c>
    </row>
    <row r="1238" spans="12:15">
      <c r="L1238" s="5">
        <f>IF(OR(A1238="",B1238=""),"",B1238-WEEKDAY(B1238,2)+1)</f>
        <v/>
      </c>
      <c r="M1238" s="5">
        <f>IF(L1238="","",L1238+6)</f>
        <v/>
      </c>
      <c r="N1238" s="6">
        <f>IF(OR(A1238="",B1238=""),"",DATE(YEAR(B1238),MONTH(B1238),1))</f>
        <v/>
      </c>
      <c r="O1238" s="7">
        <f>IF(COUNTA(A1238:K1238)=0,"",IF(OR(A1238="",B1238=""),"Preencher CPF e entrada",IF(COUNTIFS($A$12:$A$5011,A1238,$B$12:$B$5011,B1238)&gt;1,"CPF + dia duplicado",IF(OR(AND(G1238&lt;&gt;"",G1238&lt;&gt;0,G1238&lt;&gt;1),AND(H1238&lt;&gt;"",H1238&lt;&gt;0,H1238&lt;&gt;1)),"Flags devem ser 0 ou 1",IF(AND(H1238=1,LEN(TRIM(I1238))=0),"Preencher nome do indicante",IF(AND(H1238&lt;&gt;1,I1238&lt;&gt;""),"Nome sem indicação interna",IF(AND(G1238=1,F1238=""),"Fechamento sem conversa",IF(OR(AND(E1238&lt;&gt;"",E1238&lt;B1238),AND(F1238&lt;&gt;"",F1238&lt;B1238)),"Evento anterior à entrada",IF(AND(F1238&lt;&gt;"",E1238=""),"Conversa sem agendamento",IF(OR(E1238&gt;TODAY(),F1238&gt;TODAY()),"Verificar evento futuro","OK"))))))))))</f>
        <v/>
      </c>
    </row>
    <row r="1239" spans="12:15">
      <c r="L1239" s="5">
        <f>IF(OR(A1239="",B1239=""),"",B1239-WEEKDAY(B1239,2)+1)</f>
        <v/>
      </c>
      <c r="M1239" s="5">
        <f>IF(L1239="","",L1239+6)</f>
        <v/>
      </c>
      <c r="N1239" s="6">
        <f>IF(OR(A1239="",B1239=""),"",DATE(YEAR(B1239),MONTH(B1239),1))</f>
        <v/>
      </c>
      <c r="O1239" s="7">
        <f>IF(COUNTA(A1239:K1239)=0,"",IF(OR(A1239="",B1239=""),"Preencher CPF e entrada",IF(COUNTIFS($A$12:$A$5011,A1239,$B$12:$B$5011,B1239)&gt;1,"CPF + dia duplicado",IF(OR(AND(G1239&lt;&gt;"",G1239&lt;&gt;0,G1239&lt;&gt;1),AND(H1239&lt;&gt;"",H1239&lt;&gt;0,H1239&lt;&gt;1)),"Flags devem ser 0 ou 1",IF(AND(H1239=1,LEN(TRIM(I1239))=0),"Preencher nome do indicante",IF(AND(H1239&lt;&gt;1,I1239&lt;&gt;""),"Nome sem indicação interna",IF(AND(G1239=1,F1239=""),"Fechamento sem conversa",IF(OR(AND(E1239&lt;&gt;"",E1239&lt;B1239),AND(F1239&lt;&gt;"",F1239&lt;B1239)),"Evento anterior à entrada",IF(AND(F1239&lt;&gt;"",E1239=""),"Conversa sem agendamento",IF(OR(E1239&gt;TODAY(),F1239&gt;TODAY()),"Verificar evento futuro","OK"))))))))))</f>
        <v/>
      </c>
    </row>
    <row r="1240" spans="12:15">
      <c r="L1240" s="5">
        <f>IF(OR(A1240="",B1240=""),"",B1240-WEEKDAY(B1240,2)+1)</f>
        <v/>
      </c>
      <c r="M1240" s="5">
        <f>IF(L1240="","",L1240+6)</f>
        <v/>
      </c>
      <c r="N1240" s="6">
        <f>IF(OR(A1240="",B1240=""),"",DATE(YEAR(B1240),MONTH(B1240),1))</f>
        <v/>
      </c>
      <c r="O1240" s="7">
        <f>IF(COUNTA(A1240:K1240)=0,"",IF(OR(A1240="",B1240=""),"Preencher CPF e entrada",IF(COUNTIFS($A$12:$A$5011,A1240,$B$12:$B$5011,B1240)&gt;1,"CPF + dia duplicado",IF(OR(AND(G1240&lt;&gt;"",G1240&lt;&gt;0,G1240&lt;&gt;1),AND(H1240&lt;&gt;"",H1240&lt;&gt;0,H1240&lt;&gt;1)),"Flags devem ser 0 ou 1",IF(AND(H1240=1,LEN(TRIM(I1240))=0),"Preencher nome do indicante",IF(AND(H1240&lt;&gt;1,I1240&lt;&gt;""),"Nome sem indicação interna",IF(AND(G1240=1,F1240=""),"Fechamento sem conversa",IF(OR(AND(E1240&lt;&gt;"",E1240&lt;B1240),AND(F1240&lt;&gt;"",F1240&lt;B1240)),"Evento anterior à entrada",IF(AND(F1240&lt;&gt;"",E1240=""),"Conversa sem agendamento",IF(OR(E1240&gt;TODAY(),F1240&gt;TODAY()),"Verificar evento futuro","OK"))))))))))</f>
        <v/>
      </c>
    </row>
    <row r="1241" spans="12:15">
      <c r="L1241" s="5">
        <f>IF(OR(A1241="",B1241=""),"",B1241-WEEKDAY(B1241,2)+1)</f>
        <v/>
      </c>
      <c r="M1241" s="5">
        <f>IF(L1241="","",L1241+6)</f>
        <v/>
      </c>
      <c r="N1241" s="6">
        <f>IF(OR(A1241="",B1241=""),"",DATE(YEAR(B1241),MONTH(B1241),1))</f>
        <v/>
      </c>
      <c r="O1241" s="7">
        <f>IF(COUNTA(A1241:K1241)=0,"",IF(OR(A1241="",B1241=""),"Preencher CPF e entrada",IF(COUNTIFS($A$12:$A$5011,A1241,$B$12:$B$5011,B1241)&gt;1,"CPF + dia duplicado",IF(OR(AND(G1241&lt;&gt;"",G1241&lt;&gt;0,G1241&lt;&gt;1),AND(H1241&lt;&gt;"",H1241&lt;&gt;0,H1241&lt;&gt;1)),"Flags devem ser 0 ou 1",IF(AND(H1241=1,LEN(TRIM(I1241))=0),"Preencher nome do indicante",IF(AND(H1241&lt;&gt;1,I1241&lt;&gt;""),"Nome sem indicação interna",IF(AND(G1241=1,F1241=""),"Fechamento sem conversa",IF(OR(AND(E1241&lt;&gt;"",E1241&lt;B1241),AND(F1241&lt;&gt;"",F1241&lt;B1241)),"Evento anterior à entrada",IF(AND(F1241&lt;&gt;"",E1241=""),"Conversa sem agendamento",IF(OR(E1241&gt;TODAY(),F1241&gt;TODAY()),"Verificar evento futuro","OK"))))))))))</f>
        <v/>
      </c>
    </row>
    <row r="1242" spans="12:15">
      <c r="L1242" s="5">
        <f>IF(OR(A1242="",B1242=""),"",B1242-WEEKDAY(B1242,2)+1)</f>
        <v/>
      </c>
      <c r="M1242" s="5">
        <f>IF(L1242="","",L1242+6)</f>
        <v/>
      </c>
      <c r="N1242" s="6">
        <f>IF(OR(A1242="",B1242=""),"",DATE(YEAR(B1242),MONTH(B1242),1))</f>
        <v/>
      </c>
      <c r="O1242" s="7">
        <f>IF(COUNTA(A1242:K1242)=0,"",IF(OR(A1242="",B1242=""),"Preencher CPF e entrada",IF(COUNTIFS($A$12:$A$5011,A1242,$B$12:$B$5011,B1242)&gt;1,"CPF + dia duplicado",IF(OR(AND(G1242&lt;&gt;"",G1242&lt;&gt;0,G1242&lt;&gt;1),AND(H1242&lt;&gt;"",H1242&lt;&gt;0,H1242&lt;&gt;1)),"Flags devem ser 0 ou 1",IF(AND(H1242=1,LEN(TRIM(I1242))=0),"Preencher nome do indicante",IF(AND(H1242&lt;&gt;1,I1242&lt;&gt;""),"Nome sem indicação interna",IF(AND(G1242=1,F1242=""),"Fechamento sem conversa",IF(OR(AND(E1242&lt;&gt;"",E1242&lt;B1242),AND(F1242&lt;&gt;"",F1242&lt;B1242)),"Evento anterior à entrada",IF(AND(F1242&lt;&gt;"",E1242=""),"Conversa sem agendamento",IF(OR(E1242&gt;TODAY(),F1242&gt;TODAY()),"Verificar evento futuro","OK"))))))))))</f>
        <v/>
      </c>
    </row>
    <row r="1243" spans="12:15">
      <c r="L1243" s="5">
        <f>IF(OR(A1243="",B1243=""),"",B1243-WEEKDAY(B1243,2)+1)</f>
        <v/>
      </c>
      <c r="M1243" s="5">
        <f>IF(L1243="","",L1243+6)</f>
        <v/>
      </c>
      <c r="N1243" s="6">
        <f>IF(OR(A1243="",B1243=""),"",DATE(YEAR(B1243),MONTH(B1243),1))</f>
        <v/>
      </c>
      <c r="O1243" s="7">
        <f>IF(COUNTA(A1243:K1243)=0,"",IF(OR(A1243="",B1243=""),"Preencher CPF e entrada",IF(COUNTIFS($A$12:$A$5011,A1243,$B$12:$B$5011,B1243)&gt;1,"CPF + dia duplicado",IF(OR(AND(G1243&lt;&gt;"",G1243&lt;&gt;0,G1243&lt;&gt;1),AND(H1243&lt;&gt;"",H1243&lt;&gt;0,H1243&lt;&gt;1)),"Flags devem ser 0 ou 1",IF(AND(H1243=1,LEN(TRIM(I1243))=0),"Preencher nome do indicante",IF(AND(H1243&lt;&gt;1,I1243&lt;&gt;""),"Nome sem indicação interna",IF(AND(G1243=1,F1243=""),"Fechamento sem conversa",IF(OR(AND(E1243&lt;&gt;"",E1243&lt;B1243),AND(F1243&lt;&gt;"",F1243&lt;B1243)),"Evento anterior à entrada",IF(AND(F1243&lt;&gt;"",E1243=""),"Conversa sem agendamento",IF(OR(E1243&gt;TODAY(),F1243&gt;TODAY()),"Verificar evento futuro","OK"))))))))))</f>
        <v/>
      </c>
    </row>
    <row r="1244" spans="12:15">
      <c r="L1244" s="5">
        <f>IF(OR(A1244="",B1244=""),"",B1244-WEEKDAY(B1244,2)+1)</f>
        <v/>
      </c>
      <c r="M1244" s="5">
        <f>IF(L1244="","",L1244+6)</f>
        <v/>
      </c>
      <c r="N1244" s="6">
        <f>IF(OR(A1244="",B1244=""),"",DATE(YEAR(B1244),MONTH(B1244),1))</f>
        <v/>
      </c>
      <c r="O1244" s="7">
        <f>IF(COUNTA(A1244:K1244)=0,"",IF(OR(A1244="",B1244=""),"Preencher CPF e entrada",IF(COUNTIFS($A$12:$A$5011,A1244,$B$12:$B$5011,B1244)&gt;1,"CPF + dia duplicado",IF(OR(AND(G1244&lt;&gt;"",G1244&lt;&gt;0,G1244&lt;&gt;1),AND(H1244&lt;&gt;"",H1244&lt;&gt;0,H1244&lt;&gt;1)),"Flags devem ser 0 ou 1",IF(AND(H1244=1,LEN(TRIM(I1244))=0),"Preencher nome do indicante",IF(AND(H1244&lt;&gt;1,I1244&lt;&gt;""),"Nome sem indicação interna",IF(AND(G1244=1,F1244=""),"Fechamento sem conversa",IF(OR(AND(E1244&lt;&gt;"",E1244&lt;B1244),AND(F1244&lt;&gt;"",F1244&lt;B1244)),"Evento anterior à entrada",IF(AND(F1244&lt;&gt;"",E1244=""),"Conversa sem agendamento",IF(OR(E1244&gt;TODAY(),F1244&gt;TODAY()),"Verificar evento futuro","OK"))))))))))</f>
        <v/>
      </c>
    </row>
    <row r="1245" spans="12:15">
      <c r="L1245" s="5">
        <f>IF(OR(A1245="",B1245=""),"",B1245-WEEKDAY(B1245,2)+1)</f>
        <v/>
      </c>
      <c r="M1245" s="5">
        <f>IF(L1245="","",L1245+6)</f>
        <v/>
      </c>
      <c r="N1245" s="6">
        <f>IF(OR(A1245="",B1245=""),"",DATE(YEAR(B1245),MONTH(B1245),1))</f>
        <v/>
      </c>
      <c r="O1245" s="7">
        <f>IF(COUNTA(A1245:K1245)=0,"",IF(OR(A1245="",B1245=""),"Preencher CPF e entrada",IF(COUNTIFS($A$12:$A$5011,A1245,$B$12:$B$5011,B1245)&gt;1,"CPF + dia duplicado",IF(OR(AND(G1245&lt;&gt;"",G1245&lt;&gt;0,G1245&lt;&gt;1),AND(H1245&lt;&gt;"",H1245&lt;&gt;0,H1245&lt;&gt;1)),"Flags devem ser 0 ou 1",IF(AND(H1245=1,LEN(TRIM(I1245))=0),"Preencher nome do indicante",IF(AND(H1245&lt;&gt;1,I1245&lt;&gt;""),"Nome sem indicação interna",IF(AND(G1245=1,F1245=""),"Fechamento sem conversa",IF(OR(AND(E1245&lt;&gt;"",E1245&lt;B1245),AND(F1245&lt;&gt;"",F1245&lt;B1245)),"Evento anterior à entrada",IF(AND(F1245&lt;&gt;"",E1245=""),"Conversa sem agendamento",IF(OR(E1245&gt;TODAY(),F1245&gt;TODAY()),"Verificar evento futuro","OK"))))))))))</f>
        <v/>
      </c>
    </row>
    <row r="1246" spans="12:15">
      <c r="L1246" s="5">
        <f>IF(OR(A1246="",B1246=""),"",B1246-WEEKDAY(B1246,2)+1)</f>
        <v/>
      </c>
      <c r="M1246" s="5">
        <f>IF(L1246="","",L1246+6)</f>
        <v/>
      </c>
      <c r="N1246" s="6">
        <f>IF(OR(A1246="",B1246=""),"",DATE(YEAR(B1246),MONTH(B1246),1))</f>
        <v/>
      </c>
      <c r="O1246" s="7">
        <f>IF(COUNTA(A1246:K1246)=0,"",IF(OR(A1246="",B1246=""),"Preencher CPF e entrada",IF(COUNTIFS($A$12:$A$5011,A1246,$B$12:$B$5011,B1246)&gt;1,"CPF + dia duplicado",IF(OR(AND(G1246&lt;&gt;"",G1246&lt;&gt;0,G1246&lt;&gt;1),AND(H1246&lt;&gt;"",H1246&lt;&gt;0,H1246&lt;&gt;1)),"Flags devem ser 0 ou 1",IF(AND(H1246=1,LEN(TRIM(I1246))=0),"Preencher nome do indicante",IF(AND(H1246&lt;&gt;1,I1246&lt;&gt;""),"Nome sem indicação interna",IF(AND(G1246=1,F1246=""),"Fechamento sem conversa",IF(OR(AND(E1246&lt;&gt;"",E1246&lt;B1246),AND(F1246&lt;&gt;"",F1246&lt;B1246)),"Evento anterior à entrada",IF(AND(F1246&lt;&gt;"",E1246=""),"Conversa sem agendamento",IF(OR(E1246&gt;TODAY(),F1246&gt;TODAY()),"Verificar evento futuro","OK"))))))))))</f>
        <v/>
      </c>
    </row>
    <row r="1247" spans="12:15">
      <c r="L1247" s="5">
        <f>IF(OR(A1247="",B1247=""),"",B1247-WEEKDAY(B1247,2)+1)</f>
        <v/>
      </c>
      <c r="M1247" s="5">
        <f>IF(L1247="","",L1247+6)</f>
        <v/>
      </c>
      <c r="N1247" s="6">
        <f>IF(OR(A1247="",B1247=""),"",DATE(YEAR(B1247),MONTH(B1247),1))</f>
        <v/>
      </c>
      <c r="O1247" s="7">
        <f>IF(COUNTA(A1247:K1247)=0,"",IF(OR(A1247="",B1247=""),"Preencher CPF e entrada",IF(COUNTIFS($A$12:$A$5011,A1247,$B$12:$B$5011,B1247)&gt;1,"CPF + dia duplicado",IF(OR(AND(G1247&lt;&gt;"",G1247&lt;&gt;0,G1247&lt;&gt;1),AND(H1247&lt;&gt;"",H1247&lt;&gt;0,H1247&lt;&gt;1)),"Flags devem ser 0 ou 1",IF(AND(H1247=1,LEN(TRIM(I1247))=0),"Preencher nome do indicante",IF(AND(H1247&lt;&gt;1,I1247&lt;&gt;""),"Nome sem indicação interna",IF(AND(G1247=1,F1247=""),"Fechamento sem conversa",IF(OR(AND(E1247&lt;&gt;"",E1247&lt;B1247),AND(F1247&lt;&gt;"",F1247&lt;B1247)),"Evento anterior à entrada",IF(AND(F1247&lt;&gt;"",E1247=""),"Conversa sem agendamento",IF(OR(E1247&gt;TODAY(),F1247&gt;TODAY()),"Verificar evento futuro","OK"))))))))))</f>
        <v/>
      </c>
    </row>
    <row r="1248" spans="12:15">
      <c r="L1248" s="5">
        <f>IF(OR(A1248="",B1248=""),"",B1248-WEEKDAY(B1248,2)+1)</f>
        <v/>
      </c>
      <c r="M1248" s="5">
        <f>IF(L1248="","",L1248+6)</f>
        <v/>
      </c>
      <c r="N1248" s="6">
        <f>IF(OR(A1248="",B1248=""),"",DATE(YEAR(B1248),MONTH(B1248),1))</f>
        <v/>
      </c>
      <c r="O1248" s="7">
        <f>IF(COUNTA(A1248:K1248)=0,"",IF(OR(A1248="",B1248=""),"Preencher CPF e entrada",IF(COUNTIFS($A$12:$A$5011,A1248,$B$12:$B$5011,B1248)&gt;1,"CPF + dia duplicado",IF(OR(AND(G1248&lt;&gt;"",G1248&lt;&gt;0,G1248&lt;&gt;1),AND(H1248&lt;&gt;"",H1248&lt;&gt;0,H1248&lt;&gt;1)),"Flags devem ser 0 ou 1",IF(AND(H1248=1,LEN(TRIM(I1248))=0),"Preencher nome do indicante",IF(AND(H1248&lt;&gt;1,I1248&lt;&gt;""),"Nome sem indicação interna",IF(AND(G1248=1,F1248=""),"Fechamento sem conversa",IF(OR(AND(E1248&lt;&gt;"",E1248&lt;B1248),AND(F1248&lt;&gt;"",F1248&lt;B1248)),"Evento anterior à entrada",IF(AND(F1248&lt;&gt;"",E1248=""),"Conversa sem agendamento",IF(OR(E1248&gt;TODAY(),F1248&gt;TODAY()),"Verificar evento futuro","OK"))))))))))</f>
        <v/>
      </c>
    </row>
    <row r="1249" spans="12:15">
      <c r="L1249" s="5">
        <f>IF(OR(A1249="",B1249=""),"",B1249-WEEKDAY(B1249,2)+1)</f>
        <v/>
      </c>
      <c r="M1249" s="5">
        <f>IF(L1249="","",L1249+6)</f>
        <v/>
      </c>
      <c r="N1249" s="6">
        <f>IF(OR(A1249="",B1249=""),"",DATE(YEAR(B1249),MONTH(B1249),1))</f>
        <v/>
      </c>
      <c r="O1249" s="7">
        <f>IF(COUNTA(A1249:K1249)=0,"",IF(OR(A1249="",B1249=""),"Preencher CPF e entrada",IF(COUNTIFS($A$12:$A$5011,A1249,$B$12:$B$5011,B1249)&gt;1,"CPF + dia duplicado",IF(OR(AND(G1249&lt;&gt;"",G1249&lt;&gt;0,G1249&lt;&gt;1),AND(H1249&lt;&gt;"",H1249&lt;&gt;0,H1249&lt;&gt;1)),"Flags devem ser 0 ou 1",IF(AND(H1249=1,LEN(TRIM(I1249))=0),"Preencher nome do indicante",IF(AND(H1249&lt;&gt;1,I1249&lt;&gt;""),"Nome sem indicação interna",IF(AND(G1249=1,F1249=""),"Fechamento sem conversa",IF(OR(AND(E1249&lt;&gt;"",E1249&lt;B1249),AND(F1249&lt;&gt;"",F1249&lt;B1249)),"Evento anterior à entrada",IF(AND(F1249&lt;&gt;"",E1249=""),"Conversa sem agendamento",IF(OR(E1249&gt;TODAY(),F1249&gt;TODAY()),"Verificar evento futuro","OK"))))))))))</f>
        <v/>
      </c>
    </row>
    <row r="1250" spans="12:15">
      <c r="L1250" s="5">
        <f>IF(OR(A1250="",B1250=""),"",B1250-WEEKDAY(B1250,2)+1)</f>
        <v/>
      </c>
      <c r="M1250" s="5">
        <f>IF(L1250="","",L1250+6)</f>
        <v/>
      </c>
      <c r="N1250" s="6">
        <f>IF(OR(A1250="",B1250=""),"",DATE(YEAR(B1250),MONTH(B1250),1))</f>
        <v/>
      </c>
      <c r="O1250" s="7">
        <f>IF(COUNTA(A1250:K1250)=0,"",IF(OR(A1250="",B1250=""),"Preencher CPF e entrada",IF(COUNTIFS($A$12:$A$5011,A1250,$B$12:$B$5011,B1250)&gt;1,"CPF + dia duplicado",IF(OR(AND(G1250&lt;&gt;"",G1250&lt;&gt;0,G1250&lt;&gt;1),AND(H1250&lt;&gt;"",H1250&lt;&gt;0,H1250&lt;&gt;1)),"Flags devem ser 0 ou 1",IF(AND(H1250=1,LEN(TRIM(I1250))=0),"Preencher nome do indicante",IF(AND(H1250&lt;&gt;1,I1250&lt;&gt;""),"Nome sem indicação interna",IF(AND(G1250=1,F1250=""),"Fechamento sem conversa",IF(OR(AND(E1250&lt;&gt;"",E1250&lt;B1250),AND(F1250&lt;&gt;"",F1250&lt;B1250)),"Evento anterior à entrada",IF(AND(F1250&lt;&gt;"",E1250=""),"Conversa sem agendamento",IF(OR(E1250&gt;TODAY(),F1250&gt;TODAY()),"Verificar evento futuro","OK"))))))))))</f>
        <v/>
      </c>
    </row>
    <row r="1251" spans="12:15">
      <c r="L1251" s="5">
        <f>IF(OR(A1251="",B1251=""),"",B1251-WEEKDAY(B1251,2)+1)</f>
        <v/>
      </c>
      <c r="M1251" s="5">
        <f>IF(L1251="","",L1251+6)</f>
        <v/>
      </c>
      <c r="N1251" s="6">
        <f>IF(OR(A1251="",B1251=""),"",DATE(YEAR(B1251),MONTH(B1251),1))</f>
        <v/>
      </c>
      <c r="O1251" s="7">
        <f>IF(COUNTA(A1251:K1251)=0,"",IF(OR(A1251="",B1251=""),"Preencher CPF e entrada",IF(COUNTIFS($A$12:$A$5011,A1251,$B$12:$B$5011,B1251)&gt;1,"CPF + dia duplicado",IF(OR(AND(G1251&lt;&gt;"",G1251&lt;&gt;0,G1251&lt;&gt;1),AND(H1251&lt;&gt;"",H1251&lt;&gt;0,H1251&lt;&gt;1)),"Flags devem ser 0 ou 1",IF(AND(H1251=1,LEN(TRIM(I1251))=0),"Preencher nome do indicante",IF(AND(H1251&lt;&gt;1,I1251&lt;&gt;""),"Nome sem indicação interna",IF(AND(G1251=1,F1251=""),"Fechamento sem conversa",IF(OR(AND(E1251&lt;&gt;"",E1251&lt;B1251),AND(F1251&lt;&gt;"",F1251&lt;B1251)),"Evento anterior à entrada",IF(AND(F1251&lt;&gt;"",E1251=""),"Conversa sem agendamento",IF(OR(E1251&gt;TODAY(),F1251&gt;TODAY()),"Verificar evento futuro","OK"))))))))))</f>
        <v/>
      </c>
    </row>
    <row r="1252" spans="12:15">
      <c r="L1252" s="5">
        <f>IF(OR(A1252="",B1252=""),"",B1252-WEEKDAY(B1252,2)+1)</f>
        <v/>
      </c>
      <c r="M1252" s="5">
        <f>IF(L1252="","",L1252+6)</f>
        <v/>
      </c>
      <c r="N1252" s="6">
        <f>IF(OR(A1252="",B1252=""),"",DATE(YEAR(B1252),MONTH(B1252),1))</f>
        <v/>
      </c>
      <c r="O1252" s="7">
        <f>IF(COUNTA(A1252:K1252)=0,"",IF(OR(A1252="",B1252=""),"Preencher CPF e entrada",IF(COUNTIFS($A$12:$A$5011,A1252,$B$12:$B$5011,B1252)&gt;1,"CPF + dia duplicado",IF(OR(AND(G1252&lt;&gt;"",G1252&lt;&gt;0,G1252&lt;&gt;1),AND(H1252&lt;&gt;"",H1252&lt;&gt;0,H1252&lt;&gt;1)),"Flags devem ser 0 ou 1",IF(AND(H1252=1,LEN(TRIM(I1252))=0),"Preencher nome do indicante",IF(AND(H1252&lt;&gt;1,I1252&lt;&gt;""),"Nome sem indicação interna",IF(AND(G1252=1,F1252=""),"Fechamento sem conversa",IF(OR(AND(E1252&lt;&gt;"",E1252&lt;B1252),AND(F1252&lt;&gt;"",F1252&lt;B1252)),"Evento anterior à entrada",IF(AND(F1252&lt;&gt;"",E1252=""),"Conversa sem agendamento",IF(OR(E1252&gt;TODAY(),F1252&gt;TODAY()),"Verificar evento futuro","OK"))))))))))</f>
        <v/>
      </c>
    </row>
    <row r="1253" spans="12:15">
      <c r="L1253" s="5">
        <f>IF(OR(A1253="",B1253=""),"",B1253-WEEKDAY(B1253,2)+1)</f>
        <v/>
      </c>
      <c r="M1253" s="5">
        <f>IF(L1253="","",L1253+6)</f>
        <v/>
      </c>
      <c r="N1253" s="6">
        <f>IF(OR(A1253="",B1253=""),"",DATE(YEAR(B1253),MONTH(B1253),1))</f>
        <v/>
      </c>
      <c r="O1253" s="7">
        <f>IF(COUNTA(A1253:K1253)=0,"",IF(OR(A1253="",B1253=""),"Preencher CPF e entrada",IF(COUNTIFS($A$12:$A$5011,A1253,$B$12:$B$5011,B1253)&gt;1,"CPF + dia duplicado",IF(OR(AND(G1253&lt;&gt;"",G1253&lt;&gt;0,G1253&lt;&gt;1),AND(H1253&lt;&gt;"",H1253&lt;&gt;0,H1253&lt;&gt;1)),"Flags devem ser 0 ou 1",IF(AND(H1253=1,LEN(TRIM(I1253))=0),"Preencher nome do indicante",IF(AND(H1253&lt;&gt;1,I1253&lt;&gt;""),"Nome sem indicação interna",IF(AND(G1253=1,F1253=""),"Fechamento sem conversa",IF(OR(AND(E1253&lt;&gt;"",E1253&lt;B1253),AND(F1253&lt;&gt;"",F1253&lt;B1253)),"Evento anterior à entrada",IF(AND(F1253&lt;&gt;"",E1253=""),"Conversa sem agendamento",IF(OR(E1253&gt;TODAY(),F1253&gt;TODAY()),"Verificar evento futuro","OK"))))))))))</f>
        <v/>
      </c>
    </row>
    <row r="1254" spans="12:15">
      <c r="L1254" s="5">
        <f>IF(OR(A1254="",B1254=""),"",B1254-WEEKDAY(B1254,2)+1)</f>
        <v/>
      </c>
      <c r="M1254" s="5">
        <f>IF(L1254="","",L1254+6)</f>
        <v/>
      </c>
      <c r="N1254" s="6">
        <f>IF(OR(A1254="",B1254=""),"",DATE(YEAR(B1254),MONTH(B1254),1))</f>
        <v/>
      </c>
      <c r="O1254" s="7">
        <f>IF(COUNTA(A1254:K1254)=0,"",IF(OR(A1254="",B1254=""),"Preencher CPF e entrada",IF(COUNTIFS($A$12:$A$5011,A1254,$B$12:$B$5011,B1254)&gt;1,"CPF + dia duplicado",IF(OR(AND(G1254&lt;&gt;"",G1254&lt;&gt;0,G1254&lt;&gt;1),AND(H1254&lt;&gt;"",H1254&lt;&gt;0,H1254&lt;&gt;1)),"Flags devem ser 0 ou 1",IF(AND(H1254=1,LEN(TRIM(I1254))=0),"Preencher nome do indicante",IF(AND(H1254&lt;&gt;1,I1254&lt;&gt;""),"Nome sem indicação interna",IF(AND(G1254=1,F1254=""),"Fechamento sem conversa",IF(OR(AND(E1254&lt;&gt;"",E1254&lt;B1254),AND(F1254&lt;&gt;"",F1254&lt;B1254)),"Evento anterior à entrada",IF(AND(F1254&lt;&gt;"",E1254=""),"Conversa sem agendamento",IF(OR(E1254&gt;TODAY(),F1254&gt;TODAY()),"Verificar evento futuro","OK"))))))))))</f>
        <v/>
      </c>
    </row>
    <row r="1255" spans="12:15">
      <c r="L1255" s="5">
        <f>IF(OR(A1255="",B1255=""),"",B1255-WEEKDAY(B1255,2)+1)</f>
        <v/>
      </c>
      <c r="M1255" s="5">
        <f>IF(L1255="","",L1255+6)</f>
        <v/>
      </c>
      <c r="N1255" s="6">
        <f>IF(OR(A1255="",B1255=""),"",DATE(YEAR(B1255),MONTH(B1255),1))</f>
        <v/>
      </c>
      <c r="O1255" s="7">
        <f>IF(COUNTA(A1255:K1255)=0,"",IF(OR(A1255="",B1255=""),"Preencher CPF e entrada",IF(COUNTIFS($A$12:$A$5011,A1255,$B$12:$B$5011,B1255)&gt;1,"CPF + dia duplicado",IF(OR(AND(G1255&lt;&gt;"",G1255&lt;&gt;0,G1255&lt;&gt;1),AND(H1255&lt;&gt;"",H1255&lt;&gt;0,H1255&lt;&gt;1)),"Flags devem ser 0 ou 1",IF(AND(H1255=1,LEN(TRIM(I1255))=0),"Preencher nome do indicante",IF(AND(H1255&lt;&gt;1,I1255&lt;&gt;""),"Nome sem indicação interna",IF(AND(G1255=1,F1255=""),"Fechamento sem conversa",IF(OR(AND(E1255&lt;&gt;"",E1255&lt;B1255),AND(F1255&lt;&gt;"",F1255&lt;B1255)),"Evento anterior à entrada",IF(AND(F1255&lt;&gt;"",E1255=""),"Conversa sem agendamento",IF(OR(E1255&gt;TODAY(),F1255&gt;TODAY()),"Verificar evento futuro","OK"))))))))))</f>
        <v/>
      </c>
    </row>
    <row r="1256" spans="12:15">
      <c r="L1256" s="5">
        <f>IF(OR(A1256="",B1256=""),"",B1256-WEEKDAY(B1256,2)+1)</f>
        <v/>
      </c>
      <c r="M1256" s="5">
        <f>IF(L1256="","",L1256+6)</f>
        <v/>
      </c>
      <c r="N1256" s="6">
        <f>IF(OR(A1256="",B1256=""),"",DATE(YEAR(B1256),MONTH(B1256),1))</f>
        <v/>
      </c>
      <c r="O1256" s="7">
        <f>IF(COUNTA(A1256:K1256)=0,"",IF(OR(A1256="",B1256=""),"Preencher CPF e entrada",IF(COUNTIFS($A$12:$A$5011,A1256,$B$12:$B$5011,B1256)&gt;1,"CPF + dia duplicado",IF(OR(AND(G1256&lt;&gt;"",G1256&lt;&gt;0,G1256&lt;&gt;1),AND(H1256&lt;&gt;"",H1256&lt;&gt;0,H1256&lt;&gt;1)),"Flags devem ser 0 ou 1",IF(AND(H1256=1,LEN(TRIM(I1256))=0),"Preencher nome do indicante",IF(AND(H1256&lt;&gt;1,I1256&lt;&gt;""),"Nome sem indicação interna",IF(AND(G1256=1,F1256=""),"Fechamento sem conversa",IF(OR(AND(E1256&lt;&gt;"",E1256&lt;B1256),AND(F1256&lt;&gt;"",F1256&lt;B1256)),"Evento anterior à entrada",IF(AND(F1256&lt;&gt;"",E1256=""),"Conversa sem agendamento",IF(OR(E1256&gt;TODAY(),F1256&gt;TODAY()),"Verificar evento futuro","OK"))))))))))</f>
        <v/>
      </c>
    </row>
    <row r="1257" spans="12:15">
      <c r="L1257" s="5">
        <f>IF(OR(A1257="",B1257=""),"",B1257-WEEKDAY(B1257,2)+1)</f>
        <v/>
      </c>
      <c r="M1257" s="5">
        <f>IF(L1257="","",L1257+6)</f>
        <v/>
      </c>
      <c r="N1257" s="6">
        <f>IF(OR(A1257="",B1257=""),"",DATE(YEAR(B1257),MONTH(B1257),1))</f>
        <v/>
      </c>
      <c r="O1257" s="7">
        <f>IF(COUNTA(A1257:K1257)=0,"",IF(OR(A1257="",B1257=""),"Preencher CPF e entrada",IF(COUNTIFS($A$12:$A$5011,A1257,$B$12:$B$5011,B1257)&gt;1,"CPF + dia duplicado",IF(OR(AND(G1257&lt;&gt;"",G1257&lt;&gt;0,G1257&lt;&gt;1),AND(H1257&lt;&gt;"",H1257&lt;&gt;0,H1257&lt;&gt;1)),"Flags devem ser 0 ou 1",IF(AND(H1257=1,LEN(TRIM(I1257))=0),"Preencher nome do indicante",IF(AND(H1257&lt;&gt;1,I1257&lt;&gt;""),"Nome sem indicação interna",IF(AND(G1257=1,F1257=""),"Fechamento sem conversa",IF(OR(AND(E1257&lt;&gt;"",E1257&lt;B1257),AND(F1257&lt;&gt;"",F1257&lt;B1257)),"Evento anterior à entrada",IF(AND(F1257&lt;&gt;"",E1257=""),"Conversa sem agendamento",IF(OR(E1257&gt;TODAY(),F1257&gt;TODAY()),"Verificar evento futuro","OK"))))))))))</f>
        <v/>
      </c>
    </row>
    <row r="1258" spans="12:15">
      <c r="L1258" s="5">
        <f>IF(OR(A1258="",B1258=""),"",B1258-WEEKDAY(B1258,2)+1)</f>
        <v/>
      </c>
      <c r="M1258" s="5">
        <f>IF(L1258="","",L1258+6)</f>
        <v/>
      </c>
      <c r="N1258" s="6">
        <f>IF(OR(A1258="",B1258=""),"",DATE(YEAR(B1258),MONTH(B1258),1))</f>
        <v/>
      </c>
      <c r="O1258" s="7">
        <f>IF(COUNTA(A1258:K1258)=0,"",IF(OR(A1258="",B1258=""),"Preencher CPF e entrada",IF(COUNTIFS($A$12:$A$5011,A1258,$B$12:$B$5011,B1258)&gt;1,"CPF + dia duplicado",IF(OR(AND(G1258&lt;&gt;"",G1258&lt;&gt;0,G1258&lt;&gt;1),AND(H1258&lt;&gt;"",H1258&lt;&gt;0,H1258&lt;&gt;1)),"Flags devem ser 0 ou 1",IF(AND(H1258=1,LEN(TRIM(I1258))=0),"Preencher nome do indicante",IF(AND(H1258&lt;&gt;1,I1258&lt;&gt;""),"Nome sem indicação interna",IF(AND(G1258=1,F1258=""),"Fechamento sem conversa",IF(OR(AND(E1258&lt;&gt;"",E1258&lt;B1258),AND(F1258&lt;&gt;"",F1258&lt;B1258)),"Evento anterior à entrada",IF(AND(F1258&lt;&gt;"",E1258=""),"Conversa sem agendamento",IF(OR(E1258&gt;TODAY(),F1258&gt;TODAY()),"Verificar evento futuro","OK"))))))))))</f>
        <v/>
      </c>
    </row>
    <row r="1259" spans="12:15">
      <c r="L1259" s="5">
        <f>IF(OR(A1259="",B1259=""),"",B1259-WEEKDAY(B1259,2)+1)</f>
        <v/>
      </c>
      <c r="M1259" s="5">
        <f>IF(L1259="","",L1259+6)</f>
        <v/>
      </c>
      <c r="N1259" s="6">
        <f>IF(OR(A1259="",B1259=""),"",DATE(YEAR(B1259),MONTH(B1259),1))</f>
        <v/>
      </c>
      <c r="O1259" s="7">
        <f>IF(COUNTA(A1259:K1259)=0,"",IF(OR(A1259="",B1259=""),"Preencher CPF e entrada",IF(COUNTIFS($A$12:$A$5011,A1259,$B$12:$B$5011,B1259)&gt;1,"CPF + dia duplicado",IF(OR(AND(G1259&lt;&gt;"",G1259&lt;&gt;0,G1259&lt;&gt;1),AND(H1259&lt;&gt;"",H1259&lt;&gt;0,H1259&lt;&gt;1)),"Flags devem ser 0 ou 1",IF(AND(H1259=1,LEN(TRIM(I1259))=0),"Preencher nome do indicante",IF(AND(H1259&lt;&gt;1,I1259&lt;&gt;""),"Nome sem indicação interna",IF(AND(G1259=1,F1259=""),"Fechamento sem conversa",IF(OR(AND(E1259&lt;&gt;"",E1259&lt;B1259),AND(F1259&lt;&gt;"",F1259&lt;B1259)),"Evento anterior à entrada",IF(AND(F1259&lt;&gt;"",E1259=""),"Conversa sem agendamento",IF(OR(E1259&gt;TODAY(),F1259&gt;TODAY()),"Verificar evento futuro","OK"))))))))))</f>
        <v/>
      </c>
    </row>
    <row r="1260" spans="12:15">
      <c r="L1260" s="5">
        <f>IF(OR(A1260="",B1260=""),"",B1260-WEEKDAY(B1260,2)+1)</f>
        <v/>
      </c>
      <c r="M1260" s="5">
        <f>IF(L1260="","",L1260+6)</f>
        <v/>
      </c>
      <c r="N1260" s="6">
        <f>IF(OR(A1260="",B1260=""),"",DATE(YEAR(B1260),MONTH(B1260),1))</f>
        <v/>
      </c>
      <c r="O1260" s="7">
        <f>IF(COUNTA(A1260:K1260)=0,"",IF(OR(A1260="",B1260=""),"Preencher CPF e entrada",IF(COUNTIFS($A$12:$A$5011,A1260,$B$12:$B$5011,B1260)&gt;1,"CPF + dia duplicado",IF(OR(AND(G1260&lt;&gt;"",G1260&lt;&gt;0,G1260&lt;&gt;1),AND(H1260&lt;&gt;"",H1260&lt;&gt;0,H1260&lt;&gt;1)),"Flags devem ser 0 ou 1",IF(AND(H1260=1,LEN(TRIM(I1260))=0),"Preencher nome do indicante",IF(AND(H1260&lt;&gt;1,I1260&lt;&gt;""),"Nome sem indicação interna",IF(AND(G1260=1,F1260=""),"Fechamento sem conversa",IF(OR(AND(E1260&lt;&gt;"",E1260&lt;B1260),AND(F1260&lt;&gt;"",F1260&lt;B1260)),"Evento anterior à entrada",IF(AND(F1260&lt;&gt;"",E1260=""),"Conversa sem agendamento",IF(OR(E1260&gt;TODAY(),F1260&gt;TODAY()),"Verificar evento futuro","OK"))))))))))</f>
        <v/>
      </c>
    </row>
    <row r="1261" spans="12:15">
      <c r="L1261" s="5">
        <f>IF(OR(A1261="",B1261=""),"",B1261-WEEKDAY(B1261,2)+1)</f>
        <v/>
      </c>
      <c r="M1261" s="5">
        <f>IF(L1261="","",L1261+6)</f>
        <v/>
      </c>
      <c r="N1261" s="6">
        <f>IF(OR(A1261="",B1261=""),"",DATE(YEAR(B1261),MONTH(B1261),1))</f>
        <v/>
      </c>
      <c r="O1261" s="7">
        <f>IF(COUNTA(A1261:K1261)=0,"",IF(OR(A1261="",B1261=""),"Preencher CPF e entrada",IF(COUNTIFS($A$12:$A$5011,A1261,$B$12:$B$5011,B1261)&gt;1,"CPF + dia duplicado",IF(OR(AND(G1261&lt;&gt;"",G1261&lt;&gt;0,G1261&lt;&gt;1),AND(H1261&lt;&gt;"",H1261&lt;&gt;0,H1261&lt;&gt;1)),"Flags devem ser 0 ou 1",IF(AND(H1261=1,LEN(TRIM(I1261))=0),"Preencher nome do indicante",IF(AND(H1261&lt;&gt;1,I1261&lt;&gt;""),"Nome sem indicação interna",IF(AND(G1261=1,F1261=""),"Fechamento sem conversa",IF(OR(AND(E1261&lt;&gt;"",E1261&lt;B1261),AND(F1261&lt;&gt;"",F1261&lt;B1261)),"Evento anterior à entrada",IF(AND(F1261&lt;&gt;"",E1261=""),"Conversa sem agendamento",IF(OR(E1261&gt;TODAY(),F1261&gt;TODAY()),"Verificar evento futuro","OK"))))))))))</f>
        <v/>
      </c>
    </row>
    <row r="1262" spans="12:15">
      <c r="L1262" s="5">
        <f>IF(OR(A1262="",B1262=""),"",B1262-WEEKDAY(B1262,2)+1)</f>
        <v/>
      </c>
      <c r="M1262" s="5">
        <f>IF(L1262="","",L1262+6)</f>
        <v/>
      </c>
      <c r="N1262" s="6">
        <f>IF(OR(A1262="",B1262=""),"",DATE(YEAR(B1262),MONTH(B1262),1))</f>
        <v/>
      </c>
      <c r="O1262" s="7">
        <f>IF(COUNTA(A1262:K1262)=0,"",IF(OR(A1262="",B1262=""),"Preencher CPF e entrada",IF(COUNTIFS($A$12:$A$5011,A1262,$B$12:$B$5011,B1262)&gt;1,"CPF + dia duplicado",IF(OR(AND(G1262&lt;&gt;"",G1262&lt;&gt;0,G1262&lt;&gt;1),AND(H1262&lt;&gt;"",H1262&lt;&gt;0,H1262&lt;&gt;1)),"Flags devem ser 0 ou 1",IF(AND(H1262=1,LEN(TRIM(I1262))=0),"Preencher nome do indicante",IF(AND(H1262&lt;&gt;1,I1262&lt;&gt;""),"Nome sem indicação interna",IF(AND(G1262=1,F1262=""),"Fechamento sem conversa",IF(OR(AND(E1262&lt;&gt;"",E1262&lt;B1262),AND(F1262&lt;&gt;"",F1262&lt;B1262)),"Evento anterior à entrada",IF(AND(F1262&lt;&gt;"",E1262=""),"Conversa sem agendamento",IF(OR(E1262&gt;TODAY(),F1262&gt;TODAY()),"Verificar evento futuro","OK"))))))))))</f>
        <v/>
      </c>
    </row>
    <row r="1263" spans="12:15">
      <c r="L1263" s="5">
        <f>IF(OR(A1263="",B1263=""),"",B1263-WEEKDAY(B1263,2)+1)</f>
        <v/>
      </c>
      <c r="M1263" s="5">
        <f>IF(L1263="","",L1263+6)</f>
        <v/>
      </c>
      <c r="N1263" s="6">
        <f>IF(OR(A1263="",B1263=""),"",DATE(YEAR(B1263),MONTH(B1263),1))</f>
        <v/>
      </c>
      <c r="O1263" s="7">
        <f>IF(COUNTA(A1263:K1263)=0,"",IF(OR(A1263="",B1263=""),"Preencher CPF e entrada",IF(COUNTIFS($A$12:$A$5011,A1263,$B$12:$B$5011,B1263)&gt;1,"CPF + dia duplicado",IF(OR(AND(G1263&lt;&gt;"",G1263&lt;&gt;0,G1263&lt;&gt;1),AND(H1263&lt;&gt;"",H1263&lt;&gt;0,H1263&lt;&gt;1)),"Flags devem ser 0 ou 1",IF(AND(H1263=1,LEN(TRIM(I1263))=0),"Preencher nome do indicante",IF(AND(H1263&lt;&gt;1,I1263&lt;&gt;""),"Nome sem indicação interna",IF(AND(G1263=1,F1263=""),"Fechamento sem conversa",IF(OR(AND(E1263&lt;&gt;"",E1263&lt;B1263),AND(F1263&lt;&gt;"",F1263&lt;B1263)),"Evento anterior à entrada",IF(AND(F1263&lt;&gt;"",E1263=""),"Conversa sem agendamento",IF(OR(E1263&gt;TODAY(),F1263&gt;TODAY()),"Verificar evento futuro","OK"))))))))))</f>
        <v/>
      </c>
    </row>
    <row r="1264" spans="12:15">
      <c r="L1264" s="5">
        <f>IF(OR(A1264="",B1264=""),"",B1264-WEEKDAY(B1264,2)+1)</f>
        <v/>
      </c>
      <c r="M1264" s="5">
        <f>IF(L1264="","",L1264+6)</f>
        <v/>
      </c>
      <c r="N1264" s="6">
        <f>IF(OR(A1264="",B1264=""),"",DATE(YEAR(B1264),MONTH(B1264),1))</f>
        <v/>
      </c>
      <c r="O1264" s="7">
        <f>IF(COUNTA(A1264:K1264)=0,"",IF(OR(A1264="",B1264=""),"Preencher CPF e entrada",IF(COUNTIFS($A$12:$A$5011,A1264,$B$12:$B$5011,B1264)&gt;1,"CPF + dia duplicado",IF(OR(AND(G1264&lt;&gt;"",G1264&lt;&gt;0,G1264&lt;&gt;1),AND(H1264&lt;&gt;"",H1264&lt;&gt;0,H1264&lt;&gt;1)),"Flags devem ser 0 ou 1",IF(AND(H1264=1,LEN(TRIM(I1264))=0),"Preencher nome do indicante",IF(AND(H1264&lt;&gt;1,I1264&lt;&gt;""),"Nome sem indicação interna",IF(AND(G1264=1,F1264=""),"Fechamento sem conversa",IF(OR(AND(E1264&lt;&gt;"",E1264&lt;B1264),AND(F1264&lt;&gt;"",F1264&lt;B1264)),"Evento anterior à entrada",IF(AND(F1264&lt;&gt;"",E1264=""),"Conversa sem agendamento",IF(OR(E1264&gt;TODAY(),F1264&gt;TODAY()),"Verificar evento futuro","OK"))))))))))</f>
        <v/>
      </c>
    </row>
    <row r="1265" spans="12:15">
      <c r="L1265" s="5">
        <f>IF(OR(A1265="",B1265=""),"",B1265-WEEKDAY(B1265,2)+1)</f>
        <v/>
      </c>
      <c r="M1265" s="5">
        <f>IF(L1265="","",L1265+6)</f>
        <v/>
      </c>
      <c r="N1265" s="6">
        <f>IF(OR(A1265="",B1265=""),"",DATE(YEAR(B1265),MONTH(B1265),1))</f>
        <v/>
      </c>
      <c r="O1265" s="7">
        <f>IF(COUNTA(A1265:K1265)=0,"",IF(OR(A1265="",B1265=""),"Preencher CPF e entrada",IF(COUNTIFS($A$12:$A$5011,A1265,$B$12:$B$5011,B1265)&gt;1,"CPF + dia duplicado",IF(OR(AND(G1265&lt;&gt;"",G1265&lt;&gt;0,G1265&lt;&gt;1),AND(H1265&lt;&gt;"",H1265&lt;&gt;0,H1265&lt;&gt;1)),"Flags devem ser 0 ou 1",IF(AND(H1265=1,LEN(TRIM(I1265))=0),"Preencher nome do indicante",IF(AND(H1265&lt;&gt;1,I1265&lt;&gt;""),"Nome sem indicação interna",IF(AND(G1265=1,F1265=""),"Fechamento sem conversa",IF(OR(AND(E1265&lt;&gt;"",E1265&lt;B1265),AND(F1265&lt;&gt;"",F1265&lt;B1265)),"Evento anterior à entrada",IF(AND(F1265&lt;&gt;"",E1265=""),"Conversa sem agendamento",IF(OR(E1265&gt;TODAY(),F1265&gt;TODAY()),"Verificar evento futuro","OK"))))))))))</f>
        <v/>
      </c>
    </row>
    <row r="1266" spans="12:15">
      <c r="L1266" s="5">
        <f>IF(OR(A1266="",B1266=""),"",B1266-WEEKDAY(B1266,2)+1)</f>
        <v/>
      </c>
      <c r="M1266" s="5">
        <f>IF(L1266="","",L1266+6)</f>
        <v/>
      </c>
      <c r="N1266" s="6">
        <f>IF(OR(A1266="",B1266=""),"",DATE(YEAR(B1266),MONTH(B1266),1))</f>
        <v/>
      </c>
      <c r="O1266" s="7">
        <f>IF(COUNTA(A1266:K1266)=0,"",IF(OR(A1266="",B1266=""),"Preencher CPF e entrada",IF(COUNTIFS($A$12:$A$5011,A1266,$B$12:$B$5011,B1266)&gt;1,"CPF + dia duplicado",IF(OR(AND(G1266&lt;&gt;"",G1266&lt;&gt;0,G1266&lt;&gt;1),AND(H1266&lt;&gt;"",H1266&lt;&gt;0,H1266&lt;&gt;1)),"Flags devem ser 0 ou 1",IF(AND(H1266=1,LEN(TRIM(I1266))=0),"Preencher nome do indicante",IF(AND(H1266&lt;&gt;1,I1266&lt;&gt;""),"Nome sem indicação interna",IF(AND(G1266=1,F1266=""),"Fechamento sem conversa",IF(OR(AND(E1266&lt;&gt;"",E1266&lt;B1266),AND(F1266&lt;&gt;"",F1266&lt;B1266)),"Evento anterior à entrada",IF(AND(F1266&lt;&gt;"",E1266=""),"Conversa sem agendamento",IF(OR(E1266&gt;TODAY(),F1266&gt;TODAY()),"Verificar evento futuro","OK"))))))))))</f>
        <v/>
      </c>
    </row>
    <row r="1267" spans="12:15">
      <c r="L1267" s="5">
        <f>IF(OR(A1267="",B1267=""),"",B1267-WEEKDAY(B1267,2)+1)</f>
        <v/>
      </c>
      <c r="M1267" s="5">
        <f>IF(L1267="","",L1267+6)</f>
        <v/>
      </c>
      <c r="N1267" s="6">
        <f>IF(OR(A1267="",B1267=""),"",DATE(YEAR(B1267),MONTH(B1267),1))</f>
        <v/>
      </c>
      <c r="O1267" s="7">
        <f>IF(COUNTA(A1267:K1267)=0,"",IF(OR(A1267="",B1267=""),"Preencher CPF e entrada",IF(COUNTIFS($A$12:$A$5011,A1267,$B$12:$B$5011,B1267)&gt;1,"CPF + dia duplicado",IF(OR(AND(G1267&lt;&gt;"",G1267&lt;&gt;0,G1267&lt;&gt;1),AND(H1267&lt;&gt;"",H1267&lt;&gt;0,H1267&lt;&gt;1)),"Flags devem ser 0 ou 1",IF(AND(H1267=1,LEN(TRIM(I1267))=0),"Preencher nome do indicante",IF(AND(H1267&lt;&gt;1,I1267&lt;&gt;""),"Nome sem indicação interna",IF(AND(G1267=1,F1267=""),"Fechamento sem conversa",IF(OR(AND(E1267&lt;&gt;"",E1267&lt;B1267),AND(F1267&lt;&gt;"",F1267&lt;B1267)),"Evento anterior à entrada",IF(AND(F1267&lt;&gt;"",E1267=""),"Conversa sem agendamento",IF(OR(E1267&gt;TODAY(),F1267&gt;TODAY()),"Verificar evento futuro","OK"))))))))))</f>
        <v/>
      </c>
    </row>
    <row r="1268" spans="12:15">
      <c r="L1268" s="5">
        <f>IF(OR(A1268="",B1268=""),"",B1268-WEEKDAY(B1268,2)+1)</f>
        <v/>
      </c>
      <c r="M1268" s="5">
        <f>IF(L1268="","",L1268+6)</f>
        <v/>
      </c>
      <c r="N1268" s="6">
        <f>IF(OR(A1268="",B1268=""),"",DATE(YEAR(B1268),MONTH(B1268),1))</f>
        <v/>
      </c>
      <c r="O1268" s="7">
        <f>IF(COUNTA(A1268:K1268)=0,"",IF(OR(A1268="",B1268=""),"Preencher CPF e entrada",IF(COUNTIFS($A$12:$A$5011,A1268,$B$12:$B$5011,B1268)&gt;1,"CPF + dia duplicado",IF(OR(AND(G1268&lt;&gt;"",G1268&lt;&gt;0,G1268&lt;&gt;1),AND(H1268&lt;&gt;"",H1268&lt;&gt;0,H1268&lt;&gt;1)),"Flags devem ser 0 ou 1",IF(AND(H1268=1,LEN(TRIM(I1268))=0),"Preencher nome do indicante",IF(AND(H1268&lt;&gt;1,I1268&lt;&gt;""),"Nome sem indicação interna",IF(AND(G1268=1,F1268=""),"Fechamento sem conversa",IF(OR(AND(E1268&lt;&gt;"",E1268&lt;B1268),AND(F1268&lt;&gt;"",F1268&lt;B1268)),"Evento anterior à entrada",IF(AND(F1268&lt;&gt;"",E1268=""),"Conversa sem agendamento",IF(OR(E1268&gt;TODAY(),F1268&gt;TODAY()),"Verificar evento futuro","OK"))))))))))</f>
        <v/>
      </c>
    </row>
    <row r="1269" spans="12:15">
      <c r="L1269" s="5">
        <f>IF(OR(A1269="",B1269=""),"",B1269-WEEKDAY(B1269,2)+1)</f>
        <v/>
      </c>
      <c r="M1269" s="5">
        <f>IF(L1269="","",L1269+6)</f>
        <v/>
      </c>
      <c r="N1269" s="6">
        <f>IF(OR(A1269="",B1269=""),"",DATE(YEAR(B1269),MONTH(B1269),1))</f>
        <v/>
      </c>
      <c r="O1269" s="7">
        <f>IF(COUNTA(A1269:K1269)=0,"",IF(OR(A1269="",B1269=""),"Preencher CPF e entrada",IF(COUNTIFS($A$12:$A$5011,A1269,$B$12:$B$5011,B1269)&gt;1,"CPF + dia duplicado",IF(OR(AND(G1269&lt;&gt;"",G1269&lt;&gt;0,G1269&lt;&gt;1),AND(H1269&lt;&gt;"",H1269&lt;&gt;0,H1269&lt;&gt;1)),"Flags devem ser 0 ou 1",IF(AND(H1269=1,LEN(TRIM(I1269))=0),"Preencher nome do indicante",IF(AND(H1269&lt;&gt;1,I1269&lt;&gt;""),"Nome sem indicação interna",IF(AND(G1269=1,F1269=""),"Fechamento sem conversa",IF(OR(AND(E1269&lt;&gt;"",E1269&lt;B1269),AND(F1269&lt;&gt;"",F1269&lt;B1269)),"Evento anterior à entrada",IF(AND(F1269&lt;&gt;"",E1269=""),"Conversa sem agendamento",IF(OR(E1269&gt;TODAY(),F1269&gt;TODAY()),"Verificar evento futuro","OK"))))))))))</f>
        <v/>
      </c>
    </row>
    <row r="1270" spans="12:15">
      <c r="L1270" s="5">
        <f>IF(OR(A1270="",B1270=""),"",B1270-WEEKDAY(B1270,2)+1)</f>
        <v/>
      </c>
      <c r="M1270" s="5">
        <f>IF(L1270="","",L1270+6)</f>
        <v/>
      </c>
      <c r="N1270" s="6">
        <f>IF(OR(A1270="",B1270=""),"",DATE(YEAR(B1270),MONTH(B1270),1))</f>
        <v/>
      </c>
      <c r="O1270" s="7">
        <f>IF(COUNTA(A1270:K1270)=0,"",IF(OR(A1270="",B1270=""),"Preencher CPF e entrada",IF(COUNTIFS($A$12:$A$5011,A1270,$B$12:$B$5011,B1270)&gt;1,"CPF + dia duplicado",IF(OR(AND(G1270&lt;&gt;"",G1270&lt;&gt;0,G1270&lt;&gt;1),AND(H1270&lt;&gt;"",H1270&lt;&gt;0,H1270&lt;&gt;1)),"Flags devem ser 0 ou 1",IF(AND(H1270=1,LEN(TRIM(I1270))=0),"Preencher nome do indicante",IF(AND(H1270&lt;&gt;1,I1270&lt;&gt;""),"Nome sem indicação interna",IF(AND(G1270=1,F1270=""),"Fechamento sem conversa",IF(OR(AND(E1270&lt;&gt;"",E1270&lt;B1270),AND(F1270&lt;&gt;"",F1270&lt;B1270)),"Evento anterior à entrada",IF(AND(F1270&lt;&gt;"",E1270=""),"Conversa sem agendamento",IF(OR(E1270&gt;TODAY(),F1270&gt;TODAY()),"Verificar evento futuro","OK"))))))))))</f>
        <v/>
      </c>
    </row>
    <row r="1271" spans="12:15">
      <c r="L1271" s="5">
        <f>IF(OR(A1271="",B1271=""),"",B1271-WEEKDAY(B1271,2)+1)</f>
        <v/>
      </c>
      <c r="M1271" s="5">
        <f>IF(L1271="","",L1271+6)</f>
        <v/>
      </c>
      <c r="N1271" s="6">
        <f>IF(OR(A1271="",B1271=""),"",DATE(YEAR(B1271),MONTH(B1271),1))</f>
        <v/>
      </c>
      <c r="O1271" s="7">
        <f>IF(COUNTA(A1271:K1271)=0,"",IF(OR(A1271="",B1271=""),"Preencher CPF e entrada",IF(COUNTIFS($A$12:$A$5011,A1271,$B$12:$B$5011,B1271)&gt;1,"CPF + dia duplicado",IF(OR(AND(G1271&lt;&gt;"",G1271&lt;&gt;0,G1271&lt;&gt;1),AND(H1271&lt;&gt;"",H1271&lt;&gt;0,H1271&lt;&gt;1)),"Flags devem ser 0 ou 1",IF(AND(H1271=1,LEN(TRIM(I1271))=0),"Preencher nome do indicante",IF(AND(H1271&lt;&gt;1,I1271&lt;&gt;""),"Nome sem indicação interna",IF(AND(G1271=1,F1271=""),"Fechamento sem conversa",IF(OR(AND(E1271&lt;&gt;"",E1271&lt;B1271),AND(F1271&lt;&gt;"",F1271&lt;B1271)),"Evento anterior à entrada",IF(AND(F1271&lt;&gt;"",E1271=""),"Conversa sem agendamento",IF(OR(E1271&gt;TODAY(),F1271&gt;TODAY()),"Verificar evento futuro","OK"))))))))))</f>
        <v/>
      </c>
    </row>
    <row r="1272" spans="12:15">
      <c r="L1272" s="5">
        <f>IF(OR(A1272="",B1272=""),"",B1272-WEEKDAY(B1272,2)+1)</f>
        <v/>
      </c>
      <c r="M1272" s="5">
        <f>IF(L1272="","",L1272+6)</f>
        <v/>
      </c>
      <c r="N1272" s="6">
        <f>IF(OR(A1272="",B1272=""),"",DATE(YEAR(B1272),MONTH(B1272),1))</f>
        <v/>
      </c>
      <c r="O1272" s="7">
        <f>IF(COUNTA(A1272:K1272)=0,"",IF(OR(A1272="",B1272=""),"Preencher CPF e entrada",IF(COUNTIFS($A$12:$A$5011,A1272,$B$12:$B$5011,B1272)&gt;1,"CPF + dia duplicado",IF(OR(AND(G1272&lt;&gt;"",G1272&lt;&gt;0,G1272&lt;&gt;1),AND(H1272&lt;&gt;"",H1272&lt;&gt;0,H1272&lt;&gt;1)),"Flags devem ser 0 ou 1",IF(AND(H1272=1,LEN(TRIM(I1272))=0),"Preencher nome do indicante",IF(AND(H1272&lt;&gt;1,I1272&lt;&gt;""),"Nome sem indicação interna",IF(AND(G1272=1,F1272=""),"Fechamento sem conversa",IF(OR(AND(E1272&lt;&gt;"",E1272&lt;B1272),AND(F1272&lt;&gt;"",F1272&lt;B1272)),"Evento anterior à entrada",IF(AND(F1272&lt;&gt;"",E1272=""),"Conversa sem agendamento",IF(OR(E1272&gt;TODAY(),F1272&gt;TODAY()),"Verificar evento futuro","OK"))))))))))</f>
        <v/>
      </c>
    </row>
    <row r="1273" spans="12:15">
      <c r="L1273" s="5">
        <f>IF(OR(A1273="",B1273=""),"",B1273-WEEKDAY(B1273,2)+1)</f>
        <v/>
      </c>
      <c r="M1273" s="5">
        <f>IF(L1273="","",L1273+6)</f>
        <v/>
      </c>
      <c r="N1273" s="6">
        <f>IF(OR(A1273="",B1273=""),"",DATE(YEAR(B1273),MONTH(B1273),1))</f>
        <v/>
      </c>
      <c r="O1273" s="7">
        <f>IF(COUNTA(A1273:K1273)=0,"",IF(OR(A1273="",B1273=""),"Preencher CPF e entrada",IF(COUNTIFS($A$12:$A$5011,A1273,$B$12:$B$5011,B1273)&gt;1,"CPF + dia duplicado",IF(OR(AND(G1273&lt;&gt;"",G1273&lt;&gt;0,G1273&lt;&gt;1),AND(H1273&lt;&gt;"",H1273&lt;&gt;0,H1273&lt;&gt;1)),"Flags devem ser 0 ou 1",IF(AND(H1273=1,LEN(TRIM(I1273))=0),"Preencher nome do indicante",IF(AND(H1273&lt;&gt;1,I1273&lt;&gt;""),"Nome sem indicação interna",IF(AND(G1273=1,F1273=""),"Fechamento sem conversa",IF(OR(AND(E1273&lt;&gt;"",E1273&lt;B1273),AND(F1273&lt;&gt;"",F1273&lt;B1273)),"Evento anterior à entrada",IF(AND(F1273&lt;&gt;"",E1273=""),"Conversa sem agendamento",IF(OR(E1273&gt;TODAY(),F1273&gt;TODAY()),"Verificar evento futuro","OK"))))))))))</f>
        <v/>
      </c>
    </row>
    <row r="1274" spans="12:15">
      <c r="L1274" s="5">
        <f>IF(OR(A1274="",B1274=""),"",B1274-WEEKDAY(B1274,2)+1)</f>
        <v/>
      </c>
      <c r="M1274" s="5">
        <f>IF(L1274="","",L1274+6)</f>
        <v/>
      </c>
      <c r="N1274" s="6">
        <f>IF(OR(A1274="",B1274=""),"",DATE(YEAR(B1274),MONTH(B1274),1))</f>
        <v/>
      </c>
      <c r="O1274" s="7">
        <f>IF(COUNTA(A1274:K1274)=0,"",IF(OR(A1274="",B1274=""),"Preencher CPF e entrada",IF(COUNTIFS($A$12:$A$5011,A1274,$B$12:$B$5011,B1274)&gt;1,"CPF + dia duplicado",IF(OR(AND(G1274&lt;&gt;"",G1274&lt;&gt;0,G1274&lt;&gt;1),AND(H1274&lt;&gt;"",H1274&lt;&gt;0,H1274&lt;&gt;1)),"Flags devem ser 0 ou 1",IF(AND(H1274=1,LEN(TRIM(I1274))=0),"Preencher nome do indicante",IF(AND(H1274&lt;&gt;1,I1274&lt;&gt;""),"Nome sem indicação interna",IF(AND(G1274=1,F1274=""),"Fechamento sem conversa",IF(OR(AND(E1274&lt;&gt;"",E1274&lt;B1274),AND(F1274&lt;&gt;"",F1274&lt;B1274)),"Evento anterior à entrada",IF(AND(F1274&lt;&gt;"",E1274=""),"Conversa sem agendamento",IF(OR(E1274&gt;TODAY(),F1274&gt;TODAY()),"Verificar evento futuro","OK"))))))))))</f>
        <v/>
      </c>
    </row>
    <row r="1275" spans="12:15">
      <c r="L1275" s="5">
        <f>IF(OR(A1275="",B1275=""),"",B1275-WEEKDAY(B1275,2)+1)</f>
        <v/>
      </c>
      <c r="M1275" s="5">
        <f>IF(L1275="","",L1275+6)</f>
        <v/>
      </c>
      <c r="N1275" s="6">
        <f>IF(OR(A1275="",B1275=""),"",DATE(YEAR(B1275),MONTH(B1275),1))</f>
        <v/>
      </c>
      <c r="O1275" s="7">
        <f>IF(COUNTA(A1275:K1275)=0,"",IF(OR(A1275="",B1275=""),"Preencher CPF e entrada",IF(COUNTIFS($A$12:$A$5011,A1275,$B$12:$B$5011,B1275)&gt;1,"CPF + dia duplicado",IF(OR(AND(G1275&lt;&gt;"",G1275&lt;&gt;0,G1275&lt;&gt;1),AND(H1275&lt;&gt;"",H1275&lt;&gt;0,H1275&lt;&gt;1)),"Flags devem ser 0 ou 1",IF(AND(H1275=1,LEN(TRIM(I1275))=0),"Preencher nome do indicante",IF(AND(H1275&lt;&gt;1,I1275&lt;&gt;""),"Nome sem indicação interna",IF(AND(G1275=1,F1275=""),"Fechamento sem conversa",IF(OR(AND(E1275&lt;&gt;"",E1275&lt;B1275),AND(F1275&lt;&gt;"",F1275&lt;B1275)),"Evento anterior à entrada",IF(AND(F1275&lt;&gt;"",E1275=""),"Conversa sem agendamento",IF(OR(E1275&gt;TODAY(),F1275&gt;TODAY()),"Verificar evento futuro","OK"))))))))))</f>
        <v/>
      </c>
    </row>
    <row r="1276" spans="12:15">
      <c r="L1276" s="5">
        <f>IF(OR(A1276="",B1276=""),"",B1276-WEEKDAY(B1276,2)+1)</f>
        <v/>
      </c>
      <c r="M1276" s="5">
        <f>IF(L1276="","",L1276+6)</f>
        <v/>
      </c>
      <c r="N1276" s="6">
        <f>IF(OR(A1276="",B1276=""),"",DATE(YEAR(B1276),MONTH(B1276),1))</f>
        <v/>
      </c>
      <c r="O1276" s="7">
        <f>IF(COUNTA(A1276:K1276)=0,"",IF(OR(A1276="",B1276=""),"Preencher CPF e entrada",IF(COUNTIFS($A$12:$A$5011,A1276,$B$12:$B$5011,B1276)&gt;1,"CPF + dia duplicado",IF(OR(AND(G1276&lt;&gt;"",G1276&lt;&gt;0,G1276&lt;&gt;1),AND(H1276&lt;&gt;"",H1276&lt;&gt;0,H1276&lt;&gt;1)),"Flags devem ser 0 ou 1",IF(AND(H1276=1,LEN(TRIM(I1276))=0),"Preencher nome do indicante",IF(AND(H1276&lt;&gt;1,I1276&lt;&gt;""),"Nome sem indicação interna",IF(AND(G1276=1,F1276=""),"Fechamento sem conversa",IF(OR(AND(E1276&lt;&gt;"",E1276&lt;B1276),AND(F1276&lt;&gt;"",F1276&lt;B1276)),"Evento anterior à entrada",IF(AND(F1276&lt;&gt;"",E1276=""),"Conversa sem agendamento",IF(OR(E1276&gt;TODAY(),F1276&gt;TODAY()),"Verificar evento futuro","OK"))))))))))</f>
        <v/>
      </c>
    </row>
    <row r="1277" spans="12:15">
      <c r="L1277" s="5">
        <f>IF(OR(A1277="",B1277=""),"",B1277-WEEKDAY(B1277,2)+1)</f>
        <v/>
      </c>
      <c r="M1277" s="5">
        <f>IF(L1277="","",L1277+6)</f>
        <v/>
      </c>
      <c r="N1277" s="6">
        <f>IF(OR(A1277="",B1277=""),"",DATE(YEAR(B1277),MONTH(B1277),1))</f>
        <v/>
      </c>
      <c r="O1277" s="7">
        <f>IF(COUNTA(A1277:K1277)=0,"",IF(OR(A1277="",B1277=""),"Preencher CPF e entrada",IF(COUNTIFS($A$12:$A$5011,A1277,$B$12:$B$5011,B1277)&gt;1,"CPF + dia duplicado",IF(OR(AND(G1277&lt;&gt;"",G1277&lt;&gt;0,G1277&lt;&gt;1),AND(H1277&lt;&gt;"",H1277&lt;&gt;0,H1277&lt;&gt;1)),"Flags devem ser 0 ou 1",IF(AND(H1277=1,LEN(TRIM(I1277))=0),"Preencher nome do indicante",IF(AND(H1277&lt;&gt;1,I1277&lt;&gt;""),"Nome sem indicação interna",IF(AND(G1277=1,F1277=""),"Fechamento sem conversa",IF(OR(AND(E1277&lt;&gt;"",E1277&lt;B1277),AND(F1277&lt;&gt;"",F1277&lt;B1277)),"Evento anterior à entrada",IF(AND(F1277&lt;&gt;"",E1277=""),"Conversa sem agendamento",IF(OR(E1277&gt;TODAY(),F1277&gt;TODAY()),"Verificar evento futuro","OK"))))))))))</f>
        <v/>
      </c>
    </row>
    <row r="1278" spans="12:15">
      <c r="L1278" s="5">
        <f>IF(OR(A1278="",B1278=""),"",B1278-WEEKDAY(B1278,2)+1)</f>
        <v/>
      </c>
      <c r="M1278" s="5">
        <f>IF(L1278="","",L1278+6)</f>
        <v/>
      </c>
      <c r="N1278" s="6">
        <f>IF(OR(A1278="",B1278=""),"",DATE(YEAR(B1278),MONTH(B1278),1))</f>
        <v/>
      </c>
      <c r="O1278" s="7">
        <f>IF(COUNTA(A1278:K1278)=0,"",IF(OR(A1278="",B1278=""),"Preencher CPF e entrada",IF(COUNTIFS($A$12:$A$5011,A1278,$B$12:$B$5011,B1278)&gt;1,"CPF + dia duplicado",IF(OR(AND(G1278&lt;&gt;"",G1278&lt;&gt;0,G1278&lt;&gt;1),AND(H1278&lt;&gt;"",H1278&lt;&gt;0,H1278&lt;&gt;1)),"Flags devem ser 0 ou 1",IF(AND(H1278=1,LEN(TRIM(I1278))=0),"Preencher nome do indicante",IF(AND(H1278&lt;&gt;1,I1278&lt;&gt;""),"Nome sem indicação interna",IF(AND(G1278=1,F1278=""),"Fechamento sem conversa",IF(OR(AND(E1278&lt;&gt;"",E1278&lt;B1278),AND(F1278&lt;&gt;"",F1278&lt;B1278)),"Evento anterior à entrada",IF(AND(F1278&lt;&gt;"",E1278=""),"Conversa sem agendamento",IF(OR(E1278&gt;TODAY(),F1278&gt;TODAY()),"Verificar evento futuro","OK"))))))))))</f>
        <v/>
      </c>
    </row>
    <row r="1279" spans="12:15">
      <c r="L1279" s="5">
        <f>IF(OR(A1279="",B1279=""),"",B1279-WEEKDAY(B1279,2)+1)</f>
        <v/>
      </c>
      <c r="M1279" s="5">
        <f>IF(L1279="","",L1279+6)</f>
        <v/>
      </c>
      <c r="N1279" s="6">
        <f>IF(OR(A1279="",B1279=""),"",DATE(YEAR(B1279),MONTH(B1279),1))</f>
        <v/>
      </c>
      <c r="O1279" s="7">
        <f>IF(COUNTA(A1279:K1279)=0,"",IF(OR(A1279="",B1279=""),"Preencher CPF e entrada",IF(COUNTIFS($A$12:$A$5011,A1279,$B$12:$B$5011,B1279)&gt;1,"CPF + dia duplicado",IF(OR(AND(G1279&lt;&gt;"",G1279&lt;&gt;0,G1279&lt;&gt;1),AND(H1279&lt;&gt;"",H1279&lt;&gt;0,H1279&lt;&gt;1)),"Flags devem ser 0 ou 1",IF(AND(H1279=1,LEN(TRIM(I1279))=0),"Preencher nome do indicante",IF(AND(H1279&lt;&gt;1,I1279&lt;&gt;""),"Nome sem indicação interna",IF(AND(G1279=1,F1279=""),"Fechamento sem conversa",IF(OR(AND(E1279&lt;&gt;"",E1279&lt;B1279),AND(F1279&lt;&gt;"",F1279&lt;B1279)),"Evento anterior à entrada",IF(AND(F1279&lt;&gt;"",E1279=""),"Conversa sem agendamento",IF(OR(E1279&gt;TODAY(),F1279&gt;TODAY()),"Verificar evento futuro","OK"))))))))))</f>
        <v/>
      </c>
    </row>
    <row r="1280" spans="12:15">
      <c r="L1280" s="5">
        <f>IF(OR(A1280="",B1280=""),"",B1280-WEEKDAY(B1280,2)+1)</f>
        <v/>
      </c>
      <c r="M1280" s="5">
        <f>IF(L1280="","",L1280+6)</f>
        <v/>
      </c>
      <c r="N1280" s="6">
        <f>IF(OR(A1280="",B1280=""),"",DATE(YEAR(B1280),MONTH(B1280),1))</f>
        <v/>
      </c>
      <c r="O1280" s="7">
        <f>IF(COUNTA(A1280:K1280)=0,"",IF(OR(A1280="",B1280=""),"Preencher CPF e entrada",IF(COUNTIFS($A$12:$A$5011,A1280,$B$12:$B$5011,B1280)&gt;1,"CPF + dia duplicado",IF(OR(AND(G1280&lt;&gt;"",G1280&lt;&gt;0,G1280&lt;&gt;1),AND(H1280&lt;&gt;"",H1280&lt;&gt;0,H1280&lt;&gt;1)),"Flags devem ser 0 ou 1",IF(AND(H1280=1,LEN(TRIM(I1280))=0),"Preencher nome do indicante",IF(AND(H1280&lt;&gt;1,I1280&lt;&gt;""),"Nome sem indicação interna",IF(AND(G1280=1,F1280=""),"Fechamento sem conversa",IF(OR(AND(E1280&lt;&gt;"",E1280&lt;B1280),AND(F1280&lt;&gt;"",F1280&lt;B1280)),"Evento anterior à entrada",IF(AND(F1280&lt;&gt;"",E1280=""),"Conversa sem agendamento",IF(OR(E1280&gt;TODAY(),F1280&gt;TODAY()),"Verificar evento futuro","OK"))))))))))</f>
        <v/>
      </c>
    </row>
    <row r="1281" spans="12:15">
      <c r="L1281" s="5">
        <f>IF(OR(A1281="",B1281=""),"",B1281-WEEKDAY(B1281,2)+1)</f>
        <v/>
      </c>
      <c r="M1281" s="5">
        <f>IF(L1281="","",L1281+6)</f>
        <v/>
      </c>
      <c r="N1281" s="6">
        <f>IF(OR(A1281="",B1281=""),"",DATE(YEAR(B1281),MONTH(B1281),1))</f>
        <v/>
      </c>
      <c r="O1281" s="7">
        <f>IF(COUNTA(A1281:K1281)=0,"",IF(OR(A1281="",B1281=""),"Preencher CPF e entrada",IF(COUNTIFS($A$12:$A$5011,A1281,$B$12:$B$5011,B1281)&gt;1,"CPF + dia duplicado",IF(OR(AND(G1281&lt;&gt;"",G1281&lt;&gt;0,G1281&lt;&gt;1),AND(H1281&lt;&gt;"",H1281&lt;&gt;0,H1281&lt;&gt;1)),"Flags devem ser 0 ou 1",IF(AND(H1281=1,LEN(TRIM(I1281))=0),"Preencher nome do indicante",IF(AND(H1281&lt;&gt;1,I1281&lt;&gt;""),"Nome sem indicação interna",IF(AND(G1281=1,F1281=""),"Fechamento sem conversa",IF(OR(AND(E1281&lt;&gt;"",E1281&lt;B1281),AND(F1281&lt;&gt;"",F1281&lt;B1281)),"Evento anterior à entrada",IF(AND(F1281&lt;&gt;"",E1281=""),"Conversa sem agendamento",IF(OR(E1281&gt;TODAY(),F1281&gt;TODAY()),"Verificar evento futuro","OK"))))))))))</f>
        <v/>
      </c>
    </row>
    <row r="1282" spans="12:15">
      <c r="L1282" s="5">
        <f>IF(OR(A1282="",B1282=""),"",B1282-WEEKDAY(B1282,2)+1)</f>
        <v/>
      </c>
      <c r="M1282" s="5">
        <f>IF(L1282="","",L1282+6)</f>
        <v/>
      </c>
      <c r="N1282" s="6">
        <f>IF(OR(A1282="",B1282=""),"",DATE(YEAR(B1282),MONTH(B1282),1))</f>
        <v/>
      </c>
      <c r="O1282" s="7">
        <f>IF(COUNTA(A1282:K1282)=0,"",IF(OR(A1282="",B1282=""),"Preencher CPF e entrada",IF(COUNTIFS($A$12:$A$5011,A1282,$B$12:$B$5011,B1282)&gt;1,"CPF + dia duplicado",IF(OR(AND(G1282&lt;&gt;"",G1282&lt;&gt;0,G1282&lt;&gt;1),AND(H1282&lt;&gt;"",H1282&lt;&gt;0,H1282&lt;&gt;1)),"Flags devem ser 0 ou 1",IF(AND(H1282=1,LEN(TRIM(I1282))=0),"Preencher nome do indicante",IF(AND(H1282&lt;&gt;1,I1282&lt;&gt;""),"Nome sem indicação interna",IF(AND(G1282=1,F1282=""),"Fechamento sem conversa",IF(OR(AND(E1282&lt;&gt;"",E1282&lt;B1282),AND(F1282&lt;&gt;"",F1282&lt;B1282)),"Evento anterior à entrada",IF(AND(F1282&lt;&gt;"",E1282=""),"Conversa sem agendamento",IF(OR(E1282&gt;TODAY(),F1282&gt;TODAY()),"Verificar evento futuro","OK"))))))))))</f>
        <v/>
      </c>
    </row>
    <row r="1283" spans="12:15">
      <c r="L1283" s="5">
        <f>IF(OR(A1283="",B1283=""),"",B1283-WEEKDAY(B1283,2)+1)</f>
        <v/>
      </c>
      <c r="M1283" s="5">
        <f>IF(L1283="","",L1283+6)</f>
        <v/>
      </c>
      <c r="N1283" s="6">
        <f>IF(OR(A1283="",B1283=""),"",DATE(YEAR(B1283),MONTH(B1283),1))</f>
        <v/>
      </c>
      <c r="O1283" s="7">
        <f>IF(COUNTA(A1283:K1283)=0,"",IF(OR(A1283="",B1283=""),"Preencher CPF e entrada",IF(COUNTIFS($A$12:$A$5011,A1283,$B$12:$B$5011,B1283)&gt;1,"CPF + dia duplicado",IF(OR(AND(G1283&lt;&gt;"",G1283&lt;&gt;0,G1283&lt;&gt;1),AND(H1283&lt;&gt;"",H1283&lt;&gt;0,H1283&lt;&gt;1)),"Flags devem ser 0 ou 1",IF(AND(H1283=1,LEN(TRIM(I1283))=0),"Preencher nome do indicante",IF(AND(H1283&lt;&gt;1,I1283&lt;&gt;""),"Nome sem indicação interna",IF(AND(G1283=1,F1283=""),"Fechamento sem conversa",IF(OR(AND(E1283&lt;&gt;"",E1283&lt;B1283),AND(F1283&lt;&gt;"",F1283&lt;B1283)),"Evento anterior à entrada",IF(AND(F1283&lt;&gt;"",E1283=""),"Conversa sem agendamento",IF(OR(E1283&gt;TODAY(),F1283&gt;TODAY()),"Verificar evento futuro","OK"))))))))))</f>
        <v/>
      </c>
    </row>
    <row r="1284" spans="12:15">
      <c r="L1284" s="5">
        <f>IF(OR(A1284="",B1284=""),"",B1284-WEEKDAY(B1284,2)+1)</f>
        <v/>
      </c>
      <c r="M1284" s="5">
        <f>IF(L1284="","",L1284+6)</f>
        <v/>
      </c>
      <c r="N1284" s="6">
        <f>IF(OR(A1284="",B1284=""),"",DATE(YEAR(B1284),MONTH(B1284),1))</f>
        <v/>
      </c>
      <c r="O1284" s="7">
        <f>IF(COUNTA(A1284:K1284)=0,"",IF(OR(A1284="",B1284=""),"Preencher CPF e entrada",IF(COUNTIFS($A$12:$A$5011,A1284,$B$12:$B$5011,B1284)&gt;1,"CPF + dia duplicado",IF(OR(AND(G1284&lt;&gt;"",G1284&lt;&gt;0,G1284&lt;&gt;1),AND(H1284&lt;&gt;"",H1284&lt;&gt;0,H1284&lt;&gt;1)),"Flags devem ser 0 ou 1",IF(AND(H1284=1,LEN(TRIM(I1284))=0),"Preencher nome do indicante",IF(AND(H1284&lt;&gt;1,I1284&lt;&gt;""),"Nome sem indicação interna",IF(AND(G1284=1,F1284=""),"Fechamento sem conversa",IF(OR(AND(E1284&lt;&gt;"",E1284&lt;B1284),AND(F1284&lt;&gt;"",F1284&lt;B1284)),"Evento anterior à entrada",IF(AND(F1284&lt;&gt;"",E1284=""),"Conversa sem agendamento",IF(OR(E1284&gt;TODAY(),F1284&gt;TODAY()),"Verificar evento futuro","OK"))))))))))</f>
        <v/>
      </c>
    </row>
    <row r="1285" spans="12:15">
      <c r="L1285" s="5">
        <f>IF(OR(A1285="",B1285=""),"",B1285-WEEKDAY(B1285,2)+1)</f>
        <v/>
      </c>
      <c r="M1285" s="5">
        <f>IF(L1285="","",L1285+6)</f>
        <v/>
      </c>
      <c r="N1285" s="6">
        <f>IF(OR(A1285="",B1285=""),"",DATE(YEAR(B1285),MONTH(B1285),1))</f>
        <v/>
      </c>
      <c r="O1285" s="7">
        <f>IF(COUNTA(A1285:K1285)=0,"",IF(OR(A1285="",B1285=""),"Preencher CPF e entrada",IF(COUNTIFS($A$12:$A$5011,A1285,$B$12:$B$5011,B1285)&gt;1,"CPF + dia duplicado",IF(OR(AND(G1285&lt;&gt;"",G1285&lt;&gt;0,G1285&lt;&gt;1),AND(H1285&lt;&gt;"",H1285&lt;&gt;0,H1285&lt;&gt;1)),"Flags devem ser 0 ou 1",IF(AND(H1285=1,LEN(TRIM(I1285))=0),"Preencher nome do indicante",IF(AND(H1285&lt;&gt;1,I1285&lt;&gt;""),"Nome sem indicação interna",IF(AND(G1285=1,F1285=""),"Fechamento sem conversa",IF(OR(AND(E1285&lt;&gt;"",E1285&lt;B1285),AND(F1285&lt;&gt;"",F1285&lt;B1285)),"Evento anterior à entrada",IF(AND(F1285&lt;&gt;"",E1285=""),"Conversa sem agendamento",IF(OR(E1285&gt;TODAY(),F1285&gt;TODAY()),"Verificar evento futuro","OK"))))))))))</f>
        <v/>
      </c>
    </row>
    <row r="1286" spans="12:15">
      <c r="L1286" s="5">
        <f>IF(OR(A1286="",B1286=""),"",B1286-WEEKDAY(B1286,2)+1)</f>
        <v/>
      </c>
      <c r="M1286" s="5">
        <f>IF(L1286="","",L1286+6)</f>
        <v/>
      </c>
      <c r="N1286" s="6">
        <f>IF(OR(A1286="",B1286=""),"",DATE(YEAR(B1286),MONTH(B1286),1))</f>
        <v/>
      </c>
      <c r="O1286" s="7">
        <f>IF(COUNTA(A1286:K1286)=0,"",IF(OR(A1286="",B1286=""),"Preencher CPF e entrada",IF(COUNTIFS($A$12:$A$5011,A1286,$B$12:$B$5011,B1286)&gt;1,"CPF + dia duplicado",IF(OR(AND(G1286&lt;&gt;"",G1286&lt;&gt;0,G1286&lt;&gt;1),AND(H1286&lt;&gt;"",H1286&lt;&gt;0,H1286&lt;&gt;1)),"Flags devem ser 0 ou 1",IF(AND(H1286=1,LEN(TRIM(I1286))=0),"Preencher nome do indicante",IF(AND(H1286&lt;&gt;1,I1286&lt;&gt;""),"Nome sem indicação interna",IF(AND(G1286=1,F1286=""),"Fechamento sem conversa",IF(OR(AND(E1286&lt;&gt;"",E1286&lt;B1286),AND(F1286&lt;&gt;"",F1286&lt;B1286)),"Evento anterior à entrada",IF(AND(F1286&lt;&gt;"",E1286=""),"Conversa sem agendamento",IF(OR(E1286&gt;TODAY(),F1286&gt;TODAY()),"Verificar evento futuro","OK"))))))))))</f>
        <v/>
      </c>
    </row>
    <row r="1287" spans="12:15">
      <c r="L1287" s="5">
        <f>IF(OR(A1287="",B1287=""),"",B1287-WEEKDAY(B1287,2)+1)</f>
        <v/>
      </c>
      <c r="M1287" s="5">
        <f>IF(L1287="","",L1287+6)</f>
        <v/>
      </c>
      <c r="N1287" s="6">
        <f>IF(OR(A1287="",B1287=""),"",DATE(YEAR(B1287),MONTH(B1287),1))</f>
        <v/>
      </c>
      <c r="O1287" s="7">
        <f>IF(COUNTA(A1287:K1287)=0,"",IF(OR(A1287="",B1287=""),"Preencher CPF e entrada",IF(COUNTIFS($A$12:$A$5011,A1287,$B$12:$B$5011,B1287)&gt;1,"CPF + dia duplicado",IF(OR(AND(G1287&lt;&gt;"",G1287&lt;&gt;0,G1287&lt;&gt;1),AND(H1287&lt;&gt;"",H1287&lt;&gt;0,H1287&lt;&gt;1)),"Flags devem ser 0 ou 1",IF(AND(H1287=1,LEN(TRIM(I1287))=0),"Preencher nome do indicante",IF(AND(H1287&lt;&gt;1,I1287&lt;&gt;""),"Nome sem indicação interna",IF(AND(G1287=1,F1287=""),"Fechamento sem conversa",IF(OR(AND(E1287&lt;&gt;"",E1287&lt;B1287),AND(F1287&lt;&gt;"",F1287&lt;B1287)),"Evento anterior à entrada",IF(AND(F1287&lt;&gt;"",E1287=""),"Conversa sem agendamento",IF(OR(E1287&gt;TODAY(),F1287&gt;TODAY()),"Verificar evento futuro","OK"))))))))))</f>
        <v/>
      </c>
    </row>
    <row r="1288" spans="12:15">
      <c r="L1288" s="5">
        <f>IF(OR(A1288="",B1288=""),"",B1288-WEEKDAY(B1288,2)+1)</f>
        <v/>
      </c>
      <c r="M1288" s="5">
        <f>IF(L1288="","",L1288+6)</f>
        <v/>
      </c>
      <c r="N1288" s="6">
        <f>IF(OR(A1288="",B1288=""),"",DATE(YEAR(B1288),MONTH(B1288),1))</f>
        <v/>
      </c>
      <c r="O1288" s="7">
        <f>IF(COUNTA(A1288:K1288)=0,"",IF(OR(A1288="",B1288=""),"Preencher CPF e entrada",IF(COUNTIFS($A$12:$A$5011,A1288,$B$12:$B$5011,B1288)&gt;1,"CPF + dia duplicado",IF(OR(AND(G1288&lt;&gt;"",G1288&lt;&gt;0,G1288&lt;&gt;1),AND(H1288&lt;&gt;"",H1288&lt;&gt;0,H1288&lt;&gt;1)),"Flags devem ser 0 ou 1",IF(AND(H1288=1,LEN(TRIM(I1288))=0),"Preencher nome do indicante",IF(AND(H1288&lt;&gt;1,I1288&lt;&gt;""),"Nome sem indicação interna",IF(AND(G1288=1,F1288=""),"Fechamento sem conversa",IF(OR(AND(E1288&lt;&gt;"",E1288&lt;B1288),AND(F1288&lt;&gt;"",F1288&lt;B1288)),"Evento anterior à entrada",IF(AND(F1288&lt;&gt;"",E1288=""),"Conversa sem agendamento",IF(OR(E1288&gt;TODAY(),F1288&gt;TODAY()),"Verificar evento futuro","OK"))))))))))</f>
        <v/>
      </c>
    </row>
    <row r="1289" spans="12:15">
      <c r="L1289" s="5">
        <f>IF(OR(A1289="",B1289=""),"",B1289-WEEKDAY(B1289,2)+1)</f>
        <v/>
      </c>
      <c r="M1289" s="5">
        <f>IF(L1289="","",L1289+6)</f>
        <v/>
      </c>
      <c r="N1289" s="6">
        <f>IF(OR(A1289="",B1289=""),"",DATE(YEAR(B1289),MONTH(B1289),1))</f>
        <v/>
      </c>
      <c r="O1289" s="7">
        <f>IF(COUNTA(A1289:K1289)=0,"",IF(OR(A1289="",B1289=""),"Preencher CPF e entrada",IF(COUNTIFS($A$12:$A$5011,A1289,$B$12:$B$5011,B1289)&gt;1,"CPF + dia duplicado",IF(OR(AND(G1289&lt;&gt;"",G1289&lt;&gt;0,G1289&lt;&gt;1),AND(H1289&lt;&gt;"",H1289&lt;&gt;0,H1289&lt;&gt;1)),"Flags devem ser 0 ou 1",IF(AND(H1289=1,LEN(TRIM(I1289))=0),"Preencher nome do indicante",IF(AND(H1289&lt;&gt;1,I1289&lt;&gt;""),"Nome sem indicação interna",IF(AND(G1289=1,F1289=""),"Fechamento sem conversa",IF(OR(AND(E1289&lt;&gt;"",E1289&lt;B1289),AND(F1289&lt;&gt;"",F1289&lt;B1289)),"Evento anterior à entrada",IF(AND(F1289&lt;&gt;"",E1289=""),"Conversa sem agendamento",IF(OR(E1289&gt;TODAY(),F1289&gt;TODAY()),"Verificar evento futuro","OK"))))))))))</f>
        <v/>
      </c>
    </row>
    <row r="1290" spans="12:15">
      <c r="L1290" s="5">
        <f>IF(OR(A1290="",B1290=""),"",B1290-WEEKDAY(B1290,2)+1)</f>
        <v/>
      </c>
      <c r="M1290" s="5">
        <f>IF(L1290="","",L1290+6)</f>
        <v/>
      </c>
      <c r="N1290" s="6">
        <f>IF(OR(A1290="",B1290=""),"",DATE(YEAR(B1290),MONTH(B1290),1))</f>
        <v/>
      </c>
      <c r="O1290" s="7">
        <f>IF(COUNTA(A1290:K1290)=0,"",IF(OR(A1290="",B1290=""),"Preencher CPF e entrada",IF(COUNTIFS($A$12:$A$5011,A1290,$B$12:$B$5011,B1290)&gt;1,"CPF + dia duplicado",IF(OR(AND(G1290&lt;&gt;"",G1290&lt;&gt;0,G1290&lt;&gt;1),AND(H1290&lt;&gt;"",H1290&lt;&gt;0,H1290&lt;&gt;1)),"Flags devem ser 0 ou 1",IF(AND(H1290=1,LEN(TRIM(I1290))=0),"Preencher nome do indicante",IF(AND(H1290&lt;&gt;1,I1290&lt;&gt;""),"Nome sem indicação interna",IF(AND(G1290=1,F1290=""),"Fechamento sem conversa",IF(OR(AND(E1290&lt;&gt;"",E1290&lt;B1290),AND(F1290&lt;&gt;"",F1290&lt;B1290)),"Evento anterior à entrada",IF(AND(F1290&lt;&gt;"",E1290=""),"Conversa sem agendamento",IF(OR(E1290&gt;TODAY(),F1290&gt;TODAY()),"Verificar evento futuro","OK"))))))))))</f>
        <v/>
      </c>
    </row>
    <row r="1291" spans="12:15">
      <c r="L1291" s="5">
        <f>IF(OR(A1291="",B1291=""),"",B1291-WEEKDAY(B1291,2)+1)</f>
        <v/>
      </c>
      <c r="M1291" s="5">
        <f>IF(L1291="","",L1291+6)</f>
        <v/>
      </c>
      <c r="N1291" s="6">
        <f>IF(OR(A1291="",B1291=""),"",DATE(YEAR(B1291),MONTH(B1291),1))</f>
        <v/>
      </c>
      <c r="O1291" s="7">
        <f>IF(COUNTA(A1291:K1291)=0,"",IF(OR(A1291="",B1291=""),"Preencher CPF e entrada",IF(COUNTIFS($A$12:$A$5011,A1291,$B$12:$B$5011,B1291)&gt;1,"CPF + dia duplicado",IF(OR(AND(G1291&lt;&gt;"",G1291&lt;&gt;0,G1291&lt;&gt;1),AND(H1291&lt;&gt;"",H1291&lt;&gt;0,H1291&lt;&gt;1)),"Flags devem ser 0 ou 1",IF(AND(H1291=1,LEN(TRIM(I1291))=0),"Preencher nome do indicante",IF(AND(H1291&lt;&gt;1,I1291&lt;&gt;""),"Nome sem indicação interna",IF(AND(G1291=1,F1291=""),"Fechamento sem conversa",IF(OR(AND(E1291&lt;&gt;"",E1291&lt;B1291),AND(F1291&lt;&gt;"",F1291&lt;B1291)),"Evento anterior à entrada",IF(AND(F1291&lt;&gt;"",E1291=""),"Conversa sem agendamento",IF(OR(E1291&gt;TODAY(),F1291&gt;TODAY()),"Verificar evento futuro","OK"))))))))))</f>
        <v/>
      </c>
    </row>
    <row r="1292" spans="12:15">
      <c r="L1292" s="5">
        <f>IF(OR(A1292="",B1292=""),"",B1292-WEEKDAY(B1292,2)+1)</f>
        <v/>
      </c>
      <c r="M1292" s="5">
        <f>IF(L1292="","",L1292+6)</f>
        <v/>
      </c>
      <c r="N1292" s="6">
        <f>IF(OR(A1292="",B1292=""),"",DATE(YEAR(B1292),MONTH(B1292),1))</f>
        <v/>
      </c>
      <c r="O1292" s="7">
        <f>IF(COUNTA(A1292:K1292)=0,"",IF(OR(A1292="",B1292=""),"Preencher CPF e entrada",IF(COUNTIFS($A$12:$A$5011,A1292,$B$12:$B$5011,B1292)&gt;1,"CPF + dia duplicado",IF(OR(AND(G1292&lt;&gt;"",G1292&lt;&gt;0,G1292&lt;&gt;1),AND(H1292&lt;&gt;"",H1292&lt;&gt;0,H1292&lt;&gt;1)),"Flags devem ser 0 ou 1",IF(AND(H1292=1,LEN(TRIM(I1292))=0),"Preencher nome do indicante",IF(AND(H1292&lt;&gt;1,I1292&lt;&gt;""),"Nome sem indicação interna",IF(AND(G1292=1,F1292=""),"Fechamento sem conversa",IF(OR(AND(E1292&lt;&gt;"",E1292&lt;B1292),AND(F1292&lt;&gt;"",F1292&lt;B1292)),"Evento anterior à entrada",IF(AND(F1292&lt;&gt;"",E1292=""),"Conversa sem agendamento",IF(OR(E1292&gt;TODAY(),F1292&gt;TODAY()),"Verificar evento futuro","OK"))))))))))</f>
        <v/>
      </c>
    </row>
    <row r="1293" spans="12:15">
      <c r="L1293" s="5">
        <f>IF(OR(A1293="",B1293=""),"",B1293-WEEKDAY(B1293,2)+1)</f>
        <v/>
      </c>
      <c r="M1293" s="5">
        <f>IF(L1293="","",L1293+6)</f>
        <v/>
      </c>
      <c r="N1293" s="6">
        <f>IF(OR(A1293="",B1293=""),"",DATE(YEAR(B1293),MONTH(B1293),1))</f>
        <v/>
      </c>
      <c r="O1293" s="7">
        <f>IF(COUNTA(A1293:K1293)=0,"",IF(OR(A1293="",B1293=""),"Preencher CPF e entrada",IF(COUNTIFS($A$12:$A$5011,A1293,$B$12:$B$5011,B1293)&gt;1,"CPF + dia duplicado",IF(OR(AND(G1293&lt;&gt;"",G1293&lt;&gt;0,G1293&lt;&gt;1),AND(H1293&lt;&gt;"",H1293&lt;&gt;0,H1293&lt;&gt;1)),"Flags devem ser 0 ou 1",IF(AND(H1293=1,LEN(TRIM(I1293))=0),"Preencher nome do indicante",IF(AND(H1293&lt;&gt;1,I1293&lt;&gt;""),"Nome sem indicação interna",IF(AND(G1293=1,F1293=""),"Fechamento sem conversa",IF(OR(AND(E1293&lt;&gt;"",E1293&lt;B1293),AND(F1293&lt;&gt;"",F1293&lt;B1293)),"Evento anterior à entrada",IF(AND(F1293&lt;&gt;"",E1293=""),"Conversa sem agendamento",IF(OR(E1293&gt;TODAY(),F1293&gt;TODAY()),"Verificar evento futuro","OK"))))))))))</f>
        <v/>
      </c>
    </row>
    <row r="1294" spans="12:15">
      <c r="L1294" s="5">
        <f>IF(OR(A1294="",B1294=""),"",B1294-WEEKDAY(B1294,2)+1)</f>
        <v/>
      </c>
      <c r="M1294" s="5">
        <f>IF(L1294="","",L1294+6)</f>
        <v/>
      </c>
      <c r="N1294" s="6">
        <f>IF(OR(A1294="",B1294=""),"",DATE(YEAR(B1294),MONTH(B1294),1))</f>
        <v/>
      </c>
      <c r="O1294" s="7">
        <f>IF(COUNTA(A1294:K1294)=0,"",IF(OR(A1294="",B1294=""),"Preencher CPF e entrada",IF(COUNTIFS($A$12:$A$5011,A1294,$B$12:$B$5011,B1294)&gt;1,"CPF + dia duplicado",IF(OR(AND(G1294&lt;&gt;"",G1294&lt;&gt;0,G1294&lt;&gt;1),AND(H1294&lt;&gt;"",H1294&lt;&gt;0,H1294&lt;&gt;1)),"Flags devem ser 0 ou 1",IF(AND(H1294=1,LEN(TRIM(I1294))=0),"Preencher nome do indicante",IF(AND(H1294&lt;&gt;1,I1294&lt;&gt;""),"Nome sem indicação interna",IF(AND(G1294=1,F1294=""),"Fechamento sem conversa",IF(OR(AND(E1294&lt;&gt;"",E1294&lt;B1294),AND(F1294&lt;&gt;"",F1294&lt;B1294)),"Evento anterior à entrada",IF(AND(F1294&lt;&gt;"",E1294=""),"Conversa sem agendamento",IF(OR(E1294&gt;TODAY(),F1294&gt;TODAY()),"Verificar evento futuro","OK"))))))))))</f>
        <v/>
      </c>
    </row>
    <row r="1295" spans="12:15">
      <c r="L1295" s="5">
        <f>IF(OR(A1295="",B1295=""),"",B1295-WEEKDAY(B1295,2)+1)</f>
        <v/>
      </c>
      <c r="M1295" s="5">
        <f>IF(L1295="","",L1295+6)</f>
        <v/>
      </c>
      <c r="N1295" s="6">
        <f>IF(OR(A1295="",B1295=""),"",DATE(YEAR(B1295),MONTH(B1295),1))</f>
        <v/>
      </c>
      <c r="O1295" s="7">
        <f>IF(COUNTA(A1295:K1295)=0,"",IF(OR(A1295="",B1295=""),"Preencher CPF e entrada",IF(COUNTIFS($A$12:$A$5011,A1295,$B$12:$B$5011,B1295)&gt;1,"CPF + dia duplicado",IF(OR(AND(G1295&lt;&gt;"",G1295&lt;&gt;0,G1295&lt;&gt;1),AND(H1295&lt;&gt;"",H1295&lt;&gt;0,H1295&lt;&gt;1)),"Flags devem ser 0 ou 1",IF(AND(H1295=1,LEN(TRIM(I1295))=0),"Preencher nome do indicante",IF(AND(H1295&lt;&gt;1,I1295&lt;&gt;""),"Nome sem indicação interna",IF(AND(G1295=1,F1295=""),"Fechamento sem conversa",IF(OR(AND(E1295&lt;&gt;"",E1295&lt;B1295),AND(F1295&lt;&gt;"",F1295&lt;B1295)),"Evento anterior à entrada",IF(AND(F1295&lt;&gt;"",E1295=""),"Conversa sem agendamento",IF(OR(E1295&gt;TODAY(),F1295&gt;TODAY()),"Verificar evento futuro","OK"))))))))))</f>
        <v/>
      </c>
    </row>
    <row r="1296" spans="12:15">
      <c r="L1296" s="5">
        <f>IF(OR(A1296="",B1296=""),"",B1296-WEEKDAY(B1296,2)+1)</f>
        <v/>
      </c>
      <c r="M1296" s="5">
        <f>IF(L1296="","",L1296+6)</f>
        <v/>
      </c>
      <c r="N1296" s="6">
        <f>IF(OR(A1296="",B1296=""),"",DATE(YEAR(B1296),MONTH(B1296),1))</f>
        <v/>
      </c>
      <c r="O1296" s="7">
        <f>IF(COUNTA(A1296:K1296)=0,"",IF(OR(A1296="",B1296=""),"Preencher CPF e entrada",IF(COUNTIFS($A$12:$A$5011,A1296,$B$12:$B$5011,B1296)&gt;1,"CPF + dia duplicado",IF(OR(AND(G1296&lt;&gt;"",G1296&lt;&gt;0,G1296&lt;&gt;1),AND(H1296&lt;&gt;"",H1296&lt;&gt;0,H1296&lt;&gt;1)),"Flags devem ser 0 ou 1",IF(AND(H1296=1,LEN(TRIM(I1296))=0),"Preencher nome do indicante",IF(AND(H1296&lt;&gt;1,I1296&lt;&gt;""),"Nome sem indicação interna",IF(AND(G1296=1,F1296=""),"Fechamento sem conversa",IF(OR(AND(E1296&lt;&gt;"",E1296&lt;B1296),AND(F1296&lt;&gt;"",F1296&lt;B1296)),"Evento anterior à entrada",IF(AND(F1296&lt;&gt;"",E1296=""),"Conversa sem agendamento",IF(OR(E1296&gt;TODAY(),F1296&gt;TODAY()),"Verificar evento futuro","OK"))))))))))</f>
        <v/>
      </c>
    </row>
    <row r="1297" spans="12:15">
      <c r="L1297" s="5">
        <f>IF(OR(A1297="",B1297=""),"",B1297-WEEKDAY(B1297,2)+1)</f>
        <v/>
      </c>
      <c r="M1297" s="5">
        <f>IF(L1297="","",L1297+6)</f>
        <v/>
      </c>
      <c r="N1297" s="6">
        <f>IF(OR(A1297="",B1297=""),"",DATE(YEAR(B1297),MONTH(B1297),1))</f>
        <v/>
      </c>
      <c r="O1297" s="7">
        <f>IF(COUNTA(A1297:K1297)=0,"",IF(OR(A1297="",B1297=""),"Preencher CPF e entrada",IF(COUNTIFS($A$12:$A$5011,A1297,$B$12:$B$5011,B1297)&gt;1,"CPF + dia duplicado",IF(OR(AND(G1297&lt;&gt;"",G1297&lt;&gt;0,G1297&lt;&gt;1),AND(H1297&lt;&gt;"",H1297&lt;&gt;0,H1297&lt;&gt;1)),"Flags devem ser 0 ou 1",IF(AND(H1297=1,LEN(TRIM(I1297))=0),"Preencher nome do indicante",IF(AND(H1297&lt;&gt;1,I1297&lt;&gt;""),"Nome sem indicação interna",IF(AND(G1297=1,F1297=""),"Fechamento sem conversa",IF(OR(AND(E1297&lt;&gt;"",E1297&lt;B1297),AND(F1297&lt;&gt;"",F1297&lt;B1297)),"Evento anterior à entrada",IF(AND(F1297&lt;&gt;"",E1297=""),"Conversa sem agendamento",IF(OR(E1297&gt;TODAY(),F1297&gt;TODAY()),"Verificar evento futuro","OK"))))))))))</f>
        <v/>
      </c>
    </row>
    <row r="1298" spans="12:15">
      <c r="L1298" s="5">
        <f>IF(OR(A1298="",B1298=""),"",B1298-WEEKDAY(B1298,2)+1)</f>
        <v/>
      </c>
      <c r="M1298" s="5">
        <f>IF(L1298="","",L1298+6)</f>
        <v/>
      </c>
      <c r="N1298" s="6">
        <f>IF(OR(A1298="",B1298=""),"",DATE(YEAR(B1298),MONTH(B1298),1))</f>
        <v/>
      </c>
      <c r="O1298" s="7">
        <f>IF(COUNTA(A1298:K1298)=0,"",IF(OR(A1298="",B1298=""),"Preencher CPF e entrada",IF(COUNTIFS($A$12:$A$5011,A1298,$B$12:$B$5011,B1298)&gt;1,"CPF + dia duplicado",IF(OR(AND(G1298&lt;&gt;"",G1298&lt;&gt;0,G1298&lt;&gt;1),AND(H1298&lt;&gt;"",H1298&lt;&gt;0,H1298&lt;&gt;1)),"Flags devem ser 0 ou 1",IF(AND(H1298=1,LEN(TRIM(I1298))=0),"Preencher nome do indicante",IF(AND(H1298&lt;&gt;1,I1298&lt;&gt;""),"Nome sem indicação interna",IF(AND(G1298=1,F1298=""),"Fechamento sem conversa",IF(OR(AND(E1298&lt;&gt;"",E1298&lt;B1298),AND(F1298&lt;&gt;"",F1298&lt;B1298)),"Evento anterior à entrada",IF(AND(F1298&lt;&gt;"",E1298=""),"Conversa sem agendamento",IF(OR(E1298&gt;TODAY(),F1298&gt;TODAY()),"Verificar evento futuro","OK"))))))))))</f>
        <v/>
      </c>
    </row>
    <row r="1299" spans="12:15">
      <c r="L1299" s="5">
        <f>IF(OR(A1299="",B1299=""),"",B1299-WEEKDAY(B1299,2)+1)</f>
        <v/>
      </c>
      <c r="M1299" s="5">
        <f>IF(L1299="","",L1299+6)</f>
        <v/>
      </c>
      <c r="N1299" s="6">
        <f>IF(OR(A1299="",B1299=""),"",DATE(YEAR(B1299),MONTH(B1299),1))</f>
        <v/>
      </c>
      <c r="O1299" s="7">
        <f>IF(COUNTA(A1299:K1299)=0,"",IF(OR(A1299="",B1299=""),"Preencher CPF e entrada",IF(COUNTIFS($A$12:$A$5011,A1299,$B$12:$B$5011,B1299)&gt;1,"CPF + dia duplicado",IF(OR(AND(G1299&lt;&gt;"",G1299&lt;&gt;0,G1299&lt;&gt;1),AND(H1299&lt;&gt;"",H1299&lt;&gt;0,H1299&lt;&gt;1)),"Flags devem ser 0 ou 1",IF(AND(H1299=1,LEN(TRIM(I1299))=0),"Preencher nome do indicante",IF(AND(H1299&lt;&gt;1,I1299&lt;&gt;""),"Nome sem indicação interna",IF(AND(G1299=1,F1299=""),"Fechamento sem conversa",IF(OR(AND(E1299&lt;&gt;"",E1299&lt;B1299),AND(F1299&lt;&gt;"",F1299&lt;B1299)),"Evento anterior à entrada",IF(AND(F1299&lt;&gt;"",E1299=""),"Conversa sem agendamento",IF(OR(E1299&gt;TODAY(),F1299&gt;TODAY()),"Verificar evento futuro","OK"))))))))))</f>
        <v/>
      </c>
    </row>
    <row r="1300" spans="12:15">
      <c r="L1300" s="5">
        <f>IF(OR(A1300="",B1300=""),"",B1300-WEEKDAY(B1300,2)+1)</f>
        <v/>
      </c>
      <c r="M1300" s="5">
        <f>IF(L1300="","",L1300+6)</f>
        <v/>
      </c>
      <c r="N1300" s="6">
        <f>IF(OR(A1300="",B1300=""),"",DATE(YEAR(B1300),MONTH(B1300),1))</f>
        <v/>
      </c>
      <c r="O1300" s="7">
        <f>IF(COUNTA(A1300:K1300)=0,"",IF(OR(A1300="",B1300=""),"Preencher CPF e entrada",IF(COUNTIFS($A$12:$A$5011,A1300,$B$12:$B$5011,B1300)&gt;1,"CPF + dia duplicado",IF(OR(AND(G1300&lt;&gt;"",G1300&lt;&gt;0,G1300&lt;&gt;1),AND(H1300&lt;&gt;"",H1300&lt;&gt;0,H1300&lt;&gt;1)),"Flags devem ser 0 ou 1",IF(AND(H1300=1,LEN(TRIM(I1300))=0),"Preencher nome do indicante",IF(AND(H1300&lt;&gt;1,I1300&lt;&gt;""),"Nome sem indicação interna",IF(AND(G1300=1,F1300=""),"Fechamento sem conversa",IF(OR(AND(E1300&lt;&gt;"",E1300&lt;B1300),AND(F1300&lt;&gt;"",F1300&lt;B1300)),"Evento anterior à entrada",IF(AND(F1300&lt;&gt;"",E1300=""),"Conversa sem agendamento",IF(OR(E1300&gt;TODAY(),F1300&gt;TODAY()),"Verificar evento futuro","OK"))))))))))</f>
        <v/>
      </c>
    </row>
    <row r="1301" spans="12:15">
      <c r="L1301" s="5">
        <f>IF(OR(A1301="",B1301=""),"",B1301-WEEKDAY(B1301,2)+1)</f>
        <v/>
      </c>
      <c r="M1301" s="5">
        <f>IF(L1301="","",L1301+6)</f>
        <v/>
      </c>
      <c r="N1301" s="6">
        <f>IF(OR(A1301="",B1301=""),"",DATE(YEAR(B1301),MONTH(B1301),1))</f>
        <v/>
      </c>
      <c r="O1301" s="7">
        <f>IF(COUNTA(A1301:K1301)=0,"",IF(OR(A1301="",B1301=""),"Preencher CPF e entrada",IF(COUNTIFS($A$12:$A$5011,A1301,$B$12:$B$5011,B1301)&gt;1,"CPF + dia duplicado",IF(OR(AND(G1301&lt;&gt;"",G1301&lt;&gt;0,G1301&lt;&gt;1),AND(H1301&lt;&gt;"",H1301&lt;&gt;0,H1301&lt;&gt;1)),"Flags devem ser 0 ou 1",IF(AND(H1301=1,LEN(TRIM(I1301))=0),"Preencher nome do indicante",IF(AND(H1301&lt;&gt;1,I1301&lt;&gt;""),"Nome sem indicação interna",IF(AND(G1301=1,F1301=""),"Fechamento sem conversa",IF(OR(AND(E1301&lt;&gt;"",E1301&lt;B1301),AND(F1301&lt;&gt;"",F1301&lt;B1301)),"Evento anterior à entrada",IF(AND(F1301&lt;&gt;"",E1301=""),"Conversa sem agendamento",IF(OR(E1301&gt;TODAY(),F1301&gt;TODAY()),"Verificar evento futuro","OK"))))))))))</f>
        <v/>
      </c>
    </row>
    <row r="1302" spans="12:15">
      <c r="L1302" s="5">
        <f>IF(OR(A1302="",B1302=""),"",B1302-WEEKDAY(B1302,2)+1)</f>
        <v/>
      </c>
      <c r="M1302" s="5">
        <f>IF(L1302="","",L1302+6)</f>
        <v/>
      </c>
      <c r="N1302" s="6">
        <f>IF(OR(A1302="",B1302=""),"",DATE(YEAR(B1302),MONTH(B1302),1))</f>
        <v/>
      </c>
      <c r="O1302" s="7">
        <f>IF(COUNTA(A1302:K1302)=0,"",IF(OR(A1302="",B1302=""),"Preencher CPF e entrada",IF(COUNTIFS($A$12:$A$5011,A1302,$B$12:$B$5011,B1302)&gt;1,"CPF + dia duplicado",IF(OR(AND(G1302&lt;&gt;"",G1302&lt;&gt;0,G1302&lt;&gt;1),AND(H1302&lt;&gt;"",H1302&lt;&gt;0,H1302&lt;&gt;1)),"Flags devem ser 0 ou 1",IF(AND(H1302=1,LEN(TRIM(I1302))=0),"Preencher nome do indicante",IF(AND(H1302&lt;&gt;1,I1302&lt;&gt;""),"Nome sem indicação interna",IF(AND(G1302=1,F1302=""),"Fechamento sem conversa",IF(OR(AND(E1302&lt;&gt;"",E1302&lt;B1302),AND(F1302&lt;&gt;"",F1302&lt;B1302)),"Evento anterior à entrada",IF(AND(F1302&lt;&gt;"",E1302=""),"Conversa sem agendamento",IF(OR(E1302&gt;TODAY(),F1302&gt;TODAY()),"Verificar evento futuro","OK"))))))))))</f>
        <v/>
      </c>
    </row>
    <row r="1303" spans="12:15">
      <c r="L1303" s="5">
        <f>IF(OR(A1303="",B1303=""),"",B1303-WEEKDAY(B1303,2)+1)</f>
        <v/>
      </c>
      <c r="M1303" s="5">
        <f>IF(L1303="","",L1303+6)</f>
        <v/>
      </c>
      <c r="N1303" s="6">
        <f>IF(OR(A1303="",B1303=""),"",DATE(YEAR(B1303),MONTH(B1303),1))</f>
        <v/>
      </c>
      <c r="O1303" s="7">
        <f>IF(COUNTA(A1303:K1303)=0,"",IF(OR(A1303="",B1303=""),"Preencher CPF e entrada",IF(COUNTIFS($A$12:$A$5011,A1303,$B$12:$B$5011,B1303)&gt;1,"CPF + dia duplicado",IF(OR(AND(G1303&lt;&gt;"",G1303&lt;&gt;0,G1303&lt;&gt;1),AND(H1303&lt;&gt;"",H1303&lt;&gt;0,H1303&lt;&gt;1)),"Flags devem ser 0 ou 1",IF(AND(H1303=1,LEN(TRIM(I1303))=0),"Preencher nome do indicante",IF(AND(H1303&lt;&gt;1,I1303&lt;&gt;""),"Nome sem indicação interna",IF(AND(G1303=1,F1303=""),"Fechamento sem conversa",IF(OR(AND(E1303&lt;&gt;"",E1303&lt;B1303),AND(F1303&lt;&gt;"",F1303&lt;B1303)),"Evento anterior à entrada",IF(AND(F1303&lt;&gt;"",E1303=""),"Conversa sem agendamento",IF(OR(E1303&gt;TODAY(),F1303&gt;TODAY()),"Verificar evento futuro","OK"))))))))))</f>
        <v/>
      </c>
    </row>
    <row r="1304" spans="12:15">
      <c r="L1304" s="5">
        <f>IF(OR(A1304="",B1304=""),"",B1304-WEEKDAY(B1304,2)+1)</f>
        <v/>
      </c>
      <c r="M1304" s="5">
        <f>IF(L1304="","",L1304+6)</f>
        <v/>
      </c>
      <c r="N1304" s="6">
        <f>IF(OR(A1304="",B1304=""),"",DATE(YEAR(B1304),MONTH(B1304),1))</f>
        <v/>
      </c>
      <c r="O1304" s="7">
        <f>IF(COUNTA(A1304:K1304)=0,"",IF(OR(A1304="",B1304=""),"Preencher CPF e entrada",IF(COUNTIFS($A$12:$A$5011,A1304,$B$12:$B$5011,B1304)&gt;1,"CPF + dia duplicado",IF(OR(AND(G1304&lt;&gt;"",G1304&lt;&gt;0,G1304&lt;&gt;1),AND(H1304&lt;&gt;"",H1304&lt;&gt;0,H1304&lt;&gt;1)),"Flags devem ser 0 ou 1",IF(AND(H1304=1,LEN(TRIM(I1304))=0),"Preencher nome do indicante",IF(AND(H1304&lt;&gt;1,I1304&lt;&gt;""),"Nome sem indicação interna",IF(AND(G1304=1,F1304=""),"Fechamento sem conversa",IF(OR(AND(E1304&lt;&gt;"",E1304&lt;B1304),AND(F1304&lt;&gt;"",F1304&lt;B1304)),"Evento anterior à entrada",IF(AND(F1304&lt;&gt;"",E1304=""),"Conversa sem agendamento",IF(OR(E1304&gt;TODAY(),F1304&gt;TODAY()),"Verificar evento futuro","OK"))))))))))</f>
        <v/>
      </c>
    </row>
    <row r="1305" spans="12:15">
      <c r="L1305" s="5">
        <f>IF(OR(A1305="",B1305=""),"",B1305-WEEKDAY(B1305,2)+1)</f>
        <v/>
      </c>
      <c r="M1305" s="5">
        <f>IF(L1305="","",L1305+6)</f>
        <v/>
      </c>
      <c r="N1305" s="6">
        <f>IF(OR(A1305="",B1305=""),"",DATE(YEAR(B1305),MONTH(B1305),1))</f>
        <v/>
      </c>
      <c r="O1305" s="7">
        <f>IF(COUNTA(A1305:K1305)=0,"",IF(OR(A1305="",B1305=""),"Preencher CPF e entrada",IF(COUNTIFS($A$12:$A$5011,A1305,$B$12:$B$5011,B1305)&gt;1,"CPF + dia duplicado",IF(OR(AND(G1305&lt;&gt;"",G1305&lt;&gt;0,G1305&lt;&gt;1),AND(H1305&lt;&gt;"",H1305&lt;&gt;0,H1305&lt;&gt;1)),"Flags devem ser 0 ou 1",IF(AND(H1305=1,LEN(TRIM(I1305))=0),"Preencher nome do indicante",IF(AND(H1305&lt;&gt;1,I1305&lt;&gt;""),"Nome sem indicação interna",IF(AND(G1305=1,F1305=""),"Fechamento sem conversa",IF(OR(AND(E1305&lt;&gt;"",E1305&lt;B1305),AND(F1305&lt;&gt;"",F1305&lt;B1305)),"Evento anterior à entrada",IF(AND(F1305&lt;&gt;"",E1305=""),"Conversa sem agendamento",IF(OR(E1305&gt;TODAY(),F1305&gt;TODAY()),"Verificar evento futuro","OK"))))))))))</f>
        <v/>
      </c>
    </row>
    <row r="1306" spans="12:15">
      <c r="L1306" s="5">
        <f>IF(OR(A1306="",B1306=""),"",B1306-WEEKDAY(B1306,2)+1)</f>
        <v/>
      </c>
      <c r="M1306" s="5">
        <f>IF(L1306="","",L1306+6)</f>
        <v/>
      </c>
      <c r="N1306" s="6">
        <f>IF(OR(A1306="",B1306=""),"",DATE(YEAR(B1306),MONTH(B1306),1))</f>
        <v/>
      </c>
      <c r="O1306" s="7">
        <f>IF(COUNTA(A1306:K1306)=0,"",IF(OR(A1306="",B1306=""),"Preencher CPF e entrada",IF(COUNTIFS($A$12:$A$5011,A1306,$B$12:$B$5011,B1306)&gt;1,"CPF + dia duplicado",IF(OR(AND(G1306&lt;&gt;"",G1306&lt;&gt;0,G1306&lt;&gt;1),AND(H1306&lt;&gt;"",H1306&lt;&gt;0,H1306&lt;&gt;1)),"Flags devem ser 0 ou 1",IF(AND(H1306=1,LEN(TRIM(I1306))=0),"Preencher nome do indicante",IF(AND(H1306&lt;&gt;1,I1306&lt;&gt;""),"Nome sem indicação interna",IF(AND(G1306=1,F1306=""),"Fechamento sem conversa",IF(OR(AND(E1306&lt;&gt;"",E1306&lt;B1306),AND(F1306&lt;&gt;"",F1306&lt;B1306)),"Evento anterior à entrada",IF(AND(F1306&lt;&gt;"",E1306=""),"Conversa sem agendamento",IF(OR(E1306&gt;TODAY(),F1306&gt;TODAY()),"Verificar evento futuro","OK"))))))))))</f>
        <v/>
      </c>
    </row>
    <row r="1307" spans="12:15">
      <c r="L1307" s="5">
        <f>IF(OR(A1307="",B1307=""),"",B1307-WEEKDAY(B1307,2)+1)</f>
        <v/>
      </c>
      <c r="M1307" s="5">
        <f>IF(L1307="","",L1307+6)</f>
        <v/>
      </c>
      <c r="N1307" s="6">
        <f>IF(OR(A1307="",B1307=""),"",DATE(YEAR(B1307),MONTH(B1307),1))</f>
        <v/>
      </c>
      <c r="O1307" s="7">
        <f>IF(COUNTA(A1307:K1307)=0,"",IF(OR(A1307="",B1307=""),"Preencher CPF e entrada",IF(COUNTIFS($A$12:$A$5011,A1307,$B$12:$B$5011,B1307)&gt;1,"CPF + dia duplicado",IF(OR(AND(G1307&lt;&gt;"",G1307&lt;&gt;0,G1307&lt;&gt;1),AND(H1307&lt;&gt;"",H1307&lt;&gt;0,H1307&lt;&gt;1)),"Flags devem ser 0 ou 1",IF(AND(H1307=1,LEN(TRIM(I1307))=0),"Preencher nome do indicante",IF(AND(H1307&lt;&gt;1,I1307&lt;&gt;""),"Nome sem indicação interna",IF(AND(G1307=1,F1307=""),"Fechamento sem conversa",IF(OR(AND(E1307&lt;&gt;"",E1307&lt;B1307),AND(F1307&lt;&gt;"",F1307&lt;B1307)),"Evento anterior à entrada",IF(AND(F1307&lt;&gt;"",E1307=""),"Conversa sem agendamento",IF(OR(E1307&gt;TODAY(),F1307&gt;TODAY()),"Verificar evento futuro","OK"))))))))))</f>
        <v/>
      </c>
    </row>
    <row r="1308" spans="12:15">
      <c r="L1308" s="5">
        <f>IF(OR(A1308="",B1308=""),"",B1308-WEEKDAY(B1308,2)+1)</f>
        <v/>
      </c>
      <c r="M1308" s="5">
        <f>IF(L1308="","",L1308+6)</f>
        <v/>
      </c>
      <c r="N1308" s="6">
        <f>IF(OR(A1308="",B1308=""),"",DATE(YEAR(B1308),MONTH(B1308),1))</f>
        <v/>
      </c>
      <c r="O1308" s="7">
        <f>IF(COUNTA(A1308:K1308)=0,"",IF(OR(A1308="",B1308=""),"Preencher CPF e entrada",IF(COUNTIFS($A$12:$A$5011,A1308,$B$12:$B$5011,B1308)&gt;1,"CPF + dia duplicado",IF(OR(AND(G1308&lt;&gt;"",G1308&lt;&gt;0,G1308&lt;&gt;1),AND(H1308&lt;&gt;"",H1308&lt;&gt;0,H1308&lt;&gt;1)),"Flags devem ser 0 ou 1",IF(AND(H1308=1,LEN(TRIM(I1308))=0),"Preencher nome do indicante",IF(AND(H1308&lt;&gt;1,I1308&lt;&gt;""),"Nome sem indicação interna",IF(AND(G1308=1,F1308=""),"Fechamento sem conversa",IF(OR(AND(E1308&lt;&gt;"",E1308&lt;B1308),AND(F1308&lt;&gt;"",F1308&lt;B1308)),"Evento anterior à entrada",IF(AND(F1308&lt;&gt;"",E1308=""),"Conversa sem agendamento",IF(OR(E1308&gt;TODAY(),F1308&gt;TODAY()),"Verificar evento futuro","OK"))))))))))</f>
        <v/>
      </c>
    </row>
    <row r="1309" spans="12:15">
      <c r="L1309" s="5">
        <f>IF(OR(A1309="",B1309=""),"",B1309-WEEKDAY(B1309,2)+1)</f>
        <v/>
      </c>
      <c r="M1309" s="5">
        <f>IF(L1309="","",L1309+6)</f>
        <v/>
      </c>
      <c r="N1309" s="6">
        <f>IF(OR(A1309="",B1309=""),"",DATE(YEAR(B1309),MONTH(B1309),1))</f>
        <v/>
      </c>
      <c r="O1309" s="7">
        <f>IF(COUNTA(A1309:K1309)=0,"",IF(OR(A1309="",B1309=""),"Preencher CPF e entrada",IF(COUNTIFS($A$12:$A$5011,A1309,$B$12:$B$5011,B1309)&gt;1,"CPF + dia duplicado",IF(OR(AND(G1309&lt;&gt;"",G1309&lt;&gt;0,G1309&lt;&gt;1),AND(H1309&lt;&gt;"",H1309&lt;&gt;0,H1309&lt;&gt;1)),"Flags devem ser 0 ou 1",IF(AND(H1309=1,LEN(TRIM(I1309))=0),"Preencher nome do indicante",IF(AND(H1309&lt;&gt;1,I1309&lt;&gt;""),"Nome sem indicação interna",IF(AND(G1309=1,F1309=""),"Fechamento sem conversa",IF(OR(AND(E1309&lt;&gt;"",E1309&lt;B1309),AND(F1309&lt;&gt;"",F1309&lt;B1309)),"Evento anterior à entrada",IF(AND(F1309&lt;&gt;"",E1309=""),"Conversa sem agendamento",IF(OR(E1309&gt;TODAY(),F1309&gt;TODAY()),"Verificar evento futuro","OK"))))))))))</f>
        <v/>
      </c>
    </row>
    <row r="1310" spans="12:15">
      <c r="L1310" s="5">
        <f>IF(OR(A1310="",B1310=""),"",B1310-WEEKDAY(B1310,2)+1)</f>
        <v/>
      </c>
      <c r="M1310" s="5">
        <f>IF(L1310="","",L1310+6)</f>
        <v/>
      </c>
      <c r="N1310" s="6">
        <f>IF(OR(A1310="",B1310=""),"",DATE(YEAR(B1310),MONTH(B1310),1))</f>
        <v/>
      </c>
      <c r="O1310" s="7">
        <f>IF(COUNTA(A1310:K1310)=0,"",IF(OR(A1310="",B1310=""),"Preencher CPF e entrada",IF(COUNTIFS($A$12:$A$5011,A1310,$B$12:$B$5011,B1310)&gt;1,"CPF + dia duplicado",IF(OR(AND(G1310&lt;&gt;"",G1310&lt;&gt;0,G1310&lt;&gt;1),AND(H1310&lt;&gt;"",H1310&lt;&gt;0,H1310&lt;&gt;1)),"Flags devem ser 0 ou 1",IF(AND(H1310=1,LEN(TRIM(I1310))=0),"Preencher nome do indicante",IF(AND(H1310&lt;&gt;1,I1310&lt;&gt;""),"Nome sem indicação interna",IF(AND(G1310=1,F1310=""),"Fechamento sem conversa",IF(OR(AND(E1310&lt;&gt;"",E1310&lt;B1310),AND(F1310&lt;&gt;"",F1310&lt;B1310)),"Evento anterior à entrada",IF(AND(F1310&lt;&gt;"",E1310=""),"Conversa sem agendamento",IF(OR(E1310&gt;TODAY(),F1310&gt;TODAY()),"Verificar evento futuro","OK"))))))))))</f>
        <v/>
      </c>
    </row>
    <row r="1311" spans="12:15">
      <c r="L1311" s="5">
        <f>IF(OR(A1311="",B1311=""),"",B1311-WEEKDAY(B1311,2)+1)</f>
        <v/>
      </c>
      <c r="M1311" s="5">
        <f>IF(L1311="","",L1311+6)</f>
        <v/>
      </c>
      <c r="N1311" s="6">
        <f>IF(OR(A1311="",B1311=""),"",DATE(YEAR(B1311),MONTH(B1311),1))</f>
        <v/>
      </c>
      <c r="O1311" s="7">
        <f>IF(COUNTA(A1311:K1311)=0,"",IF(OR(A1311="",B1311=""),"Preencher CPF e entrada",IF(COUNTIFS($A$12:$A$5011,A1311,$B$12:$B$5011,B1311)&gt;1,"CPF + dia duplicado",IF(OR(AND(G1311&lt;&gt;"",G1311&lt;&gt;0,G1311&lt;&gt;1),AND(H1311&lt;&gt;"",H1311&lt;&gt;0,H1311&lt;&gt;1)),"Flags devem ser 0 ou 1",IF(AND(H1311=1,LEN(TRIM(I1311))=0),"Preencher nome do indicante",IF(AND(H1311&lt;&gt;1,I1311&lt;&gt;""),"Nome sem indicação interna",IF(AND(G1311=1,F1311=""),"Fechamento sem conversa",IF(OR(AND(E1311&lt;&gt;"",E1311&lt;B1311),AND(F1311&lt;&gt;"",F1311&lt;B1311)),"Evento anterior à entrada",IF(AND(F1311&lt;&gt;"",E1311=""),"Conversa sem agendamento",IF(OR(E1311&gt;TODAY(),F1311&gt;TODAY()),"Verificar evento futuro","OK"))))))))))</f>
        <v/>
      </c>
    </row>
    <row r="1312" spans="12:15">
      <c r="L1312" s="5">
        <f>IF(OR(A1312="",B1312=""),"",B1312-WEEKDAY(B1312,2)+1)</f>
        <v/>
      </c>
      <c r="M1312" s="5">
        <f>IF(L1312="","",L1312+6)</f>
        <v/>
      </c>
      <c r="N1312" s="6">
        <f>IF(OR(A1312="",B1312=""),"",DATE(YEAR(B1312),MONTH(B1312),1))</f>
        <v/>
      </c>
      <c r="O1312" s="7">
        <f>IF(COUNTA(A1312:K1312)=0,"",IF(OR(A1312="",B1312=""),"Preencher CPF e entrada",IF(COUNTIFS($A$12:$A$5011,A1312,$B$12:$B$5011,B1312)&gt;1,"CPF + dia duplicado",IF(OR(AND(G1312&lt;&gt;"",G1312&lt;&gt;0,G1312&lt;&gt;1),AND(H1312&lt;&gt;"",H1312&lt;&gt;0,H1312&lt;&gt;1)),"Flags devem ser 0 ou 1",IF(AND(H1312=1,LEN(TRIM(I1312))=0),"Preencher nome do indicante",IF(AND(H1312&lt;&gt;1,I1312&lt;&gt;""),"Nome sem indicação interna",IF(AND(G1312=1,F1312=""),"Fechamento sem conversa",IF(OR(AND(E1312&lt;&gt;"",E1312&lt;B1312),AND(F1312&lt;&gt;"",F1312&lt;B1312)),"Evento anterior à entrada",IF(AND(F1312&lt;&gt;"",E1312=""),"Conversa sem agendamento",IF(OR(E1312&gt;TODAY(),F1312&gt;TODAY()),"Verificar evento futuro","OK"))))))))))</f>
        <v/>
      </c>
    </row>
    <row r="1313" spans="12:15">
      <c r="L1313" s="5">
        <f>IF(OR(A1313="",B1313=""),"",B1313-WEEKDAY(B1313,2)+1)</f>
        <v/>
      </c>
      <c r="M1313" s="5">
        <f>IF(L1313="","",L1313+6)</f>
        <v/>
      </c>
      <c r="N1313" s="6">
        <f>IF(OR(A1313="",B1313=""),"",DATE(YEAR(B1313),MONTH(B1313),1))</f>
        <v/>
      </c>
      <c r="O1313" s="7">
        <f>IF(COUNTA(A1313:K1313)=0,"",IF(OR(A1313="",B1313=""),"Preencher CPF e entrada",IF(COUNTIFS($A$12:$A$5011,A1313,$B$12:$B$5011,B1313)&gt;1,"CPF + dia duplicado",IF(OR(AND(G1313&lt;&gt;"",G1313&lt;&gt;0,G1313&lt;&gt;1),AND(H1313&lt;&gt;"",H1313&lt;&gt;0,H1313&lt;&gt;1)),"Flags devem ser 0 ou 1",IF(AND(H1313=1,LEN(TRIM(I1313))=0),"Preencher nome do indicante",IF(AND(H1313&lt;&gt;1,I1313&lt;&gt;""),"Nome sem indicação interna",IF(AND(G1313=1,F1313=""),"Fechamento sem conversa",IF(OR(AND(E1313&lt;&gt;"",E1313&lt;B1313),AND(F1313&lt;&gt;"",F1313&lt;B1313)),"Evento anterior à entrada",IF(AND(F1313&lt;&gt;"",E1313=""),"Conversa sem agendamento",IF(OR(E1313&gt;TODAY(),F1313&gt;TODAY()),"Verificar evento futuro","OK"))))))))))</f>
        <v/>
      </c>
    </row>
    <row r="1314" spans="12:15">
      <c r="L1314" s="5">
        <f>IF(OR(A1314="",B1314=""),"",B1314-WEEKDAY(B1314,2)+1)</f>
        <v/>
      </c>
      <c r="M1314" s="5">
        <f>IF(L1314="","",L1314+6)</f>
        <v/>
      </c>
      <c r="N1314" s="6">
        <f>IF(OR(A1314="",B1314=""),"",DATE(YEAR(B1314),MONTH(B1314),1))</f>
        <v/>
      </c>
      <c r="O1314" s="7">
        <f>IF(COUNTA(A1314:K1314)=0,"",IF(OR(A1314="",B1314=""),"Preencher CPF e entrada",IF(COUNTIFS($A$12:$A$5011,A1314,$B$12:$B$5011,B1314)&gt;1,"CPF + dia duplicado",IF(OR(AND(G1314&lt;&gt;"",G1314&lt;&gt;0,G1314&lt;&gt;1),AND(H1314&lt;&gt;"",H1314&lt;&gt;0,H1314&lt;&gt;1)),"Flags devem ser 0 ou 1",IF(AND(H1314=1,LEN(TRIM(I1314))=0),"Preencher nome do indicante",IF(AND(H1314&lt;&gt;1,I1314&lt;&gt;""),"Nome sem indicação interna",IF(AND(G1314=1,F1314=""),"Fechamento sem conversa",IF(OR(AND(E1314&lt;&gt;"",E1314&lt;B1314),AND(F1314&lt;&gt;"",F1314&lt;B1314)),"Evento anterior à entrada",IF(AND(F1314&lt;&gt;"",E1314=""),"Conversa sem agendamento",IF(OR(E1314&gt;TODAY(),F1314&gt;TODAY()),"Verificar evento futuro","OK"))))))))))</f>
        <v/>
      </c>
    </row>
    <row r="1315" spans="12:15">
      <c r="L1315" s="5">
        <f>IF(OR(A1315="",B1315=""),"",B1315-WEEKDAY(B1315,2)+1)</f>
        <v/>
      </c>
      <c r="M1315" s="5">
        <f>IF(L1315="","",L1315+6)</f>
        <v/>
      </c>
      <c r="N1315" s="6">
        <f>IF(OR(A1315="",B1315=""),"",DATE(YEAR(B1315),MONTH(B1315),1))</f>
        <v/>
      </c>
      <c r="O1315" s="7">
        <f>IF(COUNTA(A1315:K1315)=0,"",IF(OR(A1315="",B1315=""),"Preencher CPF e entrada",IF(COUNTIFS($A$12:$A$5011,A1315,$B$12:$B$5011,B1315)&gt;1,"CPF + dia duplicado",IF(OR(AND(G1315&lt;&gt;"",G1315&lt;&gt;0,G1315&lt;&gt;1),AND(H1315&lt;&gt;"",H1315&lt;&gt;0,H1315&lt;&gt;1)),"Flags devem ser 0 ou 1",IF(AND(H1315=1,LEN(TRIM(I1315))=0),"Preencher nome do indicante",IF(AND(H1315&lt;&gt;1,I1315&lt;&gt;""),"Nome sem indicação interna",IF(AND(G1315=1,F1315=""),"Fechamento sem conversa",IF(OR(AND(E1315&lt;&gt;"",E1315&lt;B1315),AND(F1315&lt;&gt;"",F1315&lt;B1315)),"Evento anterior à entrada",IF(AND(F1315&lt;&gt;"",E1315=""),"Conversa sem agendamento",IF(OR(E1315&gt;TODAY(),F1315&gt;TODAY()),"Verificar evento futuro","OK"))))))))))</f>
        <v/>
      </c>
    </row>
    <row r="1316" spans="12:15">
      <c r="L1316" s="5">
        <f>IF(OR(A1316="",B1316=""),"",B1316-WEEKDAY(B1316,2)+1)</f>
        <v/>
      </c>
      <c r="M1316" s="5">
        <f>IF(L1316="","",L1316+6)</f>
        <v/>
      </c>
      <c r="N1316" s="6">
        <f>IF(OR(A1316="",B1316=""),"",DATE(YEAR(B1316),MONTH(B1316),1))</f>
        <v/>
      </c>
      <c r="O1316" s="7">
        <f>IF(COUNTA(A1316:K1316)=0,"",IF(OR(A1316="",B1316=""),"Preencher CPF e entrada",IF(COUNTIFS($A$12:$A$5011,A1316,$B$12:$B$5011,B1316)&gt;1,"CPF + dia duplicado",IF(OR(AND(G1316&lt;&gt;"",G1316&lt;&gt;0,G1316&lt;&gt;1),AND(H1316&lt;&gt;"",H1316&lt;&gt;0,H1316&lt;&gt;1)),"Flags devem ser 0 ou 1",IF(AND(H1316=1,LEN(TRIM(I1316))=0),"Preencher nome do indicante",IF(AND(H1316&lt;&gt;1,I1316&lt;&gt;""),"Nome sem indicação interna",IF(AND(G1316=1,F1316=""),"Fechamento sem conversa",IF(OR(AND(E1316&lt;&gt;"",E1316&lt;B1316),AND(F1316&lt;&gt;"",F1316&lt;B1316)),"Evento anterior à entrada",IF(AND(F1316&lt;&gt;"",E1316=""),"Conversa sem agendamento",IF(OR(E1316&gt;TODAY(),F1316&gt;TODAY()),"Verificar evento futuro","OK"))))))))))</f>
        <v/>
      </c>
    </row>
    <row r="1317" spans="12:15">
      <c r="L1317" s="5">
        <f>IF(OR(A1317="",B1317=""),"",B1317-WEEKDAY(B1317,2)+1)</f>
        <v/>
      </c>
      <c r="M1317" s="5">
        <f>IF(L1317="","",L1317+6)</f>
        <v/>
      </c>
      <c r="N1317" s="6">
        <f>IF(OR(A1317="",B1317=""),"",DATE(YEAR(B1317),MONTH(B1317),1))</f>
        <v/>
      </c>
      <c r="O1317" s="7">
        <f>IF(COUNTA(A1317:K1317)=0,"",IF(OR(A1317="",B1317=""),"Preencher CPF e entrada",IF(COUNTIFS($A$12:$A$5011,A1317,$B$12:$B$5011,B1317)&gt;1,"CPF + dia duplicado",IF(OR(AND(G1317&lt;&gt;"",G1317&lt;&gt;0,G1317&lt;&gt;1),AND(H1317&lt;&gt;"",H1317&lt;&gt;0,H1317&lt;&gt;1)),"Flags devem ser 0 ou 1",IF(AND(H1317=1,LEN(TRIM(I1317))=0),"Preencher nome do indicante",IF(AND(H1317&lt;&gt;1,I1317&lt;&gt;""),"Nome sem indicação interna",IF(AND(G1317=1,F1317=""),"Fechamento sem conversa",IF(OR(AND(E1317&lt;&gt;"",E1317&lt;B1317),AND(F1317&lt;&gt;"",F1317&lt;B1317)),"Evento anterior à entrada",IF(AND(F1317&lt;&gt;"",E1317=""),"Conversa sem agendamento",IF(OR(E1317&gt;TODAY(),F1317&gt;TODAY()),"Verificar evento futuro","OK"))))))))))</f>
        <v/>
      </c>
    </row>
    <row r="1318" spans="12:15">
      <c r="L1318" s="5">
        <f>IF(OR(A1318="",B1318=""),"",B1318-WEEKDAY(B1318,2)+1)</f>
        <v/>
      </c>
      <c r="M1318" s="5">
        <f>IF(L1318="","",L1318+6)</f>
        <v/>
      </c>
      <c r="N1318" s="6">
        <f>IF(OR(A1318="",B1318=""),"",DATE(YEAR(B1318),MONTH(B1318),1))</f>
        <v/>
      </c>
      <c r="O1318" s="7">
        <f>IF(COUNTA(A1318:K1318)=0,"",IF(OR(A1318="",B1318=""),"Preencher CPF e entrada",IF(COUNTIFS($A$12:$A$5011,A1318,$B$12:$B$5011,B1318)&gt;1,"CPF + dia duplicado",IF(OR(AND(G1318&lt;&gt;"",G1318&lt;&gt;0,G1318&lt;&gt;1),AND(H1318&lt;&gt;"",H1318&lt;&gt;0,H1318&lt;&gt;1)),"Flags devem ser 0 ou 1",IF(AND(H1318=1,LEN(TRIM(I1318))=0),"Preencher nome do indicante",IF(AND(H1318&lt;&gt;1,I1318&lt;&gt;""),"Nome sem indicação interna",IF(AND(G1318=1,F1318=""),"Fechamento sem conversa",IF(OR(AND(E1318&lt;&gt;"",E1318&lt;B1318),AND(F1318&lt;&gt;"",F1318&lt;B1318)),"Evento anterior à entrada",IF(AND(F1318&lt;&gt;"",E1318=""),"Conversa sem agendamento",IF(OR(E1318&gt;TODAY(),F1318&gt;TODAY()),"Verificar evento futuro","OK"))))))))))</f>
        <v/>
      </c>
    </row>
    <row r="1319" spans="12:15">
      <c r="L1319" s="5">
        <f>IF(OR(A1319="",B1319=""),"",B1319-WEEKDAY(B1319,2)+1)</f>
        <v/>
      </c>
      <c r="M1319" s="5">
        <f>IF(L1319="","",L1319+6)</f>
        <v/>
      </c>
      <c r="N1319" s="6">
        <f>IF(OR(A1319="",B1319=""),"",DATE(YEAR(B1319),MONTH(B1319),1))</f>
        <v/>
      </c>
      <c r="O1319" s="7">
        <f>IF(COUNTA(A1319:K1319)=0,"",IF(OR(A1319="",B1319=""),"Preencher CPF e entrada",IF(COUNTIFS($A$12:$A$5011,A1319,$B$12:$B$5011,B1319)&gt;1,"CPF + dia duplicado",IF(OR(AND(G1319&lt;&gt;"",G1319&lt;&gt;0,G1319&lt;&gt;1),AND(H1319&lt;&gt;"",H1319&lt;&gt;0,H1319&lt;&gt;1)),"Flags devem ser 0 ou 1",IF(AND(H1319=1,LEN(TRIM(I1319))=0),"Preencher nome do indicante",IF(AND(H1319&lt;&gt;1,I1319&lt;&gt;""),"Nome sem indicação interna",IF(AND(G1319=1,F1319=""),"Fechamento sem conversa",IF(OR(AND(E1319&lt;&gt;"",E1319&lt;B1319),AND(F1319&lt;&gt;"",F1319&lt;B1319)),"Evento anterior à entrada",IF(AND(F1319&lt;&gt;"",E1319=""),"Conversa sem agendamento",IF(OR(E1319&gt;TODAY(),F1319&gt;TODAY()),"Verificar evento futuro","OK"))))))))))</f>
        <v/>
      </c>
    </row>
    <row r="1320" spans="12:15">
      <c r="L1320" s="5">
        <f>IF(OR(A1320="",B1320=""),"",B1320-WEEKDAY(B1320,2)+1)</f>
        <v/>
      </c>
      <c r="M1320" s="5">
        <f>IF(L1320="","",L1320+6)</f>
        <v/>
      </c>
      <c r="N1320" s="6">
        <f>IF(OR(A1320="",B1320=""),"",DATE(YEAR(B1320),MONTH(B1320),1))</f>
        <v/>
      </c>
      <c r="O1320" s="7">
        <f>IF(COUNTA(A1320:K1320)=0,"",IF(OR(A1320="",B1320=""),"Preencher CPF e entrada",IF(COUNTIFS($A$12:$A$5011,A1320,$B$12:$B$5011,B1320)&gt;1,"CPF + dia duplicado",IF(OR(AND(G1320&lt;&gt;"",G1320&lt;&gt;0,G1320&lt;&gt;1),AND(H1320&lt;&gt;"",H1320&lt;&gt;0,H1320&lt;&gt;1)),"Flags devem ser 0 ou 1",IF(AND(H1320=1,LEN(TRIM(I1320))=0),"Preencher nome do indicante",IF(AND(H1320&lt;&gt;1,I1320&lt;&gt;""),"Nome sem indicação interna",IF(AND(G1320=1,F1320=""),"Fechamento sem conversa",IF(OR(AND(E1320&lt;&gt;"",E1320&lt;B1320),AND(F1320&lt;&gt;"",F1320&lt;B1320)),"Evento anterior à entrada",IF(AND(F1320&lt;&gt;"",E1320=""),"Conversa sem agendamento",IF(OR(E1320&gt;TODAY(),F1320&gt;TODAY()),"Verificar evento futuro","OK"))))))))))</f>
        <v/>
      </c>
    </row>
    <row r="1321" spans="12:15">
      <c r="L1321" s="5">
        <f>IF(OR(A1321="",B1321=""),"",B1321-WEEKDAY(B1321,2)+1)</f>
        <v/>
      </c>
      <c r="M1321" s="5">
        <f>IF(L1321="","",L1321+6)</f>
        <v/>
      </c>
      <c r="N1321" s="6">
        <f>IF(OR(A1321="",B1321=""),"",DATE(YEAR(B1321),MONTH(B1321),1))</f>
        <v/>
      </c>
      <c r="O1321" s="7">
        <f>IF(COUNTA(A1321:K1321)=0,"",IF(OR(A1321="",B1321=""),"Preencher CPF e entrada",IF(COUNTIFS($A$12:$A$5011,A1321,$B$12:$B$5011,B1321)&gt;1,"CPF + dia duplicado",IF(OR(AND(G1321&lt;&gt;"",G1321&lt;&gt;0,G1321&lt;&gt;1),AND(H1321&lt;&gt;"",H1321&lt;&gt;0,H1321&lt;&gt;1)),"Flags devem ser 0 ou 1",IF(AND(H1321=1,LEN(TRIM(I1321))=0),"Preencher nome do indicante",IF(AND(H1321&lt;&gt;1,I1321&lt;&gt;""),"Nome sem indicação interna",IF(AND(G1321=1,F1321=""),"Fechamento sem conversa",IF(OR(AND(E1321&lt;&gt;"",E1321&lt;B1321),AND(F1321&lt;&gt;"",F1321&lt;B1321)),"Evento anterior à entrada",IF(AND(F1321&lt;&gt;"",E1321=""),"Conversa sem agendamento",IF(OR(E1321&gt;TODAY(),F1321&gt;TODAY()),"Verificar evento futuro","OK"))))))))))</f>
        <v/>
      </c>
    </row>
    <row r="1322" spans="12:15">
      <c r="L1322" s="5">
        <f>IF(OR(A1322="",B1322=""),"",B1322-WEEKDAY(B1322,2)+1)</f>
        <v/>
      </c>
      <c r="M1322" s="5">
        <f>IF(L1322="","",L1322+6)</f>
        <v/>
      </c>
      <c r="N1322" s="6">
        <f>IF(OR(A1322="",B1322=""),"",DATE(YEAR(B1322),MONTH(B1322),1))</f>
        <v/>
      </c>
      <c r="O1322" s="7">
        <f>IF(COUNTA(A1322:K1322)=0,"",IF(OR(A1322="",B1322=""),"Preencher CPF e entrada",IF(COUNTIFS($A$12:$A$5011,A1322,$B$12:$B$5011,B1322)&gt;1,"CPF + dia duplicado",IF(OR(AND(G1322&lt;&gt;"",G1322&lt;&gt;0,G1322&lt;&gt;1),AND(H1322&lt;&gt;"",H1322&lt;&gt;0,H1322&lt;&gt;1)),"Flags devem ser 0 ou 1",IF(AND(H1322=1,LEN(TRIM(I1322))=0),"Preencher nome do indicante",IF(AND(H1322&lt;&gt;1,I1322&lt;&gt;""),"Nome sem indicação interna",IF(AND(G1322=1,F1322=""),"Fechamento sem conversa",IF(OR(AND(E1322&lt;&gt;"",E1322&lt;B1322),AND(F1322&lt;&gt;"",F1322&lt;B1322)),"Evento anterior à entrada",IF(AND(F1322&lt;&gt;"",E1322=""),"Conversa sem agendamento",IF(OR(E1322&gt;TODAY(),F1322&gt;TODAY()),"Verificar evento futuro","OK"))))))))))</f>
        <v/>
      </c>
    </row>
    <row r="1323" spans="12:15">
      <c r="L1323" s="5">
        <f>IF(OR(A1323="",B1323=""),"",B1323-WEEKDAY(B1323,2)+1)</f>
        <v/>
      </c>
      <c r="M1323" s="5">
        <f>IF(L1323="","",L1323+6)</f>
        <v/>
      </c>
      <c r="N1323" s="6">
        <f>IF(OR(A1323="",B1323=""),"",DATE(YEAR(B1323),MONTH(B1323),1))</f>
        <v/>
      </c>
      <c r="O1323" s="7">
        <f>IF(COUNTA(A1323:K1323)=0,"",IF(OR(A1323="",B1323=""),"Preencher CPF e entrada",IF(COUNTIFS($A$12:$A$5011,A1323,$B$12:$B$5011,B1323)&gt;1,"CPF + dia duplicado",IF(OR(AND(G1323&lt;&gt;"",G1323&lt;&gt;0,G1323&lt;&gt;1),AND(H1323&lt;&gt;"",H1323&lt;&gt;0,H1323&lt;&gt;1)),"Flags devem ser 0 ou 1",IF(AND(H1323=1,LEN(TRIM(I1323))=0),"Preencher nome do indicante",IF(AND(H1323&lt;&gt;1,I1323&lt;&gt;""),"Nome sem indicação interna",IF(AND(G1323=1,F1323=""),"Fechamento sem conversa",IF(OR(AND(E1323&lt;&gt;"",E1323&lt;B1323),AND(F1323&lt;&gt;"",F1323&lt;B1323)),"Evento anterior à entrada",IF(AND(F1323&lt;&gt;"",E1323=""),"Conversa sem agendamento",IF(OR(E1323&gt;TODAY(),F1323&gt;TODAY()),"Verificar evento futuro","OK"))))))))))</f>
        <v/>
      </c>
    </row>
    <row r="1324" spans="12:15">
      <c r="L1324" s="5">
        <f>IF(OR(A1324="",B1324=""),"",B1324-WEEKDAY(B1324,2)+1)</f>
        <v/>
      </c>
      <c r="M1324" s="5">
        <f>IF(L1324="","",L1324+6)</f>
        <v/>
      </c>
      <c r="N1324" s="6">
        <f>IF(OR(A1324="",B1324=""),"",DATE(YEAR(B1324),MONTH(B1324),1))</f>
        <v/>
      </c>
      <c r="O1324" s="7">
        <f>IF(COUNTA(A1324:K1324)=0,"",IF(OR(A1324="",B1324=""),"Preencher CPF e entrada",IF(COUNTIFS($A$12:$A$5011,A1324,$B$12:$B$5011,B1324)&gt;1,"CPF + dia duplicado",IF(OR(AND(G1324&lt;&gt;"",G1324&lt;&gt;0,G1324&lt;&gt;1),AND(H1324&lt;&gt;"",H1324&lt;&gt;0,H1324&lt;&gt;1)),"Flags devem ser 0 ou 1",IF(AND(H1324=1,LEN(TRIM(I1324))=0),"Preencher nome do indicante",IF(AND(H1324&lt;&gt;1,I1324&lt;&gt;""),"Nome sem indicação interna",IF(AND(G1324=1,F1324=""),"Fechamento sem conversa",IF(OR(AND(E1324&lt;&gt;"",E1324&lt;B1324),AND(F1324&lt;&gt;"",F1324&lt;B1324)),"Evento anterior à entrada",IF(AND(F1324&lt;&gt;"",E1324=""),"Conversa sem agendamento",IF(OR(E1324&gt;TODAY(),F1324&gt;TODAY()),"Verificar evento futuro","OK"))))))))))</f>
        <v/>
      </c>
    </row>
    <row r="1325" spans="12:15">
      <c r="L1325" s="5">
        <f>IF(OR(A1325="",B1325=""),"",B1325-WEEKDAY(B1325,2)+1)</f>
        <v/>
      </c>
      <c r="M1325" s="5">
        <f>IF(L1325="","",L1325+6)</f>
        <v/>
      </c>
      <c r="N1325" s="6">
        <f>IF(OR(A1325="",B1325=""),"",DATE(YEAR(B1325),MONTH(B1325),1))</f>
        <v/>
      </c>
      <c r="O1325" s="7">
        <f>IF(COUNTA(A1325:K1325)=0,"",IF(OR(A1325="",B1325=""),"Preencher CPF e entrada",IF(COUNTIFS($A$12:$A$5011,A1325,$B$12:$B$5011,B1325)&gt;1,"CPF + dia duplicado",IF(OR(AND(G1325&lt;&gt;"",G1325&lt;&gt;0,G1325&lt;&gt;1),AND(H1325&lt;&gt;"",H1325&lt;&gt;0,H1325&lt;&gt;1)),"Flags devem ser 0 ou 1",IF(AND(H1325=1,LEN(TRIM(I1325))=0),"Preencher nome do indicante",IF(AND(H1325&lt;&gt;1,I1325&lt;&gt;""),"Nome sem indicação interna",IF(AND(G1325=1,F1325=""),"Fechamento sem conversa",IF(OR(AND(E1325&lt;&gt;"",E1325&lt;B1325),AND(F1325&lt;&gt;"",F1325&lt;B1325)),"Evento anterior à entrada",IF(AND(F1325&lt;&gt;"",E1325=""),"Conversa sem agendamento",IF(OR(E1325&gt;TODAY(),F1325&gt;TODAY()),"Verificar evento futuro","OK"))))))))))</f>
        <v/>
      </c>
    </row>
    <row r="1326" spans="12:15">
      <c r="L1326" s="5">
        <f>IF(OR(A1326="",B1326=""),"",B1326-WEEKDAY(B1326,2)+1)</f>
        <v/>
      </c>
      <c r="M1326" s="5">
        <f>IF(L1326="","",L1326+6)</f>
        <v/>
      </c>
      <c r="N1326" s="6">
        <f>IF(OR(A1326="",B1326=""),"",DATE(YEAR(B1326),MONTH(B1326),1))</f>
        <v/>
      </c>
      <c r="O1326" s="7">
        <f>IF(COUNTA(A1326:K1326)=0,"",IF(OR(A1326="",B1326=""),"Preencher CPF e entrada",IF(COUNTIFS($A$12:$A$5011,A1326,$B$12:$B$5011,B1326)&gt;1,"CPF + dia duplicado",IF(OR(AND(G1326&lt;&gt;"",G1326&lt;&gt;0,G1326&lt;&gt;1),AND(H1326&lt;&gt;"",H1326&lt;&gt;0,H1326&lt;&gt;1)),"Flags devem ser 0 ou 1",IF(AND(H1326=1,LEN(TRIM(I1326))=0),"Preencher nome do indicante",IF(AND(H1326&lt;&gt;1,I1326&lt;&gt;""),"Nome sem indicação interna",IF(AND(G1326=1,F1326=""),"Fechamento sem conversa",IF(OR(AND(E1326&lt;&gt;"",E1326&lt;B1326),AND(F1326&lt;&gt;"",F1326&lt;B1326)),"Evento anterior à entrada",IF(AND(F1326&lt;&gt;"",E1326=""),"Conversa sem agendamento",IF(OR(E1326&gt;TODAY(),F1326&gt;TODAY()),"Verificar evento futuro","OK"))))))))))</f>
        <v/>
      </c>
    </row>
    <row r="1327" spans="12:15">
      <c r="L1327" s="5">
        <f>IF(OR(A1327="",B1327=""),"",B1327-WEEKDAY(B1327,2)+1)</f>
        <v/>
      </c>
      <c r="M1327" s="5">
        <f>IF(L1327="","",L1327+6)</f>
        <v/>
      </c>
      <c r="N1327" s="6">
        <f>IF(OR(A1327="",B1327=""),"",DATE(YEAR(B1327),MONTH(B1327),1))</f>
        <v/>
      </c>
      <c r="O1327" s="7">
        <f>IF(COUNTA(A1327:K1327)=0,"",IF(OR(A1327="",B1327=""),"Preencher CPF e entrada",IF(COUNTIFS($A$12:$A$5011,A1327,$B$12:$B$5011,B1327)&gt;1,"CPF + dia duplicado",IF(OR(AND(G1327&lt;&gt;"",G1327&lt;&gt;0,G1327&lt;&gt;1),AND(H1327&lt;&gt;"",H1327&lt;&gt;0,H1327&lt;&gt;1)),"Flags devem ser 0 ou 1",IF(AND(H1327=1,LEN(TRIM(I1327))=0),"Preencher nome do indicante",IF(AND(H1327&lt;&gt;1,I1327&lt;&gt;""),"Nome sem indicação interna",IF(AND(G1327=1,F1327=""),"Fechamento sem conversa",IF(OR(AND(E1327&lt;&gt;"",E1327&lt;B1327),AND(F1327&lt;&gt;"",F1327&lt;B1327)),"Evento anterior à entrada",IF(AND(F1327&lt;&gt;"",E1327=""),"Conversa sem agendamento",IF(OR(E1327&gt;TODAY(),F1327&gt;TODAY()),"Verificar evento futuro","OK"))))))))))</f>
        <v/>
      </c>
    </row>
    <row r="1328" spans="12:15">
      <c r="L1328" s="5">
        <f>IF(OR(A1328="",B1328=""),"",B1328-WEEKDAY(B1328,2)+1)</f>
        <v/>
      </c>
      <c r="M1328" s="5">
        <f>IF(L1328="","",L1328+6)</f>
        <v/>
      </c>
      <c r="N1328" s="6">
        <f>IF(OR(A1328="",B1328=""),"",DATE(YEAR(B1328),MONTH(B1328),1))</f>
        <v/>
      </c>
      <c r="O1328" s="7">
        <f>IF(COUNTA(A1328:K1328)=0,"",IF(OR(A1328="",B1328=""),"Preencher CPF e entrada",IF(COUNTIFS($A$12:$A$5011,A1328,$B$12:$B$5011,B1328)&gt;1,"CPF + dia duplicado",IF(OR(AND(G1328&lt;&gt;"",G1328&lt;&gt;0,G1328&lt;&gt;1),AND(H1328&lt;&gt;"",H1328&lt;&gt;0,H1328&lt;&gt;1)),"Flags devem ser 0 ou 1",IF(AND(H1328=1,LEN(TRIM(I1328))=0),"Preencher nome do indicante",IF(AND(H1328&lt;&gt;1,I1328&lt;&gt;""),"Nome sem indicação interna",IF(AND(G1328=1,F1328=""),"Fechamento sem conversa",IF(OR(AND(E1328&lt;&gt;"",E1328&lt;B1328),AND(F1328&lt;&gt;"",F1328&lt;B1328)),"Evento anterior à entrada",IF(AND(F1328&lt;&gt;"",E1328=""),"Conversa sem agendamento",IF(OR(E1328&gt;TODAY(),F1328&gt;TODAY()),"Verificar evento futuro","OK"))))))))))</f>
        <v/>
      </c>
    </row>
    <row r="1329" spans="12:15">
      <c r="L1329" s="5">
        <f>IF(OR(A1329="",B1329=""),"",B1329-WEEKDAY(B1329,2)+1)</f>
        <v/>
      </c>
      <c r="M1329" s="5">
        <f>IF(L1329="","",L1329+6)</f>
        <v/>
      </c>
      <c r="N1329" s="6">
        <f>IF(OR(A1329="",B1329=""),"",DATE(YEAR(B1329),MONTH(B1329),1))</f>
        <v/>
      </c>
      <c r="O1329" s="7">
        <f>IF(COUNTA(A1329:K1329)=0,"",IF(OR(A1329="",B1329=""),"Preencher CPF e entrada",IF(COUNTIFS($A$12:$A$5011,A1329,$B$12:$B$5011,B1329)&gt;1,"CPF + dia duplicado",IF(OR(AND(G1329&lt;&gt;"",G1329&lt;&gt;0,G1329&lt;&gt;1),AND(H1329&lt;&gt;"",H1329&lt;&gt;0,H1329&lt;&gt;1)),"Flags devem ser 0 ou 1",IF(AND(H1329=1,LEN(TRIM(I1329))=0),"Preencher nome do indicante",IF(AND(H1329&lt;&gt;1,I1329&lt;&gt;""),"Nome sem indicação interna",IF(AND(G1329=1,F1329=""),"Fechamento sem conversa",IF(OR(AND(E1329&lt;&gt;"",E1329&lt;B1329),AND(F1329&lt;&gt;"",F1329&lt;B1329)),"Evento anterior à entrada",IF(AND(F1329&lt;&gt;"",E1329=""),"Conversa sem agendamento",IF(OR(E1329&gt;TODAY(),F1329&gt;TODAY()),"Verificar evento futuro","OK"))))))))))</f>
        <v/>
      </c>
    </row>
    <row r="1330" spans="12:15">
      <c r="L1330" s="5">
        <f>IF(OR(A1330="",B1330=""),"",B1330-WEEKDAY(B1330,2)+1)</f>
        <v/>
      </c>
      <c r="M1330" s="5">
        <f>IF(L1330="","",L1330+6)</f>
        <v/>
      </c>
      <c r="N1330" s="6">
        <f>IF(OR(A1330="",B1330=""),"",DATE(YEAR(B1330),MONTH(B1330),1))</f>
        <v/>
      </c>
      <c r="O1330" s="7">
        <f>IF(COUNTA(A1330:K1330)=0,"",IF(OR(A1330="",B1330=""),"Preencher CPF e entrada",IF(COUNTIFS($A$12:$A$5011,A1330,$B$12:$B$5011,B1330)&gt;1,"CPF + dia duplicado",IF(OR(AND(G1330&lt;&gt;"",G1330&lt;&gt;0,G1330&lt;&gt;1),AND(H1330&lt;&gt;"",H1330&lt;&gt;0,H1330&lt;&gt;1)),"Flags devem ser 0 ou 1",IF(AND(H1330=1,LEN(TRIM(I1330))=0),"Preencher nome do indicante",IF(AND(H1330&lt;&gt;1,I1330&lt;&gt;""),"Nome sem indicação interna",IF(AND(G1330=1,F1330=""),"Fechamento sem conversa",IF(OR(AND(E1330&lt;&gt;"",E1330&lt;B1330),AND(F1330&lt;&gt;"",F1330&lt;B1330)),"Evento anterior à entrada",IF(AND(F1330&lt;&gt;"",E1330=""),"Conversa sem agendamento",IF(OR(E1330&gt;TODAY(),F1330&gt;TODAY()),"Verificar evento futuro","OK"))))))))))</f>
        <v/>
      </c>
    </row>
    <row r="1331" spans="12:15">
      <c r="L1331" s="5">
        <f>IF(OR(A1331="",B1331=""),"",B1331-WEEKDAY(B1331,2)+1)</f>
        <v/>
      </c>
      <c r="M1331" s="5">
        <f>IF(L1331="","",L1331+6)</f>
        <v/>
      </c>
      <c r="N1331" s="6">
        <f>IF(OR(A1331="",B1331=""),"",DATE(YEAR(B1331),MONTH(B1331),1))</f>
        <v/>
      </c>
      <c r="O1331" s="7">
        <f>IF(COUNTA(A1331:K1331)=0,"",IF(OR(A1331="",B1331=""),"Preencher CPF e entrada",IF(COUNTIFS($A$12:$A$5011,A1331,$B$12:$B$5011,B1331)&gt;1,"CPF + dia duplicado",IF(OR(AND(G1331&lt;&gt;"",G1331&lt;&gt;0,G1331&lt;&gt;1),AND(H1331&lt;&gt;"",H1331&lt;&gt;0,H1331&lt;&gt;1)),"Flags devem ser 0 ou 1",IF(AND(H1331=1,LEN(TRIM(I1331))=0),"Preencher nome do indicante",IF(AND(H1331&lt;&gt;1,I1331&lt;&gt;""),"Nome sem indicação interna",IF(AND(G1331=1,F1331=""),"Fechamento sem conversa",IF(OR(AND(E1331&lt;&gt;"",E1331&lt;B1331),AND(F1331&lt;&gt;"",F1331&lt;B1331)),"Evento anterior à entrada",IF(AND(F1331&lt;&gt;"",E1331=""),"Conversa sem agendamento",IF(OR(E1331&gt;TODAY(),F1331&gt;TODAY()),"Verificar evento futuro","OK"))))))))))</f>
        <v/>
      </c>
    </row>
    <row r="1332" spans="12:15">
      <c r="L1332" s="5">
        <f>IF(OR(A1332="",B1332=""),"",B1332-WEEKDAY(B1332,2)+1)</f>
        <v/>
      </c>
      <c r="M1332" s="5">
        <f>IF(L1332="","",L1332+6)</f>
        <v/>
      </c>
      <c r="N1332" s="6">
        <f>IF(OR(A1332="",B1332=""),"",DATE(YEAR(B1332),MONTH(B1332),1))</f>
        <v/>
      </c>
      <c r="O1332" s="7">
        <f>IF(COUNTA(A1332:K1332)=0,"",IF(OR(A1332="",B1332=""),"Preencher CPF e entrada",IF(COUNTIFS($A$12:$A$5011,A1332,$B$12:$B$5011,B1332)&gt;1,"CPF + dia duplicado",IF(OR(AND(G1332&lt;&gt;"",G1332&lt;&gt;0,G1332&lt;&gt;1),AND(H1332&lt;&gt;"",H1332&lt;&gt;0,H1332&lt;&gt;1)),"Flags devem ser 0 ou 1",IF(AND(H1332=1,LEN(TRIM(I1332))=0),"Preencher nome do indicante",IF(AND(H1332&lt;&gt;1,I1332&lt;&gt;""),"Nome sem indicação interna",IF(AND(G1332=1,F1332=""),"Fechamento sem conversa",IF(OR(AND(E1332&lt;&gt;"",E1332&lt;B1332),AND(F1332&lt;&gt;"",F1332&lt;B1332)),"Evento anterior à entrada",IF(AND(F1332&lt;&gt;"",E1332=""),"Conversa sem agendamento",IF(OR(E1332&gt;TODAY(),F1332&gt;TODAY()),"Verificar evento futuro","OK"))))))))))</f>
        <v/>
      </c>
    </row>
    <row r="1333" spans="12:15">
      <c r="L1333" s="5">
        <f>IF(OR(A1333="",B1333=""),"",B1333-WEEKDAY(B1333,2)+1)</f>
        <v/>
      </c>
      <c r="M1333" s="5">
        <f>IF(L1333="","",L1333+6)</f>
        <v/>
      </c>
      <c r="N1333" s="6">
        <f>IF(OR(A1333="",B1333=""),"",DATE(YEAR(B1333),MONTH(B1333),1))</f>
        <v/>
      </c>
      <c r="O1333" s="7">
        <f>IF(COUNTA(A1333:K1333)=0,"",IF(OR(A1333="",B1333=""),"Preencher CPF e entrada",IF(COUNTIFS($A$12:$A$5011,A1333,$B$12:$B$5011,B1333)&gt;1,"CPF + dia duplicado",IF(OR(AND(G1333&lt;&gt;"",G1333&lt;&gt;0,G1333&lt;&gt;1),AND(H1333&lt;&gt;"",H1333&lt;&gt;0,H1333&lt;&gt;1)),"Flags devem ser 0 ou 1",IF(AND(H1333=1,LEN(TRIM(I1333))=0),"Preencher nome do indicante",IF(AND(H1333&lt;&gt;1,I1333&lt;&gt;""),"Nome sem indicação interna",IF(AND(G1333=1,F1333=""),"Fechamento sem conversa",IF(OR(AND(E1333&lt;&gt;"",E1333&lt;B1333),AND(F1333&lt;&gt;"",F1333&lt;B1333)),"Evento anterior à entrada",IF(AND(F1333&lt;&gt;"",E1333=""),"Conversa sem agendamento",IF(OR(E1333&gt;TODAY(),F1333&gt;TODAY()),"Verificar evento futuro","OK"))))))))))</f>
        <v/>
      </c>
    </row>
    <row r="1334" spans="12:15">
      <c r="L1334" s="5">
        <f>IF(OR(A1334="",B1334=""),"",B1334-WEEKDAY(B1334,2)+1)</f>
        <v/>
      </c>
      <c r="M1334" s="5">
        <f>IF(L1334="","",L1334+6)</f>
        <v/>
      </c>
      <c r="N1334" s="6">
        <f>IF(OR(A1334="",B1334=""),"",DATE(YEAR(B1334),MONTH(B1334),1))</f>
        <v/>
      </c>
      <c r="O1334" s="7">
        <f>IF(COUNTA(A1334:K1334)=0,"",IF(OR(A1334="",B1334=""),"Preencher CPF e entrada",IF(COUNTIFS($A$12:$A$5011,A1334,$B$12:$B$5011,B1334)&gt;1,"CPF + dia duplicado",IF(OR(AND(G1334&lt;&gt;"",G1334&lt;&gt;0,G1334&lt;&gt;1),AND(H1334&lt;&gt;"",H1334&lt;&gt;0,H1334&lt;&gt;1)),"Flags devem ser 0 ou 1",IF(AND(H1334=1,LEN(TRIM(I1334))=0),"Preencher nome do indicante",IF(AND(H1334&lt;&gt;1,I1334&lt;&gt;""),"Nome sem indicação interna",IF(AND(G1334=1,F1334=""),"Fechamento sem conversa",IF(OR(AND(E1334&lt;&gt;"",E1334&lt;B1334),AND(F1334&lt;&gt;"",F1334&lt;B1334)),"Evento anterior à entrada",IF(AND(F1334&lt;&gt;"",E1334=""),"Conversa sem agendamento",IF(OR(E1334&gt;TODAY(),F1334&gt;TODAY()),"Verificar evento futuro","OK"))))))))))</f>
        <v/>
      </c>
    </row>
    <row r="1335" spans="12:15">
      <c r="L1335" s="5">
        <f>IF(OR(A1335="",B1335=""),"",B1335-WEEKDAY(B1335,2)+1)</f>
        <v/>
      </c>
      <c r="M1335" s="5">
        <f>IF(L1335="","",L1335+6)</f>
        <v/>
      </c>
      <c r="N1335" s="6">
        <f>IF(OR(A1335="",B1335=""),"",DATE(YEAR(B1335),MONTH(B1335),1))</f>
        <v/>
      </c>
      <c r="O1335" s="7">
        <f>IF(COUNTA(A1335:K1335)=0,"",IF(OR(A1335="",B1335=""),"Preencher CPF e entrada",IF(COUNTIFS($A$12:$A$5011,A1335,$B$12:$B$5011,B1335)&gt;1,"CPF + dia duplicado",IF(OR(AND(G1335&lt;&gt;"",G1335&lt;&gt;0,G1335&lt;&gt;1),AND(H1335&lt;&gt;"",H1335&lt;&gt;0,H1335&lt;&gt;1)),"Flags devem ser 0 ou 1",IF(AND(H1335=1,LEN(TRIM(I1335))=0),"Preencher nome do indicante",IF(AND(H1335&lt;&gt;1,I1335&lt;&gt;""),"Nome sem indicação interna",IF(AND(G1335=1,F1335=""),"Fechamento sem conversa",IF(OR(AND(E1335&lt;&gt;"",E1335&lt;B1335),AND(F1335&lt;&gt;"",F1335&lt;B1335)),"Evento anterior à entrada",IF(AND(F1335&lt;&gt;"",E1335=""),"Conversa sem agendamento",IF(OR(E1335&gt;TODAY(),F1335&gt;TODAY()),"Verificar evento futuro","OK"))))))))))</f>
        <v/>
      </c>
    </row>
    <row r="1336" spans="12:15">
      <c r="L1336" s="5">
        <f>IF(OR(A1336="",B1336=""),"",B1336-WEEKDAY(B1336,2)+1)</f>
        <v/>
      </c>
      <c r="M1336" s="5">
        <f>IF(L1336="","",L1336+6)</f>
        <v/>
      </c>
      <c r="N1336" s="6">
        <f>IF(OR(A1336="",B1336=""),"",DATE(YEAR(B1336),MONTH(B1336),1))</f>
        <v/>
      </c>
      <c r="O1336" s="7">
        <f>IF(COUNTA(A1336:K1336)=0,"",IF(OR(A1336="",B1336=""),"Preencher CPF e entrada",IF(COUNTIFS($A$12:$A$5011,A1336,$B$12:$B$5011,B1336)&gt;1,"CPF + dia duplicado",IF(OR(AND(G1336&lt;&gt;"",G1336&lt;&gt;0,G1336&lt;&gt;1),AND(H1336&lt;&gt;"",H1336&lt;&gt;0,H1336&lt;&gt;1)),"Flags devem ser 0 ou 1",IF(AND(H1336=1,LEN(TRIM(I1336))=0),"Preencher nome do indicante",IF(AND(H1336&lt;&gt;1,I1336&lt;&gt;""),"Nome sem indicação interna",IF(AND(G1336=1,F1336=""),"Fechamento sem conversa",IF(OR(AND(E1336&lt;&gt;"",E1336&lt;B1336),AND(F1336&lt;&gt;"",F1336&lt;B1336)),"Evento anterior à entrada",IF(AND(F1336&lt;&gt;"",E1336=""),"Conversa sem agendamento",IF(OR(E1336&gt;TODAY(),F1336&gt;TODAY()),"Verificar evento futuro","OK"))))))))))</f>
        <v/>
      </c>
    </row>
    <row r="1337" spans="12:15">
      <c r="L1337" s="5">
        <f>IF(OR(A1337="",B1337=""),"",B1337-WEEKDAY(B1337,2)+1)</f>
        <v/>
      </c>
      <c r="M1337" s="5">
        <f>IF(L1337="","",L1337+6)</f>
        <v/>
      </c>
      <c r="N1337" s="6">
        <f>IF(OR(A1337="",B1337=""),"",DATE(YEAR(B1337),MONTH(B1337),1))</f>
        <v/>
      </c>
      <c r="O1337" s="7">
        <f>IF(COUNTA(A1337:K1337)=0,"",IF(OR(A1337="",B1337=""),"Preencher CPF e entrada",IF(COUNTIFS($A$12:$A$5011,A1337,$B$12:$B$5011,B1337)&gt;1,"CPF + dia duplicado",IF(OR(AND(G1337&lt;&gt;"",G1337&lt;&gt;0,G1337&lt;&gt;1),AND(H1337&lt;&gt;"",H1337&lt;&gt;0,H1337&lt;&gt;1)),"Flags devem ser 0 ou 1",IF(AND(H1337=1,LEN(TRIM(I1337))=0),"Preencher nome do indicante",IF(AND(H1337&lt;&gt;1,I1337&lt;&gt;""),"Nome sem indicação interna",IF(AND(G1337=1,F1337=""),"Fechamento sem conversa",IF(OR(AND(E1337&lt;&gt;"",E1337&lt;B1337),AND(F1337&lt;&gt;"",F1337&lt;B1337)),"Evento anterior à entrada",IF(AND(F1337&lt;&gt;"",E1337=""),"Conversa sem agendamento",IF(OR(E1337&gt;TODAY(),F1337&gt;TODAY()),"Verificar evento futuro","OK"))))))))))</f>
        <v/>
      </c>
    </row>
    <row r="1338" spans="12:15">
      <c r="L1338" s="5">
        <f>IF(OR(A1338="",B1338=""),"",B1338-WEEKDAY(B1338,2)+1)</f>
        <v/>
      </c>
      <c r="M1338" s="5">
        <f>IF(L1338="","",L1338+6)</f>
        <v/>
      </c>
      <c r="N1338" s="6">
        <f>IF(OR(A1338="",B1338=""),"",DATE(YEAR(B1338),MONTH(B1338),1))</f>
        <v/>
      </c>
      <c r="O1338" s="7">
        <f>IF(COUNTA(A1338:K1338)=0,"",IF(OR(A1338="",B1338=""),"Preencher CPF e entrada",IF(COUNTIFS($A$12:$A$5011,A1338,$B$12:$B$5011,B1338)&gt;1,"CPF + dia duplicado",IF(OR(AND(G1338&lt;&gt;"",G1338&lt;&gt;0,G1338&lt;&gt;1),AND(H1338&lt;&gt;"",H1338&lt;&gt;0,H1338&lt;&gt;1)),"Flags devem ser 0 ou 1",IF(AND(H1338=1,LEN(TRIM(I1338))=0),"Preencher nome do indicante",IF(AND(H1338&lt;&gt;1,I1338&lt;&gt;""),"Nome sem indicação interna",IF(AND(G1338=1,F1338=""),"Fechamento sem conversa",IF(OR(AND(E1338&lt;&gt;"",E1338&lt;B1338),AND(F1338&lt;&gt;"",F1338&lt;B1338)),"Evento anterior à entrada",IF(AND(F1338&lt;&gt;"",E1338=""),"Conversa sem agendamento",IF(OR(E1338&gt;TODAY(),F1338&gt;TODAY()),"Verificar evento futuro","OK"))))))))))</f>
        <v/>
      </c>
    </row>
    <row r="1339" spans="12:15">
      <c r="L1339" s="5">
        <f>IF(OR(A1339="",B1339=""),"",B1339-WEEKDAY(B1339,2)+1)</f>
        <v/>
      </c>
      <c r="M1339" s="5">
        <f>IF(L1339="","",L1339+6)</f>
        <v/>
      </c>
      <c r="N1339" s="6">
        <f>IF(OR(A1339="",B1339=""),"",DATE(YEAR(B1339),MONTH(B1339),1))</f>
        <v/>
      </c>
      <c r="O1339" s="7">
        <f>IF(COUNTA(A1339:K1339)=0,"",IF(OR(A1339="",B1339=""),"Preencher CPF e entrada",IF(COUNTIFS($A$12:$A$5011,A1339,$B$12:$B$5011,B1339)&gt;1,"CPF + dia duplicado",IF(OR(AND(G1339&lt;&gt;"",G1339&lt;&gt;0,G1339&lt;&gt;1),AND(H1339&lt;&gt;"",H1339&lt;&gt;0,H1339&lt;&gt;1)),"Flags devem ser 0 ou 1",IF(AND(H1339=1,LEN(TRIM(I1339))=0),"Preencher nome do indicante",IF(AND(H1339&lt;&gt;1,I1339&lt;&gt;""),"Nome sem indicação interna",IF(AND(G1339=1,F1339=""),"Fechamento sem conversa",IF(OR(AND(E1339&lt;&gt;"",E1339&lt;B1339),AND(F1339&lt;&gt;"",F1339&lt;B1339)),"Evento anterior à entrada",IF(AND(F1339&lt;&gt;"",E1339=""),"Conversa sem agendamento",IF(OR(E1339&gt;TODAY(),F1339&gt;TODAY()),"Verificar evento futuro","OK"))))))))))</f>
        <v/>
      </c>
    </row>
    <row r="1340" spans="12:15">
      <c r="L1340" s="5">
        <f>IF(OR(A1340="",B1340=""),"",B1340-WEEKDAY(B1340,2)+1)</f>
        <v/>
      </c>
      <c r="M1340" s="5">
        <f>IF(L1340="","",L1340+6)</f>
        <v/>
      </c>
      <c r="N1340" s="6">
        <f>IF(OR(A1340="",B1340=""),"",DATE(YEAR(B1340),MONTH(B1340),1))</f>
        <v/>
      </c>
      <c r="O1340" s="7">
        <f>IF(COUNTA(A1340:K1340)=0,"",IF(OR(A1340="",B1340=""),"Preencher CPF e entrada",IF(COUNTIFS($A$12:$A$5011,A1340,$B$12:$B$5011,B1340)&gt;1,"CPF + dia duplicado",IF(OR(AND(G1340&lt;&gt;"",G1340&lt;&gt;0,G1340&lt;&gt;1),AND(H1340&lt;&gt;"",H1340&lt;&gt;0,H1340&lt;&gt;1)),"Flags devem ser 0 ou 1",IF(AND(H1340=1,LEN(TRIM(I1340))=0),"Preencher nome do indicante",IF(AND(H1340&lt;&gt;1,I1340&lt;&gt;""),"Nome sem indicação interna",IF(AND(G1340=1,F1340=""),"Fechamento sem conversa",IF(OR(AND(E1340&lt;&gt;"",E1340&lt;B1340),AND(F1340&lt;&gt;"",F1340&lt;B1340)),"Evento anterior à entrada",IF(AND(F1340&lt;&gt;"",E1340=""),"Conversa sem agendamento",IF(OR(E1340&gt;TODAY(),F1340&gt;TODAY()),"Verificar evento futuro","OK"))))))))))</f>
        <v/>
      </c>
    </row>
    <row r="1341" spans="12:15">
      <c r="L1341" s="5">
        <f>IF(OR(A1341="",B1341=""),"",B1341-WEEKDAY(B1341,2)+1)</f>
        <v/>
      </c>
      <c r="M1341" s="5">
        <f>IF(L1341="","",L1341+6)</f>
        <v/>
      </c>
      <c r="N1341" s="6">
        <f>IF(OR(A1341="",B1341=""),"",DATE(YEAR(B1341),MONTH(B1341),1))</f>
        <v/>
      </c>
      <c r="O1341" s="7">
        <f>IF(COUNTA(A1341:K1341)=0,"",IF(OR(A1341="",B1341=""),"Preencher CPF e entrada",IF(COUNTIFS($A$12:$A$5011,A1341,$B$12:$B$5011,B1341)&gt;1,"CPF + dia duplicado",IF(OR(AND(G1341&lt;&gt;"",G1341&lt;&gt;0,G1341&lt;&gt;1),AND(H1341&lt;&gt;"",H1341&lt;&gt;0,H1341&lt;&gt;1)),"Flags devem ser 0 ou 1",IF(AND(H1341=1,LEN(TRIM(I1341))=0),"Preencher nome do indicante",IF(AND(H1341&lt;&gt;1,I1341&lt;&gt;""),"Nome sem indicação interna",IF(AND(G1341=1,F1341=""),"Fechamento sem conversa",IF(OR(AND(E1341&lt;&gt;"",E1341&lt;B1341),AND(F1341&lt;&gt;"",F1341&lt;B1341)),"Evento anterior à entrada",IF(AND(F1341&lt;&gt;"",E1341=""),"Conversa sem agendamento",IF(OR(E1341&gt;TODAY(),F1341&gt;TODAY()),"Verificar evento futuro","OK"))))))))))</f>
        <v/>
      </c>
    </row>
    <row r="1342" spans="12:15">
      <c r="L1342" s="5">
        <f>IF(OR(A1342="",B1342=""),"",B1342-WEEKDAY(B1342,2)+1)</f>
        <v/>
      </c>
      <c r="M1342" s="5">
        <f>IF(L1342="","",L1342+6)</f>
        <v/>
      </c>
      <c r="N1342" s="6">
        <f>IF(OR(A1342="",B1342=""),"",DATE(YEAR(B1342),MONTH(B1342),1))</f>
        <v/>
      </c>
      <c r="O1342" s="7">
        <f>IF(COUNTA(A1342:K1342)=0,"",IF(OR(A1342="",B1342=""),"Preencher CPF e entrada",IF(COUNTIFS($A$12:$A$5011,A1342,$B$12:$B$5011,B1342)&gt;1,"CPF + dia duplicado",IF(OR(AND(G1342&lt;&gt;"",G1342&lt;&gt;0,G1342&lt;&gt;1),AND(H1342&lt;&gt;"",H1342&lt;&gt;0,H1342&lt;&gt;1)),"Flags devem ser 0 ou 1",IF(AND(H1342=1,LEN(TRIM(I1342))=0),"Preencher nome do indicante",IF(AND(H1342&lt;&gt;1,I1342&lt;&gt;""),"Nome sem indicação interna",IF(AND(G1342=1,F1342=""),"Fechamento sem conversa",IF(OR(AND(E1342&lt;&gt;"",E1342&lt;B1342),AND(F1342&lt;&gt;"",F1342&lt;B1342)),"Evento anterior à entrada",IF(AND(F1342&lt;&gt;"",E1342=""),"Conversa sem agendamento",IF(OR(E1342&gt;TODAY(),F1342&gt;TODAY()),"Verificar evento futuro","OK"))))))))))</f>
        <v/>
      </c>
    </row>
    <row r="1343" spans="12:15">
      <c r="L1343" s="5">
        <f>IF(OR(A1343="",B1343=""),"",B1343-WEEKDAY(B1343,2)+1)</f>
        <v/>
      </c>
      <c r="M1343" s="5">
        <f>IF(L1343="","",L1343+6)</f>
        <v/>
      </c>
      <c r="N1343" s="6">
        <f>IF(OR(A1343="",B1343=""),"",DATE(YEAR(B1343),MONTH(B1343),1))</f>
        <v/>
      </c>
      <c r="O1343" s="7">
        <f>IF(COUNTA(A1343:K1343)=0,"",IF(OR(A1343="",B1343=""),"Preencher CPF e entrada",IF(COUNTIFS($A$12:$A$5011,A1343,$B$12:$B$5011,B1343)&gt;1,"CPF + dia duplicado",IF(OR(AND(G1343&lt;&gt;"",G1343&lt;&gt;0,G1343&lt;&gt;1),AND(H1343&lt;&gt;"",H1343&lt;&gt;0,H1343&lt;&gt;1)),"Flags devem ser 0 ou 1",IF(AND(H1343=1,LEN(TRIM(I1343))=0),"Preencher nome do indicante",IF(AND(H1343&lt;&gt;1,I1343&lt;&gt;""),"Nome sem indicação interna",IF(AND(G1343=1,F1343=""),"Fechamento sem conversa",IF(OR(AND(E1343&lt;&gt;"",E1343&lt;B1343),AND(F1343&lt;&gt;"",F1343&lt;B1343)),"Evento anterior à entrada",IF(AND(F1343&lt;&gt;"",E1343=""),"Conversa sem agendamento",IF(OR(E1343&gt;TODAY(),F1343&gt;TODAY()),"Verificar evento futuro","OK"))))))))))</f>
        <v/>
      </c>
    </row>
    <row r="1344" spans="12:15">
      <c r="L1344" s="5">
        <f>IF(OR(A1344="",B1344=""),"",B1344-WEEKDAY(B1344,2)+1)</f>
        <v/>
      </c>
      <c r="M1344" s="5">
        <f>IF(L1344="","",L1344+6)</f>
        <v/>
      </c>
      <c r="N1344" s="6">
        <f>IF(OR(A1344="",B1344=""),"",DATE(YEAR(B1344),MONTH(B1344),1))</f>
        <v/>
      </c>
      <c r="O1344" s="7">
        <f>IF(COUNTA(A1344:K1344)=0,"",IF(OR(A1344="",B1344=""),"Preencher CPF e entrada",IF(COUNTIFS($A$12:$A$5011,A1344,$B$12:$B$5011,B1344)&gt;1,"CPF + dia duplicado",IF(OR(AND(G1344&lt;&gt;"",G1344&lt;&gt;0,G1344&lt;&gt;1),AND(H1344&lt;&gt;"",H1344&lt;&gt;0,H1344&lt;&gt;1)),"Flags devem ser 0 ou 1",IF(AND(H1344=1,LEN(TRIM(I1344))=0),"Preencher nome do indicante",IF(AND(H1344&lt;&gt;1,I1344&lt;&gt;""),"Nome sem indicação interna",IF(AND(G1344=1,F1344=""),"Fechamento sem conversa",IF(OR(AND(E1344&lt;&gt;"",E1344&lt;B1344),AND(F1344&lt;&gt;"",F1344&lt;B1344)),"Evento anterior à entrada",IF(AND(F1344&lt;&gt;"",E1344=""),"Conversa sem agendamento",IF(OR(E1344&gt;TODAY(),F1344&gt;TODAY()),"Verificar evento futuro","OK"))))))))))</f>
        <v/>
      </c>
    </row>
    <row r="1345" spans="12:15">
      <c r="L1345" s="5">
        <f>IF(OR(A1345="",B1345=""),"",B1345-WEEKDAY(B1345,2)+1)</f>
        <v/>
      </c>
      <c r="M1345" s="5">
        <f>IF(L1345="","",L1345+6)</f>
        <v/>
      </c>
      <c r="N1345" s="6">
        <f>IF(OR(A1345="",B1345=""),"",DATE(YEAR(B1345),MONTH(B1345),1))</f>
        <v/>
      </c>
      <c r="O1345" s="7">
        <f>IF(COUNTA(A1345:K1345)=0,"",IF(OR(A1345="",B1345=""),"Preencher CPF e entrada",IF(COUNTIFS($A$12:$A$5011,A1345,$B$12:$B$5011,B1345)&gt;1,"CPF + dia duplicado",IF(OR(AND(G1345&lt;&gt;"",G1345&lt;&gt;0,G1345&lt;&gt;1),AND(H1345&lt;&gt;"",H1345&lt;&gt;0,H1345&lt;&gt;1)),"Flags devem ser 0 ou 1",IF(AND(H1345=1,LEN(TRIM(I1345))=0),"Preencher nome do indicante",IF(AND(H1345&lt;&gt;1,I1345&lt;&gt;""),"Nome sem indicação interna",IF(AND(G1345=1,F1345=""),"Fechamento sem conversa",IF(OR(AND(E1345&lt;&gt;"",E1345&lt;B1345),AND(F1345&lt;&gt;"",F1345&lt;B1345)),"Evento anterior à entrada",IF(AND(F1345&lt;&gt;"",E1345=""),"Conversa sem agendamento",IF(OR(E1345&gt;TODAY(),F1345&gt;TODAY()),"Verificar evento futuro","OK"))))))))))</f>
        <v/>
      </c>
    </row>
    <row r="1346" spans="12:15">
      <c r="L1346" s="5">
        <f>IF(OR(A1346="",B1346=""),"",B1346-WEEKDAY(B1346,2)+1)</f>
        <v/>
      </c>
      <c r="M1346" s="5">
        <f>IF(L1346="","",L1346+6)</f>
        <v/>
      </c>
      <c r="N1346" s="6">
        <f>IF(OR(A1346="",B1346=""),"",DATE(YEAR(B1346),MONTH(B1346),1))</f>
        <v/>
      </c>
      <c r="O1346" s="7">
        <f>IF(COUNTA(A1346:K1346)=0,"",IF(OR(A1346="",B1346=""),"Preencher CPF e entrada",IF(COUNTIFS($A$12:$A$5011,A1346,$B$12:$B$5011,B1346)&gt;1,"CPF + dia duplicado",IF(OR(AND(G1346&lt;&gt;"",G1346&lt;&gt;0,G1346&lt;&gt;1),AND(H1346&lt;&gt;"",H1346&lt;&gt;0,H1346&lt;&gt;1)),"Flags devem ser 0 ou 1",IF(AND(H1346=1,LEN(TRIM(I1346))=0),"Preencher nome do indicante",IF(AND(H1346&lt;&gt;1,I1346&lt;&gt;""),"Nome sem indicação interna",IF(AND(G1346=1,F1346=""),"Fechamento sem conversa",IF(OR(AND(E1346&lt;&gt;"",E1346&lt;B1346),AND(F1346&lt;&gt;"",F1346&lt;B1346)),"Evento anterior à entrada",IF(AND(F1346&lt;&gt;"",E1346=""),"Conversa sem agendamento",IF(OR(E1346&gt;TODAY(),F1346&gt;TODAY()),"Verificar evento futuro","OK"))))))))))</f>
        <v/>
      </c>
    </row>
    <row r="1347" spans="12:15">
      <c r="L1347" s="5">
        <f>IF(OR(A1347="",B1347=""),"",B1347-WEEKDAY(B1347,2)+1)</f>
        <v/>
      </c>
      <c r="M1347" s="5">
        <f>IF(L1347="","",L1347+6)</f>
        <v/>
      </c>
      <c r="N1347" s="6">
        <f>IF(OR(A1347="",B1347=""),"",DATE(YEAR(B1347),MONTH(B1347),1))</f>
        <v/>
      </c>
      <c r="O1347" s="7">
        <f>IF(COUNTA(A1347:K1347)=0,"",IF(OR(A1347="",B1347=""),"Preencher CPF e entrada",IF(COUNTIFS($A$12:$A$5011,A1347,$B$12:$B$5011,B1347)&gt;1,"CPF + dia duplicado",IF(OR(AND(G1347&lt;&gt;"",G1347&lt;&gt;0,G1347&lt;&gt;1),AND(H1347&lt;&gt;"",H1347&lt;&gt;0,H1347&lt;&gt;1)),"Flags devem ser 0 ou 1",IF(AND(H1347=1,LEN(TRIM(I1347))=0),"Preencher nome do indicante",IF(AND(H1347&lt;&gt;1,I1347&lt;&gt;""),"Nome sem indicação interna",IF(AND(G1347=1,F1347=""),"Fechamento sem conversa",IF(OR(AND(E1347&lt;&gt;"",E1347&lt;B1347),AND(F1347&lt;&gt;"",F1347&lt;B1347)),"Evento anterior à entrada",IF(AND(F1347&lt;&gt;"",E1347=""),"Conversa sem agendamento",IF(OR(E1347&gt;TODAY(),F1347&gt;TODAY()),"Verificar evento futuro","OK"))))))))))</f>
        <v/>
      </c>
    </row>
    <row r="1348" spans="12:15">
      <c r="L1348" s="5">
        <f>IF(OR(A1348="",B1348=""),"",B1348-WEEKDAY(B1348,2)+1)</f>
        <v/>
      </c>
      <c r="M1348" s="5">
        <f>IF(L1348="","",L1348+6)</f>
        <v/>
      </c>
      <c r="N1348" s="6">
        <f>IF(OR(A1348="",B1348=""),"",DATE(YEAR(B1348),MONTH(B1348),1))</f>
        <v/>
      </c>
      <c r="O1348" s="7">
        <f>IF(COUNTA(A1348:K1348)=0,"",IF(OR(A1348="",B1348=""),"Preencher CPF e entrada",IF(COUNTIFS($A$12:$A$5011,A1348,$B$12:$B$5011,B1348)&gt;1,"CPF + dia duplicado",IF(OR(AND(G1348&lt;&gt;"",G1348&lt;&gt;0,G1348&lt;&gt;1),AND(H1348&lt;&gt;"",H1348&lt;&gt;0,H1348&lt;&gt;1)),"Flags devem ser 0 ou 1",IF(AND(H1348=1,LEN(TRIM(I1348))=0),"Preencher nome do indicante",IF(AND(H1348&lt;&gt;1,I1348&lt;&gt;""),"Nome sem indicação interna",IF(AND(G1348=1,F1348=""),"Fechamento sem conversa",IF(OR(AND(E1348&lt;&gt;"",E1348&lt;B1348),AND(F1348&lt;&gt;"",F1348&lt;B1348)),"Evento anterior à entrada",IF(AND(F1348&lt;&gt;"",E1348=""),"Conversa sem agendamento",IF(OR(E1348&gt;TODAY(),F1348&gt;TODAY()),"Verificar evento futuro","OK"))))))))))</f>
        <v/>
      </c>
    </row>
    <row r="1349" spans="12:15">
      <c r="L1349" s="5">
        <f>IF(OR(A1349="",B1349=""),"",B1349-WEEKDAY(B1349,2)+1)</f>
        <v/>
      </c>
      <c r="M1349" s="5">
        <f>IF(L1349="","",L1349+6)</f>
        <v/>
      </c>
      <c r="N1349" s="6">
        <f>IF(OR(A1349="",B1349=""),"",DATE(YEAR(B1349),MONTH(B1349),1))</f>
        <v/>
      </c>
      <c r="O1349" s="7">
        <f>IF(COUNTA(A1349:K1349)=0,"",IF(OR(A1349="",B1349=""),"Preencher CPF e entrada",IF(COUNTIFS($A$12:$A$5011,A1349,$B$12:$B$5011,B1349)&gt;1,"CPF + dia duplicado",IF(OR(AND(G1349&lt;&gt;"",G1349&lt;&gt;0,G1349&lt;&gt;1),AND(H1349&lt;&gt;"",H1349&lt;&gt;0,H1349&lt;&gt;1)),"Flags devem ser 0 ou 1",IF(AND(H1349=1,LEN(TRIM(I1349))=0),"Preencher nome do indicante",IF(AND(H1349&lt;&gt;1,I1349&lt;&gt;""),"Nome sem indicação interna",IF(AND(G1349=1,F1349=""),"Fechamento sem conversa",IF(OR(AND(E1349&lt;&gt;"",E1349&lt;B1349),AND(F1349&lt;&gt;"",F1349&lt;B1349)),"Evento anterior à entrada",IF(AND(F1349&lt;&gt;"",E1349=""),"Conversa sem agendamento",IF(OR(E1349&gt;TODAY(),F1349&gt;TODAY()),"Verificar evento futuro","OK"))))))))))</f>
        <v/>
      </c>
    </row>
    <row r="1350" spans="12:15">
      <c r="L1350" s="5">
        <f>IF(OR(A1350="",B1350=""),"",B1350-WEEKDAY(B1350,2)+1)</f>
        <v/>
      </c>
      <c r="M1350" s="5">
        <f>IF(L1350="","",L1350+6)</f>
        <v/>
      </c>
      <c r="N1350" s="6">
        <f>IF(OR(A1350="",B1350=""),"",DATE(YEAR(B1350),MONTH(B1350),1))</f>
        <v/>
      </c>
      <c r="O1350" s="7">
        <f>IF(COUNTA(A1350:K1350)=0,"",IF(OR(A1350="",B1350=""),"Preencher CPF e entrada",IF(COUNTIFS($A$12:$A$5011,A1350,$B$12:$B$5011,B1350)&gt;1,"CPF + dia duplicado",IF(OR(AND(G1350&lt;&gt;"",G1350&lt;&gt;0,G1350&lt;&gt;1),AND(H1350&lt;&gt;"",H1350&lt;&gt;0,H1350&lt;&gt;1)),"Flags devem ser 0 ou 1",IF(AND(H1350=1,LEN(TRIM(I1350))=0),"Preencher nome do indicante",IF(AND(H1350&lt;&gt;1,I1350&lt;&gt;""),"Nome sem indicação interna",IF(AND(G1350=1,F1350=""),"Fechamento sem conversa",IF(OR(AND(E1350&lt;&gt;"",E1350&lt;B1350),AND(F1350&lt;&gt;"",F1350&lt;B1350)),"Evento anterior à entrada",IF(AND(F1350&lt;&gt;"",E1350=""),"Conversa sem agendamento",IF(OR(E1350&gt;TODAY(),F1350&gt;TODAY()),"Verificar evento futuro","OK"))))))))))</f>
        <v/>
      </c>
    </row>
    <row r="1351" spans="12:15">
      <c r="L1351" s="5">
        <f>IF(OR(A1351="",B1351=""),"",B1351-WEEKDAY(B1351,2)+1)</f>
        <v/>
      </c>
      <c r="M1351" s="5">
        <f>IF(L1351="","",L1351+6)</f>
        <v/>
      </c>
      <c r="N1351" s="6">
        <f>IF(OR(A1351="",B1351=""),"",DATE(YEAR(B1351),MONTH(B1351),1))</f>
        <v/>
      </c>
      <c r="O1351" s="7">
        <f>IF(COUNTA(A1351:K1351)=0,"",IF(OR(A1351="",B1351=""),"Preencher CPF e entrada",IF(COUNTIFS($A$12:$A$5011,A1351,$B$12:$B$5011,B1351)&gt;1,"CPF + dia duplicado",IF(OR(AND(G1351&lt;&gt;"",G1351&lt;&gt;0,G1351&lt;&gt;1),AND(H1351&lt;&gt;"",H1351&lt;&gt;0,H1351&lt;&gt;1)),"Flags devem ser 0 ou 1",IF(AND(H1351=1,LEN(TRIM(I1351))=0),"Preencher nome do indicante",IF(AND(H1351&lt;&gt;1,I1351&lt;&gt;""),"Nome sem indicação interna",IF(AND(G1351=1,F1351=""),"Fechamento sem conversa",IF(OR(AND(E1351&lt;&gt;"",E1351&lt;B1351),AND(F1351&lt;&gt;"",F1351&lt;B1351)),"Evento anterior à entrada",IF(AND(F1351&lt;&gt;"",E1351=""),"Conversa sem agendamento",IF(OR(E1351&gt;TODAY(),F1351&gt;TODAY()),"Verificar evento futuro","OK"))))))))))</f>
        <v/>
      </c>
    </row>
    <row r="1352" spans="12:15">
      <c r="L1352" s="5">
        <f>IF(OR(A1352="",B1352=""),"",B1352-WEEKDAY(B1352,2)+1)</f>
        <v/>
      </c>
      <c r="M1352" s="5">
        <f>IF(L1352="","",L1352+6)</f>
        <v/>
      </c>
      <c r="N1352" s="6">
        <f>IF(OR(A1352="",B1352=""),"",DATE(YEAR(B1352),MONTH(B1352),1))</f>
        <v/>
      </c>
      <c r="O1352" s="7">
        <f>IF(COUNTA(A1352:K1352)=0,"",IF(OR(A1352="",B1352=""),"Preencher CPF e entrada",IF(COUNTIFS($A$12:$A$5011,A1352,$B$12:$B$5011,B1352)&gt;1,"CPF + dia duplicado",IF(OR(AND(G1352&lt;&gt;"",G1352&lt;&gt;0,G1352&lt;&gt;1),AND(H1352&lt;&gt;"",H1352&lt;&gt;0,H1352&lt;&gt;1)),"Flags devem ser 0 ou 1",IF(AND(H1352=1,LEN(TRIM(I1352))=0),"Preencher nome do indicante",IF(AND(H1352&lt;&gt;1,I1352&lt;&gt;""),"Nome sem indicação interna",IF(AND(G1352=1,F1352=""),"Fechamento sem conversa",IF(OR(AND(E1352&lt;&gt;"",E1352&lt;B1352),AND(F1352&lt;&gt;"",F1352&lt;B1352)),"Evento anterior à entrada",IF(AND(F1352&lt;&gt;"",E1352=""),"Conversa sem agendamento",IF(OR(E1352&gt;TODAY(),F1352&gt;TODAY()),"Verificar evento futuro","OK"))))))))))</f>
        <v/>
      </c>
    </row>
    <row r="1353" spans="12:15">
      <c r="L1353" s="5">
        <f>IF(OR(A1353="",B1353=""),"",B1353-WEEKDAY(B1353,2)+1)</f>
        <v/>
      </c>
      <c r="M1353" s="5">
        <f>IF(L1353="","",L1353+6)</f>
        <v/>
      </c>
      <c r="N1353" s="6">
        <f>IF(OR(A1353="",B1353=""),"",DATE(YEAR(B1353),MONTH(B1353),1))</f>
        <v/>
      </c>
      <c r="O1353" s="7">
        <f>IF(COUNTA(A1353:K1353)=0,"",IF(OR(A1353="",B1353=""),"Preencher CPF e entrada",IF(COUNTIFS($A$12:$A$5011,A1353,$B$12:$B$5011,B1353)&gt;1,"CPF + dia duplicado",IF(OR(AND(G1353&lt;&gt;"",G1353&lt;&gt;0,G1353&lt;&gt;1),AND(H1353&lt;&gt;"",H1353&lt;&gt;0,H1353&lt;&gt;1)),"Flags devem ser 0 ou 1",IF(AND(H1353=1,LEN(TRIM(I1353))=0),"Preencher nome do indicante",IF(AND(H1353&lt;&gt;1,I1353&lt;&gt;""),"Nome sem indicação interna",IF(AND(G1353=1,F1353=""),"Fechamento sem conversa",IF(OR(AND(E1353&lt;&gt;"",E1353&lt;B1353),AND(F1353&lt;&gt;"",F1353&lt;B1353)),"Evento anterior à entrada",IF(AND(F1353&lt;&gt;"",E1353=""),"Conversa sem agendamento",IF(OR(E1353&gt;TODAY(),F1353&gt;TODAY()),"Verificar evento futuro","OK"))))))))))</f>
        <v/>
      </c>
    </row>
    <row r="1354" spans="12:15">
      <c r="L1354" s="5">
        <f>IF(OR(A1354="",B1354=""),"",B1354-WEEKDAY(B1354,2)+1)</f>
        <v/>
      </c>
      <c r="M1354" s="5">
        <f>IF(L1354="","",L1354+6)</f>
        <v/>
      </c>
      <c r="N1354" s="6">
        <f>IF(OR(A1354="",B1354=""),"",DATE(YEAR(B1354),MONTH(B1354),1))</f>
        <v/>
      </c>
      <c r="O1354" s="7">
        <f>IF(COUNTA(A1354:K1354)=0,"",IF(OR(A1354="",B1354=""),"Preencher CPF e entrada",IF(COUNTIFS($A$12:$A$5011,A1354,$B$12:$B$5011,B1354)&gt;1,"CPF + dia duplicado",IF(OR(AND(G1354&lt;&gt;"",G1354&lt;&gt;0,G1354&lt;&gt;1),AND(H1354&lt;&gt;"",H1354&lt;&gt;0,H1354&lt;&gt;1)),"Flags devem ser 0 ou 1",IF(AND(H1354=1,LEN(TRIM(I1354))=0),"Preencher nome do indicante",IF(AND(H1354&lt;&gt;1,I1354&lt;&gt;""),"Nome sem indicação interna",IF(AND(G1354=1,F1354=""),"Fechamento sem conversa",IF(OR(AND(E1354&lt;&gt;"",E1354&lt;B1354),AND(F1354&lt;&gt;"",F1354&lt;B1354)),"Evento anterior à entrada",IF(AND(F1354&lt;&gt;"",E1354=""),"Conversa sem agendamento",IF(OR(E1354&gt;TODAY(),F1354&gt;TODAY()),"Verificar evento futuro","OK"))))))))))</f>
        <v/>
      </c>
    </row>
    <row r="1355" spans="12:15">
      <c r="L1355" s="5">
        <f>IF(OR(A1355="",B1355=""),"",B1355-WEEKDAY(B1355,2)+1)</f>
        <v/>
      </c>
      <c r="M1355" s="5">
        <f>IF(L1355="","",L1355+6)</f>
        <v/>
      </c>
      <c r="N1355" s="6">
        <f>IF(OR(A1355="",B1355=""),"",DATE(YEAR(B1355),MONTH(B1355),1))</f>
        <v/>
      </c>
      <c r="O1355" s="7">
        <f>IF(COUNTA(A1355:K1355)=0,"",IF(OR(A1355="",B1355=""),"Preencher CPF e entrada",IF(COUNTIFS($A$12:$A$5011,A1355,$B$12:$B$5011,B1355)&gt;1,"CPF + dia duplicado",IF(OR(AND(G1355&lt;&gt;"",G1355&lt;&gt;0,G1355&lt;&gt;1),AND(H1355&lt;&gt;"",H1355&lt;&gt;0,H1355&lt;&gt;1)),"Flags devem ser 0 ou 1",IF(AND(H1355=1,LEN(TRIM(I1355))=0),"Preencher nome do indicante",IF(AND(H1355&lt;&gt;1,I1355&lt;&gt;""),"Nome sem indicação interna",IF(AND(G1355=1,F1355=""),"Fechamento sem conversa",IF(OR(AND(E1355&lt;&gt;"",E1355&lt;B1355),AND(F1355&lt;&gt;"",F1355&lt;B1355)),"Evento anterior à entrada",IF(AND(F1355&lt;&gt;"",E1355=""),"Conversa sem agendamento",IF(OR(E1355&gt;TODAY(),F1355&gt;TODAY()),"Verificar evento futuro","OK"))))))))))</f>
        <v/>
      </c>
    </row>
    <row r="1356" spans="12:15">
      <c r="L1356" s="5">
        <f>IF(OR(A1356="",B1356=""),"",B1356-WEEKDAY(B1356,2)+1)</f>
        <v/>
      </c>
      <c r="M1356" s="5">
        <f>IF(L1356="","",L1356+6)</f>
        <v/>
      </c>
      <c r="N1356" s="6">
        <f>IF(OR(A1356="",B1356=""),"",DATE(YEAR(B1356),MONTH(B1356),1))</f>
        <v/>
      </c>
      <c r="O1356" s="7">
        <f>IF(COUNTA(A1356:K1356)=0,"",IF(OR(A1356="",B1356=""),"Preencher CPF e entrada",IF(COUNTIFS($A$12:$A$5011,A1356,$B$12:$B$5011,B1356)&gt;1,"CPF + dia duplicado",IF(OR(AND(G1356&lt;&gt;"",G1356&lt;&gt;0,G1356&lt;&gt;1),AND(H1356&lt;&gt;"",H1356&lt;&gt;0,H1356&lt;&gt;1)),"Flags devem ser 0 ou 1",IF(AND(H1356=1,LEN(TRIM(I1356))=0),"Preencher nome do indicante",IF(AND(H1356&lt;&gt;1,I1356&lt;&gt;""),"Nome sem indicação interna",IF(AND(G1356=1,F1356=""),"Fechamento sem conversa",IF(OR(AND(E1356&lt;&gt;"",E1356&lt;B1356),AND(F1356&lt;&gt;"",F1356&lt;B1356)),"Evento anterior à entrada",IF(AND(F1356&lt;&gt;"",E1356=""),"Conversa sem agendamento",IF(OR(E1356&gt;TODAY(),F1356&gt;TODAY()),"Verificar evento futuro","OK"))))))))))</f>
        <v/>
      </c>
    </row>
    <row r="1357" spans="12:15">
      <c r="L1357" s="5">
        <f>IF(OR(A1357="",B1357=""),"",B1357-WEEKDAY(B1357,2)+1)</f>
        <v/>
      </c>
      <c r="M1357" s="5">
        <f>IF(L1357="","",L1357+6)</f>
        <v/>
      </c>
      <c r="N1357" s="6">
        <f>IF(OR(A1357="",B1357=""),"",DATE(YEAR(B1357),MONTH(B1357),1))</f>
        <v/>
      </c>
      <c r="O1357" s="7">
        <f>IF(COUNTA(A1357:K1357)=0,"",IF(OR(A1357="",B1357=""),"Preencher CPF e entrada",IF(COUNTIFS($A$12:$A$5011,A1357,$B$12:$B$5011,B1357)&gt;1,"CPF + dia duplicado",IF(OR(AND(G1357&lt;&gt;"",G1357&lt;&gt;0,G1357&lt;&gt;1),AND(H1357&lt;&gt;"",H1357&lt;&gt;0,H1357&lt;&gt;1)),"Flags devem ser 0 ou 1",IF(AND(H1357=1,LEN(TRIM(I1357))=0),"Preencher nome do indicante",IF(AND(H1357&lt;&gt;1,I1357&lt;&gt;""),"Nome sem indicação interna",IF(AND(G1357=1,F1357=""),"Fechamento sem conversa",IF(OR(AND(E1357&lt;&gt;"",E1357&lt;B1357),AND(F1357&lt;&gt;"",F1357&lt;B1357)),"Evento anterior à entrada",IF(AND(F1357&lt;&gt;"",E1357=""),"Conversa sem agendamento",IF(OR(E1357&gt;TODAY(),F1357&gt;TODAY()),"Verificar evento futuro","OK"))))))))))</f>
        <v/>
      </c>
    </row>
    <row r="1358" spans="12:15">
      <c r="L1358" s="5">
        <f>IF(OR(A1358="",B1358=""),"",B1358-WEEKDAY(B1358,2)+1)</f>
        <v/>
      </c>
      <c r="M1358" s="5">
        <f>IF(L1358="","",L1358+6)</f>
        <v/>
      </c>
      <c r="N1358" s="6">
        <f>IF(OR(A1358="",B1358=""),"",DATE(YEAR(B1358),MONTH(B1358),1))</f>
        <v/>
      </c>
      <c r="O1358" s="7">
        <f>IF(COUNTA(A1358:K1358)=0,"",IF(OR(A1358="",B1358=""),"Preencher CPF e entrada",IF(COUNTIFS($A$12:$A$5011,A1358,$B$12:$B$5011,B1358)&gt;1,"CPF + dia duplicado",IF(OR(AND(G1358&lt;&gt;"",G1358&lt;&gt;0,G1358&lt;&gt;1),AND(H1358&lt;&gt;"",H1358&lt;&gt;0,H1358&lt;&gt;1)),"Flags devem ser 0 ou 1",IF(AND(H1358=1,LEN(TRIM(I1358))=0),"Preencher nome do indicante",IF(AND(H1358&lt;&gt;1,I1358&lt;&gt;""),"Nome sem indicação interna",IF(AND(G1358=1,F1358=""),"Fechamento sem conversa",IF(OR(AND(E1358&lt;&gt;"",E1358&lt;B1358),AND(F1358&lt;&gt;"",F1358&lt;B1358)),"Evento anterior à entrada",IF(AND(F1358&lt;&gt;"",E1358=""),"Conversa sem agendamento",IF(OR(E1358&gt;TODAY(),F1358&gt;TODAY()),"Verificar evento futuro","OK"))))))))))</f>
        <v/>
      </c>
    </row>
    <row r="1359" spans="12:15">
      <c r="L1359" s="5">
        <f>IF(OR(A1359="",B1359=""),"",B1359-WEEKDAY(B1359,2)+1)</f>
        <v/>
      </c>
      <c r="M1359" s="5">
        <f>IF(L1359="","",L1359+6)</f>
        <v/>
      </c>
      <c r="N1359" s="6">
        <f>IF(OR(A1359="",B1359=""),"",DATE(YEAR(B1359),MONTH(B1359),1))</f>
        <v/>
      </c>
      <c r="O1359" s="7">
        <f>IF(COUNTA(A1359:K1359)=0,"",IF(OR(A1359="",B1359=""),"Preencher CPF e entrada",IF(COUNTIFS($A$12:$A$5011,A1359,$B$12:$B$5011,B1359)&gt;1,"CPF + dia duplicado",IF(OR(AND(G1359&lt;&gt;"",G1359&lt;&gt;0,G1359&lt;&gt;1),AND(H1359&lt;&gt;"",H1359&lt;&gt;0,H1359&lt;&gt;1)),"Flags devem ser 0 ou 1",IF(AND(H1359=1,LEN(TRIM(I1359))=0),"Preencher nome do indicante",IF(AND(H1359&lt;&gt;1,I1359&lt;&gt;""),"Nome sem indicação interna",IF(AND(G1359=1,F1359=""),"Fechamento sem conversa",IF(OR(AND(E1359&lt;&gt;"",E1359&lt;B1359),AND(F1359&lt;&gt;"",F1359&lt;B1359)),"Evento anterior à entrada",IF(AND(F1359&lt;&gt;"",E1359=""),"Conversa sem agendamento",IF(OR(E1359&gt;TODAY(),F1359&gt;TODAY()),"Verificar evento futuro","OK"))))))))))</f>
        <v/>
      </c>
    </row>
    <row r="1360" spans="12:15">
      <c r="L1360" s="5">
        <f>IF(OR(A1360="",B1360=""),"",B1360-WEEKDAY(B1360,2)+1)</f>
        <v/>
      </c>
      <c r="M1360" s="5">
        <f>IF(L1360="","",L1360+6)</f>
        <v/>
      </c>
      <c r="N1360" s="6">
        <f>IF(OR(A1360="",B1360=""),"",DATE(YEAR(B1360),MONTH(B1360),1))</f>
        <v/>
      </c>
      <c r="O1360" s="7">
        <f>IF(COUNTA(A1360:K1360)=0,"",IF(OR(A1360="",B1360=""),"Preencher CPF e entrada",IF(COUNTIFS($A$12:$A$5011,A1360,$B$12:$B$5011,B1360)&gt;1,"CPF + dia duplicado",IF(OR(AND(G1360&lt;&gt;"",G1360&lt;&gt;0,G1360&lt;&gt;1),AND(H1360&lt;&gt;"",H1360&lt;&gt;0,H1360&lt;&gt;1)),"Flags devem ser 0 ou 1",IF(AND(H1360=1,LEN(TRIM(I1360))=0),"Preencher nome do indicante",IF(AND(H1360&lt;&gt;1,I1360&lt;&gt;""),"Nome sem indicação interna",IF(AND(G1360=1,F1360=""),"Fechamento sem conversa",IF(OR(AND(E1360&lt;&gt;"",E1360&lt;B1360),AND(F1360&lt;&gt;"",F1360&lt;B1360)),"Evento anterior à entrada",IF(AND(F1360&lt;&gt;"",E1360=""),"Conversa sem agendamento",IF(OR(E1360&gt;TODAY(),F1360&gt;TODAY()),"Verificar evento futuro","OK"))))))))))</f>
        <v/>
      </c>
    </row>
    <row r="1361" spans="12:15">
      <c r="L1361" s="5">
        <f>IF(OR(A1361="",B1361=""),"",B1361-WEEKDAY(B1361,2)+1)</f>
        <v/>
      </c>
      <c r="M1361" s="5">
        <f>IF(L1361="","",L1361+6)</f>
        <v/>
      </c>
      <c r="N1361" s="6">
        <f>IF(OR(A1361="",B1361=""),"",DATE(YEAR(B1361),MONTH(B1361),1))</f>
        <v/>
      </c>
      <c r="O1361" s="7">
        <f>IF(COUNTA(A1361:K1361)=0,"",IF(OR(A1361="",B1361=""),"Preencher CPF e entrada",IF(COUNTIFS($A$12:$A$5011,A1361,$B$12:$B$5011,B1361)&gt;1,"CPF + dia duplicado",IF(OR(AND(G1361&lt;&gt;"",G1361&lt;&gt;0,G1361&lt;&gt;1),AND(H1361&lt;&gt;"",H1361&lt;&gt;0,H1361&lt;&gt;1)),"Flags devem ser 0 ou 1",IF(AND(H1361=1,LEN(TRIM(I1361))=0),"Preencher nome do indicante",IF(AND(H1361&lt;&gt;1,I1361&lt;&gt;""),"Nome sem indicação interna",IF(AND(G1361=1,F1361=""),"Fechamento sem conversa",IF(OR(AND(E1361&lt;&gt;"",E1361&lt;B1361),AND(F1361&lt;&gt;"",F1361&lt;B1361)),"Evento anterior à entrada",IF(AND(F1361&lt;&gt;"",E1361=""),"Conversa sem agendamento",IF(OR(E1361&gt;TODAY(),F1361&gt;TODAY()),"Verificar evento futuro","OK"))))))))))</f>
        <v/>
      </c>
    </row>
    <row r="1362" spans="12:15">
      <c r="L1362" s="5">
        <f>IF(OR(A1362="",B1362=""),"",B1362-WEEKDAY(B1362,2)+1)</f>
        <v/>
      </c>
      <c r="M1362" s="5">
        <f>IF(L1362="","",L1362+6)</f>
        <v/>
      </c>
      <c r="N1362" s="6">
        <f>IF(OR(A1362="",B1362=""),"",DATE(YEAR(B1362),MONTH(B1362),1))</f>
        <v/>
      </c>
      <c r="O1362" s="7">
        <f>IF(COUNTA(A1362:K1362)=0,"",IF(OR(A1362="",B1362=""),"Preencher CPF e entrada",IF(COUNTIFS($A$12:$A$5011,A1362,$B$12:$B$5011,B1362)&gt;1,"CPF + dia duplicado",IF(OR(AND(G1362&lt;&gt;"",G1362&lt;&gt;0,G1362&lt;&gt;1),AND(H1362&lt;&gt;"",H1362&lt;&gt;0,H1362&lt;&gt;1)),"Flags devem ser 0 ou 1",IF(AND(H1362=1,LEN(TRIM(I1362))=0),"Preencher nome do indicante",IF(AND(H1362&lt;&gt;1,I1362&lt;&gt;""),"Nome sem indicação interna",IF(AND(G1362=1,F1362=""),"Fechamento sem conversa",IF(OR(AND(E1362&lt;&gt;"",E1362&lt;B1362),AND(F1362&lt;&gt;"",F1362&lt;B1362)),"Evento anterior à entrada",IF(AND(F1362&lt;&gt;"",E1362=""),"Conversa sem agendamento",IF(OR(E1362&gt;TODAY(),F1362&gt;TODAY()),"Verificar evento futuro","OK"))))))))))</f>
        <v/>
      </c>
    </row>
    <row r="1363" spans="12:15">
      <c r="L1363" s="5">
        <f>IF(OR(A1363="",B1363=""),"",B1363-WEEKDAY(B1363,2)+1)</f>
        <v/>
      </c>
      <c r="M1363" s="5">
        <f>IF(L1363="","",L1363+6)</f>
        <v/>
      </c>
      <c r="N1363" s="6">
        <f>IF(OR(A1363="",B1363=""),"",DATE(YEAR(B1363),MONTH(B1363),1))</f>
        <v/>
      </c>
      <c r="O1363" s="7">
        <f>IF(COUNTA(A1363:K1363)=0,"",IF(OR(A1363="",B1363=""),"Preencher CPF e entrada",IF(COUNTIFS($A$12:$A$5011,A1363,$B$12:$B$5011,B1363)&gt;1,"CPF + dia duplicado",IF(OR(AND(G1363&lt;&gt;"",G1363&lt;&gt;0,G1363&lt;&gt;1),AND(H1363&lt;&gt;"",H1363&lt;&gt;0,H1363&lt;&gt;1)),"Flags devem ser 0 ou 1",IF(AND(H1363=1,LEN(TRIM(I1363))=0),"Preencher nome do indicante",IF(AND(H1363&lt;&gt;1,I1363&lt;&gt;""),"Nome sem indicação interna",IF(AND(G1363=1,F1363=""),"Fechamento sem conversa",IF(OR(AND(E1363&lt;&gt;"",E1363&lt;B1363),AND(F1363&lt;&gt;"",F1363&lt;B1363)),"Evento anterior à entrada",IF(AND(F1363&lt;&gt;"",E1363=""),"Conversa sem agendamento",IF(OR(E1363&gt;TODAY(),F1363&gt;TODAY()),"Verificar evento futuro","OK"))))))))))</f>
        <v/>
      </c>
    </row>
    <row r="1364" spans="12:15">
      <c r="L1364" s="5">
        <f>IF(OR(A1364="",B1364=""),"",B1364-WEEKDAY(B1364,2)+1)</f>
        <v/>
      </c>
      <c r="M1364" s="5">
        <f>IF(L1364="","",L1364+6)</f>
        <v/>
      </c>
      <c r="N1364" s="6">
        <f>IF(OR(A1364="",B1364=""),"",DATE(YEAR(B1364),MONTH(B1364),1))</f>
        <v/>
      </c>
      <c r="O1364" s="7">
        <f>IF(COUNTA(A1364:K1364)=0,"",IF(OR(A1364="",B1364=""),"Preencher CPF e entrada",IF(COUNTIFS($A$12:$A$5011,A1364,$B$12:$B$5011,B1364)&gt;1,"CPF + dia duplicado",IF(OR(AND(G1364&lt;&gt;"",G1364&lt;&gt;0,G1364&lt;&gt;1),AND(H1364&lt;&gt;"",H1364&lt;&gt;0,H1364&lt;&gt;1)),"Flags devem ser 0 ou 1",IF(AND(H1364=1,LEN(TRIM(I1364))=0),"Preencher nome do indicante",IF(AND(H1364&lt;&gt;1,I1364&lt;&gt;""),"Nome sem indicação interna",IF(AND(G1364=1,F1364=""),"Fechamento sem conversa",IF(OR(AND(E1364&lt;&gt;"",E1364&lt;B1364),AND(F1364&lt;&gt;"",F1364&lt;B1364)),"Evento anterior à entrada",IF(AND(F1364&lt;&gt;"",E1364=""),"Conversa sem agendamento",IF(OR(E1364&gt;TODAY(),F1364&gt;TODAY()),"Verificar evento futuro","OK"))))))))))</f>
        <v/>
      </c>
    </row>
    <row r="1365" spans="12:15">
      <c r="L1365" s="5">
        <f>IF(OR(A1365="",B1365=""),"",B1365-WEEKDAY(B1365,2)+1)</f>
        <v/>
      </c>
      <c r="M1365" s="5">
        <f>IF(L1365="","",L1365+6)</f>
        <v/>
      </c>
      <c r="N1365" s="6">
        <f>IF(OR(A1365="",B1365=""),"",DATE(YEAR(B1365),MONTH(B1365),1))</f>
        <v/>
      </c>
      <c r="O1365" s="7">
        <f>IF(COUNTA(A1365:K1365)=0,"",IF(OR(A1365="",B1365=""),"Preencher CPF e entrada",IF(COUNTIFS($A$12:$A$5011,A1365,$B$12:$B$5011,B1365)&gt;1,"CPF + dia duplicado",IF(OR(AND(G1365&lt;&gt;"",G1365&lt;&gt;0,G1365&lt;&gt;1),AND(H1365&lt;&gt;"",H1365&lt;&gt;0,H1365&lt;&gt;1)),"Flags devem ser 0 ou 1",IF(AND(H1365=1,LEN(TRIM(I1365))=0),"Preencher nome do indicante",IF(AND(H1365&lt;&gt;1,I1365&lt;&gt;""),"Nome sem indicação interna",IF(AND(G1365=1,F1365=""),"Fechamento sem conversa",IF(OR(AND(E1365&lt;&gt;"",E1365&lt;B1365),AND(F1365&lt;&gt;"",F1365&lt;B1365)),"Evento anterior à entrada",IF(AND(F1365&lt;&gt;"",E1365=""),"Conversa sem agendamento",IF(OR(E1365&gt;TODAY(),F1365&gt;TODAY()),"Verificar evento futuro","OK"))))))))))</f>
        <v/>
      </c>
    </row>
    <row r="1366" spans="12:15">
      <c r="L1366" s="5">
        <f>IF(OR(A1366="",B1366=""),"",B1366-WEEKDAY(B1366,2)+1)</f>
        <v/>
      </c>
      <c r="M1366" s="5">
        <f>IF(L1366="","",L1366+6)</f>
        <v/>
      </c>
      <c r="N1366" s="6">
        <f>IF(OR(A1366="",B1366=""),"",DATE(YEAR(B1366),MONTH(B1366),1))</f>
        <v/>
      </c>
      <c r="O1366" s="7">
        <f>IF(COUNTA(A1366:K1366)=0,"",IF(OR(A1366="",B1366=""),"Preencher CPF e entrada",IF(COUNTIFS($A$12:$A$5011,A1366,$B$12:$B$5011,B1366)&gt;1,"CPF + dia duplicado",IF(OR(AND(G1366&lt;&gt;"",G1366&lt;&gt;0,G1366&lt;&gt;1),AND(H1366&lt;&gt;"",H1366&lt;&gt;0,H1366&lt;&gt;1)),"Flags devem ser 0 ou 1",IF(AND(H1366=1,LEN(TRIM(I1366))=0),"Preencher nome do indicante",IF(AND(H1366&lt;&gt;1,I1366&lt;&gt;""),"Nome sem indicação interna",IF(AND(G1366=1,F1366=""),"Fechamento sem conversa",IF(OR(AND(E1366&lt;&gt;"",E1366&lt;B1366),AND(F1366&lt;&gt;"",F1366&lt;B1366)),"Evento anterior à entrada",IF(AND(F1366&lt;&gt;"",E1366=""),"Conversa sem agendamento",IF(OR(E1366&gt;TODAY(),F1366&gt;TODAY()),"Verificar evento futuro","OK"))))))))))</f>
        <v/>
      </c>
    </row>
    <row r="1367" spans="12:15">
      <c r="L1367" s="5">
        <f>IF(OR(A1367="",B1367=""),"",B1367-WEEKDAY(B1367,2)+1)</f>
        <v/>
      </c>
      <c r="M1367" s="5">
        <f>IF(L1367="","",L1367+6)</f>
        <v/>
      </c>
      <c r="N1367" s="6">
        <f>IF(OR(A1367="",B1367=""),"",DATE(YEAR(B1367),MONTH(B1367),1))</f>
        <v/>
      </c>
      <c r="O1367" s="7">
        <f>IF(COUNTA(A1367:K1367)=0,"",IF(OR(A1367="",B1367=""),"Preencher CPF e entrada",IF(COUNTIFS($A$12:$A$5011,A1367,$B$12:$B$5011,B1367)&gt;1,"CPF + dia duplicado",IF(OR(AND(G1367&lt;&gt;"",G1367&lt;&gt;0,G1367&lt;&gt;1),AND(H1367&lt;&gt;"",H1367&lt;&gt;0,H1367&lt;&gt;1)),"Flags devem ser 0 ou 1",IF(AND(H1367=1,LEN(TRIM(I1367))=0),"Preencher nome do indicante",IF(AND(H1367&lt;&gt;1,I1367&lt;&gt;""),"Nome sem indicação interna",IF(AND(G1367=1,F1367=""),"Fechamento sem conversa",IF(OR(AND(E1367&lt;&gt;"",E1367&lt;B1367),AND(F1367&lt;&gt;"",F1367&lt;B1367)),"Evento anterior à entrada",IF(AND(F1367&lt;&gt;"",E1367=""),"Conversa sem agendamento",IF(OR(E1367&gt;TODAY(),F1367&gt;TODAY()),"Verificar evento futuro","OK"))))))))))</f>
        <v/>
      </c>
    </row>
    <row r="1368" spans="12:15">
      <c r="L1368" s="5">
        <f>IF(OR(A1368="",B1368=""),"",B1368-WEEKDAY(B1368,2)+1)</f>
        <v/>
      </c>
      <c r="M1368" s="5">
        <f>IF(L1368="","",L1368+6)</f>
        <v/>
      </c>
      <c r="N1368" s="6">
        <f>IF(OR(A1368="",B1368=""),"",DATE(YEAR(B1368),MONTH(B1368),1))</f>
        <v/>
      </c>
      <c r="O1368" s="7">
        <f>IF(COUNTA(A1368:K1368)=0,"",IF(OR(A1368="",B1368=""),"Preencher CPF e entrada",IF(COUNTIFS($A$12:$A$5011,A1368,$B$12:$B$5011,B1368)&gt;1,"CPF + dia duplicado",IF(OR(AND(G1368&lt;&gt;"",G1368&lt;&gt;0,G1368&lt;&gt;1),AND(H1368&lt;&gt;"",H1368&lt;&gt;0,H1368&lt;&gt;1)),"Flags devem ser 0 ou 1",IF(AND(H1368=1,LEN(TRIM(I1368))=0),"Preencher nome do indicante",IF(AND(H1368&lt;&gt;1,I1368&lt;&gt;""),"Nome sem indicação interna",IF(AND(G1368=1,F1368=""),"Fechamento sem conversa",IF(OR(AND(E1368&lt;&gt;"",E1368&lt;B1368),AND(F1368&lt;&gt;"",F1368&lt;B1368)),"Evento anterior à entrada",IF(AND(F1368&lt;&gt;"",E1368=""),"Conversa sem agendamento",IF(OR(E1368&gt;TODAY(),F1368&gt;TODAY()),"Verificar evento futuro","OK"))))))))))</f>
        <v/>
      </c>
    </row>
    <row r="1369" spans="12:15">
      <c r="L1369" s="5">
        <f>IF(OR(A1369="",B1369=""),"",B1369-WEEKDAY(B1369,2)+1)</f>
        <v/>
      </c>
      <c r="M1369" s="5">
        <f>IF(L1369="","",L1369+6)</f>
        <v/>
      </c>
      <c r="N1369" s="6">
        <f>IF(OR(A1369="",B1369=""),"",DATE(YEAR(B1369),MONTH(B1369),1))</f>
        <v/>
      </c>
      <c r="O1369" s="7">
        <f>IF(COUNTA(A1369:K1369)=0,"",IF(OR(A1369="",B1369=""),"Preencher CPF e entrada",IF(COUNTIFS($A$12:$A$5011,A1369,$B$12:$B$5011,B1369)&gt;1,"CPF + dia duplicado",IF(OR(AND(G1369&lt;&gt;"",G1369&lt;&gt;0,G1369&lt;&gt;1),AND(H1369&lt;&gt;"",H1369&lt;&gt;0,H1369&lt;&gt;1)),"Flags devem ser 0 ou 1",IF(AND(H1369=1,LEN(TRIM(I1369))=0),"Preencher nome do indicante",IF(AND(H1369&lt;&gt;1,I1369&lt;&gt;""),"Nome sem indicação interna",IF(AND(G1369=1,F1369=""),"Fechamento sem conversa",IF(OR(AND(E1369&lt;&gt;"",E1369&lt;B1369),AND(F1369&lt;&gt;"",F1369&lt;B1369)),"Evento anterior à entrada",IF(AND(F1369&lt;&gt;"",E1369=""),"Conversa sem agendamento",IF(OR(E1369&gt;TODAY(),F1369&gt;TODAY()),"Verificar evento futuro","OK"))))))))))</f>
        <v/>
      </c>
    </row>
    <row r="1370" spans="12:15">
      <c r="L1370" s="5">
        <f>IF(OR(A1370="",B1370=""),"",B1370-WEEKDAY(B1370,2)+1)</f>
        <v/>
      </c>
      <c r="M1370" s="5">
        <f>IF(L1370="","",L1370+6)</f>
        <v/>
      </c>
      <c r="N1370" s="6">
        <f>IF(OR(A1370="",B1370=""),"",DATE(YEAR(B1370),MONTH(B1370),1))</f>
        <v/>
      </c>
      <c r="O1370" s="7">
        <f>IF(COUNTA(A1370:K1370)=0,"",IF(OR(A1370="",B1370=""),"Preencher CPF e entrada",IF(COUNTIFS($A$12:$A$5011,A1370,$B$12:$B$5011,B1370)&gt;1,"CPF + dia duplicado",IF(OR(AND(G1370&lt;&gt;"",G1370&lt;&gt;0,G1370&lt;&gt;1),AND(H1370&lt;&gt;"",H1370&lt;&gt;0,H1370&lt;&gt;1)),"Flags devem ser 0 ou 1",IF(AND(H1370=1,LEN(TRIM(I1370))=0),"Preencher nome do indicante",IF(AND(H1370&lt;&gt;1,I1370&lt;&gt;""),"Nome sem indicação interna",IF(AND(G1370=1,F1370=""),"Fechamento sem conversa",IF(OR(AND(E1370&lt;&gt;"",E1370&lt;B1370),AND(F1370&lt;&gt;"",F1370&lt;B1370)),"Evento anterior à entrada",IF(AND(F1370&lt;&gt;"",E1370=""),"Conversa sem agendamento",IF(OR(E1370&gt;TODAY(),F1370&gt;TODAY()),"Verificar evento futuro","OK"))))))))))</f>
        <v/>
      </c>
    </row>
    <row r="1371" spans="12:15">
      <c r="L1371" s="5">
        <f>IF(OR(A1371="",B1371=""),"",B1371-WEEKDAY(B1371,2)+1)</f>
        <v/>
      </c>
      <c r="M1371" s="5">
        <f>IF(L1371="","",L1371+6)</f>
        <v/>
      </c>
      <c r="N1371" s="6">
        <f>IF(OR(A1371="",B1371=""),"",DATE(YEAR(B1371),MONTH(B1371),1))</f>
        <v/>
      </c>
      <c r="O1371" s="7">
        <f>IF(COUNTA(A1371:K1371)=0,"",IF(OR(A1371="",B1371=""),"Preencher CPF e entrada",IF(COUNTIFS($A$12:$A$5011,A1371,$B$12:$B$5011,B1371)&gt;1,"CPF + dia duplicado",IF(OR(AND(G1371&lt;&gt;"",G1371&lt;&gt;0,G1371&lt;&gt;1),AND(H1371&lt;&gt;"",H1371&lt;&gt;0,H1371&lt;&gt;1)),"Flags devem ser 0 ou 1",IF(AND(H1371=1,LEN(TRIM(I1371))=0),"Preencher nome do indicante",IF(AND(H1371&lt;&gt;1,I1371&lt;&gt;""),"Nome sem indicação interna",IF(AND(G1371=1,F1371=""),"Fechamento sem conversa",IF(OR(AND(E1371&lt;&gt;"",E1371&lt;B1371),AND(F1371&lt;&gt;"",F1371&lt;B1371)),"Evento anterior à entrada",IF(AND(F1371&lt;&gt;"",E1371=""),"Conversa sem agendamento",IF(OR(E1371&gt;TODAY(),F1371&gt;TODAY()),"Verificar evento futuro","OK"))))))))))</f>
        <v/>
      </c>
    </row>
    <row r="1372" spans="12:15">
      <c r="L1372" s="5">
        <f>IF(OR(A1372="",B1372=""),"",B1372-WEEKDAY(B1372,2)+1)</f>
        <v/>
      </c>
      <c r="M1372" s="5">
        <f>IF(L1372="","",L1372+6)</f>
        <v/>
      </c>
      <c r="N1372" s="6">
        <f>IF(OR(A1372="",B1372=""),"",DATE(YEAR(B1372),MONTH(B1372),1))</f>
        <v/>
      </c>
      <c r="O1372" s="7">
        <f>IF(COUNTA(A1372:K1372)=0,"",IF(OR(A1372="",B1372=""),"Preencher CPF e entrada",IF(COUNTIFS($A$12:$A$5011,A1372,$B$12:$B$5011,B1372)&gt;1,"CPF + dia duplicado",IF(OR(AND(G1372&lt;&gt;"",G1372&lt;&gt;0,G1372&lt;&gt;1),AND(H1372&lt;&gt;"",H1372&lt;&gt;0,H1372&lt;&gt;1)),"Flags devem ser 0 ou 1",IF(AND(H1372=1,LEN(TRIM(I1372))=0),"Preencher nome do indicante",IF(AND(H1372&lt;&gt;1,I1372&lt;&gt;""),"Nome sem indicação interna",IF(AND(G1372=1,F1372=""),"Fechamento sem conversa",IF(OR(AND(E1372&lt;&gt;"",E1372&lt;B1372),AND(F1372&lt;&gt;"",F1372&lt;B1372)),"Evento anterior à entrada",IF(AND(F1372&lt;&gt;"",E1372=""),"Conversa sem agendamento",IF(OR(E1372&gt;TODAY(),F1372&gt;TODAY()),"Verificar evento futuro","OK"))))))))))</f>
        <v/>
      </c>
    </row>
    <row r="1373" spans="12:15">
      <c r="L1373" s="5">
        <f>IF(OR(A1373="",B1373=""),"",B1373-WEEKDAY(B1373,2)+1)</f>
        <v/>
      </c>
      <c r="M1373" s="5">
        <f>IF(L1373="","",L1373+6)</f>
        <v/>
      </c>
      <c r="N1373" s="6">
        <f>IF(OR(A1373="",B1373=""),"",DATE(YEAR(B1373),MONTH(B1373),1))</f>
        <v/>
      </c>
      <c r="O1373" s="7">
        <f>IF(COUNTA(A1373:K1373)=0,"",IF(OR(A1373="",B1373=""),"Preencher CPF e entrada",IF(COUNTIFS($A$12:$A$5011,A1373,$B$12:$B$5011,B1373)&gt;1,"CPF + dia duplicado",IF(OR(AND(G1373&lt;&gt;"",G1373&lt;&gt;0,G1373&lt;&gt;1),AND(H1373&lt;&gt;"",H1373&lt;&gt;0,H1373&lt;&gt;1)),"Flags devem ser 0 ou 1",IF(AND(H1373=1,LEN(TRIM(I1373))=0),"Preencher nome do indicante",IF(AND(H1373&lt;&gt;1,I1373&lt;&gt;""),"Nome sem indicação interna",IF(AND(G1373=1,F1373=""),"Fechamento sem conversa",IF(OR(AND(E1373&lt;&gt;"",E1373&lt;B1373),AND(F1373&lt;&gt;"",F1373&lt;B1373)),"Evento anterior à entrada",IF(AND(F1373&lt;&gt;"",E1373=""),"Conversa sem agendamento",IF(OR(E1373&gt;TODAY(),F1373&gt;TODAY()),"Verificar evento futuro","OK"))))))))))</f>
        <v/>
      </c>
    </row>
    <row r="1374" spans="12:15">
      <c r="L1374" s="5">
        <f>IF(OR(A1374="",B1374=""),"",B1374-WEEKDAY(B1374,2)+1)</f>
        <v/>
      </c>
      <c r="M1374" s="5">
        <f>IF(L1374="","",L1374+6)</f>
        <v/>
      </c>
      <c r="N1374" s="6">
        <f>IF(OR(A1374="",B1374=""),"",DATE(YEAR(B1374),MONTH(B1374),1))</f>
        <v/>
      </c>
      <c r="O1374" s="7">
        <f>IF(COUNTA(A1374:K1374)=0,"",IF(OR(A1374="",B1374=""),"Preencher CPF e entrada",IF(COUNTIFS($A$12:$A$5011,A1374,$B$12:$B$5011,B1374)&gt;1,"CPF + dia duplicado",IF(OR(AND(G1374&lt;&gt;"",G1374&lt;&gt;0,G1374&lt;&gt;1),AND(H1374&lt;&gt;"",H1374&lt;&gt;0,H1374&lt;&gt;1)),"Flags devem ser 0 ou 1",IF(AND(H1374=1,LEN(TRIM(I1374))=0),"Preencher nome do indicante",IF(AND(H1374&lt;&gt;1,I1374&lt;&gt;""),"Nome sem indicação interna",IF(AND(G1374=1,F1374=""),"Fechamento sem conversa",IF(OR(AND(E1374&lt;&gt;"",E1374&lt;B1374),AND(F1374&lt;&gt;"",F1374&lt;B1374)),"Evento anterior à entrada",IF(AND(F1374&lt;&gt;"",E1374=""),"Conversa sem agendamento",IF(OR(E1374&gt;TODAY(),F1374&gt;TODAY()),"Verificar evento futuro","OK"))))))))))</f>
        <v/>
      </c>
    </row>
    <row r="1375" spans="12:15">
      <c r="L1375" s="5">
        <f>IF(OR(A1375="",B1375=""),"",B1375-WEEKDAY(B1375,2)+1)</f>
        <v/>
      </c>
      <c r="M1375" s="5">
        <f>IF(L1375="","",L1375+6)</f>
        <v/>
      </c>
      <c r="N1375" s="6">
        <f>IF(OR(A1375="",B1375=""),"",DATE(YEAR(B1375),MONTH(B1375),1))</f>
        <v/>
      </c>
      <c r="O1375" s="7">
        <f>IF(COUNTA(A1375:K1375)=0,"",IF(OR(A1375="",B1375=""),"Preencher CPF e entrada",IF(COUNTIFS($A$12:$A$5011,A1375,$B$12:$B$5011,B1375)&gt;1,"CPF + dia duplicado",IF(OR(AND(G1375&lt;&gt;"",G1375&lt;&gt;0,G1375&lt;&gt;1),AND(H1375&lt;&gt;"",H1375&lt;&gt;0,H1375&lt;&gt;1)),"Flags devem ser 0 ou 1",IF(AND(H1375=1,LEN(TRIM(I1375))=0),"Preencher nome do indicante",IF(AND(H1375&lt;&gt;1,I1375&lt;&gt;""),"Nome sem indicação interna",IF(AND(G1375=1,F1375=""),"Fechamento sem conversa",IF(OR(AND(E1375&lt;&gt;"",E1375&lt;B1375),AND(F1375&lt;&gt;"",F1375&lt;B1375)),"Evento anterior à entrada",IF(AND(F1375&lt;&gt;"",E1375=""),"Conversa sem agendamento",IF(OR(E1375&gt;TODAY(),F1375&gt;TODAY()),"Verificar evento futuro","OK"))))))))))</f>
        <v/>
      </c>
    </row>
    <row r="1376" spans="12:15">
      <c r="L1376" s="5">
        <f>IF(OR(A1376="",B1376=""),"",B1376-WEEKDAY(B1376,2)+1)</f>
        <v/>
      </c>
      <c r="M1376" s="5">
        <f>IF(L1376="","",L1376+6)</f>
        <v/>
      </c>
      <c r="N1376" s="6">
        <f>IF(OR(A1376="",B1376=""),"",DATE(YEAR(B1376),MONTH(B1376),1))</f>
        <v/>
      </c>
      <c r="O1376" s="7">
        <f>IF(COUNTA(A1376:K1376)=0,"",IF(OR(A1376="",B1376=""),"Preencher CPF e entrada",IF(COUNTIFS($A$12:$A$5011,A1376,$B$12:$B$5011,B1376)&gt;1,"CPF + dia duplicado",IF(OR(AND(G1376&lt;&gt;"",G1376&lt;&gt;0,G1376&lt;&gt;1),AND(H1376&lt;&gt;"",H1376&lt;&gt;0,H1376&lt;&gt;1)),"Flags devem ser 0 ou 1",IF(AND(H1376=1,LEN(TRIM(I1376))=0),"Preencher nome do indicante",IF(AND(H1376&lt;&gt;1,I1376&lt;&gt;""),"Nome sem indicação interna",IF(AND(G1376=1,F1376=""),"Fechamento sem conversa",IF(OR(AND(E1376&lt;&gt;"",E1376&lt;B1376),AND(F1376&lt;&gt;"",F1376&lt;B1376)),"Evento anterior à entrada",IF(AND(F1376&lt;&gt;"",E1376=""),"Conversa sem agendamento",IF(OR(E1376&gt;TODAY(),F1376&gt;TODAY()),"Verificar evento futuro","OK"))))))))))</f>
        <v/>
      </c>
    </row>
    <row r="1377" spans="12:15">
      <c r="L1377" s="5">
        <f>IF(OR(A1377="",B1377=""),"",B1377-WEEKDAY(B1377,2)+1)</f>
        <v/>
      </c>
      <c r="M1377" s="5">
        <f>IF(L1377="","",L1377+6)</f>
        <v/>
      </c>
      <c r="N1377" s="6">
        <f>IF(OR(A1377="",B1377=""),"",DATE(YEAR(B1377),MONTH(B1377),1))</f>
        <v/>
      </c>
      <c r="O1377" s="7">
        <f>IF(COUNTA(A1377:K1377)=0,"",IF(OR(A1377="",B1377=""),"Preencher CPF e entrada",IF(COUNTIFS($A$12:$A$5011,A1377,$B$12:$B$5011,B1377)&gt;1,"CPF + dia duplicado",IF(OR(AND(G1377&lt;&gt;"",G1377&lt;&gt;0,G1377&lt;&gt;1),AND(H1377&lt;&gt;"",H1377&lt;&gt;0,H1377&lt;&gt;1)),"Flags devem ser 0 ou 1",IF(AND(H1377=1,LEN(TRIM(I1377))=0),"Preencher nome do indicante",IF(AND(H1377&lt;&gt;1,I1377&lt;&gt;""),"Nome sem indicação interna",IF(AND(G1377=1,F1377=""),"Fechamento sem conversa",IF(OR(AND(E1377&lt;&gt;"",E1377&lt;B1377),AND(F1377&lt;&gt;"",F1377&lt;B1377)),"Evento anterior à entrada",IF(AND(F1377&lt;&gt;"",E1377=""),"Conversa sem agendamento",IF(OR(E1377&gt;TODAY(),F1377&gt;TODAY()),"Verificar evento futuro","OK"))))))))))</f>
        <v/>
      </c>
    </row>
    <row r="1378" spans="12:15">
      <c r="L1378" s="5">
        <f>IF(OR(A1378="",B1378=""),"",B1378-WEEKDAY(B1378,2)+1)</f>
        <v/>
      </c>
      <c r="M1378" s="5">
        <f>IF(L1378="","",L1378+6)</f>
        <v/>
      </c>
      <c r="N1378" s="6">
        <f>IF(OR(A1378="",B1378=""),"",DATE(YEAR(B1378),MONTH(B1378),1))</f>
        <v/>
      </c>
      <c r="O1378" s="7">
        <f>IF(COUNTA(A1378:K1378)=0,"",IF(OR(A1378="",B1378=""),"Preencher CPF e entrada",IF(COUNTIFS($A$12:$A$5011,A1378,$B$12:$B$5011,B1378)&gt;1,"CPF + dia duplicado",IF(OR(AND(G1378&lt;&gt;"",G1378&lt;&gt;0,G1378&lt;&gt;1),AND(H1378&lt;&gt;"",H1378&lt;&gt;0,H1378&lt;&gt;1)),"Flags devem ser 0 ou 1",IF(AND(H1378=1,LEN(TRIM(I1378))=0),"Preencher nome do indicante",IF(AND(H1378&lt;&gt;1,I1378&lt;&gt;""),"Nome sem indicação interna",IF(AND(G1378=1,F1378=""),"Fechamento sem conversa",IF(OR(AND(E1378&lt;&gt;"",E1378&lt;B1378),AND(F1378&lt;&gt;"",F1378&lt;B1378)),"Evento anterior à entrada",IF(AND(F1378&lt;&gt;"",E1378=""),"Conversa sem agendamento",IF(OR(E1378&gt;TODAY(),F1378&gt;TODAY()),"Verificar evento futuro","OK"))))))))))</f>
        <v/>
      </c>
    </row>
    <row r="1379" spans="12:15">
      <c r="L1379" s="5">
        <f>IF(OR(A1379="",B1379=""),"",B1379-WEEKDAY(B1379,2)+1)</f>
        <v/>
      </c>
      <c r="M1379" s="5">
        <f>IF(L1379="","",L1379+6)</f>
        <v/>
      </c>
      <c r="N1379" s="6">
        <f>IF(OR(A1379="",B1379=""),"",DATE(YEAR(B1379),MONTH(B1379),1))</f>
        <v/>
      </c>
      <c r="O1379" s="7">
        <f>IF(COUNTA(A1379:K1379)=0,"",IF(OR(A1379="",B1379=""),"Preencher CPF e entrada",IF(COUNTIFS($A$12:$A$5011,A1379,$B$12:$B$5011,B1379)&gt;1,"CPF + dia duplicado",IF(OR(AND(G1379&lt;&gt;"",G1379&lt;&gt;0,G1379&lt;&gt;1),AND(H1379&lt;&gt;"",H1379&lt;&gt;0,H1379&lt;&gt;1)),"Flags devem ser 0 ou 1",IF(AND(H1379=1,LEN(TRIM(I1379))=0),"Preencher nome do indicante",IF(AND(H1379&lt;&gt;1,I1379&lt;&gt;""),"Nome sem indicação interna",IF(AND(G1379=1,F1379=""),"Fechamento sem conversa",IF(OR(AND(E1379&lt;&gt;"",E1379&lt;B1379),AND(F1379&lt;&gt;"",F1379&lt;B1379)),"Evento anterior à entrada",IF(AND(F1379&lt;&gt;"",E1379=""),"Conversa sem agendamento",IF(OR(E1379&gt;TODAY(),F1379&gt;TODAY()),"Verificar evento futuro","OK"))))))))))</f>
        <v/>
      </c>
    </row>
    <row r="1380" spans="12:15">
      <c r="L1380" s="5">
        <f>IF(OR(A1380="",B1380=""),"",B1380-WEEKDAY(B1380,2)+1)</f>
        <v/>
      </c>
      <c r="M1380" s="5">
        <f>IF(L1380="","",L1380+6)</f>
        <v/>
      </c>
      <c r="N1380" s="6">
        <f>IF(OR(A1380="",B1380=""),"",DATE(YEAR(B1380),MONTH(B1380),1))</f>
        <v/>
      </c>
      <c r="O1380" s="7">
        <f>IF(COUNTA(A1380:K1380)=0,"",IF(OR(A1380="",B1380=""),"Preencher CPF e entrada",IF(COUNTIFS($A$12:$A$5011,A1380,$B$12:$B$5011,B1380)&gt;1,"CPF + dia duplicado",IF(OR(AND(G1380&lt;&gt;"",G1380&lt;&gt;0,G1380&lt;&gt;1),AND(H1380&lt;&gt;"",H1380&lt;&gt;0,H1380&lt;&gt;1)),"Flags devem ser 0 ou 1",IF(AND(H1380=1,LEN(TRIM(I1380))=0),"Preencher nome do indicante",IF(AND(H1380&lt;&gt;1,I1380&lt;&gt;""),"Nome sem indicação interna",IF(AND(G1380=1,F1380=""),"Fechamento sem conversa",IF(OR(AND(E1380&lt;&gt;"",E1380&lt;B1380),AND(F1380&lt;&gt;"",F1380&lt;B1380)),"Evento anterior à entrada",IF(AND(F1380&lt;&gt;"",E1380=""),"Conversa sem agendamento",IF(OR(E1380&gt;TODAY(),F1380&gt;TODAY()),"Verificar evento futuro","OK"))))))))))</f>
        <v/>
      </c>
    </row>
    <row r="1381" spans="12:15">
      <c r="L1381" s="5">
        <f>IF(OR(A1381="",B1381=""),"",B1381-WEEKDAY(B1381,2)+1)</f>
        <v/>
      </c>
      <c r="M1381" s="5">
        <f>IF(L1381="","",L1381+6)</f>
        <v/>
      </c>
      <c r="N1381" s="6">
        <f>IF(OR(A1381="",B1381=""),"",DATE(YEAR(B1381),MONTH(B1381),1))</f>
        <v/>
      </c>
      <c r="O1381" s="7">
        <f>IF(COUNTA(A1381:K1381)=0,"",IF(OR(A1381="",B1381=""),"Preencher CPF e entrada",IF(COUNTIFS($A$12:$A$5011,A1381,$B$12:$B$5011,B1381)&gt;1,"CPF + dia duplicado",IF(OR(AND(G1381&lt;&gt;"",G1381&lt;&gt;0,G1381&lt;&gt;1),AND(H1381&lt;&gt;"",H1381&lt;&gt;0,H1381&lt;&gt;1)),"Flags devem ser 0 ou 1",IF(AND(H1381=1,LEN(TRIM(I1381))=0),"Preencher nome do indicante",IF(AND(H1381&lt;&gt;1,I1381&lt;&gt;""),"Nome sem indicação interna",IF(AND(G1381=1,F1381=""),"Fechamento sem conversa",IF(OR(AND(E1381&lt;&gt;"",E1381&lt;B1381),AND(F1381&lt;&gt;"",F1381&lt;B1381)),"Evento anterior à entrada",IF(AND(F1381&lt;&gt;"",E1381=""),"Conversa sem agendamento",IF(OR(E1381&gt;TODAY(),F1381&gt;TODAY()),"Verificar evento futuro","OK"))))))))))</f>
        <v/>
      </c>
    </row>
    <row r="1382" spans="12:15">
      <c r="L1382" s="5">
        <f>IF(OR(A1382="",B1382=""),"",B1382-WEEKDAY(B1382,2)+1)</f>
        <v/>
      </c>
      <c r="M1382" s="5">
        <f>IF(L1382="","",L1382+6)</f>
        <v/>
      </c>
      <c r="N1382" s="6">
        <f>IF(OR(A1382="",B1382=""),"",DATE(YEAR(B1382),MONTH(B1382),1))</f>
        <v/>
      </c>
      <c r="O1382" s="7">
        <f>IF(COUNTA(A1382:K1382)=0,"",IF(OR(A1382="",B1382=""),"Preencher CPF e entrada",IF(COUNTIFS($A$12:$A$5011,A1382,$B$12:$B$5011,B1382)&gt;1,"CPF + dia duplicado",IF(OR(AND(G1382&lt;&gt;"",G1382&lt;&gt;0,G1382&lt;&gt;1),AND(H1382&lt;&gt;"",H1382&lt;&gt;0,H1382&lt;&gt;1)),"Flags devem ser 0 ou 1",IF(AND(H1382=1,LEN(TRIM(I1382))=0),"Preencher nome do indicante",IF(AND(H1382&lt;&gt;1,I1382&lt;&gt;""),"Nome sem indicação interna",IF(AND(G1382=1,F1382=""),"Fechamento sem conversa",IF(OR(AND(E1382&lt;&gt;"",E1382&lt;B1382),AND(F1382&lt;&gt;"",F1382&lt;B1382)),"Evento anterior à entrada",IF(AND(F1382&lt;&gt;"",E1382=""),"Conversa sem agendamento",IF(OR(E1382&gt;TODAY(),F1382&gt;TODAY()),"Verificar evento futuro","OK"))))))))))</f>
        <v/>
      </c>
    </row>
    <row r="1383" spans="12:15">
      <c r="L1383" s="5">
        <f>IF(OR(A1383="",B1383=""),"",B1383-WEEKDAY(B1383,2)+1)</f>
        <v/>
      </c>
      <c r="M1383" s="5">
        <f>IF(L1383="","",L1383+6)</f>
        <v/>
      </c>
      <c r="N1383" s="6">
        <f>IF(OR(A1383="",B1383=""),"",DATE(YEAR(B1383),MONTH(B1383),1))</f>
        <v/>
      </c>
      <c r="O1383" s="7">
        <f>IF(COUNTA(A1383:K1383)=0,"",IF(OR(A1383="",B1383=""),"Preencher CPF e entrada",IF(COUNTIFS($A$12:$A$5011,A1383,$B$12:$B$5011,B1383)&gt;1,"CPF + dia duplicado",IF(OR(AND(G1383&lt;&gt;"",G1383&lt;&gt;0,G1383&lt;&gt;1),AND(H1383&lt;&gt;"",H1383&lt;&gt;0,H1383&lt;&gt;1)),"Flags devem ser 0 ou 1",IF(AND(H1383=1,LEN(TRIM(I1383))=0),"Preencher nome do indicante",IF(AND(H1383&lt;&gt;1,I1383&lt;&gt;""),"Nome sem indicação interna",IF(AND(G1383=1,F1383=""),"Fechamento sem conversa",IF(OR(AND(E1383&lt;&gt;"",E1383&lt;B1383),AND(F1383&lt;&gt;"",F1383&lt;B1383)),"Evento anterior à entrada",IF(AND(F1383&lt;&gt;"",E1383=""),"Conversa sem agendamento",IF(OR(E1383&gt;TODAY(),F1383&gt;TODAY()),"Verificar evento futuro","OK"))))))))))</f>
        <v/>
      </c>
    </row>
    <row r="1384" spans="12:15">
      <c r="L1384" s="5">
        <f>IF(OR(A1384="",B1384=""),"",B1384-WEEKDAY(B1384,2)+1)</f>
        <v/>
      </c>
      <c r="M1384" s="5">
        <f>IF(L1384="","",L1384+6)</f>
        <v/>
      </c>
      <c r="N1384" s="6">
        <f>IF(OR(A1384="",B1384=""),"",DATE(YEAR(B1384),MONTH(B1384),1))</f>
        <v/>
      </c>
      <c r="O1384" s="7">
        <f>IF(COUNTA(A1384:K1384)=0,"",IF(OR(A1384="",B1384=""),"Preencher CPF e entrada",IF(COUNTIFS($A$12:$A$5011,A1384,$B$12:$B$5011,B1384)&gt;1,"CPF + dia duplicado",IF(OR(AND(G1384&lt;&gt;"",G1384&lt;&gt;0,G1384&lt;&gt;1),AND(H1384&lt;&gt;"",H1384&lt;&gt;0,H1384&lt;&gt;1)),"Flags devem ser 0 ou 1",IF(AND(H1384=1,LEN(TRIM(I1384))=0),"Preencher nome do indicante",IF(AND(H1384&lt;&gt;1,I1384&lt;&gt;""),"Nome sem indicação interna",IF(AND(G1384=1,F1384=""),"Fechamento sem conversa",IF(OR(AND(E1384&lt;&gt;"",E1384&lt;B1384),AND(F1384&lt;&gt;"",F1384&lt;B1384)),"Evento anterior à entrada",IF(AND(F1384&lt;&gt;"",E1384=""),"Conversa sem agendamento",IF(OR(E1384&gt;TODAY(),F1384&gt;TODAY()),"Verificar evento futuro","OK"))))))))))</f>
        <v/>
      </c>
    </row>
    <row r="1385" spans="12:15">
      <c r="L1385" s="5">
        <f>IF(OR(A1385="",B1385=""),"",B1385-WEEKDAY(B1385,2)+1)</f>
        <v/>
      </c>
      <c r="M1385" s="5">
        <f>IF(L1385="","",L1385+6)</f>
        <v/>
      </c>
      <c r="N1385" s="6">
        <f>IF(OR(A1385="",B1385=""),"",DATE(YEAR(B1385),MONTH(B1385),1))</f>
        <v/>
      </c>
      <c r="O1385" s="7">
        <f>IF(COUNTA(A1385:K1385)=0,"",IF(OR(A1385="",B1385=""),"Preencher CPF e entrada",IF(COUNTIFS($A$12:$A$5011,A1385,$B$12:$B$5011,B1385)&gt;1,"CPF + dia duplicado",IF(OR(AND(G1385&lt;&gt;"",G1385&lt;&gt;0,G1385&lt;&gt;1),AND(H1385&lt;&gt;"",H1385&lt;&gt;0,H1385&lt;&gt;1)),"Flags devem ser 0 ou 1",IF(AND(H1385=1,LEN(TRIM(I1385))=0),"Preencher nome do indicante",IF(AND(H1385&lt;&gt;1,I1385&lt;&gt;""),"Nome sem indicação interna",IF(AND(G1385=1,F1385=""),"Fechamento sem conversa",IF(OR(AND(E1385&lt;&gt;"",E1385&lt;B1385),AND(F1385&lt;&gt;"",F1385&lt;B1385)),"Evento anterior à entrada",IF(AND(F1385&lt;&gt;"",E1385=""),"Conversa sem agendamento",IF(OR(E1385&gt;TODAY(),F1385&gt;TODAY()),"Verificar evento futuro","OK"))))))))))</f>
        <v/>
      </c>
    </row>
    <row r="1386" spans="12:15">
      <c r="L1386" s="5">
        <f>IF(OR(A1386="",B1386=""),"",B1386-WEEKDAY(B1386,2)+1)</f>
        <v/>
      </c>
      <c r="M1386" s="5">
        <f>IF(L1386="","",L1386+6)</f>
        <v/>
      </c>
      <c r="N1386" s="6">
        <f>IF(OR(A1386="",B1386=""),"",DATE(YEAR(B1386),MONTH(B1386),1))</f>
        <v/>
      </c>
      <c r="O1386" s="7">
        <f>IF(COUNTA(A1386:K1386)=0,"",IF(OR(A1386="",B1386=""),"Preencher CPF e entrada",IF(COUNTIFS($A$12:$A$5011,A1386,$B$12:$B$5011,B1386)&gt;1,"CPF + dia duplicado",IF(OR(AND(G1386&lt;&gt;"",G1386&lt;&gt;0,G1386&lt;&gt;1),AND(H1386&lt;&gt;"",H1386&lt;&gt;0,H1386&lt;&gt;1)),"Flags devem ser 0 ou 1",IF(AND(H1386=1,LEN(TRIM(I1386))=0),"Preencher nome do indicante",IF(AND(H1386&lt;&gt;1,I1386&lt;&gt;""),"Nome sem indicação interna",IF(AND(G1386=1,F1386=""),"Fechamento sem conversa",IF(OR(AND(E1386&lt;&gt;"",E1386&lt;B1386),AND(F1386&lt;&gt;"",F1386&lt;B1386)),"Evento anterior à entrada",IF(AND(F1386&lt;&gt;"",E1386=""),"Conversa sem agendamento",IF(OR(E1386&gt;TODAY(),F1386&gt;TODAY()),"Verificar evento futuro","OK"))))))))))</f>
        <v/>
      </c>
    </row>
    <row r="1387" spans="12:15">
      <c r="L1387" s="5">
        <f>IF(OR(A1387="",B1387=""),"",B1387-WEEKDAY(B1387,2)+1)</f>
        <v/>
      </c>
      <c r="M1387" s="5">
        <f>IF(L1387="","",L1387+6)</f>
        <v/>
      </c>
      <c r="N1387" s="6">
        <f>IF(OR(A1387="",B1387=""),"",DATE(YEAR(B1387),MONTH(B1387),1))</f>
        <v/>
      </c>
      <c r="O1387" s="7">
        <f>IF(COUNTA(A1387:K1387)=0,"",IF(OR(A1387="",B1387=""),"Preencher CPF e entrada",IF(COUNTIFS($A$12:$A$5011,A1387,$B$12:$B$5011,B1387)&gt;1,"CPF + dia duplicado",IF(OR(AND(G1387&lt;&gt;"",G1387&lt;&gt;0,G1387&lt;&gt;1),AND(H1387&lt;&gt;"",H1387&lt;&gt;0,H1387&lt;&gt;1)),"Flags devem ser 0 ou 1",IF(AND(H1387=1,LEN(TRIM(I1387))=0),"Preencher nome do indicante",IF(AND(H1387&lt;&gt;1,I1387&lt;&gt;""),"Nome sem indicação interna",IF(AND(G1387=1,F1387=""),"Fechamento sem conversa",IF(OR(AND(E1387&lt;&gt;"",E1387&lt;B1387),AND(F1387&lt;&gt;"",F1387&lt;B1387)),"Evento anterior à entrada",IF(AND(F1387&lt;&gt;"",E1387=""),"Conversa sem agendamento",IF(OR(E1387&gt;TODAY(),F1387&gt;TODAY()),"Verificar evento futuro","OK"))))))))))</f>
        <v/>
      </c>
    </row>
    <row r="1388" spans="12:15">
      <c r="L1388" s="5">
        <f>IF(OR(A1388="",B1388=""),"",B1388-WEEKDAY(B1388,2)+1)</f>
        <v/>
      </c>
      <c r="M1388" s="5">
        <f>IF(L1388="","",L1388+6)</f>
        <v/>
      </c>
      <c r="N1388" s="6">
        <f>IF(OR(A1388="",B1388=""),"",DATE(YEAR(B1388),MONTH(B1388),1))</f>
        <v/>
      </c>
      <c r="O1388" s="7">
        <f>IF(COUNTA(A1388:K1388)=0,"",IF(OR(A1388="",B1388=""),"Preencher CPF e entrada",IF(COUNTIFS($A$12:$A$5011,A1388,$B$12:$B$5011,B1388)&gt;1,"CPF + dia duplicado",IF(OR(AND(G1388&lt;&gt;"",G1388&lt;&gt;0,G1388&lt;&gt;1),AND(H1388&lt;&gt;"",H1388&lt;&gt;0,H1388&lt;&gt;1)),"Flags devem ser 0 ou 1",IF(AND(H1388=1,LEN(TRIM(I1388))=0),"Preencher nome do indicante",IF(AND(H1388&lt;&gt;1,I1388&lt;&gt;""),"Nome sem indicação interna",IF(AND(G1388=1,F1388=""),"Fechamento sem conversa",IF(OR(AND(E1388&lt;&gt;"",E1388&lt;B1388),AND(F1388&lt;&gt;"",F1388&lt;B1388)),"Evento anterior à entrada",IF(AND(F1388&lt;&gt;"",E1388=""),"Conversa sem agendamento",IF(OR(E1388&gt;TODAY(),F1388&gt;TODAY()),"Verificar evento futuro","OK"))))))))))</f>
        <v/>
      </c>
    </row>
    <row r="1389" spans="12:15">
      <c r="L1389" s="5">
        <f>IF(OR(A1389="",B1389=""),"",B1389-WEEKDAY(B1389,2)+1)</f>
        <v/>
      </c>
      <c r="M1389" s="5">
        <f>IF(L1389="","",L1389+6)</f>
        <v/>
      </c>
      <c r="N1389" s="6">
        <f>IF(OR(A1389="",B1389=""),"",DATE(YEAR(B1389),MONTH(B1389),1))</f>
        <v/>
      </c>
      <c r="O1389" s="7">
        <f>IF(COUNTA(A1389:K1389)=0,"",IF(OR(A1389="",B1389=""),"Preencher CPF e entrada",IF(COUNTIFS($A$12:$A$5011,A1389,$B$12:$B$5011,B1389)&gt;1,"CPF + dia duplicado",IF(OR(AND(G1389&lt;&gt;"",G1389&lt;&gt;0,G1389&lt;&gt;1),AND(H1389&lt;&gt;"",H1389&lt;&gt;0,H1389&lt;&gt;1)),"Flags devem ser 0 ou 1",IF(AND(H1389=1,LEN(TRIM(I1389))=0),"Preencher nome do indicante",IF(AND(H1389&lt;&gt;1,I1389&lt;&gt;""),"Nome sem indicação interna",IF(AND(G1389=1,F1389=""),"Fechamento sem conversa",IF(OR(AND(E1389&lt;&gt;"",E1389&lt;B1389),AND(F1389&lt;&gt;"",F1389&lt;B1389)),"Evento anterior à entrada",IF(AND(F1389&lt;&gt;"",E1389=""),"Conversa sem agendamento",IF(OR(E1389&gt;TODAY(),F1389&gt;TODAY()),"Verificar evento futuro","OK"))))))))))</f>
        <v/>
      </c>
    </row>
    <row r="1390" spans="12:15">
      <c r="L1390" s="5">
        <f>IF(OR(A1390="",B1390=""),"",B1390-WEEKDAY(B1390,2)+1)</f>
        <v/>
      </c>
      <c r="M1390" s="5">
        <f>IF(L1390="","",L1390+6)</f>
        <v/>
      </c>
      <c r="N1390" s="6">
        <f>IF(OR(A1390="",B1390=""),"",DATE(YEAR(B1390),MONTH(B1390),1))</f>
        <v/>
      </c>
      <c r="O1390" s="7">
        <f>IF(COUNTA(A1390:K1390)=0,"",IF(OR(A1390="",B1390=""),"Preencher CPF e entrada",IF(COUNTIFS($A$12:$A$5011,A1390,$B$12:$B$5011,B1390)&gt;1,"CPF + dia duplicado",IF(OR(AND(G1390&lt;&gt;"",G1390&lt;&gt;0,G1390&lt;&gt;1),AND(H1390&lt;&gt;"",H1390&lt;&gt;0,H1390&lt;&gt;1)),"Flags devem ser 0 ou 1",IF(AND(H1390=1,LEN(TRIM(I1390))=0),"Preencher nome do indicante",IF(AND(H1390&lt;&gt;1,I1390&lt;&gt;""),"Nome sem indicação interna",IF(AND(G1390=1,F1390=""),"Fechamento sem conversa",IF(OR(AND(E1390&lt;&gt;"",E1390&lt;B1390),AND(F1390&lt;&gt;"",F1390&lt;B1390)),"Evento anterior à entrada",IF(AND(F1390&lt;&gt;"",E1390=""),"Conversa sem agendamento",IF(OR(E1390&gt;TODAY(),F1390&gt;TODAY()),"Verificar evento futuro","OK"))))))))))</f>
        <v/>
      </c>
    </row>
    <row r="1391" spans="12:15">
      <c r="L1391" s="5">
        <f>IF(OR(A1391="",B1391=""),"",B1391-WEEKDAY(B1391,2)+1)</f>
        <v/>
      </c>
      <c r="M1391" s="5">
        <f>IF(L1391="","",L1391+6)</f>
        <v/>
      </c>
      <c r="N1391" s="6">
        <f>IF(OR(A1391="",B1391=""),"",DATE(YEAR(B1391),MONTH(B1391),1))</f>
        <v/>
      </c>
      <c r="O1391" s="7">
        <f>IF(COUNTA(A1391:K1391)=0,"",IF(OR(A1391="",B1391=""),"Preencher CPF e entrada",IF(COUNTIFS($A$12:$A$5011,A1391,$B$12:$B$5011,B1391)&gt;1,"CPF + dia duplicado",IF(OR(AND(G1391&lt;&gt;"",G1391&lt;&gt;0,G1391&lt;&gt;1),AND(H1391&lt;&gt;"",H1391&lt;&gt;0,H1391&lt;&gt;1)),"Flags devem ser 0 ou 1",IF(AND(H1391=1,LEN(TRIM(I1391))=0),"Preencher nome do indicante",IF(AND(H1391&lt;&gt;1,I1391&lt;&gt;""),"Nome sem indicação interna",IF(AND(G1391=1,F1391=""),"Fechamento sem conversa",IF(OR(AND(E1391&lt;&gt;"",E1391&lt;B1391),AND(F1391&lt;&gt;"",F1391&lt;B1391)),"Evento anterior à entrada",IF(AND(F1391&lt;&gt;"",E1391=""),"Conversa sem agendamento",IF(OR(E1391&gt;TODAY(),F1391&gt;TODAY()),"Verificar evento futuro","OK"))))))))))</f>
        <v/>
      </c>
    </row>
    <row r="1392" spans="12:15">
      <c r="L1392" s="5">
        <f>IF(OR(A1392="",B1392=""),"",B1392-WEEKDAY(B1392,2)+1)</f>
        <v/>
      </c>
      <c r="M1392" s="5">
        <f>IF(L1392="","",L1392+6)</f>
        <v/>
      </c>
      <c r="N1392" s="6">
        <f>IF(OR(A1392="",B1392=""),"",DATE(YEAR(B1392),MONTH(B1392),1))</f>
        <v/>
      </c>
      <c r="O1392" s="7">
        <f>IF(COUNTA(A1392:K1392)=0,"",IF(OR(A1392="",B1392=""),"Preencher CPF e entrada",IF(COUNTIFS($A$12:$A$5011,A1392,$B$12:$B$5011,B1392)&gt;1,"CPF + dia duplicado",IF(OR(AND(G1392&lt;&gt;"",G1392&lt;&gt;0,G1392&lt;&gt;1),AND(H1392&lt;&gt;"",H1392&lt;&gt;0,H1392&lt;&gt;1)),"Flags devem ser 0 ou 1",IF(AND(H1392=1,LEN(TRIM(I1392))=0),"Preencher nome do indicante",IF(AND(H1392&lt;&gt;1,I1392&lt;&gt;""),"Nome sem indicação interna",IF(AND(G1392=1,F1392=""),"Fechamento sem conversa",IF(OR(AND(E1392&lt;&gt;"",E1392&lt;B1392),AND(F1392&lt;&gt;"",F1392&lt;B1392)),"Evento anterior à entrada",IF(AND(F1392&lt;&gt;"",E1392=""),"Conversa sem agendamento",IF(OR(E1392&gt;TODAY(),F1392&gt;TODAY()),"Verificar evento futuro","OK"))))))))))</f>
        <v/>
      </c>
    </row>
    <row r="1393" spans="12:15">
      <c r="L1393" s="5">
        <f>IF(OR(A1393="",B1393=""),"",B1393-WEEKDAY(B1393,2)+1)</f>
        <v/>
      </c>
      <c r="M1393" s="5">
        <f>IF(L1393="","",L1393+6)</f>
        <v/>
      </c>
      <c r="N1393" s="6">
        <f>IF(OR(A1393="",B1393=""),"",DATE(YEAR(B1393),MONTH(B1393),1))</f>
        <v/>
      </c>
      <c r="O1393" s="7">
        <f>IF(COUNTA(A1393:K1393)=0,"",IF(OR(A1393="",B1393=""),"Preencher CPF e entrada",IF(COUNTIFS($A$12:$A$5011,A1393,$B$12:$B$5011,B1393)&gt;1,"CPF + dia duplicado",IF(OR(AND(G1393&lt;&gt;"",G1393&lt;&gt;0,G1393&lt;&gt;1),AND(H1393&lt;&gt;"",H1393&lt;&gt;0,H1393&lt;&gt;1)),"Flags devem ser 0 ou 1",IF(AND(H1393=1,LEN(TRIM(I1393))=0),"Preencher nome do indicante",IF(AND(H1393&lt;&gt;1,I1393&lt;&gt;""),"Nome sem indicação interna",IF(AND(G1393=1,F1393=""),"Fechamento sem conversa",IF(OR(AND(E1393&lt;&gt;"",E1393&lt;B1393),AND(F1393&lt;&gt;"",F1393&lt;B1393)),"Evento anterior à entrada",IF(AND(F1393&lt;&gt;"",E1393=""),"Conversa sem agendamento",IF(OR(E1393&gt;TODAY(),F1393&gt;TODAY()),"Verificar evento futuro","OK"))))))))))</f>
        <v/>
      </c>
    </row>
    <row r="1394" spans="12:15">
      <c r="L1394" s="5">
        <f>IF(OR(A1394="",B1394=""),"",B1394-WEEKDAY(B1394,2)+1)</f>
        <v/>
      </c>
      <c r="M1394" s="5">
        <f>IF(L1394="","",L1394+6)</f>
        <v/>
      </c>
      <c r="N1394" s="6">
        <f>IF(OR(A1394="",B1394=""),"",DATE(YEAR(B1394),MONTH(B1394),1))</f>
        <v/>
      </c>
      <c r="O1394" s="7">
        <f>IF(COUNTA(A1394:K1394)=0,"",IF(OR(A1394="",B1394=""),"Preencher CPF e entrada",IF(COUNTIFS($A$12:$A$5011,A1394,$B$12:$B$5011,B1394)&gt;1,"CPF + dia duplicado",IF(OR(AND(G1394&lt;&gt;"",G1394&lt;&gt;0,G1394&lt;&gt;1),AND(H1394&lt;&gt;"",H1394&lt;&gt;0,H1394&lt;&gt;1)),"Flags devem ser 0 ou 1",IF(AND(H1394=1,LEN(TRIM(I1394))=0),"Preencher nome do indicante",IF(AND(H1394&lt;&gt;1,I1394&lt;&gt;""),"Nome sem indicação interna",IF(AND(G1394=1,F1394=""),"Fechamento sem conversa",IF(OR(AND(E1394&lt;&gt;"",E1394&lt;B1394),AND(F1394&lt;&gt;"",F1394&lt;B1394)),"Evento anterior à entrada",IF(AND(F1394&lt;&gt;"",E1394=""),"Conversa sem agendamento",IF(OR(E1394&gt;TODAY(),F1394&gt;TODAY()),"Verificar evento futuro","OK"))))))))))</f>
        <v/>
      </c>
    </row>
    <row r="1395" spans="12:15">
      <c r="L1395" s="5">
        <f>IF(OR(A1395="",B1395=""),"",B1395-WEEKDAY(B1395,2)+1)</f>
        <v/>
      </c>
      <c r="M1395" s="5">
        <f>IF(L1395="","",L1395+6)</f>
        <v/>
      </c>
      <c r="N1395" s="6">
        <f>IF(OR(A1395="",B1395=""),"",DATE(YEAR(B1395),MONTH(B1395),1))</f>
        <v/>
      </c>
      <c r="O1395" s="7">
        <f>IF(COUNTA(A1395:K1395)=0,"",IF(OR(A1395="",B1395=""),"Preencher CPF e entrada",IF(COUNTIFS($A$12:$A$5011,A1395,$B$12:$B$5011,B1395)&gt;1,"CPF + dia duplicado",IF(OR(AND(G1395&lt;&gt;"",G1395&lt;&gt;0,G1395&lt;&gt;1),AND(H1395&lt;&gt;"",H1395&lt;&gt;0,H1395&lt;&gt;1)),"Flags devem ser 0 ou 1",IF(AND(H1395=1,LEN(TRIM(I1395))=0),"Preencher nome do indicante",IF(AND(H1395&lt;&gt;1,I1395&lt;&gt;""),"Nome sem indicação interna",IF(AND(G1395=1,F1395=""),"Fechamento sem conversa",IF(OR(AND(E1395&lt;&gt;"",E1395&lt;B1395),AND(F1395&lt;&gt;"",F1395&lt;B1395)),"Evento anterior à entrada",IF(AND(F1395&lt;&gt;"",E1395=""),"Conversa sem agendamento",IF(OR(E1395&gt;TODAY(),F1395&gt;TODAY()),"Verificar evento futuro","OK"))))))))))</f>
        <v/>
      </c>
    </row>
    <row r="1396" spans="12:15">
      <c r="L1396" s="5">
        <f>IF(OR(A1396="",B1396=""),"",B1396-WEEKDAY(B1396,2)+1)</f>
        <v/>
      </c>
      <c r="M1396" s="5">
        <f>IF(L1396="","",L1396+6)</f>
        <v/>
      </c>
      <c r="N1396" s="6">
        <f>IF(OR(A1396="",B1396=""),"",DATE(YEAR(B1396),MONTH(B1396),1))</f>
        <v/>
      </c>
      <c r="O1396" s="7">
        <f>IF(COUNTA(A1396:K1396)=0,"",IF(OR(A1396="",B1396=""),"Preencher CPF e entrada",IF(COUNTIFS($A$12:$A$5011,A1396,$B$12:$B$5011,B1396)&gt;1,"CPF + dia duplicado",IF(OR(AND(G1396&lt;&gt;"",G1396&lt;&gt;0,G1396&lt;&gt;1),AND(H1396&lt;&gt;"",H1396&lt;&gt;0,H1396&lt;&gt;1)),"Flags devem ser 0 ou 1",IF(AND(H1396=1,LEN(TRIM(I1396))=0),"Preencher nome do indicante",IF(AND(H1396&lt;&gt;1,I1396&lt;&gt;""),"Nome sem indicação interna",IF(AND(G1396=1,F1396=""),"Fechamento sem conversa",IF(OR(AND(E1396&lt;&gt;"",E1396&lt;B1396),AND(F1396&lt;&gt;"",F1396&lt;B1396)),"Evento anterior à entrada",IF(AND(F1396&lt;&gt;"",E1396=""),"Conversa sem agendamento",IF(OR(E1396&gt;TODAY(),F1396&gt;TODAY()),"Verificar evento futuro","OK"))))))))))</f>
        <v/>
      </c>
    </row>
    <row r="1397" spans="12:15">
      <c r="L1397" s="5">
        <f>IF(OR(A1397="",B1397=""),"",B1397-WEEKDAY(B1397,2)+1)</f>
        <v/>
      </c>
      <c r="M1397" s="5">
        <f>IF(L1397="","",L1397+6)</f>
        <v/>
      </c>
      <c r="N1397" s="6">
        <f>IF(OR(A1397="",B1397=""),"",DATE(YEAR(B1397),MONTH(B1397),1))</f>
        <v/>
      </c>
      <c r="O1397" s="7">
        <f>IF(COUNTA(A1397:K1397)=0,"",IF(OR(A1397="",B1397=""),"Preencher CPF e entrada",IF(COUNTIFS($A$12:$A$5011,A1397,$B$12:$B$5011,B1397)&gt;1,"CPF + dia duplicado",IF(OR(AND(G1397&lt;&gt;"",G1397&lt;&gt;0,G1397&lt;&gt;1),AND(H1397&lt;&gt;"",H1397&lt;&gt;0,H1397&lt;&gt;1)),"Flags devem ser 0 ou 1",IF(AND(H1397=1,LEN(TRIM(I1397))=0),"Preencher nome do indicante",IF(AND(H1397&lt;&gt;1,I1397&lt;&gt;""),"Nome sem indicação interna",IF(AND(G1397=1,F1397=""),"Fechamento sem conversa",IF(OR(AND(E1397&lt;&gt;"",E1397&lt;B1397),AND(F1397&lt;&gt;"",F1397&lt;B1397)),"Evento anterior à entrada",IF(AND(F1397&lt;&gt;"",E1397=""),"Conversa sem agendamento",IF(OR(E1397&gt;TODAY(),F1397&gt;TODAY()),"Verificar evento futuro","OK"))))))))))</f>
        <v/>
      </c>
    </row>
    <row r="1398" spans="12:15">
      <c r="L1398" s="5">
        <f>IF(OR(A1398="",B1398=""),"",B1398-WEEKDAY(B1398,2)+1)</f>
        <v/>
      </c>
      <c r="M1398" s="5">
        <f>IF(L1398="","",L1398+6)</f>
        <v/>
      </c>
      <c r="N1398" s="6">
        <f>IF(OR(A1398="",B1398=""),"",DATE(YEAR(B1398),MONTH(B1398),1))</f>
        <v/>
      </c>
      <c r="O1398" s="7">
        <f>IF(COUNTA(A1398:K1398)=0,"",IF(OR(A1398="",B1398=""),"Preencher CPF e entrada",IF(COUNTIFS($A$12:$A$5011,A1398,$B$12:$B$5011,B1398)&gt;1,"CPF + dia duplicado",IF(OR(AND(G1398&lt;&gt;"",G1398&lt;&gt;0,G1398&lt;&gt;1),AND(H1398&lt;&gt;"",H1398&lt;&gt;0,H1398&lt;&gt;1)),"Flags devem ser 0 ou 1",IF(AND(H1398=1,LEN(TRIM(I1398))=0),"Preencher nome do indicante",IF(AND(H1398&lt;&gt;1,I1398&lt;&gt;""),"Nome sem indicação interna",IF(AND(G1398=1,F1398=""),"Fechamento sem conversa",IF(OR(AND(E1398&lt;&gt;"",E1398&lt;B1398),AND(F1398&lt;&gt;"",F1398&lt;B1398)),"Evento anterior à entrada",IF(AND(F1398&lt;&gt;"",E1398=""),"Conversa sem agendamento",IF(OR(E1398&gt;TODAY(),F1398&gt;TODAY()),"Verificar evento futuro","OK"))))))))))</f>
        <v/>
      </c>
    </row>
    <row r="1399" spans="12:15">
      <c r="L1399" s="5">
        <f>IF(OR(A1399="",B1399=""),"",B1399-WEEKDAY(B1399,2)+1)</f>
        <v/>
      </c>
      <c r="M1399" s="5">
        <f>IF(L1399="","",L1399+6)</f>
        <v/>
      </c>
      <c r="N1399" s="6">
        <f>IF(OR(A1399="",B1399=""),"",DATE(YEAR(B1399),MONTH(B1399),1))</f>
        <v/>
      </c>
      <c r="O1399" s="7">
        <f>IF(COUNTA(A1399:K1399)=0,"",IF(OR(A1399="",B1399=""),"Preencher CPF e entrada",IF(COUNTIFS($A$12:$A$5011,A1399,$B$12:$B$5011,B1399)&gt;1,"CPF + dia duplicado",IF(OR(AND(G1399&lt;&gt;"",G1399&lt;&gt;0,G1399&lt;&gt;1),AND(H1399&lt;&gt;"",H1399&lt;&gt;0,H1399&lt;&gt;1)),"Flags devem ser 0 ou 1",IF(AND(H1399=1,LEN(TRIM(I1399))=0),"Preencher nome do indicante",IF(AND(H1399&lt;&gt;1,I1399&lt;&gt;""),"Nome sem indicação interna",IF(AND(G1399=1,F1399=""),"Fechamento sem conversa",IF(OR(AND(E1399&lt;&gt;"",E1399&lt;B1399),AND(F1399&lt;&gt;"",F1399&lt;B1399)),"Evento anterior à entrada",IF(AND(F1399&lt;&gt;"",E1399=""),"Conversa sem agendamento",IF(OR(E1399&gt;TODAY(),F1399&gt;TODAY()),"Verificar evento futuro","OK"))))))))))</f>
        <v/>
      </c>
    </row>
    <row r="1400" spans="12:15">
      <c r="L1400" s="5">
        <f>IF(OR(A1400="",B1400=""),"",B1400-WEEKDAY(B1400,2)+1)</f>
        <v/>
      </c>
      <c r="M1400" s="5">
        <f>IF(L1400="","",L1400+6)</f>
        <v/>
      </c>
      <c r="N1400" s="6">
        <f>IF(OR(A1400="",B1400=""),"",DATE(YEAR(B1400),MONTH(B1400),1))</f>
        <v/>
      </c>
      <c r="O1400" s="7">
        <f>IF(COUNTA(A1400:K1400)=0,"",IF(OR(A1400="",B1400=""),"Preencher CPF e entrada",IF(COUNTIFS($A$12:$A$5011,A1400,$B$12:$B$5011,B1400)&gt;1,"CPF + dia duplicado",IF(OR(AND(G1400&lt;&gt;"",G1400&lt;&gt;0,G1400&lt;&gt;1),AND(H1400&lt;&gt;"",H1400&lt;&gt;0,H1400&lt;&gt;1)),"Flags devem ser 0 ou 1",IF(AND(H1400=1,LEN(TRIM(I1400))=0),"Preencher nome do indicante",IF(AND(H1400&lt;&gt;1,I1400&lt;&gt;""),"Nome sem indicação interna",IF(AND(G1400=1,F1400=""),"Fechamento sem conversa",IF(OR(AND(E1400&lt;&gt;"",E1400&lt;B1400),AND(F1400&lt;&gt;"",F1400&lt;B1400)),"Evento anterior à entrada",IF(AND(F1400&lt;&gt;"",E1400=""),"Conversa sem agendamento",IF(OR(E1400&gt;TODAY(),F1400&gt;TODAY()),"Verificar evento futuro","OK"))))))))))</f>
        <v/>
      </c>
    </row>
    <row r="1401" spans="12:15">
      <c r="L1401" s="5">
        <f>IF(OR(A1401="",B1401=""),"",B1401-WEEKDAY(B1401,2)+1)</f>
        <v/>
      </c>
      <c r="M1401" s="5">
        <f>IF(L1401="","",L1401+6)</f>
        <v/>
      </c>
      <c r="N1401" s="6">
        <f>IF(OR(A1401="",B1401=""),"",DATE(YEAR(B1401),MONTH(B1401),1))</f>
        <v/>
      </c>
      <c r="O1401" s="7">
        <f>IF(COUNTA(A1401:K1401)=0,"",IF(OR(A1401="",B1401=""),"Preencher CPF e entrada",IF(COUNTIFS($A$12:$A$5011,A1401,$B$12:$B$5011,B1401)&gt;1,"CPF + dia duplicado",IF(OR(AND(G1401&lt;&gt;"",G1401&lt;&gt;0,G1401&lt;&gt;1),AND(H1401&lt;&gt;"",H1401&lt;&gt;0,H1401&lt;&gt;1)),"Flags devem ser 0 ou 1",IF(AND(H1401=1,LEN(TRIM(I1401))=0),"Preencher nome do indicante",IF(AND(H1401&lt;&gt;1,I1401&lt;&gt;""),"Nome sem indicação interna",IF(AND(G1401=1,F1401=""),"Fechamento sem conversa",IF(OR(AND(E1401&lt;&gt;"",E1401&lt;B1401),AND(F1401&lt;&gt;"",F1401&lt;B1401)),"Evento anterior à entrada",IF(AND(F1401&lt;&gt;"",E1401=""),"Conversa sem agendamento",IF(OR(E1401&gt;TODAY(),F1401&gt;TODAY()),"Verificar evento futuro","OK"))))))))))</f>
        <v/>
      </c>
    </row>
    <row r="1402" spans="12:15">
      <c r="L1402" s="5">
        <f>IF(OR(A1402="",B1402=""),"",B1402-WEEKDAY(B1402,2)+1)</f>
        <v/>
      </c>
      <c r="M1402" s="5">
        <f>IF(L1402="","",L1402+6)</f>
        <v/>
      </c>
      <c r="N1402" s="6">
        <f>IF(OR(A1402="",B1402=""),"",DATE(YEAR(B1402),MONTH(B1402),1))</f>
        <v/>
      </c>
      <c r="O1402" s="7">
        <f>IF(COUNTA(A1402:K1402)=0,"",IF(OR(A1402="",B1402=""),"Preencher CPF e entrada",IF(COUNTIFS($A$12:$A$5011,A1402,$B$12:$B$5011,B1402)&gt;1,"CPF + dia duplicado",IF(OR(AND(G1402&lt;&gt;"",G1402&lt;&gt;0,G1402&lt;&gt;1),AND(H1402&lt;&gt;"",H1402&lt;&gt;0,H1402&lt;&gt;1)),"Flags devem ser 0 ou 1",IF(AND(H1402=1,LEN(TRIM(I1402))=0),"Preencher nome do indicante",IF(AND(H1402&lt;&gt;1,I1402&lt;&gt;""),"Nome sem indicação interna",IF(AND(G1402=1,F1402=""),"Fechamento sem conversa",IF(OR(AND(E1402&lt;&gt;"",E1402&lt;B1402),AND(F1402&lt;&gt;"",F1402&lt;B1402)),"Evento anterior à entrada",IF(AND(F1402&lt;&gt;"",E1402=""),"Conversa sem agendamento",IF(OR(E1402&gt;TODAY(),F1402&gt;TODAY()),"Verificar evento futuro","OK"))))))))))</f>
        <v/>
      </c>
    </row>
    <row r="1403" spans="12:15">
      <c r="L1403" s="5">
        <f>IF(OR(A1403="",B1403=""),"",B1403-WEEKDAY(B1403,2)+1)</f>
        <v/>
      </c>
      <c r="M1403" s="5">
        <f>IF(L1403="","",L1403+6)</f>
        <v/>
      </c>
      <c r="N1403" s="6">
        <f>IF(OR(A1403="",B1403=""),"",DATE(YEAR(B1403),MONTH(B1403),1))</f>
        <v/>
      </c>
      <c r="O1403" s="7">
        <f>IF(COUNTA(A1403:K1403)=0,"",IF(OR(A1403="",B1403=""),"Preencher CPF e entrada",IF(COUNTIFS($A$12:$A$5011,A1403,$B$12:$B$5011,B1403)&gt;1,"CPF + dia duplicado",IF(OR(AND(G1403&lt;&gt;"",G1403&lt;&gt;0,G1403&lt;&gt;1),AND(H1403&lt;&gt;"",H1403&lt;&gt;0,H1403&lt;&gt;1)),"Flags devem ser 0 ou 1",IF(AND(H1403=1,LEN(TRIM(I1403))=0),"Preencher nome do indicante",IF(AND(H1403&lt;&gt;1,I1403&lt;&gt;""),"Nome sem indicação interna",IF(AND(G1403=1,F1403=""),"Fechamento sem conversa",IF(OR(AND(E1403&lt;&gt;"",E1403&lt;B1403),AND(F1403&lt;&gt;"",F1403&lt;B1403)),"Evento anterior à entrada",IF(AND(F1403&lt;&gt;"",E1403=""),"Conversa sem agendamento",IF(OR(E1403&gt;TODAY(),F1403&gt;TODAY()),"Verificar evento futuro","OK"))))))))))</f>
        <v/>
      </c>
    </row>
    <row r="1404" spans="12:15">
      <c r="L1404" s="5">
        <f>IF(OR(A1404="",B1404=""),"",B1404-WEEKDAY(B1404,2)+1)</f>
        <v/>
      </c>
      <c r="M1404" s="5">
        <f>IF(L1404="","",L1404+6)</f>
        <v/>
      </c>
      <c r="N1404" s="6">
        <f>IF(OR(A1404="",B1404=""),"",DATE(YEAR(B1404),MONTH(B1404),1))</f>
        <v/>
      </c>
      <c r="O1404" s="7">
        <f>IF(COUNTA(A1404:K1404)=0,"",IF(OR(A1404="",B1404=""),"Preencher CPF e entrada",IF(COUNTIFS($A$12:$A$5011,A1404,$B$12:$B$5011,B1404)&gt;1,"CPF + dia duplicado",IF(OR(AND(G1404&lt;&gt;"",G1404&lt;&gt;0,G1404&lt;&gt;1),AND(H1404&lt;&gt;"",H1404&lt;&gt;0,H1404&lt;&gt;1)),"Flags devem ser 0 ou 1",IF(AND(H1404=1,LEN(TRIM(I1404))=0),"Preencher nome do indicante",IF(AND(H1404&lt;&gt;1,I1404&lt;&gt;""),"Nome sem indicação interna",IF(AND(G1404=1,F1404=""),"Fechamento sem conversa",IF(OR(AND(E1404&lt;&gt;"",E1404&lt;B1404),AND(F1404&lt;&gt;"",F1404&lt;B1404)),"Evento anterior à entrada",IF(AND(F1404&lt;&gt;"",E1404=""),"Conversa sem agendamento",IF(OR(E1404&gt;TODAY(),F1404&gt;TODAY()),"Verificar evento futuro","OK"))))))))))</f>
        <v/>
      </c>
    </row>
    <row r="1405" spans="12:15">
      <c r="L1405" s="5">
        <f>IF(OR(A1405="",B1405=""),"",B1405-WEEKDAY(B1405,2)+1)</f>
        <v/>
      </c>
      <c r="M1405" s="5">
        <f>IF(L1405="","",L1405+6)</f>
        <v/>
      </c>
      <c r="N1405" s="6">
        <f>IF(OR(A1405="",B1405=""),"",DATE(YEAR(B1405),MONTH(B1405),1))</f>
        <v/>
      </c>
      <c r="O1405" s="7">
        <f>IF(COUNTA(A1405:K1405)=0,"",IF(OR(A1405="",B1405=""),"Preencher CPF e entrada",IF(COUNTIFS($A$12:$A$5011,A1405,$B$12:$B$5011,B1405)&gt;1,"CPF + dia duplicado",IF(OR(AND(G1405&lt;&gt;"",G1405&lt;&gt;0,G1405&lt;&gt;1),AND(H1405&lt;&gt;"",H1405&lt;&gt;0,H1405&lt;&gt;1)),"Flags devem ser 0 ou 1",IF(AND(H1405=1,LEN(TRIM(I1405))=0),"Preencher nome do indicante",IF(AND(H1405&lt;&gt;1,I1405&lt;&gt;""),"Nome sem indicação interna",IF(AND(G1405=1,F1405=""),"Fechamento sem conversa",IF(OR(AND(E1405&lt;&gt;"",E1405&lt;B1405),AND(F1405&lt;&gt;"",F1405&lt;B1405)),"Evento anterior à entrada",IF(AND(F1405&lt;&gt;"",E1405=""),"Conversa sem agendamento",IF(OR(E1405&gt;TODAY(),F1405&gt;TODAY()),"Verificar evento futuro","OK"))))))))))</f>
        <v/>
      </c>
    </row>
    <row r="1406" spans="12:15">
      <c r="L1406" s="5">
        <f>IF(OR(A1406="",B1406=""),"",B1406-WEEKDAY(B1406,2)+1)</f>
        <v/>
      </c>
      <c r="M1406" s="5">
        <f>IF(L1406="","",L1406+6)</f>
        <v/>
      </c>
      <c r="N1406" s="6">
        <f>IF(OR(A1406="",B1406=""),"",DATE(YEAR(B1406),MONTH(B1406),1))</f>
        <v/>
      </c>
      <c r="O1406" s="7">
        <f>IF(COUNTA(A1406:K1406)=0,"",IF(OR(A1406="",B1406=""),"Preencher CPF e entrada",IF(COUNTIFS($A$12:$A$5011,A1406,$B$12:$B$5011,B1406)&gt;1,"CPF + dia duplicado",IF(OR(AND(G1406&lt;&gt;"",G1406&lt;&gt;0,G1406&lt;&gt;1),AND(H1406&lt;&gt;"",H1406&lt;&gt;0,H1406&lt;&gt;1)),"Flags devem ser 0 ou 1",IF(AND(H1406=1,LEN(TRIM(I1406))=0),"Preencher nome do indicante",IF(AND(H1406&lt;&gt;1,I1406&lt;&gt;""),"Nome sem indicação interna",IF(AND(G1406=1,F1406=""),"Fechamento sem conversa",IF(OR(AND(E1406&lt;&gt;"",E1406&lt;B1406),AND(F1406&lt;&gt;"",F1406&lt;B1406)),"Evento anterior à entrada",IF(AND(F1406&lt;&gt;"",E1406=""),"Conversa sem agendamento",IF(OR(E1406&gt;TODAY(),F1406&gt;TODAY()),"Verificar evento futuro","OK"))))))))))</f>
        <v/>
      </c>
    </row>
    <row r="1407" spans="12:15">
      <c r="L1407" s="5">
        <f>IF(OR(A1407="",B1407=""),"",B1407-WEEKDAY(B1407,2)+1)</f>
        <v/>
      </c>
      <c r="M1407" s="5">
        <f>IF(L1407="","",L1407+6)</f>
        <v/>
      </c>
      <c r="N1407" s="6">
        <f>IF(OR(A1407="",B1407=""),"",DATE(YEAR(B1407),MONTH(B1407),1))</f>
        <v/>
      </c>
      <c r="O1407" s="7">
        <f>IF(COUNTA(A1407:K1407)=0,"",IF(OR(A1407="",B1407=""),"Preencher CPF e entrada",IF(COUNTIFS($A$12:$A$5011,A1407,$B$12:$B$5011,B1407)&gt;1,"CPF + dia duplicado",IF(OR(AND(G1407&lt;&gt;"",G1407&lt;&gt;0,G1407&lt;&gt;1),AND(H1407&lt;&gt;"",H1407&lt;&gt;0,H1407&lt;&gt;1)),"Flags devem ser 0 ou 1",IF(AND(H1407=1,LEN(TRIM(I1407))=0),"Preencher nome do indicante",IF(AND(H1407&lt;&gt;1,I1407&lt;&gt;""),"Nome sem indicação interna",IF(AND(G1407=1,F1407=""),"Fechamento sem conversa",IF(OR(AND(E1407&lt;&gt;"",E1407&lt;B1407),AND(F1407&lt;&gt;"",F1407&lt;B1407)),"Evento anterior à entrada",IF(AND(F1407&lt;&gt;"",E1407=""),"Conversa sem agendamento",IF(OR(E1407&gt;TODAY(),F1407&gt;TODAY()),"Verificar evento futuro","OK"))))))))))</f>
        <v/>
      </c>
    </row>
    <row r="1408" spans="12:15">
      <c r="L1408" s="5">
        <f>IF(OR(A1408="",B1408=""),"",B1408-WEEKDAY(B1408,2)+1)</f>
        <v/>
      </c>
      <c r="M1408" s="5">
        <f>IF(L1408="","",L1408+6)</f>
        <v/>
      </c>
      <c r="N1408" s="6">
        <f>IF(OR(A1408="",B1408=""),"",DATE(YEAR(B1408),MONTH(B1408),1))</f>
        <v/>
      </c>
      <c r="O1408" s="7">
        <f>IF(COUNTA(A1408:K1408)=0,"",IF(OR(A1408="",B1408=""),"Preencher CPF e entrada",IF(COUNTIFS($A$12:$A$5011,A1408,$B$12:$B$5011,B1408)&gt;1,"CPF + dia duplicado",IF(OR(AND(G1408&lt;&gt;"",G1408&lt;&gt;0,G1408&lt;&gt;1),AND(H1408&lt;&gt;"",H1408&lt;&gt;0,H1408&lt;&gt;1)),"Flags devem ser 0 ou 1",IF(AND(H1408=1,LEN(TRIM(I1408))=0),"Preencher nome do indicante",IF(AND(H1408&lt;&gt;1,I1408&lt;&gt;""),"Nome sem indicação interna",IF(AND(G1408=1,F1408=""),"Fechamento sem conversa",IF(OR(AND(E1408&lt;&gt;"",E1408&lt;B1408),AND(F1408&lt;&gt;"",F1408&lt;B1408)),"Evento anterior à entrada",IF(AND(F1408&lt;&gt;"",E1408=""),"Conversa sem agendamento",IF(OR(E1408&gt;TODAY(),F1408&gt;TODAY()),"Verificar evento futuro","OK"))))))))))</f>
        <v/>
      </c>
    </row>
    <row r="1409" spans="12:15">
      <c r="L1409" s="5">
        <f>IF(OR(A1409="",B1409=""),"",B1409-WEEKDAY(B1409,2)+1)</f>
        <v/>
      </c>
      <c r="M1409" s="5">
        <f>IF(L1409="","",L1409+6)</f>
        <v/>
      </c>
      <c r="N1409" s="6">
        <f>IF(OR(A1409="",B1409=""),"",DATE(YEAR(B1409),MONTH(B1409),1))</f>
        <v/>
      </c>
      <c r="O1409" s="7">
        <f>IF(COUNTA(A1409:K1409)=0,"",IF(OR(A1409="",B1409=""),"Preencher CPF e entrada",IF(COUNTIFS($A$12:$A$5011,A1409,$B$12:$B$5011,B1409)&gt;1,"CPF + dia duplicado",IF(OR(AND(G1409&lt;&gt;"",G1409&lt;&gt;0,G1409&lt;&gt;1),AND(H1409&lt;&gt;"",H1409&lt;&gt;0,H1409&lt;&gt;1)),"Flags devem ser 0 ou 1",IF(AND(H1409=1,LEN(TRIM(I1409))=0),"Preencher nome do indicante",IF(AND(H1409&lt;&gt;1,I1409&lt;&gt;""),"Nome sem indicação interna",IF(AND(G1409=1,F1409=""),"Fechamento sem conversa",IF(OR(AND(E1409&lt;&gt;"",E1409&lt;B1409),AND(F1409&lt;&gt;"",F1409&lt;B1409)),"Evento anterior à entrada",IF(AND(F1409&lt;&gt;"",E1409=""),"Conversa sem agendamento",IF(OR(E1409&gt;TODAY(),F1409&gt;TODAY()),"Verificar evento futuro","OK"))))))))))</f>
        <v/>
      </c>
    </row>
    <row r="1410" spans="12:15">
      <c r="L1410" s="5">
        <f>IF(OR(A1410="",B1410=""),"",B1410-WEEKDAY(B1410,2)+1)</f>
        <v/>
      </c>
      <c r="M1410" s="5">
        <f>IF(L1410="","",L1410+6)</f>
        <v/>
      </c>
      <c r="N1410" s="6">
        <f>IF(OR(A1410="",B1410=""),"",DATE(YEAR(B1410),MONTH(B1410),1))</f>
        <v/>
      </c>
      <c r="O1410" s="7">
        <f>IF(COUNTA(A1410:K1410)=0,"",IF(OR(A1410="",B1410=""),"Preencher CPF e entrada",IF(COUNTIFS($A$12:$A$5011,A1410,$B$12:$B$5011,B1410)&gt;1,"CPF + dia duplicado",IF(OR(AND(G1410&lt;&gt;"",G1410&lt;&gt;0,G1410&lt;&gt;1),AND(H1410&lt;&gt;"",H1410&lt;&gt;0,H1410&lt;&gt;1)),"Flags devem ser 0 ou 1",IF(AND(H1410=1,LEN(TRIM(I1410))=0),"Preencher nome do indicante",IF(AND(H1410&lt;&gt;1,I1410&lt;&gt;""),"Nome sem indicação interna",IF(AND(G1410=1,F1410=""),"Fechamento sem conversa",IF(OR(AND(E1410&lt;&gt;"",E1410&lt;B1410),AND(F1410&lt;&gt;"",F1410&lt;B1410)),"Evento anterior à entrada",IF(AND(F1410&lt;&gt;"",E1410=""),"Conversa sem agendamento",IF(OR(E1410&gt;TODAY(),F1410&gt;TODAY()),"Verificar evento futuro","OK"))))))))))</f>
        <v/>
      </c>
    </row>
    <row r="1411" spans="12:15">
      <c r="L1411" s="5">
        <f>IF(OR(A1411="",B1411=""),"",B1411-WEEKDAY(B1411,2)+1)</f>
        <v/>
      </c>
      <c r="M1411" s="5">
        <f>IF(L1411="","",L1411+6)</f>
        <v/>
      </c>
      <c r="N1411" s="6">
        <f>IF(OR(A1411="",B1411=""),"",DATE(YEAR(B1411),MONTH(B1411),1))</f>
        <v/>
      </c>
      <c r="O1411" s="7">
        <f>IF(COUNTA(A1411:K1411)=0,"",IF(OR(A1411="",B1411=""),"Preencher CPF e entrada",IF(COUNTIFS($A$12:$A$5011,A1411,$B$12:$B$5011,B1411)&gt;1,"CPF + dia duplicado",IF(OR(AND(G1411&lt;&gt;"",G1411&lt;&gt;0,G1411&lt;&gt;1),AND(H1411&lt;&gt;"",H1411&lt;&gt;0,H1411&lt;&gt;1)),"Flags devem ser 0 ou 1",IF(AND(H1411=1,LEN(TRIM(I1411))=0),"Preencher nome do indicante",IF(AND(H1411&lt;&gt;1,I1411&lt;&gt;""),"Nome sem indicação interna",IF(AND(G1411=1,F1411=""),"Fechamento sem conversa",IF(OR(AND(E1411&lt;&gt;"",E1411&lt;B1411),AND(F1411&lt;&gt;"",F1411&lt;B1411)),"Evento anterior à entrada",IF(AND(F1411&lt;&gt;"",E1411=""),"Conversa sem agendamento",IF(OR(E1411&gt;TODAY(),F1411&gt;TODAY()),"Verificar evento futuro","OK"))))))))))</f>
        <v/>
      </c>
    </row>
    <row r="1412" spans="12:15">
      <c r="L1412" s="5">
        <f>IF(OR(A1412="",B1412=""),"",B1412-WEEKDAY(B1412,2)+1)</f>
        <v/>
      </c>
      <c r="M1412" s="5">
        <f>IF(L1412="","",L1412+6)</f>
        <v/>
      </c>
      <c r="N1412" s="6">
        <f>IF(OR(A1412="",B1412=""),"",DATE(YEAR(B1412),MONTH(B1412),1))</f>
        <v/>
      </c>
      <c r="O1412" s="7">
        <f>IF(COUNTA(A1412:K1412)=0,"",IF(OR(A1412="",B1412=""),"Preencher CPF e entrada",IF(COUNTIFS($A$12:$A$5011,A1412,$B$12:$B$5011,B1412)&gt;1,"CPF + dia duplicado",IF(OR(AND(G1412&lt;&gt;"",G1412&lt;&gt;0,G1412&lt;&gt;1),AND(H1412&lt;&gt;"",H1412&lt;&gt;0,H1412&lt;&gt;1)),"Flags devem ser 0 ou 1",IF(AND(H1412=1,LEN(TRIM(I1412))=0),"Preencher nome do indicante",IF(AND(H1412&lt;&gt;1,I1412&lt;&gt;""),"Nome sem indicação interna",IF(AND(G1412=1,F1412=""),"Fechamento sem conversa",IF(OR(AND(E1412&lt;&gt;"",E1412&lt;B1412),AND(F1412&lt;&gt;"",F1412&lt;B1412)),"Evento anterior à entrada",IF(AND(F1412&lt;&gt;"",E1412=""),"Conversa sem agendamento",IF(OR(E1412&gt;TODAY(),F1412&gt;TODAY()),"Verificar evento futuro","OK"))))))))))</f>
        <v/>
      </c>
    </row>
    <row r="1413" spans="12:15">
      <c r="L1413" s="5">
        <f>IF(OR(A1413="",B1413=""),"",B1413-WEEKDAY(B1413,2)+1)</f>
        <v/>
      </c>
      <c r="M1413" s="5">
        <f>IF(L1413="","",L1413+6)</f>
        <v/>
      </c>
      <c r="N1413" s="6">
        <f>IF(OR(A1413="",B1413=""),"",DATE(YEAR(B1413),MONTH(B1413),1))</f>
        <v/>
      </c>
      <c r="O1413" s="7">
        <f>IF(COUNTA(A1413:K1413)=0,"",IF(OR(A1413="",B1413=""),"Preencher CPF e entrada",IF(COUNTIFS($A$12:$A$5011,A1413,$B$12:$B$5011,B1413)&gt;1,"CPF + dia duplicado",IF(OR(AND(G1413&lt;&gt;"",G1413&lt;&gt;0,G1413&lt;&gt;1),AND(H1413&lt;&gt;"",H1413&lt;&gt;0,H1413&lt;&gt;1)),"Flags devem ser 0 ou 1",IF(AND(H1413=1,LEN(TRIM(I1413))=0),"Preencher nome do indicante",IF(AND(H1413&lt;&gt;1,I1413&lt;&gt;""),"Nome sem indicação interna",IF(AND(G1413=1,F1413=""),"Fechamento sem conversa",IF(OR(AND(E1413&lt;&gt;"",E1413&lt;B1413),AND(F1413&lt;&gt;"",F1413&lt;B1413)),"Evento anterior à entrada",IF(AND(F1413&lt;&gt;"",E1413=""),"Conversa sem agendamento",IF(OR(E1413&gt;TODAY(),F1413&gt;TODAY()),"Verificar evento futuro","OK"))))))))))</f>
        <v/>
      </c>
    </row>
    <row r="1414" spans="12:15">
      <c r="L1414" s="5">
        <f>IF(OR(A1414="",B1414=""),"",B1414-WEEKDAY(B1414,2)+1)</f>
        <v/>
      </c>
      <c r="M1414" s="5">
        <f>IF(L1414="","",L1414+6)</f>
        <v/>
      </c>
      <c r="N1414" s="6">
        <f>IF(OR(A1414="",B1414=""),"",DATE(YEAR(B1414),MONTH(B1414),1))</f>
        <v/>
      </c>
      <c r="O1414" s="7">
        <f>IF(COUNTA(A1414:K1414)=0,"",IF(OR(A1414="",B1414=""),"Preencher CPF e entrada",IF(COUNTIFS($A$12:$A$5011,A1414,$B$12:$B$5011,B1414)&gt;1,"CPF + dia duplicado",IF(OR(AND(G1414&lt;&gt;"",G1414&lt;&gt;0,G1414&lt;&gt;1),AND(H1414&lt;&gt;"",H1414&lt;&gt;0,H1414&lt;&gt;1)),"Flags devem ser 0 ou 1",IF(AND(H1414=1,LEN(TRIM(I1414))=0),"Preencher nome do indicante",IF(AND(H1414&lt;&gt;1,I1414&lt;&gt;""),"Nome sem indicação interna",IF(AND(G1414=1,F1414=""),"Fechamento sem conversa",IF(OR(AND(E1414&lt;&gt;"",E1414&lt;B1414),AND(F1414&lt;&gt;"",F1414&lt;B1414)),"Evento anterior à entrada",IF(AND(F1414&lt;&gt;"",E1414=""),"Conversa sem agendamento",IF(OR(E1414&gt;TODAY(),F1414&gt;TODAY()),"Verificar evento futuro","OK"))))))))))</f>
        <v/>
      </c>
    </row>
    <row r="1415" spans="12:15">
      <c r="L1415" s="5">
        <f>IF(OR(A1415="",B1415=""),"",B1415-WEEKDAY(B1415,2)+1)</f>
        <v/>
      </c>
      <c r="M1415" s="5">
        <f>IF(L1415="","",L1415+6)</f>
        <v/>
      </c>
      <c r="N1415" s="6">
        <f>IF(OR(A1415="",B1415=""),"",DATE(YEAR(B1415),MONTH(B1415),1))</f>
        <v/>
      </c>
      <c r="O1415" s="7">
        <f>IF(COUNTA(A1415:K1415)=0,"",IF(OR(A1415="",B1415=""),"Preencher CPF e entrada",IF(COUNTIFS($A$12:$A$5011,A1415,$B$12:$B$5011,B1415)&gt;1,"CPF + dia duplicado",IF(OR(AND(G1415&lt;&gt;"",G1415&lt;&gt;0,G1415&lt;&gt;1),AND(H1415&lt;&gt;"",H1415&lt;&gt;0,H1415&lt;&gt;1)),"Flags devem ser 0 ou 1",IF(AND(H1415=1,LEN(TRIM(I1415))=0),"Preencher nome do indicante",IF(AND(H1415&lt;&gt;1,I1415&lt;&gt;""),"Nome sem indicação interna",IF(AND(G1415=1,F1415=""),"Fechamento sem conversa",IF(OR(AND(E1415&lt;&gt;"",E1415&lt;B1415),AND(F1415&lt;&gt;"",F1415&lt;B1415)),"Evento anterior à entrada",IF(AND(F1415&lt;&gt;"",E1415=""),"Conversa sem agendamento",IF(OR(E1415&gt;TODAY(),F1415&gt;TODAY()),"Verificar evento futuro","OK"))))))))))</f>
        <v/>
      </c>
    </row>
    <row r="1416" spans="12:15">
      <c r="L1416" s="5">
        <f>IF(OR(A1416="",B1416=""),"",B1416-WEEKDAY(B1416,2)+1)</f>
        <v/>
      </c>
      <c r="M1416" s="5">
        <f>IF(L1416="","",L1416+6)</f>
        <v/>
      </c>
      <c r="N1416" s="6">
        <f>IF(OR(A1416="",B1416=""),"",DATE(YEAR(B1416),MONTH(B1416),1))</f>
        <v/>
      </c>
      <c r="O1416" s="7">
        <f>IF(COUNTA(A1416:K1416)=0,"",IF(OR(A1416="",B1416=""),"Preencher CPF e entrada",IF(COUNTIFS($A$12:$A$5011,A1416,$B$12:$B$5011,B1416)&gt;1,"CPF + dia duplicado",IF(OR(AND(G1416&lt;&gt;"",G1416&lt;&gt;0,G1416&lt;&gt;1),AND(H1416&lt;&gt;"",H1416&lt;&gt;0,H1416&lt;&gt;1)),"Flags devem ser 0 ou 1",IF(AND(H1416=1,LEN(TRIM(I1416))=0),"Preencher nome do indicante",IF(AND(H1416&lt;&gt;1,I1416&lt;&gt;""),"Nome sem indicação interna",IF(AND(G1416=1,F1416=""),"Fechamento sem conversa",IF(OR(AND(E1416&lt;&gt;"",E1416&lt;B1416),AND(F1416&lt;&gt;"",F1416&lt;B1416)),"Evento anterior à entrada",IF(AND(F1416&lt;&gt;"",E1416=""),"Conversa sem agendamento",IF(OR(E1416&gt;TODAY(),F1416&gt;TODAY()),"Verificar evento futuro","OK"))))))))))</f>
        <v/>
      </c>
    </row>
    <row r="1417" spans="12:15">
      <c r="L1417" s="5">
        <f>IF(OR(A1417="",B1417=""),"",B1417-WEEKDAY(B1417,2)+1)</f>
        <v/>
      </c>
      <c r="M1417" s="5">
        <f>IF(L1417="","",L1417+6)</f>
        <v/>
      </c>
      <c r="N1417" s="6">
        <f>IF(OR(A1417="",B1417=""),"",DATE(YEAR(B1417),MONTH(B1417),1))</f>
        <v/>
      </c>
      <c r="O1417" s="7">
        <f>IF(COUNTA(A1417:K1417)=0,"",IF(OR(A1417="",B1417=""),"Preencher CPF e entrada",IF(COUNTIFS($A$12:$A$5011,A1417,$B$12:$B$5011,B1417)&gt;1,"CPF + dia duplicado",IF(OR(AND(G1417&lt;&gt;"",G1417&lt;&gt;0,G1417&lt;&gt;1),AND(H1417&lt;&gt;"",H1417&lt;&gt;0,H1417&lt;&gt;1)),"Flags devem ser 0 ou 1",IF(AND(H1417=1,LEN(TRIM(I1417))=0),"Preencher nome do indicante",IF(AND(H1417&lt;&gt;1,I1417&lt;&gt;""),"Nome sem indicação interna",IF(AND(G1417=1,F1417=""),"Fechamento sem conversa",IF(OR(AND(E1417&lt;&gt;"",E1417&lt;B1417),AND(F1417&lt;&gt;"",F1417&lt;B1417)),"Evento anterior à entrada",IF(AND(F1417&lt;&gt;"",E1417=""),"Conversa sem agendamento",IF(OR(E1417&gt;TODAY(),F1417&gt;TODAY()),"Verificar evento futuro","OK"))))))))))</f>
        <v/>
      </c>
    </row>
    <row r="1418" spans="12:15">
      <c r="L1418" s="5">
        <f>IF(OR(A1418="",B1418=""),"",B1418-WEEKDAY(B1418,2)+1)</f>
        <v/>
      </c>
      <c r="M1418" s="5">
        <f>IF(L1418="","",L1418+6)</f>
        <v/>
      </c>
      <c r="N1418" s="6">
        <f>IF(OR(A1418="",B1418=""),"",DATE(YEAR(B1418),MONTH(B1418),1))</f>
        <v/>
      </c>
      <c r="O1418" s="7">
        <f>IF(COUNTA(A1418:K1418)=0,"",IF(OR(A1418="",B1418=""),"Preencher CPF e entrada",IF(COUNTIFS($A$12:$A$5011,A1418,$B$12:$B$5011,B1418)&gt;1,"CPF + dia duplicado",IF(OR(AND(G1418&lt;&gt;"",G1418&lt;&gt;0,G1418&lt;&gt;1),AND(H1418&lt;&gt;"",H1418&lt;&gt;0,H1418&lt;&gt;1)),"Flags devem ser 0 ou 1",IF(AND(H1418=1,LEN(TRIM(I1418))=0),"Preencher nome do indicante",IF(AND(H1418&lt;&gt;1,I1418&lt;&gt;""),"Nome sem indicação interna",IF(AND(G1418=1,F1418=""),"Fechamento sem conversa",IF(OR(AND(E1418&lt;&gt;"",E1418&lt;B1418),AND(F1418&lt;&gt;"",F1418&lt;B1418)),"Evento anterior à entrada",IF(AND(F1418&lt;&gt;"",E1418=""),"Conversa sem agendamento",IF(OR(E1418&gt;TODAY(),F1418&gt;TODAY()),"Verificar evento futuro","OK"))))))))))</f>
        <v/>
      </c>
    </row>
    <row r="1419" spans="12:15">
      <c r="L1419" s="5">
        <f>IF(OR(A1419="",B1419=""),"",B1419-WEEKDAY(B1419,2)+1)</f>
        <v/>
      </c>
      <c r="M1419" s="5">
        <f>IF(L1419="","",L1419+6)</f>
        <v/>
      </c>
      <c r="N1419" s="6">
        <f>IF(OR(A1419="",B1419=""),"",DATE(YEAR(B1419),MONTH(B1419),1))</f>
        <v/>
      </c>
      <c r="O1419" s="7">
        <f>IF(COUNTA(A1419:K1419)=0,"",IF(OR(A1419="",B1419=""),"Preencher CPF e entrada",IF(COUNTIFS($A$12:$A$5011,A1419,$B$12:$B$5011,B1419)&gt;1,"CPF + dia duplicado",IF(OR(AND(G1419&lt;&gt;"",G1419&lt;&gt;0,G1419&lt;&gt;1),AND(H1419&lt;&gt;"",H1419&lt;&gt;0,H1419&lt;&gt;1)),"Flags devem ser 0 ou 1",IF(AND(H1419=1,LEN(TRIM(I1419))=0),"Preencher nome do indicante",IF(AND(H1419&lt;&gt;1,I1419&lt;&gt;""),"Nome sem indicação interna",IF(AND(G1419=1,F1419=""),"Fechamento sem conversa",IF(OR(AND(E1419&lt;&gt;"",E1419&lt;B1419),AND(F1419&lt;&gt;"",F1419&lt;B1419)),"Evento anterior à entrada",IF(AND(F1419&lt;&gt;"",E1419=""),"Conversa sem agendamento",IF(OR(E1419&gt;TODAY(),F1419&gt;TODAY()),"Verificar evento futuro","OK"))))))))))</f>
        <v/>
      </c>
    </row>
    <row r="1420" spans="12:15">
      <c r="L1420" s="5">
        <f>IF(OR(A1420="",B1420=""),"",B1420-WEEKDAY(B1420,2)+1)</f>
        <v/>
      </c>
      <c r="M1420" s="5">
        <f>IF(L1420="","",L1420+6)</f>
        <v/>
      </c>
      <c r="N1420" s="6">
        <f>IF(OR(A1420="",B1420=""),"",DATE(YEAR(B1420),MONTH(B1420),1))</f>
        <v/>
      </c>
      <c r="O1420" s="7">
        <f>IF(COUNTA(A1420:K1420)=0,"",IF(OR(A1420="",B1420=""),"Preencher CPF e entrada",IF(COUNTIFS($A$12:$A$5011,A1420,$B$12:$B$5011,B1420)&gt;1,"CPF + dia duplicado",IF(OR(AND(G1420&lt;&gt;"",G1420&lt;&gt;0,G1420&lt;&gt;1),AND(H1420&lt;&gt;"",H1420&lt;&gt;0,H1420&lt;&gt;1)),"Flags devem ser 0 ou 1",IF(AND(H1420=1,LEN(TRIM(I1420))=0),"Preencher nome do indicante",IF(AND(H1420&lt;&gt;1,I1420&lt;&gt;""),"Nome sem indicação interna",IF(AND(G1420=1,F1420=""),"Fechamento sem conversa",IF(OR(AND(E1420&lt;&gt;"",E1420&lt;B1420),AND(F1420&lt;&gt;"",F1420&lt;B1420)),"Evento anterior à entrada",IF(AND(F1420&lt;&gt;"",E1420=""),"Conversa sem agendamento",IF(OR(E1420&gt;TODAY(),F1420&gt;TODAY()),"Verificar evento futuro","OK"))))))))))</f>
        <v/>
      </c>
    </row>
    <row r="1421" spans="12:15">
      <c r="L1421" s="5">
        <f>IF(OR(A1421="",B1421=""),"",B1421-WEEKDAY(B1421,2)+1)</f>
        <v/>
      </c>
      <c r="M1421" s="5">
        <f>IF(L1421="","",L1421+6)</f>
        <v/>
      </c>
      <c r="N1421" s="6">
        <f>IF(OR(A1421="",B1421=""),"",DATE(YEAR(B1421),MONTH(B1421),1))</f>
        <v/>
      </c>
      <c r="O1421" s="7">
        <f>IF(COUNTA(A1421:K1421)=0,"",IF(OR(A1421="",B1421=""),"Preencher CPF e entrada",IF(COUNTIFS($A$12:$A$5011,A1421,$B$12:$B$5011,B1421)&gt;1,"CPF + dia duplicado",IF(OR(AND(G1421&lt;&gt;"",G1421&lt;&gt;0,G1421&lt;&gt;1),AND(H1421&lt;&gt;"",H1421&lt;&gt;0,H1421&lt;&gt;1)),"Flags devem ser 0 ou 1",IF(AND(H1421=1,LEN(TRIM(I1421))=0),"Preencher nome do indicante",IF(AND(H1421&lt;&gt;1,I1421&lt;&gt;""),"Nome sem indicação interna",IF(AND(G1421=1,F1421=""),"Fechamento sem conversa",IF(OR(AND(E1421&lt;&gt;"",E1421&lt;B1421),AND(F1421&lt;&gt;"",F1421&lt;B1421)),"Evento anterior à entrada",IF(AND(F1421&lt;&gt;"",E1421=""),"Conversa sem agendamento",IF(OR(E1421&gt;TODAY(),F1421&gt;TODAY()),"Verificar evento futuro","OK"))))))))))</f>
        <v/>
      </c>
    </row>
    <row r="1422" spans="12:15">
      <c r="L1422" s="5">
        <f>IF(OR(A1422="",B1422=""),"",B1422-WEEKDAY(B1422,2)+1)</f>
        <v/>
      </c>
      <c r="M1422" s="5">
        <f>IF(L1422="","",L1422+6)</f>
        <v/>
      </c>
      <c r="N1422" s="6">
        <f>IF(OR(A1422="",B1422=""),"",DATE(YEAR(B1422),MONTH(B1422),1))</f>
        <v/>
      </c>
      <c r="O1422" s="7">
        <f>IF(COUNTA(A1422:K1422)=0,"",IF(OR(A1422="",B1422=""),"Preencher CPF e entrada",IF(COUNTIFS($A$12:$A$5011,A1422,$B$12:$B$5011,B1422)&gt;1,"CPF + dia duplicado",IF(OR(AND(G1422&lt;&gt;"",G1422&lt;&gt;0,G1422&lt;&gt;1),AND(H1422&lt;&gt;"",H1422&lt;&gt;0,H1422&lt;&gt;1)),"Flags devem ser 0 ou 1",IF(AND(H1422=1,LEN(TRIM(I1422))=0),"Preencher nome do indicante",IF(AND(H1422&lt;&gt;1,I1422&lt;&gt;""),"Nome sem indicação interna",IF(AND(G1422=1,F1422=""),"Fechamento sem conversa",IF(OR(AND(E1422&lt;&gt;"",E1422&lt;B1422),AND(F1422&lt;&gt;"",F1422&lt;B1422)),"Evento anterior à entrada",IF(AND(F1422&lt;&gt;"",E1422=""),"Conversa sem agendamento",IF(OR(E1422&gt;TODAY(),F1422&gt;TODAY()),"Verificar evento futuro","OK"))))))))))</f>
        <v/>
      </c>
    </row>
    <row r="1423" spans="12:15">
      <c r="L1423" s="5">
        <f>IF(OR(A1423="",B1423=""),"",B1423-WEEKDAY(B1423,2)+1)</f>
        <v/>
      </c>
      <c r="M1423" s="5">
        <f>IF(L1423="","",L1423+6)</f>
        <v/>
      </c>
      <c r="N1423" s="6">
        <f>IF(OR(A1423="",B1423=""),"",DATE(YEAR(B1423),MONTH(B1423),1))</f>
        <v/>
      </c>
      <c r="O1423" s="7">
        <f>IF(COUNTA(A1423:K1423)=0,"",IF(OR(A1423="",B1423=""),"Preencher CPF e entrada",IF(COUNTIFS($A$12:$A$5011,A1423,$B$12:$B$5011,B1423)&gt;1,"CPF + dia duplicado",IF(OR(AND(G1423&lt;&gt;"",G1423&lt;&gt;0,G1423&lt;&gt;1),AND(H1423&lt;&gt;"",H1423&lt;&gt;0,H1423&lt;&gt;1)),"Flags devem ser 0 ou 1",IF(AND(H1423=1,LEN(TRIM(I1423))=0),"Preencher nome do indicante",IF(AND(H1423&lt;&gt;1,I1423&lt;&gt;""),"Nome sem indicação interna",IF(AND(G1423=1,F1423=""),"Fechamento sem conversa",IF(OR(AND(E1423&lt;&gt;"",E1423&lt;B1423),AND(F1423&lt;&gt;"",F1423&lt;B1423)),"Evento anterior à entrada",IF(AND(F1423&lt;&gt;"",E1423=""),"Conversa sem agendamento",IF(OR(E1423&gt;TODAY(),F1423&gt;TODAY()),"Verificar evento futuro","OK"))))))))))</f>
        <v/>
      </c>
    </row>
    <row r="1424" spans="12:15">
      <c r="L1424" s="5">
        <f>IF(OR(A1424="",B1424=""),"",B1424-WEEKDAY(B1424,2)+1)</f>
        <v/>
      </c>
      <c r="M1424" s="5">
        <f>IF(L1424="","",L1424+6)</f>
        <v/>
      </c>
      <c r="N1424" s="6">
        <f>IF(OR(A1424="",B1424=""),"",DATE(YEAR(B1424),MONTH(B1424),1))</f>
        <v/>
      </c>
      <c r="O1424" s="7">
        <f>IF(COUNTA(A1424:K1424)=0,"",IF(OR(A1424="",B1424=""),"Preencher CPF e entrada",IF(COUNTIFS($A$12:$A$5011,A1424,$B$12:$B$5011,B1424)&gt;1,"CPF + dia duplicado",IF(OR(AND(G1424&lt;&gt;"",G1424&lt;&gt;0,G1424&lt;&gt;1),AND(H1424&lt;&gt;"",H1424&lt;&gt;0,H1424&lt;&gt;1)),"Flags devem ser 0 ou 1",IF(AND(H1424=1,LEN(TRIM(I1424))=0),"Preencher nome do indicante",IF(AND(H1424&lt;&gt;1,I1424&lt;&gt;""),"Nome sem indicação interna",IF(AND(G1424=1,F1424=""),"Fechamento sem conversa",IF(OR(AND(E1424&lt;&gt;"",E1424&lt;B1424),AND(F1424&lt;&gt;"",F1424&lt;B1424)),"Evento anterior à entrada",IF(AND(F1424&lt;&gt;"",E1424=""),"Conversa sem agendamento",IF(OR(E1424&gt;TODAY(),F1424&gt;TODAY()),"Verificar evento futuro","OK"))))))))))</f>
        <v/>
      </c>
    </row>
    <row r="1425" spans="12:15">
      <c r="L1425" s="5">
        <f>IF(OR(A1425="",B1425=""),"",B1425-WEEKDAY(B1425,2)+1)</f>
        <v/>
      </c>
      <c r="M1425" s="5">
        <f>IF(L1425="","",L1425+6)</f>
        <v/>
      </c>
      <c r="N1425" s="6">
        <f>IF(OR(A1425="",B1425=""),"",DATE(YEAR(B1425),MONTH(B1425),1))</f>
        <v/>
      </c>
      <c r="O1425" s="7">
        <f>IF(COUNTA(A1425:K1425)=0,"",IF(OR(A1425="",B1425=""),"Preencher CPF e entrada",IF(COUNTIFS($A$12:$A$5011,A1425,$B$12:$B$5011,B1425)&gt;1,"CPF + dia duplicado",IF(OR(AND(G1425&lt;&gt;"",G1425&lt;&gt;0,G1425&lt;&gt;1),AND(H1425&lt;&gt;"",H1425&lt;&gt;0,H1425&lt;&gt;1)),"Flags devem ser 0 ou 1",IF(AND(H1425=1,LEN(TRIM(I1425))=0),"Preencher nome do indicante",IF(AND(H1425&lt;&gt;1,I1425&lt;&gt;""),"Nome sem indicação interna",IF(AND(G1425=1,F1425=""),"Fechamento sem conversa",IF(OR(AND(E1425&lt;&gt;"",E1425&lt;B1425),AND(F1425&lt;&gt;"",F1425&lt;B1425)),"Evento anterior à entrada",IF(AND(F1425&lt;&gt;"",E1425=""),"Conversa sem agendamento",IF(OR(E1425&gt;TODAY(),F1425&gt;TODAY()),"Verificar evento futuro","OK"))))))))))</f>
        <v/>
      </c>
    </row>
    <row r="1426" spans="12:15">
      <c r="L1426" s="5">
        <f>IF(OR(A1426="",B1426=""),"",B1426-WEEKDAY(B1426,2)+1)</f>
        <v/>
      </c>
      <c r="M1426" s="5">
        <f>IF(L1426="","",L1426+6)</f>
        <v/>
      </c>
      <c r="N1426" s="6">
        <f>IF(OR(A1426="",B1426=""),"",DATE(YEAR(B1426),MONTH(B1426),1))</f>
        <v/>
      </c>
      <c r="O1426" s="7">
        <f>IF(COUNTA(A1426:K1426)=0,"",IF(OR(A1426="",B1426=""),"Preencher CPF e entrada",IF(COUNTIFS($A$12:$A$5011,A1426,$B$12:$B$5011,B1426)&gt;1,"CPF + dia duplicado",IF(OR(AND(G1426&lt;&gt;"",G1426&lt;&gt;0,G1426&lt;&gt;1),AND(H1426&lt;&gt;"",H1426&lt;&gt;0,H1426&lt;&gt;1)),"Flags devem ser 0 ou 1",IF(AND(H1426=1,LEN(TRIM(I1426))=0),"Preencher nome do indicante",IF(AND(H1426&lt;&gt;1,I1426&lt;&gt;""),"Nome sem indicação interna",IF(AND(G1426=1,F1426=""),"Fechamento sem conversa",IF(OR(AND(E1426&lt;&gt;"",E1426&lt;B1426),AND(F1426&lt;&gt;"",F1426&lt;B1426)),"Evento anterior à entrada",IF(AND(F1426&lt;&gt;"",E1426=""),"Conversa sem agendamento",IF(OR(E1426&gt;TODAY(),F1426&gt;TODAY()),"Verificar evento futuro","OK"))))))))))</f>
        <v/>
      </c>
    </row>
    <row r="1427" spans="12:15">
      <c r="L1427" s="5">
        <f>IF(OR(A1427="",B1427=""),"",B1427-WEEKDAY(B1427,2)+1)</f>
        <v/>
      </c>
      <c r="M1427" s="5">
        <f>IF(L1427="","",L1427+6)</f>
        <v/>
      </c>
      <c r="N1427" s="6">
        <f>IF(OR(A1427="",B1427=""),"",DATE(YEAR(B1427),MONTH(B1427),1))</f>
        <v/>
      </c>
      <c r="O1427" s="7">
        <f>IF(COUNTA(A1427:K1427)=0,"",IF(OR(A1427="",B1427=""),"Preencher CPF e entrada",IF(COUNTIFS($A$12:$A$5011,A1427,$B$12:$B$5011,B1427)&gt;1,"CPF + dia duplicado",IF(OR(AND(G1427&lt;&gt;"",G1427&lt;&gt;0,G1427&lt;&gt;1),AND(H1427&lt;&gt;"",H1427&lt;&gt;0,H1427&lt;&gt;1)),"Flags devem ser 0 ou 1",IF(AND(H1427=1,LEN(TRIM(I1427))=0),"Preencher nome do indicante",IF(AND(H1427&lt;&gt;1,I1427&lt;&gt;""),"Nome sem indicação interna",IF(AND(G1427=1,F1427=""),"Fechamento sem conversa",IF(OR(AND(E1427&lt;&gt;"",E1427&lt;B1427),AND(F1427&lt;&gt;"",F1427&lt;B1427)),"Evento anterior à entrada",IF(AND(F1427&lt;&gt;"",E1427=""),"Conversa sem agendamento",IF(OR(E1427&gt;TODAY(),F1427&gt;TODAY()),"Verificar evento futuro","OK"))))))))))</f>
        <v/>
      </c>
    </row>
    <row r="1428" spans="12:15">
      <c r="L1428" s="5">
        <f>IF(OR(A1428="",B1428=""),"",B1428-WEEKDAY(B1428,2)+1)</f>
        <v/>
      </c>
      <c r="M1428" s="5">
        <f>IF(L1428="","",L1428+6)</f>
        <v/>
      </c>
      <c r="N1428" s="6">
        <f>IF(OR(A1428="",B1428=""),"",DATE(YEAR(B1428),MONTH(B1428),1))</f>
        <v/>
      </c>
      <c r="O1428" s="7">
        <f>IF(COUNTA(A1428:K1428)=0,"",IF(OR(A1428="",B1428=""),"Preencher CPF e entrada",IF(COUNTIFS($A$12:$A$5011,A1428,$B$12:$B$5011,B1428)&gt;1,"CPF + dia duplicado",IF(OR(AND(G1428&lt;&gt;"",G1428&lt;&gt;0,G1428&lt;&gt;1),AND(H1428&lt;&gt;"",H1428&lt;&gt;0,H1428&lt;&gt;1)),"Flags devem ser 0 ou 1",IF(AND(H1428=1,LEN(TRIM(I1428))=0),"Preencher nome do indicante",IF(AND(H1428&lt;&gt;1,I1428&lt;&gt;""),"Nome sem indicação interna",IF(AND(G1428=1,F1428=""),"Fechamento sem conversa",IF(OR(AND(E1428&lt;&gt;"",E1428&lt;B1428),AND(F1428&lt;&gt;"",F1428&lt;B1428)),"Evento anterior à entrada",IF(AND(F1428&lt;&gt;"",E1428=""),"Conversa sem agendamento",IF(OR(E1428&gt;TODAY(),F1428&gt;TODAY()),"Verificar evento futuro","OK"))))))))))</f>
        <v/>
      </c>
    </row>
    <row r="1429" spans="12:15">
      <c r="L1429" s="5">
        <f>IF(OR(A1429="",B1429=""),"",B1429-WEEKDAY(B1429,2)+1)</f>
        <v/>
      </c>
      <c r="M1429" s="5">
        <f>IF(L1429="","",L1429+6)</f>
        <v/>
      </c>
      <c r="N1429" s="6">
        <f>IF(OR(A1429="",B1429=""),"",DATE(YEAR(B1429),MONTH(B1429),1))</f>
        <v/>
      </c>
      <c r="O1429" s="7">
        <f>IF(COUNTA(A1429:K1429)=0,"",IF(OR(A1429="",B1429=""),"Preencher CPF e entrada",IF(COUNTIFS($A$12:$A$5011,A1429,$B$12:$B$5011,B1429)&gt;1,"CPF + dia duplicado",IF(OR(AND(G1429&lt;&gt;"",G1429&lt;&gt;0,G1429&lt;&gt;1),AND(H1429&lt;&gt;"",H1429&lt;&gt;0,H1429&lt;&gt;1)),"Flags devem ser 0 ou 1",IF(AND(H1429=1,LEN(TRIM(I1429))=0),"Preencher nome do indicante",IF(AND(H1429&lt;&gt;1,I1429&lt;&gt;""),"Nome sem indicação interna",IF(AND(G1429=1,F1429=""),"Fechamento sem conversa",IF(OR(AND(E1429&lt;&gt;"",E1429&lt;B1429),AND(F1429&lt;&gt;"",F1429&lt;B1429)),"Evento anterior à entrada",IF(AND(F1429&lt;&gt;"",E1429=""),"Conversa sem agendamento",IF(OR(E1429&gt;TODAY(),F1429&gt;TODAY()),"Verificar evento futuro","OK"))))))))))</f>
        <v/>
      </c>
    </row>
    <row r="1430" spans="12:15">
      <c r="L1430" s="5">
        <f>IF(OR(A1430="",B1430=""),"",B1430-WEEKDAY(B1430,2)+1)</f>
        <v/>
      </c>
      <c r="M1430" s="5">
        <f>IF(L1430="","",L1430+6)</f>
        <v/>
      </c>
      <c r="N1430" s="6">
        <f>IF(OR(A1430="",B1430=""),"",DATE(YEAR(B1430),MONTH(B1430),1))</f>
        <v/>
      </c>
      <c r="O1430" s="7">
        <f>IF(COUNTA(A1430:K1430)=0,"",IF(OR(A1430="",B1430=""),"Preencher CPF e entrada",IF(COUNTIFS($A$12:$A$5011,A1430,$B$12:$B$5011,B1430)&gt;1,"CPF + dia duplicado",IF(OR(AND(G1430&lt;&gt;"",G1430&lt;&gt;0,G1430&lt;&gt;1),AND(H1430&lt;&gt;"",H1430&lt;&gt;0,H1430&lt;&gt;1)),"Flags devem ser 0 ou 1",IF(AND(H1430=1,LEN(TRIM(I1430))=0),"Preencher nome do indicante",IF(AND(H1430&lt;&gt;1,I1430&lt;&gt;""),"Nome sem indicação interna",IF(AND(G1430=1,F1430=""),"Fechamento sem conversa",IF(OR(AND(E1430&lt;&gt;"",E1430&lt;B1430),AND(F1430&lt;&gt;"",F1430&lt;B1430)),"Evento anterior à entrada",IF(AND(F1430&lt;&gt;"",E1430=""),"Conversa sem agendamento",IF(OR(E1430&gt;TODAY(),F1430&gt;TODAY()),"Verificar evento futuro","OK"))))))))))</f>
        <v/>
      </c>
    </row>
    <row r="1431" spans="12:15">
      <c r="L1431" s="5">
        <f>IF(OR(A1431="",B1431=""),"",B1431-WEEKDAY(B1431,2)+1)</f>
        <v/>
      </c>
      <c r="M1431" s="5">
        <f>IF(L1431="","",L1431+6)</f>
        <v/>
      </c>
      <c r="N1431" s="6">
        <f>IF(OR(A1431="",B1431=""),"",DATE(YEAR(B1431),MONTH(B1431),1))</f>
        <v/>
      </c>
      <c r="O1431" s="7">
        <f>IF(COUNTA(A1431:K1431)=0,"",IF(OR(A1431="",B1431=""),"Preencher CPF e entrada",IF(COUNTIFS($A$12:$A$5011,A1431,$B$12:$B$5011,B1431)&gt;1,"CPF + dia duplicado",IF(OR(AND(G1431&lt;&gt;"",G1431&lt;&gt;0,G1431&lt;&gt;1),AND(H1431&lt;&gt;"",H1431&lt;&gt;0,H1431&lt;&gt;1)),"Flags devem ser 0 ou 1",IF(AND(H1431=1,LEN(TRIM(I1431))=0),"Preencher nome do indicante",IF(AND(H1431&lt;&gt;1,I1431&lt;&gt;""),"Nome sem indicação interna",IF(AND(G1431=1,F1431=""),"Fechamento sem conversa",IF(OR(AND(E1431&lt;&gt;"",E1431&lt;B1431),AND(F1431&lt;&gt;"",F1431&lt;B1431)),"Evento anterior à entrada",IF(AND(F1431&lt;&gt;"",E1431=""),"Conversa sem agendamento",IF(OR(E1431&gt;TODAY(),F1431&gt;TODAY()),"Verificar evento futuro","OK"))))))))))</f>
        <v/>
      </c>
    </row>
    <row r="1432" spans="12:15">
      <c r="L1432" s="5">
        <f>IF(OR(A1432="",B1432=""),"",B1432-WEEKDAY(B1432,2)+1)</f>
        <v/>
      </c>
      <c r="M1432" s="5">
        <f>IF(L1432="","",L1432+6)</f>
        <v/>
      </c>
      <c r="N1432" s="6">
        <f>IF(OR(A1432="",B1432=""),"",DATE(YEAR(B1432),MONTH(B1432),1))</f>
        <v/>
      </c>
      <c r="O1432" s="7">
        <f>IF(COUNTA(A1432:K1432)=0,"",IF(OR(A1432="",B1432=""),"Preencher CPF e entrada",IF(COUNTIFS($A$12:$A$5011,A1432,$B$12:$B$5011,B1432)&gt;1,"CPF + dia duplicado",IF(OR(AND(G1432&lt;&gt;"",G1432&lt;&gt;0,G1432&lt;&gt;1),AND(H1432&lt;&gt;"",H1432&lt;&gt;0,H1432&lt;&gt;1)),"Flags devem ser 0 ou 1",IF(AND(H1432=1,LEN(TRIM(I1432))=0),"Preencher nome do indicante",IF(AND(H1432&lt;&gt;1,I1432&lt;&gt;""),"Nome sem indicação interna",IF(AND(G1432=1,F1432=""),"Fechamento sem conversa",IF(OR(AND(E1432&lt;&gt;"",E1432&lt;B1432),AND(F1432&lt;&gt;"",F1432&lt;B1432)),"Evento anterior à entrada",IF(AND(F1432&lt;&gt;"",E1432=""),"Conversa sem agendamento",IF(OR(E1432&gt;TODAY(),F1432&gt;TODAY()),"Verificar evento futuro","OK"))))))))))</f>
        <v/>
      </c>
    </row>
    <row r="1433" spans="12:15">
      <c r="L1433" s="5">
        <f>IF(OR(A1433="",B1433=""),"",B1433-WEEKDAY(B1433,2)+1)</f>
        <v/>
      </c>
      <c r="M1433" s="5">
        <f>IF(L1433="","",L1433+6)</f>
        <v/>
      </c>
      <c r="N1433" s="6">
        <f>IF(OR(A1433="",B1433=""),"",DATE(YEAR(B1433),MONTH(B1433),1))</f>
        <v/>
      </c>
      <c r="O1433" s="7">
        <f>IF(COUNTA(A1433:K1433)=0,"",IF(OR(A1433="",B1433=""),"Preencher CPF e entrada",IF(COUNTIFS($A$12:$A$5011,A1433,$B$12:$B$5011,B1433)&gt;1,"CPF + dia duplicado",IF(OR(AND(G1433&lt;&gt;"",G1433&lt;&gt;0,G1433&lt;&gt;1),AND(H1433&lt;&gt;"",H1433&lt;&gt;0,H1433&lt;&gt;1)),"Flags devem ser 0 ou 1",IF(AND(H1433=1,LEN(TRIM(I1433))=0),"Preencher nome do indicante",IF(AND(H1433&lt;&gt;1,I1433&lt;&gt;""),"Nome sem indicação interna",IF(AND(G1433=1,F1433=""),"Fechamento sem conversa",IF(OR(AND(E1433&lt;&gt;"",E1433&lt;B1433),AND(F1433&lt;&gt;"",F1433&lt;B1433)),"Evento anterior à entrada",IF(AND(F1433&lt;&gt;"",E1433=""),"Conversa sem agendamento",IF(OR(E1433&gt;TODAY(),F1433&gt;TODAY()),"Verificar evento futuro","OK"))))))))))</f>
        <v/>
      </c>
    </row>
    <row r="1434" spans="12:15">
      <c r="L1434" s="5">
        <f>IF(OR(A1434="",B1434=""),"",B1434-WEEKDAY(B1434,2)+1)</f>
        <v/>
      </c>
      <c r="M1434" s="5">
        <f>IF(L1434="","",L1434+6)</f>
        <v/>
      </c>
      <c r="N1434" s="6">
        <f>IF(OR(A1434="",B1434=""),"",DATE(YEAR(B1434),MONTH(B1434),1))</f>
        <v/>
      </c>
      <c r="O1434" s="7">
        <f>IF(COUNTA(A1434:K1434)=0,"",IF(OR(A1434="",B1434=""),"Preencher CPF e entrada",IF(COUNTIFS($A$12:$A$5011,A1434,$B$12:$B$5011,B1434)&gt;1,"CPF + dia duplicado",IF(OR(AND(G1434&lt;&gt;"",G1434&lt;&gt;0,G1434&lt;&gt;1),AND(H1434&lt;&gt;"",H1434&lt;&gt;0,H1434&lt;&gt;1)),"Flags devem ser 0 ou 1",IF(AND(H1434=1,LEN(TRIM(I1434))=0),"Preencher nome do indicante",IF(AND(H1434&lt;&gt;1,I1434&lt;&gt;""),"Nome sem indicação interna",IF(AND(G1434=1,F1434=""),"Fechamento sem conversa",IF(OR(AND(E1434&lt;&gt;"",E1434&lt;B1434),AND(F1434&lt;&gt;"",F1434&lt;B1434)),"Evento anterior à entrada",IF(AND(F1434&lt;&gt;"",E1434=""),"Conversa sem agendamento",IF(OR(E1434&gt;TODAY(),F1434&gt;TODAY()),"Verificar evento futuro","OK"))))))))))</f>
        <v/>
      </c>
    </row>
    <row r="1435" spans="12:15">
      <c r="L1435" s="5">
        <f>IF(OR(A1435="",B1435=""),"",B1435-WEEKDAY(B1435,2)+1)</f>
        <v/>
      </c>
      <c r="M1435" s="5">
        <f>IF(L1435="","",L1435+6)</f>
        <v/>
      </c>
      <c r="N1435" s="6">
        <f>IF(OR(A1435="",B1435=""),"",DATE(YEAR(B1435),MONTH(B1435),1))</f>
        <v/>
      </c>
      <c r="O1435" s="7">
        <f>IF(COUNTA(A1435:K1435)=0,"",IF(OR(A1435="",B1435=""),"Preencher CPF e entrada",IF(COUNTIFS($A$12:$A$5011,A1435,$B$12:$B$5011,B1435)&gt;1,"CPF + dia duplicado",IF(OR(AND(G1435&lt;&gt;"",G1435&lt;&gt;0,G1435&lt;&gt;1),AND(H1435&lt;&gt;"",H1435&lt;&gt;0,H1435&lt;&gt;1)),"Flags devem ser 0 ou 1",IF(AND(H1435=1,LEN(TRIM(I1435))=0),"Preencher nome do indicante",IF(AND(H1435&lt;&gt;1,I1435&lt;&gt;""),"Nome sem indicação interna",IF(AND(G1435=1,F1435=""),"Fechamento sem conversa",IF(OR(AND(E1435&lt;&gt;"",E1435&lt;B1435),AND(F1435&lt;&gt;"",F1435&lt;B1435)),"Evento anterior à entrada",IF(AND(F1435&lt;&gt;"",E1435=""),"Conversa sem agendamento",IF(OR(E1435&gt;TODAY(),F1435&gt;TODAY()),"Verificar evento futuro","OK"))))))))))</f>
        <v/>
      </c>
    </row>
    <row r="1436" spans="12:15">
      <c r="L1436" s="5">
        <f>IF(OR(A1436="",B1436=""),"",B1436-WEEKDAY(B1436,2)+1)</f>
        <v/>
      </c>
      <c r="M1436" s="5">
        <f>IF(L1436="","",L1436+6)</f>
        <v/>
      </c>
      <c r="N1436" s="6">
        <f>IF(OR(A1436="",B1436=""),"",DATE(YEAR(B1436),MONTH(B1436),1))</f>
        <v/>
      </c>
      <c r="O1436" s="7">
        <f>IF(COUNTA(A1436:K1436)=0,"",IF(OR(A1436="",B1436=""),"Preencher CPF e entrada",IF(COUNTIFS($A$12:$A$5011,A1436,$B$12:$B$5011,B1436)&gt;1,"CPF + dia duplicado",IF(OR(AND(G1436&lt;&gt;"",G1436&lt;&gt;0,G1436&lt;&gt;1),AND(H1436&lt;&gt;"",H1436&lt;&gt;0,H1436&lt;&gt;1)),"Flags devem ser 0 ou 1",IF(AND(H1436=1,LEN(TRIM(I1436))=0),"Preencher nome do indicante",IF(AND(H1436&lt;&gt;1,I1436&lt;&gt;""),"Nome sem indicação interna",IF(AND(G1436=1,F1436=""),"Fechamento sem conversa",IF(OR(AND(E1436&lt;&gt;"",E1436&lt;B1436),AND(F1436&lt;&gt;"",F1436&lt;B1436)),"Evento anterior à entrada",IF(AND(F1436&lt;&gt;"",E1436=""),"Conversa sem agendamento",IF(OR(E1436&gt;TODAY(),F1436&gt;TODAY()),"Verificar evento futuro","OK"))))))))))</f>
        <v/>
      </c>
    </row>
    <row r="1437" spans="12:15">
      <c r="L1437" s="5">
        <f>IF(OR(A1437="",B1437=""),"",B1437-WEEKDAY(B1437,2)+1)</f>
        <v/>
      </c>
      <c r="M1437" s="5">
        <f>IF(L1437="","",L1437+6)</f>
        <v/>
      </c>
      <c r="N1437" s="6">
        <f>IF(OR(A1437="",B1437=""),"",DATE(YEAR(B1437),MONTH(B1437),1))</f>
        <v/>
      </c>
      <c r="O1437" s="7">
        <f>IF(COUNTA(A1437:K1437)=0,"",IF(OR(A1437="",B1437=""),"Preencher CPF e entrada",IF(COUNTIFS($A$12:$A$5011,A1437,$B$12:$B$5011,B1437)&gt;1,"CPF + dia duplicado",IF(OR(AND(G1437&lt;&gt;"",G1437&lt;&gt;0,G1437&lt;&gt;1),AND(H1437&lt;&gt;"",H1437&lt;&gt;0,H1437&lt;&gt;1)),"Flags devem ser 0 ou 1",IF(AND(H1437=1,LEN(TRIM(I1437))=0),"Preencher nome do indicante",IF(AND(H1437&lt;&gt;1,I1437&lt;&gt;""),"Nome sem indicação interna",IF(AND(G1437=1,F1437=""),"Fechamento sem conversa",IF(OR(AND(E1437&lt;&gt;"",E1437&lt;B1437),AND(F1437&lt;&gt;"",F1437&lt;B1437)),"Evento anterior à entrada",IF(AND(F1437&lt;&gt;"",E1437=""),"Conversa sem agendamento",IF(OR(E1437&gt;TODAY(),F1437&gt;TODAY()),"Verificar evento futuro","OK"))))))))))</f>
        <v/>
      </c>
    </row>
    <row r="1438" spans="12:15">
      <c r="L1438" s="5">
        <f>IF(OR(A1438="",B1438=""),"",B1438-WEEKDAY(B1438,2)+1)</f>
        <v/>
      </c>
      <c r="M1438" s="5">
        <f>IF(L1438="","",L1438+6)</f>
        <v/>
      </c>
      <c r="N1438" s="6">
        <f>IF(OR(A1438="",B1438=""),"",DATE(YEAR(B1438),MONTH(B1438),1))</f>
        <v/>
      </c>
      <c r="O1438" s="7">
        <f>IF(COUNTA(A1438:K1438)=0,"",IF(OR(A1438="",B1438=""),"Preencher CPF e entrada",IF(COUNTIFS($A$12:$A$5011,A1438,$B$12:$B$5011,B1438)&gt;1,"CPF + dia duplicado",IF(OR(AND(G1438&lt;&gt;"",G1438&lt;&gt;0,G1438&lt;&gt;1),AND(H1438&lt;&gt;"",H1438&lt;&gt;0,H1438&lt;&gt;1)),"Flags devem ser 0 ou 1",IF(AND(H1438=1,LEN(TRIM(I1438))=0),"Preencher nome do indicante",IF(AND(H1438&lt;&gt;1,I1438&lt;&gt;""),"Nome sem indicação interna",IF(AND(G1438=1,F1438=""),"Fechamento sem conversa",IF(OR(AND(E1438&lt;&gt;"",E1438&lt;B1438),AND(F1438&lt;&gt;"",F1438&lt;B1438)),"Evento anterior à entrada",IF(AND(F1438&lt;&gt;"",E1438=""),"Conversa sem agendamento",IF(OR(E1438&gt;TODAY(),F1438&gt;TODAY()),"Verificar evento futuro","OK"))))))))))</f>
        <v/>
      </c>
    </row>
    <row r="1439" spans="12:15">
      <c r="L1439" s="5">
        <f>IF(OR(A1439="",B1439=""),"",B1439-WEEKDAY(B1439,2)+1)</f>
        <v/>
      </c>
      <c r="M1439" s="5">
        <f>IF(L1439="","",L1439+6)</f>
        <v/>
      </c>
      <c r="N1439" s="6">
        <f>IF(OR(A1439="",B1439=""),"",DATE(YEAR(B1439),MONTH(B1439),1))</f>
        <v/>
      </c>
      <c r="O1439" s="7">
        <f>IF(COUNTA(A1439:K1439)=0,"",IF(OR(A1439="",B1439=""),"Preencher CPF e entrada",IF(COUNTIFS($A$12:$A$5011,A1439,$B$12:$B$5011,B1439)&gt;1,"CPF + dia duplicado",IF(OR(AND(G1439&lt;&gt;"",G1439&lt;&gt;0,G1439&lt;&gt;1),AND(H1439&lt;&gt;"",H1439&lt;&gt;0,H1439&lt;&gt;1)),"Flags devem ser 0 ou 1",IF(AND(H1439=1,LEN(TRIM(I1439))=0),"Preencher nome do indicante",IF(AND(H1439&lt;&gt;1,I1439&lt;&gt;""),"Nome sem indicação interna",IF(AND(G1439=1,F1439=""),"Fechamento sem conversa",IF(OR(AND(E1439&lt;&gt;"",E1439&lt;B1439),AND(F1439&lt;&gt;"",F1439&lt;B1439)),"Evento anterior à entrada",IF(AND(F1439&lt;&gt;"",E1439=""),"Conversa sem agendamento",IF(OR(E1439&gt;TODAY(),F1439&gt;TODAY()),"Verificar evento futuro","OK"))))))))))</f>
        <v/>
      </c>
    </row>
    <row r="1440" spans="12:15">
      <c r="L1440" s="5">
        <f>IF(OR(A1440="",B1440=""),"",B1440-WEEKDAY(B1440,2)+1)</f>
        <v/>
      </c>
      <c r="M1440" s="5">
        <f>IF(L1440="","",L1440+6)</f>
        <v/>
      </c>
      <c r="N1440" s="6">
        <f>IF(OR(A1440="",B1440=""),"",DATE(YEAR(B1440),MONTH(B1440),1))</f>
        <v/>
      </c>
      <c r="O1440" s="7">
        <f>IF(COUNTA(A1440:K1440)=0,"",IF(OR(A1440="",B1440=""),"Preencher CPF e entrada",IF(COUNTIFS($A$12:$A$5011,A1440,$B$12:$B$5011,B1440)&gt;1,"CPF + dia duplicado",IF(OR(AND(G1440&lt;&gt;"",G1440&lt;&gt;0,G1440&lt;&gt;1),AND(H1440&lt;&gt;"",H1440&lt;&gt;0,H1440&lt;&gt;1)),"Flags devem ser 0 ou 1",IF(AND(H1440=1,LEN(TRIM(I1440))=0),"Preencher nome do indicante",IF(AND(H1440&lt;&gt;1,I1440&lt;&gt;""),"Nome sem indicação interna",IF(AND(G1440=1,F1440=""),"Fechamento sem conversa",IF(OR(AND(E1440&lt;&gt;"",E1440&lt;B1440),AND(F1440&lt;&gt;"",F1440&lt;B1440)),"Evento anterior à entrada",IF(AND(F1440&lt;&gt;"",E1440=""),"Conversa sem agendamento",IF(OR(E1440&gt;TODAY(),F1440&gt;TODAY()),"Verificar evento futuro","OK"))))))))))</f>
        <v/>
      </c>
    </row>
    <row r="1441" spans="12:15">
      <c r="L1441" s="5">
        <f>IF(OR(A1441="",B1441=""),"",B1441-WEEKDAY(B1441,2)+1)</f>
        <v/>
      </c>
      <c r="M1441" s="5">
        <f>IF(L1441="","",L1441+6)</f>
        <v/>
      </c>
      <c r="N1441" s="6">
        <f>IF(OR(A1441="",B1441=""),"",DATE(YEAR(B1441),MONTH(B1441),1))</f>
        <v/>
      </c>
      <c r="O1441" s="7">
        <f>IF(COUNTA(A1441:K1441)=0,"",IF(OR(A1441="",B1441=""),"Preencher CPF e entrada",IF(COUNTIFS($A$12:$A$5011,A1441,$B$12:$B$5011,B1441)&gt;1,"CPF + dia duplicado",IF(OR(AND(G1441&lt;&gt;"",G1441&lt;&gt;0,G1441&lt;&gt;1),AND(H1441&lt;&gt;"",H1441&lt;&gt;0,H1441&lt;&gt;1)),"Flags devem ser 0 ou 1",IF(AND(H1441=1,LEN(TRIM(I1441))=0),"Preencher nome do indicante",IF(AND(H1441&lt;&gt;1,I1441&lt;&gt;""),"Nome sem indicação interna",IF(AND(G1441=1,F1441=""),"Fechamento sem conversa",IF(OR(AND(E1441&lt;&gt;"",E1441&lt;B1441),AND(F1441&lt;&gt;"",F1441&lt;B1441)),"Evento anterior à entrada",IF(AND(F1441&lt;&gt;"",E1441=""),"Conversa sem agendamento",IF(OR(E1441&gt;TODAY(),F1441&gt;TODAY()),"Verificar evento futuro","OK"))))))))))</f>
        <v/>
      </c>
    </row>
    <row r="1442" spans="12:15">
      <c r="L1442" s="5">
        <f>IF(OR(A1442="",B1442=""),"",B1442-WEEKDAY(B1442,2)+1)</f>
        <v/>
      </c>
      <c r="M1442" s="5">
        <f>IF(L1442="","",L1442+6)</f>
        <v/>
      </c>
      <c r="N1442" s="6">
        <f>IF(OR(A1442="",B1442=""),"",DATE(YEAR(B1442),MONTH(B1442),1))</f>
        <v/>
      </c>
      <c r="O1442" s="7">
        <f>IF(COUNTA(A1442:K1442)=0,"",IF(OR(A1442="",B1442=""),"Preencher CPF e entrada",IF(COUNTIFS($A$12:$A$5011,A1442,$B$12:$B$5011,B1442)&gt;1,"CPF + dia duplicado",IF(OR(AND(G1442&lt;&gt;"",G1442&lt;&gt;0,G1442&lt;&gt;1),AND(H1442&lt;&gt;"",H1442&lt;&gt;0,H1442&lt;&gt;1)),"Flags devem ser 0 ou 1",IF(AND(H1442=1,LEN(TRIM(I1442))=0),"Preencher nome do indicante",IF(AND(H1442&lt;&gt;1,I1442&lt;&gt;""),"Nome sem indicação interna",IF(AND(G1442=1,F1442=""),"Fechamento sem conversa",IF(OR(AND(E1442&lt;&gt;"",E1442&lt;B1442),AND(F1442&lt;&gt;"",F1442&lt;B1442)),"Evento anterior à entrada",IF(AND(F1442&lt;&gt;"",E1442=""),"Conversa sem agendamento",IF(OR(E1442&gt;TODAY(),F1442&gt;TODAY()),"Verificar evento futuro","OK"))))))))))</f>
        <v/>
      </c>
    </row>
    <row r="1443" spans="12:15">
      <c r="L1443" s="5">
        <f>IF(OR(A1443="",B1443=""),"",B1443-WEEKDAY(B1443,2)+1)</f>
        <v/>
      </c>
      <c r="M1443" s="5">
        <f>IF(L1443="","",L1443+6)</f>
        <v/>
      </c>
      <c r="N1443" s="6">
        <f>IF(OR(A1443="",B1443=""),"",DATE(YEAR(B1443),MONTH(B1443),1))</f>
        <v/>
      </c>
      <c r="O1443" s="7">
        <f>IF(COUNTA(A1443:K1443)=0,"",IF(OR(A1443="",B1443=""),"Preencher CPF e entrada",IF(COUNTIFS($A$12:$A$5011,A1443,$B$12:$B$5011,B1443)&gt;1,"CPF + dia duplicado",IF(OR(AND(G1443&lt;&gt;"",G1443&lt;&gt;0,G1443&lt;&gt;1),AND(H1443&lt;&gt;"",H1443&lt;&gt;0,H1443&lt;&gt;1)),"Flags devem ser 0 ou 1",IF(AND(H1443=1,LEN(TRIM(I1443))=0),"Preencher nome do indicante",IF(AND(H1443&lt;&gt;1,I1443&lt;&gt;""),"Nome sem indicação interna",IF(AND(G1443=1,F1443=""),"Fechamento sem conversa",IF(OR(AND(E1443&lt;&gt;"",E1443&lt;B1443),AND(F1443&lt;&gt;"",F1443&lt;B1443)),"Evento anterior à entrada",IF(AND(F1443&lt;&gt;"",E1443=""),"Conversa sem agendamento",IF(OR(E1443&gt;TODAY(),F1443&gt;TODAY()),"Verificar evento futuro","OK"))))))))))</f>
        <v/>
      </c>
    </row>
    <row r="1444" spans="12:15">
      <c r="L1444" s="5">
        <f>IF(OR(A1444="",B1444=""),"",B1444-WEEKDAY(B1444,2)+1)</f>
        <v/>
      </c>
      <c r="M1444" s="5">
        <f>IF(L1444="","",L1444+6)</f>
        <v/>
      </c>
      <c r="N1444" s="6">
        <f>IF(OR(A1444="",B1444=""),"",DATE(YEAR(B1444),MONTH(B1444),1))</f>
        <v/>
      </c>
      <c r="O1444" s="7">
        <f>IF(COUNTA(A1444:K1444)=0,"",IF(OR(A1444="",B1444=""),"Preencher CPF e entrada",IF(COUNTIFS($A$12:$A$5011,A1444,$B$12:$B$5011,B1444)&gt;1,"CPF + dia duplicado",IF(OR(AND(G1444&lt;&gt;"",G1444&lt;&gt;0,G1444&lt;&gt;1),AND(H1444&lt;&gt;"",H1444&lt;&gt;0,H1444&lt;&gt;1)),"Flags devem ser 0 ou 1",IF(AND(H1444=1,LEN(TRIM(I1444))=0),"Preencher nome do indicante",IF(AND(H1444&lt;&gt;1,I1444&lt;&gt;""),"Nome sem indicação interna",IF(AND(G1444=1,F1444=""),"Fechamento sem conversa",IF(OR(AND(E1444&lt;&gt;"",E1444&lt;B1444),AND(F1444&lt;&gt;"",F1444&lt;B1444)),"Evento anterior à entrada",IF(AND(F1444&lt;&gt;"",E1444=""),"Conversa sem agendamento",IF(OR(E1444&gt;TODAY(),F1444&gt;TODAY()),"Verificar evento futuro","OK"))))))))))</f>
        <v/>
      </c>
    </row>
    <row r="1445" spans="12:15">
      <c r="L1445" s="5">
        <f>IF(OR(A1445="",B1445=""),"",B1445-WEEKDAY(B1445,2)+1)</f>
        <v/>
      </c>
      <c r="M1445" s="5">
        <f>IF(L1445="","",L1445+6)</f>
        <v/>
      </c>
      <c r="N1445" s="6">
        <f>IF(OR(A1445="",B1445=""),"",DATE(YEAR(B1445),MONTH(B1445),1))</f>
        <v/>
      </c>
      <c r="O1445" s="7">
        <f>IF(COUNTA(A1445:K1445)=0,"",IF(OR(A1445="",B1445=""),"Preencher CPF e entrada",IF(COUNTIFS($A$12:$A$5011,A1445,$B$12:$B$5011,B1445)&gt;1,"CPF + dia duplicado",IF(OR(AND(G1445&lt;&gt;"",G1445&lt;&gt;0,G1445&lt;&gt;1),AND(H1445&lt;&gt;"",H1445&lt;&gt;0,H1445&lt;&gt;1)),"Flags devem ser 0 ou 1",IF(AND(H1445=1,LEN(TRIM(I1445))=0),"Preencher nome do indicante",IF(AND(H1445&lt;&gt;1,I1445&lt;&gt;""),"Nome sem indicação interna",IF(AND(G1445=1,F1445=""),"Fechamento sem conversa",IF(OR(AND(E1445&lt;&gt;"",E1445&lt;B1445),AND(F1445&lt;&gt;"",F1445&lt;B1445)),"Evento anterior à entrada",IF(AND(F1445&lt;&gt;"",E1445=""),"Conversa sem agendamento",IF(OR(E1445&gt;TODAY(),F1445&gt;TODAY()),"Verificar evento futuro","OK"))))))))))</f>
        <v/>
      </c>
    </row>
    <row r="1446" spans="12:15">
      <c r="L1446" s="5">
        <f>IF(OR(A1446="",B1446=""),"",B1446-WEEKDAY(B1446,2)+1)</f>
        <v/>
      </c>
      <c r="M1446" s="5">
        <f>IF(L1446="","",L1446+6)</f>
        <v/>
      </c>
      <c r="N1446" s="6">
        <f>IF(OR(A1446="",B1446=""),"",DATE(YEAR(B1446),MONTH(B1446),1))</f>
        <v/>
      </c>
      <c r="O1446" s="7">
        <f>IF(COUNTA(A1446:K1446)=0,"",IF(OR(A1446="",B1446=""),"Preencher CPF e entrada",IF(COUNTIFS($A$12:$A$5011,A1446,$B$12:$B$5011,B1446)&gt;1,"CPF + dia duplicado",IF(OR(AND(G1446&lt;&gt;"",G1446&lt;&gt;0,G1446&lt;&gt;1),AND(H1446&lt;&gt;"",H1446&lt;&gt;0,H1446&lt;&gt;1)),"Flags devem ser 0 ou 1",IF(AND(H1446=1,LEN(TRIM(I1446))=0),"Preencher nome do indicante",IF(AND(H1446&lt;&gt;1,I1446&lt;&gt;""),"Nome sem indicação interna",IF(AND(G1446=1,F1446=""),"Fechamento sem conversa",IF(OR(AND(E1446&lt;&gt;"",E1446&lt;B1446),AND(F1446&lt;&gt;"",F1446&lt;B1446)),"Evento anterior à entrada",IF(AND(F1446&lt;&gt;"",E1446=""),"Conversa sem agendamento",IF(OR(E1446&gt;TODAY(),F1446&gt;TODAY()),"Verificar evento futuro","OK"))))))))))</f>
        <v/>
      </c>
    </row>
    <row r="1447" spans="12:15">
      <c r="L1447" s="5">
        <f>IF(OR(A1447="",B1447=""),"",B1447-WEEKDAY(B1447,2)+1)</f>
        <v/>
      </c>
      <c r="M1447" s="5">
        <f>IF(L1447="","",L1447+6)</f>
        <v/>
      </c>
      <c r="N1447" s="6">
        <f>IF(OR(A1447="",B1447=""),"",DATE(YEAR(B1447),MONTH(B1447),1))</f>
        <v/>
      </c>
      <c r="O1447" s="7">
        <f>IF(COUNTA(A1447:K1447)=0,"",IF(OR(A1447="",B1447=""),"Preencher CPF e entrada",IF(COUNTIFS($A$12:$A$5011,A1447,$B$12:$B$5011,B1447)&gt;1,"CPF + dia duplicado",IF(OR(AND(G1447&lt;&gt;"",G1447&lt;&gt;0,G1447&lt;&gt;1),AND(H1447&lt;&gt;"",H1447&lt;&gt;0,H1447&lt;&gt;1)),"Flags devem ser 0 ou 1",IF(AND(H1447=1,LEN(TRIM(I1447))=0),"Preencher nome do indicante",IF(AND(H1447&lt;&gt;1,I1447&lt;&gt;""),"Nome sem indicação interna",IF(AND(G1447=1,F1447=""),"Fechamento sem conversa",IF(OR(AND(E1447&lt;&gt;"",E1447&lt;B1447),AND(F1447&lt;&gt;"",F1447&lt;B1447)),"Evento anterior à entrada",IF(AND(F1447&lt;&gt;"",E1447=""),"Conversa sem agendamento",IF(OR(E1447&gt;TODAY(),F1447&gt;TODAY()),"Verificar evento futuro","OK"))))))))))</f>
        <v/>
      </c>
    </row>
    <row r="1448" spans="12:15">
      <c r="L1448" s="5">
        <f>IF(OR(A1448="",B1448=""),"",B1448-WEEKDAY(B1448,2)+1)</f>
        <v/>
      </c>
      <c r="M1448" s="5">
        <f>IF(L1448="","",L1448+6)</f>
        <v/>
      </c>
      <c r="N1448" s="6">
        <f>IF(OR(A1448="",B1448=""),"",DATE(YEAR(B1448),MONTH(B1448),1))</f>
        <v/>
      </c>
      <c r="O1448" s="7">
        <f>IF(COUNTA(A1448:K1448)=0,"",IF(OR(A1448="",B1448=""),"Preencher CPF e entrada",IF(COUNTIFS($A$12:$A$5011,A1448,$B$12:$B$5011,B1448)&gt;1,"CPF + dia duplicado",IF(OR(AND(G1448&lt;&gt;"",G1448&lt;&gt;0,G1448&lt;&gt;1),AND(H1448&lt;&gt;"",H1448&lt;&gt;0,H1448&lt;&gt;1)),"Flags devem ser 0 ou 1",IF(AND(H1448=1,LEN(TRIM(I1448))=0),"Preencher nome do indicante",IF(AND(H1448&lt;&gt;1,I1448&lt;&gt;""),"Nome sem indicação interna",IF(AND(G1448=1,F1448=""),"Fechamento sem conversa",IF(OR(AND(E1448&lt;&gt;"",E1448&lt;B1448),AND(F1448&lt;&gt;"",F1448&lt;B1448)),"Evento anterior à entrada",IF(AND(F1448&lt;&gt;"",E1448=""),"Conversa sem agendamento",IF(OR(E1448&gt;TODAY(),F1448&gt;TODAY()),"Verificar evento futuro","OK"))))))))))</f>
        <v/>
      </c>
    </row>
    <row r="1449" spans="12:15">
      <c r="L1449" s="5">
        <f>IF(OR(A1449="",B1449=""),"",B1449-WEEKDAY(B1449,2)+1)</f>
        <v/>
      </c>
      <c r="M1449" s="5">
        <f>IF(L1449="","",L1449+6)</f>
        <v/>
      </c>
      <c r="N1449" s="6">
        <f>IF(OR(A1449="",B1449=""),"",DATE(YEAR(B1449),MONTH(B1449),1))</f>
        <v/>
      </c>
      <c r="O1449" s="7">
        <f>IF(COUNTA(A1449:K1449)=0,"",IF(OR(A1449="",B1449=""),"Preencher CPF e entrada",IF(COUNTIFS($A$12:$A$5011,A1449,$B$12:$B$5011,B1449)&gt;1,"CPF + dia duplicado",IF(OR(AND(G1449&lt;&gt;"",G1449&lt;&gt;0,G1449&lt;&gt;1),AND(H1449&lt;&gt;"",H1449&lt;&gt;0,H1449&lt;&gt;1)),"Flags devem ser 0 ou 1",IF(AND(H1449=1,LEN(TRIM(I1449))=0),"Preencher nome do indicante",IF(AND(H1449&lt;&gt;1,I1449&lt;&gt;""),"Nome sem indicação interna",IF(AND(G1449=1,F1449=""),"Fechamento sem conversa",IF(OR(AND(E1449&lt;&gt;"",E1449&lt;B1449),AND(F1449&lt;&gt;"",F1449&lt;B1449)),"Evento anterior à entrada",IF(AND(F1449&lt;&gt;"",E1449=""),"Conversa sem agendamento",IF(OR(E1449&gt;TODAY(),F1449&gt;TODAY()),"Verificar evento futuro","OK"))))))))))</f>
        <v/>
      </c>
    </row>
    <row r="1450" spans="12:15">
      <c r="L1450" s="5">
        <f>IF(OR(A1450="",B1450=""),"",B1450-WEEKDAY(B1450,2)+1)</f>
        <v/>
      </c>
      <c r="M1450" s="5">
        <f>IF(L1450="","",L1450+6)</f>
        <v/>
      </c>
      <c r="N1450" s="6">
        <f>IF(OR(A1450="",B1450=""),"",DATE(YEAR(B1450),MONTH(B1450),1))</f>
        <v/>
      </c>
      <c r="O1450" s="7">
        <f>IF(COUNTA(A1450:K1450)=0,"",IF(OR(A1450="",B1450=""),"Preencher CPF e entrada",IF(COUNTIFS($A$12:$A$5011,A1450,$B$12:$B$5011,B1450)&gt;1,"CPF + dia duplicado",IF(OR(AND(G1450&lt;&gt;"",G1450&lt;&gt;0,G1450&lt;&gt;1),AND(H1450&lt;&gt;"",H1450&lt;&gt;0,H1450&lt;&gt;1)),"Flags devem ser 0 ou 1",IF(AND(H1450=1,LEN(TRIM(I1450))=0),"Preencher nome do indicante",IF(AND(H1450&lt;&gt;1,I1450&lt;&gt;""),"Nome sem indicação interna",IF(AND(G1450=1,F1450=""),"Fechamento sem conversa",IF(OR(AND(E1450&lt;&gt;"",E1450&lt;B1450),AND(F1450&lt;&gt;"",F1450&lt;B1450)),"Evento anterior à entrada",IF(AND(F1450&lt;&gt;"",E1450=""),"Conversa sem agendamento",IF(OR(E1450&gt;TODAY(),F1450&gt;TODAY()),"Verificar evento futuro","OK"))))))))))</f>
        <v/>
      </c>
    </row>
    <row r="1451" spans="12:15">
      <c r="L1451" s="5">
        <f>IF(OR(A1451="",B1451=""),"",B1451-WEEKDAY(B1451,2)+1)</f>
        <v/>
      </c>
      <c r="M1451" s="5">
        <f>IF(L1451="","",L1451+6)</f>
        <v/>
      </c>
      <c r="N1451" s="6">
        <f>IF(OR(A1451="",B1451=""),"",DATE(YEAR(B1451),MONTH(B1451),1))</f>
        <v/>
      </c>
      <c r="O1451" s="7">
        <f>IF(COUNTA(A1451:K1451)=0,"",IF(OR(A1451="",B1451=""),"Preencher CPF e entrada",IF(COUNTIFS($A$12:$A$5011,A1451,$B$12:$B$5011,B1451)&gt;1,"CPF + dia duplicado",IF(OR(AND(G1451&lt;&gt;"",G1451&lt;&gt;0,G1451&lt;&gt;1),AND(H1451&lt;&gt;"",H1451&lt;&gt;0,H1451&lt;&gt;1)),"Flags devem ser 0 ou 1",IF(AND(H1451=1,LEN(TRIM(I1451))=0),"Preencher nome do indicante",IF(AND(H1451&lt;&gt;1,I1451&lt;&gt;""),"Nome sem indicação interna",IF(AND(G1451=1,F1451=""),"Fechamento sem conversa",IF(OR(AND(E1451&lt;&gt;"",E1451&lt;B1451),AND(F1451&lt;&gt;"",F1451&lt;B1451)),"Evento anterior à entrada",IF(AND(F1451&lt;&gt;"",E1451=""),"Conversa sem agendamento",IF(OR(E1451&gt;TODAY(),F1451&gt;TODAY()),"Verificar evento futuro","OK"))))))))))</f>
        <v/>
      </c>
    </row>
    <row r="1452" spans="12:15">
      <c r="L1452" s="5">
        <f>IF(OR(A1452="",B1452=""),"",B1452-WEEKDAY(B1452,2)+1)</f>
        <v/>
      </c>
      <c r="M1452" s="5">
        <f>IF(L1452="","",L1452+6)</f>
        <v/>
      </c>
      <c r="N1452" s="6">
        <f>IF(OR(A1452="",B1452=""),"",DATE(YEAR(B1452),MONTH(B1452),1))</f>
        <v/>
      </c>
      <c r="O1452" s="7">
        <f>IF(COUNTA(A1452:K1452)=0,"",IF(OR(A1452="",B1452=""),"Preencher CPF e entrada",IF(COUNTIFS($A$12:$A$5011,A1452,$B$12:$B$5011,B1452)&gt;1,"CPF + dia duplicado",IF(OR(AND(G1452&lt;&gt;"",G1452&lt;&gt;0,G1452&lt;&gt;1),AND(H1452&lt;&gt;"",H1452&lt;&gt;0,H1452&lt;&gt;1)),"Flags devem ser 0 ou 1",IF(AND(H1452=1,LEN(TRIM(I1452))=0),"Preencher nome do indicante",IF(AND(H1452&lt;&gt;1,I1452&lt;&gt;""),"Nome sem indicação interna",IF(AND(G1452=1,F1452=""),"Fechamento sem conversa",IF(OR(AND(E1452&lt;&gt;"",E1452&lt;B1452),AND(F1452&lt;&gt;"",F1452&lt;B1452)),"Evento anterior à entrada",IF(AND(F1452&lt;&gt;"",E1452=""),"Conversa sem agendamento",IF(OR(E1452&gt;TODAY(),F1452&gt;TODAY()),"Verificar evento futuro","OK"))))))))))</f>
        <v/>
      </c>
    </row>
    <row r="1453" spans="12:15">
      <c r="L1453" s="5">
        <f>IF(OR(A1453="",B1453=""),"",B1453-WEEKDAY(B1453,2)+1)</f>
        <v/>
      </c>
      <c r="M1453" s="5">
        <f>IF(L1453="","",L1453+6)</f>
        <v/>
      </c>
      <c r="N1453" s="6">
        <f>IF(OR(A1453="",B1453=""),"",DATE(YEAR(B1453),MONTH(B1453),1))</f>
        <v/>
      </c>
      <c r="O1453" s="7">
        <f>IF(COUNTA(A1453:K1453)=0,"",IF(OR(A1453="",B1453=""),"Preencher CPF e entrada",IF(COUNTIFS($A$12:$A$5011,A1453,$B$12:$B$5011,B1453)&gt;1,"CPF + dia duplicado",IF(OR(AND(G1453&lt;&gt;"",G1453&lt;&gt;0,G1453&lt;&gt;1),AND(H1453&lt;&gt;"",H1453&lt;&gt;0,H1453&lt;&gt;1)),"Flags devem ser 0 ou 1",IF(AND(H1453=1,LEN(TRIM(I1453))=0),"Preencher nome do indicante",IF(AND(H1453&lt;&gt;1,I1453&lt;&gt;""),"Nome sem indicação interna",IF(AND(G1453=1,F1453=""),"Fechamento sem conversa",IF(OR(AND(E1453&lt;&gt;"",E1453&lt;B1453),AND(F1453&lt;&gt;"",F1453&lt;B1453)),"Evento anterior à entrada",IF(AND(F1453&lt;&gt;"",E1453=""),"Conversa sem agendamento",IF(OR(E1453&gt;TODAY(),F1453&gt;TODAY()),"Verificar evento futuro","OK"))))))))))</f>
        <v/>
      </c>
    </row>
    <row r="1454" spans="12:15">
      <c r="L1454" s="5">
        <f>IF(OR(A1454="",B1454=""),"",B1454-WEEKDAY(B1454,2)+1)</f>
        <v/>
      </c>
      <c r="M1454" s="5">
        <f>IF(L1454="","",L1454+6)</f>
        <v/>
      </c>
      <c r="N1454" s="6">
        <f>IF(OR(A1454="",B1454=""),"",DATE(YEAR(B1454),MONTH(B1454),1))</f>
        <v/>
      </c>
      <c r="O1454" s="7">
        <f>IF(COUNTA(A1454:K1454)=0,"",IF(OR(A1454="",B1454=""),"Preencher CPF e entrada",IF(COUNTIFS($A$12:$A$5011,A1454,$B$12:$B$5011,B1454)&gt;1,"CPF + dia duplicado",IF(OR(AND(G1454&lt;&gt;"",G1454&lt;&gt;0,G1454&lt;&gt;1),AND(H1454&lt;&gt;"",H1454&lt;&gt;0,H1454&lt;&gt;1)),"Flags devem ser 0 ou 1",IF(AND(H1454=1,LEN(TRIM(I1454))=0),"Preencher nome do indicante",IF(AND(H1454&lt;&gt;1,I1454&lt;&gt;""),"Nome sem indicação interna",IF(AND(G1454=1,F1454=""),"Fechamento sem conversa",IF(OR(AND(E1454&lt;&gt;"",E1454&lt;B1454),AND(F1454&lt;&gt;"",F1454&lt;B1454)),"Evento anterior à entrada",IF(AND(F1454&lt;&gt;"",E1454=""),"Conversa sem agendamento",IF(OR(E1454&gt;TODAY(),F1454&gt;TODAY()),"Verificar evento futuro","OK"))))))))))</f>
        <v/>
      </c>
    </row>
    <row r="1455" spans="12:15">
      <c r="L1455" s="5">
        <f>IF(OR(A1455="",B1455=""),"",B1455-WEEKDAY(B1455,2)+1)</f>
        <v/>
      </c>
      <c r="M1455" s="5">
        <f>IF(L1455="","",L1455+6)</f>
        <v/>
      </c>
      <c r="N1455" s="6">
        <f>IF(OR(A1455="",B1455=""),"",DATE(YEAR(B1455),MONTH(B1455),1))</f>
        <v/>
      </c>
      <c r="O1455" s="7">
        <f>IF(COUNTA(A1455:K1455)=0,"",IF(OR(A1455="",B1455=""),"Preencher CPF e entrada",IF(COUNTIFS($A$12:$A$5011,A1455,$B$12:$B$5011,B1455)&gt;1,"CPF + dia duplicado",IF(OR(AND(G1455&lt;&gt;"",G1455&lt;&gt;0,G1455&lt;&gt;1),AND(H1455&lt;&gt;"",H1455&lt;&gt;0,H1455&lt;&gt;1)),"Flags devem ser 0 ou 1",IF(AND(H1455=1,LEN(TRIM(I1455))=0),"Preencher nome do indicante",IF(AND(H1455&lt;&gt;1,I1455&lt;&gt;""),"Nome sem indicação interna",IF(AND(G1455=1,F1455=""),"Fechamento sem conversa",IF(OR(AND(E1455&lt;&gt;"",E1455&lt;B1455),AND(F1455&lt;&gt;"",F1455&lt;B1455)),"Evento anterior à entrada",IF(AND(F1455&lt;&gt;"",E1455=""),"Conversa sem agendamento",IF(OR(E1455&gt;TODAY(),F1455&gt;TODAY()),"Verificar evento futuro","OK"))))))))))</f>
        <v/>
      </c>
    </row>
    <row r="1456" spans="12:15">
      <c r="L1456" s="5">
        <f>IF(OR(A1456="",B1456=""),"",B1456-WEEKDAY(B1456,2)+1)</f>
        <v/>
      </c>
      <c r="M1456" s="5">
        <f>IF(L1456="","",L1456+6)</f>
        <v/>
      </c>
      <c r="N1456" s="6">
        <f>IF(OR(A1456="",B1456=""),"",DATE(YEAR(B1456),MONTH(B1456),1))</f>
        <v/>
      </c>
      <c r="O1456" s="7">
        <f>IF(COUNTA(A1456:K1456)=0,"",IF(OR(A1456="",B1456=""),"Preencher CPF e entrada",IF(COUNTIFS($A$12:$A$5011,A1456,$B$12:$B$5011,B1456)&gt;1,"CPF + dia duplicado",IF(OR(AND(G1456&lt;&gt;"",G1456&lt;&gt;0,G1456&lt;&gt;1),AND(H1456&lt;&gt;"",H1456&lt;&gt;0,H1456&lt;&gt;1)),"Flags devem ser 0 ou 1",IF(AND(H1456=1,LEN(TRIM(I1456))=0),"Preencher nome do indicante",IF(AND(H1456&lt;&gt;1,I1456&lt;&gt;""),"Nome sem indicação interna",IF(AND(G1456=1,F1456=""),"Fechamento sem conversa",IF(OR(AND(E1456&lt;&gt;"",E1456&lt;B1456),AND(F1456&lt;&gt;"",F1456&lt;B1456)),"Evento anterior à entrada",IF(AND(F1456&lt;&gt;"",E1456=""),"Conversa sem agendamento",IF(OR(E1456&gt;TODAY(),F1456&gt;TODAY()),"Verificar evento futuro","OK"))))))))))</f>
        <v/>
      </c>
    </row>
    <row r="1457" spans="12:15">
      <c r="L1457" s="5">
        <f>IF(OR(A1457="",B1457=""),"",B1457-WEEKDAY(B1457,2)+1)</f>
        <v/>
      </c>
      <c r="M1457" s="5">
        <f>IF(L1457="","",L1457+6)</f>
        <v/>
      </c>
      <c r="N1457" s="6">
        <f>IF(OR(A1457="",B1457=""),"",DATE(YEAR(B1457),MONTH(B1457),1))</f>
        <v/>
      </c>
      <c r="O1457" s="7">
        <f>IF(COUNTA(A1457:K1457)=0,"",IF(OR(A1457="",B1457=""),"Preencher CPF e entrada",IF(COUNTIFS($A$12:$A$5011,A1457,$B$12:$B$5011,B1457)&gt;1,"CPF + dia duplicado",IF(OR(AND(G1457&lt;&gt;"",G1457&lt;&gt;0,G1457&lt;&gt;1),AND(H1457&lt;&gt;"",H1457&lt;&gt;0,H1457&lt;&gt;1)),"Flags devem ser 0 ou 1",IF(AND(H1457=1,LEN(TRIM(I1457))=0),"Preencher nome do indicante",IF(AND(H1457&lt;&gt;1,I1457&lt;&gt;""),"Nome sem indicação interna",IF(AND(G1457=1,F1457=""),"Fechamento sem conversa",IF(OR(AND(E1457&lt;&gt;"",E1457&lt;B1457),AND(F1457&lt;&gt;"",F1457&lt;B1457)),"Evento anterior à entrada",IF(AND(F1457&lt;&gt;"",E1457=""),"Conversa sem agendamento",IF(OR(E1457&gt;TODAY(),F1457&gt;TODAY()),"Verificar evento futuro","OK"))))))))))</f>
        <v/>
      </c>
    </row>
    <row r="1458" spans="12:15">
      <c r="L1458" s="5">
        <f>IF(OR(A1458="",B1458=""),"",B1458-WEEKDAY(B1458,2)+1)</f>
        <v/>
      </c>
      <c r="M1458" s="5">
        <f>IF(L1458="","",L1458+6)</f>
        <v/>
      </c>
      <c r="N1458" s="6">
        <f>IF(OR(A1458="",B1458=""),"",DATE(YEAR(B1458),MONTH(B1458),1))</f>
        <v/>
      </c>
      <c r="O1458" s="7">
        <f>IF(COUNTA(A1458:K1458)=0,"",IF(OR(A1458="",B1458=""),"Preencher CPF e entrada",IF(COUNTIFS($A$12:$A$5011,A1458,$B$12:$B$5011,B1458)&gt;1,"CPF + dia duplicado",IF(OR(AND(G1458&lt;&gt;"",G1458&lt;&gt;0,G1458&lt;&gt;1),AND(H1458&lt;&gt;"",H1458&lt;&gt;0,H1458&lt;&gt;1)),"Flags devem ser 0 ou 1",IF(AND(H1458=1,LEN(TRIM(I1458))=0),"Preencher nome do indicante",IF(AND(H1458&lt;&gt;1,I1458&lt;&gt;""),"Nome sem indicação interna",IF(AND(G1458=1,F1458=""),"Fechamento sem conversa",IF(OR(AND(E1458&lt;&gt;"",E1458&lt;B1458),AND(F1458&lt;&gt;"",F1458&lt;B1458)),"Evento anterior à entrada",IF(AND(F1458&lt;&gt;"",E1458=""),"Conversa sem agendamento",IF(OR(E1458&gt;TODAY(),F1458&gt;TODAY()),"Verificar evento futuro","OK"))))))))))</f>
        <v/>
      </c>
    </row>
    <row r="1459" spans="12:15">
      <c r="L1459" s="5">
        <f>IF(OR(A1459="",B1459=""),"",B1459-WEEKDAY(B1459,2)+1)</f>
        <v/>
      </c>
      <c r="M1459" s="5">
        <f>IF(L1459="","",L1459+6)</f>
        <v/>
      </c>
      <c r="N1459" s="6">
        <f>IF(OR(A1459="",B1459=""),"",DATE(YEAR(B1459),MONTH(B1459),1))</f>
        <v/>
      </c>
      <c r="O1459" s="7">
        <f>IF(COUNTA(A1459:K1459)=0,"",IF(OR(A1459="",B1459=""),"Preencher CPF e entrada",IF(COUNTIFS($A$12:$A$5011,A1459,$B$12:$B$5011,B1459)&gt;1,"CPF + dia duplicado",IF(OR(AND(G1459&lt;&gt;"",G1459&lt;&gt;0,G1459&lt;&gt;1),AND(H1459&lt;&gt;"",H1459&lt;&gt;0,H1459&lt;&gt;1)),"Flags devem ser 0 ou 1",IF(AND(H1459=1,LEN(TRIM(I1459))=0),"Preencher nome do indicante",IF(AND(H1459&lt;&gt;1,I1459&lt;&gt;""),"Nome sem indicação interna",IF(AND(G1459=1,F1459=""),"Fechamento sem conversa",IF(OR(AND(E1459&lt;&gt;"",E1459&lt;B1459),AND(F1459&lt;&gt;"",F1459&lt;B1459)),"Evento anterior à entrada",IF(AND(F1459&lt;&gt;"",E1459=""),"Conversa sem agendamento",IF(OR(E1459&gt;TODAY(),F1459&gt;TODAY()),"Verificar evento futuro","OK"))))))))))</f>
        <v/>
      </c>
    </row>
    <row r="1460" spans="12:15">
      <c r="L1460" s="5">
        <f>IF(OR(A1460="",B1460=""),"",B1460-WEEKDAY(B1460,2)+1)</f>
        <v/>
      </c>
      <c r="M1460" s="5">
        <f>IF(L1460="","",L1460+6)</f>
        <v/>
      </c>
      <c r="N1460" s="6">
        <f>IF(OR(A1460="",B1460=""),"",DATE(YEAR(B1460),MONTH(B1460),1))</f>
        <v/>
      </c>
      <c r="O1460" s="7">
        <f>IF(COUNTA(A1460:K1460)=0,"",IF(OR(A1460="",B1460=""),"Preencher CPF e entrada",IF(COUNTIFS($A$12:$A$5011,A1460,$B$12:$B$5011,B1460)&gt;1,"CPF + dia duplicado",IF(OR(AND(G1460&lt;&gt;"",G1460&lt;&gt;0,G1460&lt;&gt;1),AND(H1460&lt;&gt;"",H1460&lt;&gt;0,H1460&lt;&gt;1)),"Flags devem ser 0 ou 1",IF(AND(H1460=1,LEN(TRIM(I1460))=0),"Preencher nome do indicante",IF(AND(H1460&lt;&gt;1,I1460&lt;&gt;""),"Nome sem indicação interna",IF(AND(G1460=1,F1460=""),"Fechamento sem conversa",IF(OR(AND(E1460&lt;&gt;"",E1460&lt;B1460),AND(F1460&lt;&gt;"",F1460&lt;B1460)),"Evento anterior à entrada",IF(AND(F1460&lt;&gt;"",E1460=""),"Conversa sem agendamento",IF(OR(E1460&gt;TODAY(),F1460&gt;TODAY()),"Verificar evento futuro","OK"))))))))))</f>
        <v/>
      </c>
    </row>
    <row r="1461" spans="12:15">
      <c r="L1461" s="5">
        <f>IF(OR(A1461="",B1461=""),"",B1461-WEEKDAY(B1461,2)+1)</f>
        <v/>
      </c>
      <c r="M1461" s="5">
        <f>IF(L1461="","",L1461+6)</f>
        <v/>
      </c>
      <c r="N1461" s="6">
        <f>IF(OR(A1461="",B1461=""),"",DATE(YEAR(B1461),MONTH(B1461),1))</f>
        <v/>
      </c>
      <c r="O1461" s="7">
        <f>IF(COUNTA(A1461:K1461)=0,"",IF(OR(A1461="",B1461=""),"Preencher CPF e entrada",IF(COUNTIFS($A$12:$A$5011,A1461,$B$12:$B$5011,B1461)&gt;1,"CPF + dia duplicado",IF(OR(AND(G1461&lt;&gt;"",G1461&lt;&gt;0,G1461&lt;&gt;1),AND(H1461&lt;&gt;"",H1461&lt;&gt;0,H1461&lt;&gt;1)),"Flags devem ser 0 ou 1",IF(AND(H1461=1,LEN(TRIM(I1461))=0),"Preencher nome do indicante",IF(AND(H1461&lt;&gt;1,I1461&lt;&gt;""),"Nome sem indicação interna",IF(AND(G1461=1,F1461=""),"Fechamento sem conversa",IF(OR(AND(E1461&lt;&gt;"",E1461&lt;B1461),AND(F1461&lt;&gt;"",F1461&lt;B1461)),"Evento anterior à entrada",IF(AND(F1461&lt;&gt;"",E1461=""),"Conversa sem agendamento",IF(OR(E1461&gt;TODAY(),F1461&gt;TODAY()),"Verificar evento futuro","OK"))))))))))</f>
        <v/>
      </c>
    </row>
    <row r="1462" spans="12:15">
      <c r="L1462" s="5">
        <f>IF(OR(A1462="",B1462=""),"",B1462-WEEKDAY(B1462,2)+1)</f>
        <v/>
      </c>
      <c r="M1462" s="5">
        <f>IF(L1462="","",L1462+6)</f>
        <v/>
      </c>
      <c r="N1462" s="6">
        <f>IF(OR(A1462="",B1462=""),"",DATE(YEAR(B1462),MONTH(B1462),1))</f>
        <v/>
      </c>
      <c r="O1462" s="7">
        <f>IF(COUNTA(A1462:K1462)=0,"",IF(OR(A1462="",B1462=""),"Preencher CPF e entrada",IF(COUNTIFS($A$12:$A$5011,A1462,$B$12:$B$5011,B1462)&gt;1,"CPF + dia duplicado",IF(OR(AND(G1462&lt;&gt;"",G1462&lt;&gt;0,G1462&lt;&gt;1),AND(H1462&lt;&gt;"",H1462&lt;&gt;0,H1462&lt;&gt;1)),"Flags devem ser 0 ou 1",IF(AND(H1462=1,LEN(TRIM(I1462))=0),"Preencher nome do indicante",IF(AND(H1462&lt;&gt;1,I1462&lt;&gt;""),"Nome sem indicação interna",IF(AND(G1462=1,F1462=""),"Fechamento sem conversa",IF(OR(AND(E1462&lt;&gt;"",E1462&lt;B1462),AND(F1462&lt;&gt;"",F1462&lt;B1462)),"Evento anterior à entrada",IF(AND(F1462&lt;&gt;"",E1462=""),"Conversa sem agendamento",IF(OR(E1462&gt;TODAY(),F1462&gt;TODAY()),"Verificar evento futuro","OK"))))))))))</f>
        <v/>
      </c>
    </row>
    <row r="1463" spans="12:15">
      <c r="L1463" s="5">
        <f>IF(OR(A1463="",B1463=""),"",B1463-WEEKDAY(B1463,2)+1)</f>
        <v/>
      </c>
      <c r="M1463" s="5">
        <f>IF(L1463="","",L1463+6)</f>
        <v/>
      </c>
      <c r="N1463" s="6">
        <f>IF(OR(A1463="",B1463=""),"",DATE(YEAR(B1463),MONTH(B1463),1))</f>
        <v/>
      </c>
      <c r="O1463" s="7">
        <f>IF(COUNTA(A1463:K1463)=0,"",IF(OR(A1463="",B1463=""),"Preencher CPF e entrada",IF(COUNTIFS($A$12:$A$5011,A1463,$B$12:$B$5011,B1463)&gt;1,"CPF + dia duplicado",IF(OR(AND(G1463&lt;&gt;"",G1463&lt;&gt;0,G1463&lt;&gt;1),AND(H1463&lt;&gt;"",H1463&lt;&gt;0,H1463&lt;&gt;1)),"Flags devem ser 0 ou 1",IF(AND(H1463=1,LEN(TRIM(I1463))=0),"Preencher nome do indicante",IF(AND(H1463&lt;&gt;1,I1463&lt;&gt;""),"Nome sem indicação interna",IF(AND(G1463=1,F1463=""),"Fechamento sem conversa",IF(OR(AND(E1463&lt;&gt;"",E1463&lt;B1463),AND(F1463&lt;&gt;"",F1463&lt;B1463)),"Evento anterior à entrada",IF(AND(F1463&lt;&gt;"",E1463=""),"Conversa sem agendamento",IF(OR(E1463&gt;TODAY(),F1463&gt;TODAY()),"Verificar evento futuro","OK"))))))))))</f>
        <v/>
      </c>
    </row>
    <row r="1464" spans="12:15">
      <c r="L1464" s="5">
        <f>IF(OR(A1464="",B1464=""),"",B1464-WEEKDAY(B1464,2)+1)</f>
        <v/>
      </c>
      <c r="M1464" s="5">
        <f>IF(L1464="","",L1464+6)</f>
        <v/>
      </c>
      <c r="N1464" s="6">
        <f>IF(OR(A1464="",B1464=""),"",DATE(YEAR(B1464),MONTH(B1464),1))</f>
        <v/>
      </c>
      <c r="O1464" s="7">
        <f>IF(COUNTA(A1464:K1464)=0,"",IF(OR(A1464="",B1464=""),"Preencher CPF e entrada",IF(COUNTIFS($A$12:$A$5011,A1464,$B$12:$B$5011,B1464)&gt;1,"CPF + dia duplicado",IF(OR(AND(G1464&lt;&gt;"",G1464&lt;&gt;0,G1464&lt;&gt;1),AND(H1464&lt;&gt;"",H1464&lt;&gt;0,H1464&lt;&gt;1)),"Flags devem ser 0 ou 1",IF(AND(H1464=1,LEN(TRIM(I1464))=0),"Preencher nome do indicante",IF(AND(H1464&lt;&gt;1,I1464&lt;&gt;""),"Nome sem indicação interna",IF(AND(G1464=1,F1464=""),"Fechamento sem conversa",IF(OR(AND(E1464&lt;&gt;"",E1464&lt;B1464),AND(F1464&lt;&gt;"",F1464&lt;B1464)),"Evento anterior à entrada",IF(AND(F1464&lt;&gt;"",E1464=""),"Conversa sem agendamento",IF(OR(E1464&gt;TODAY(),F1464&gt;TODAY()),"Verificar evento futuro","OK"))))))))))</f>
        <v/>
      </c>
    </row>
    <row r="1465" spans="12:15">
      <c r="L1465" s="5">
        <f>IF(OR(A1465="",B1465=""),"",B1465-WEEKDAY(B1465,2)+1)</f>
        <v/>
      </c>
      <c r="M1465" s="5">
        <f>IF(L1465="","",L1465+6)</f>
        <v/>
      </c>
      <c r="N1465" s="6">
        <f>IF(OR(A1465="",B1465=""),"",DATE(YEAR(B1465),MONTH(B1465),1))</f>
        <v/>
      </c>
      <c r="O1465" s="7">
        <f>IF(COUNTA(A1465:K1465)=0,"",IF(OR(A1465="",B1465=""),"Preencher CPF e entrada",IF(COUNTIFS($A$12:$A$5011,A1465,$B$12:$B$5011,B1465)&gt;1,"CPF + dia duplicado",IF(OR(AND(G1465&lt;&gt;"",G1465&lt;&gt;0,G1465&lt;&gt;1),AND(H1465&lt;&gt;"",H1465&lt;&gt;0,H1465&lt;&gt;1)),"Flags devem ser 0 ou 1",IF(AND(H1465=1,LEN(TRIM(I1465))=0),"Preencher nome do indicante",IF(AND(H1465&lt;&gt;1,I1465&lt;&gt;""),"Nome sem indicação interna",IF(AND(G1465=1,F1465=""),"Fechamento sem conversa",IF(OR(AND(E1465&lt;&gt;"",E1465&lt;B1465),AND(F1465&lt;&gt;"",F1465&lt;B1465)),"Evento anterior à entrada",IF(AND(F1465&lt;&gt;"",E1465=""),"Conversa sem agendamento",IF(OR(E1465&gt;TODAY(),F1465&gt;TODAY()),"Verificar evento futuro","OK"))))))))))</f>
        <v/>
      </c>
    </row>
    <row r="1466" spans="12:15">
      <c r="L1466" s="5">
        <f>IF(OR(A1466="",B1466=""),"",B1466-WEEKDAY(B1466,2)+1)</f>
        <v/>
      </c>
      <c r="M1466" s="5">
        <f>IF(L1466="","",L1466+6)</f>
        <v/>
      </c>
      <c r="N1466" s="6">
        <f>IF(OR(A1466="",B1466=""),"",DATE(YEAR(B1466),MONTH(B1466),1))</f>
        <v/>
      </c>
      <c r="O1466" s="7">
        <f>IF(COUNTA(A1466:K1466)=0,"",IF(OR(A1466="",B1466=""),"Preencher CPF e entrada",IF(COUNTIFS($A$12:$A$5011,A1466,$B$12:$B$5011,B1466)&gt;1,"CPF + dia duplicado",IF(OR(AND(G1466&lt;&gt;"",G1466&lt;&gt;0,G1466&lt;&gt;1),AND(H1466&lt;&gt;"",H1466&lt;&gt;0,H1466&lt;&gt;1)),"Flags devem ser 0 ou 1",IF(AND(H1466=1,LEN(TRIM(I1466))=0),"Preencher nome do indicante",IF(AND(H1466&lt;&gt;1,I1466&lt;&gt;""),"Nome sem indicação interna",IF(AND(G1466=1,F1466=""),"Fechamento sem conversa",IF(OR(AND(E1466&lt;&gt;"",E1466&lt;B1466),AND(F1466&lt;&gt;"",F1466&lt;B1466)),"Evento anterior à entrada",IF(AND(F1466&lt;&gt;"",E1466=""),"Conversa sem agendamento",IF(OR(E1466&gt;TODAY(),F1466&gt;TODAY()),"Verificar evento futuro","OK"))))))))))</f>
        <v/>
      </c>
    </row>
    <row r="1467" spans="12:15">
      <c r="L1467" s="5">
        <f>IF(OR(A1467="",B1467=""),"",B1467-WEEKDAY(B1467,2)+1)</f>
        <v/>
      </c>
      <c r="M1467" s="5">
        <f>IF(L1467="","",L1467+6)</f>
        <v/>
      </c>
      <c r="N1467" s="6">
        <f>IF(OR(A1467="",B1467=""),"",DATE(YEAR(B1467),MONTH(B1467),1))</f>
        <v/>
      </c>
      <c r="O1467" s="7">
        <f>IF(COUNTA(A1467:K1467)=0,"",IF(OR(A1467="",B1467=""),"Preencher CPF e entrada",IF(COUNTIFS($A$12:$A$5011,A1467,$B$12:$B$5011,B1467)&gt;1,"CPF + dia duplicado",IF(OR(AND(G1467&lt;&gt;"",G1467&lt;&gt;0,G1467&lt;&gt;1),AND(H1467&lt;&gt;"",H1467&lt;&gt;0,H1467&lt;&gt;1)),"Flags devem ser 0 ou 1",IF(AND(H1467=1,LEN(TRIM(I1467))=0),"Preencher nome do indicante",IF(AND(H1467&lt;&gt;1,I1467&lt;&gt;""),"Nome sem indicação interna",IF(AND(G1467=1,F1467=""),"Fechamento sem conversa",IF(OR(AND(E1467&lt;&gt;"",E1467&lt;B1467),AND(F1467&lt;&gt;"",F1467&lt;B1467)),"Evento anterior à entrada",IF(AND(F1467&lt;&gt;"",E1467=""),"Conversa sem agendamento",IF(OR(E1467&gt;TODAY(),F1467&gt;TODAY()),"Verificar evento futuro","OK"))))))))))</f>
        <v/>
      </c>
    </row>
    <row r="1468" spans="12:15">
      <c r="L1468" s="5">
        <f>IF(OR(A1468="",B1468=""),"",B1468-WEEKDAY(B1468,2)+1)</f>
        <v/>
      </c>
      <c r="M1468" s="5">
        <f>IF(L1468="","",L1468+6)</f>
        <v/>
      </c>
      <c r="N1468" s="6">
        <f>IF(OR(A1468="",B1468=""),"",DATE(YEAR(B1468),MONTH(B1468),1))</f>
        <v/>
      </c>
      <c r="O1468" s="7">
        <f>IF(COUNTA(A1468:K1468)=0,"",IF(OR(A1468="",B1468=""),"Preencher CPF e entrada",IF(COUNTIFS($A$12:$A$5011,A1468,$B$12:$B$5011,B1468)&gt;1,"CPF + dia duplicado",IF(OR(AND(G1468&lt;&gt;"",G1468&lt;&gt;0,G1468&lt;&gt;1),AND(H1468&lt;&gt;"",H1468&lt;&gt;0,H1468&lt;&gt;1)),"Flags devem ser 0 ou 1",IF(AND(H1468=1,LEN(TRIM(I1468))=0),"Preencher nome do indicante",IF(AND(H1468&lt;&gt;1,I1468&lt;&gt;""),"Nome sem indicação interna",IF(AND(G1468=1,F1468=""),"Fechamento sem conversa",IF(OR(AND(E1468&lt;&gt;"",E1468&lt;B1468),AND(F1468&lt;&gt;"",F1468&lt;B1468)),"Evento anterior à entrada",IF(AND(F1468&lt;&gt;"",E1468=""),"Conversa sem agendamento",IF(OR(E1468&gt;TODAY(),F1468&gt;TODAY()),"Verificar evento futuro","OK"))))))))))</f>
        <v/>
      </c>
    </row>
    <row r="1469" spans="12:15">
      <c r="L1469" s="5">
        <f>IF(OR(A1469="",B1469=""),"",B1469-WEEKDAY(B1469,2)+1)</f>
        <v/>
      </c>
      <c r="M1469" s="5">
        <f>IF(L1469="","",L1469+6)</f>
        <v/>
      </c>
      <c r="N1469" s="6">
        <f>IF(OR(A1469="",B1469=""),"",DATE(YEAR(B1469),MONTH(B1469),1))</f>
        <v/>
      </c>
      <c r="O1469" s="7">
        <f>IF(COUNTA(A1469:K1469)=0,"",IF(OR(A1469="",B1469=""),"Preencher CPF e entrada",IF(COUNTIFS($A$12:$A$5011,A1469,$B$12:$B$5011,B1469)&gt;1,"CPF + dia duplicado",IF(OR(AND(G1469&lt;&gt;"",G1469&lt;&gt;0,G1469&lt;&gt;1),AND(H1469&lt;&gt;"",H1469&lt;&gt;0,H1469&lt;&gt;1)),"Flags devem ser 0 ou 1",IF(AND(H1469=1,LEN(TRIM(I1469))=0),"Preencher nome do indicante",IF(AND(H1469&lt;&gt;1,I1469&lt;&gt;""),"Nome sem indicação interna",IF(AND(G1469=1,F1469=""),"Fechamento sem conversa",IF(OR(AND(E1469&lt;&gt;"",E1469&lt;B1469),AND(F1469&lt;&gt;"",F1469&lt;B1469)),"Evento anterior à entrada",IF(AND(F1469&lt;&gt;"",E1469=""),"Conversa sem agendamento",IF(OR(E1469&gt;TODAY(),F1469&gt;TODAY()),"Verificar evento futuro","OK"))))))))))</f>
        <v/>
      </c>
    </row>
    <row r="1470" spans="12:15">
      <c r="L1470" s="5">
        <f>IF(OR(A1470="",B1470=""),"",B1470-WEEKDAY(B1470,2)+1)</f>
        <v/>
      </c>
      <c r="M1470" s="5">
        <f>IF(L1470="","",L1470+6)</f>
        <v/>
      </c>
      <c r="N1470" s="6">
        <f>IF(OR(A1470="",B1470=""),"",DATE(YEAR(B1470),MONTH(B1470),1))</f>
        <v/>
      </c>
      <c r="O1470" s="7">
        <f>IF(COUNTA(A1470:K1470)=0,"",IF(OR(A1470="",B1470=""),"Preencher CPF e entrada",IF(COUNTIFS($A$12:$A$5011,A1470,$B$12:$B$5011,B1470)&gt;1,"CPF + dia duplicado",IF(OR(AND(G1470&lt;&gt;"",G1470&lt;&gt;0,G1470&lt;&gt;1),AND(H1470&lt;&gt;"",H1470&lt;&gt;0,H1470&lt;&gt;1)),"Flags devem ser 0 ou 1",IF(AND(H1470=1,LEN(TRIM(I1470))=0),"Preencher nome do indicante",IF(AND(H1470&lt;&gt;1,I1470&lt;&gt;""),"Nome sem indicação interna",IF(AND(G1470=1,F1470=""),"Fechamento sem conversa",IF(OR(AND(E1470&lt;&gt;"",E1470&lt;B1470),AND(F1470&lt;&gt;"",F1470&lt;B1470)),"Evento anterior à entrada",IF(AND(F1470&lt;&gt;"",E1470=""),"Conversa sem agendamento",IF(OR(E1470&gt;TODAY(),F1470&gt;TODAY()),"Verificar evento futuro","OK"))))))))))</f>
        <v/>
      </c>
    </row>
    <row r="1471" spans="12:15">
      <c r="L1471" s="5">
        <f>IF(OR(A1471="",B1471=""),"",B1471-WEEKDAY(B1471,2)+1)</f>
        <v/>
      </c>
      <c r="M1471" s="5">
        <f>IF(L1471="","",L1471+6)</f>
        <v/>
      </c>
      <c r="N1471" s="6">
        <f>IF(OR(A1471="",B1471=""),"",DATE(YEAR(B1471),MONTH(B1471),1))</f>
        <v/>
      </c>
      <c r="O1471" s="7">
        <f>IF(COUNTA(A1471:K1471)=0,"",IF(OR(A1471="",B1471=""),"Preencher CPF e entrada",IF(COUNTIFS($A$12:$A$5011,A1471,$B$12:$B$5011,B1471)&gt;1,"CPF + dia duplicado",IF(OR(AND(G1471&lt;&gt;"",G1471&lt;&gt;0,G1471&lt;&gt;1),AND(H1471&lt;&gt;"",H1471&lt;&gt;0,H1471&lt;&gt;1)),"Flags devem ser 0 ou 1",IF(AND(H1471=1,LEN(TRIM(I1471))=0),"Preencher nome do indicante",IF(AND(H1471&lt;&gt;1,I1471&lt;&gt;""),"Nome sem indicação interna",IF(AND(G1471=1,F1471=""),"Fechamento sem conversa",IF(OR(AND(E1471&lt;&gt;"",E1471&lt;B1471),AND(F1471&lt;&gt;"",F1471&lt;B1471)),"Evento anterior à entrada",IF(AND(F1471&lt;&gt;"",E1471=""),"Conversa sem agendamento",IF(OR(E1471&gt;TODAY(),F1471&gt;TODAY()),"Verificar evento futuro","OK"))))))))))</f>
        <v/>
      </c>
    </row>
    <row r="1472" spans="12:15">
      <c r="L1472" s="5">
        <f>IF(OR(A1472="",B1472=""),"",B1472-WEEKDAY(B1472,2)+1)</f>
        <v/>
      </c>
      <c r="M1472" s="5">
        <f>IF(L1472="","",L1472+6)</f>
        <v/>
      </c>
      <c r="N1472" s="6">
        <f>IF(OR(A1472="",B1472=""),"",DATE(YEAR(B1472),MONTH(B1472),1))</f>
        <v/>
      </c>
      <c r="O1472" s="7">
        <f>IF(COUNTA(A1472:K1472)=0,"",IF(OR(A1472="",B1472=""),"Preencher CPF e entrada",IF(COUNTIFS($A$12:$A$5011,A1472,$B$12:$B$5011,B1472)&gt;1,"CPF + dia duplicado",IF(OR(AND(G1472&lt;&gt;"",G1472&lt;&gt;0,G1472&lt;&gt;1),AND(H1472&lt;&gt;"",H1472&lt;&gt;0,H1472&lt;&gt;1)),"Flags devem ser 0 ou 1",IF(AND(H1472=1,LEN(TRIM(I1472))=0),"Preencher nome do indicante",IF(AND(H1472&lt;&gt;1,I1472&lt;&gt;""),"Nome sem indicação interna",IF(AND(G1472=1,F1472=""),"Fechamento sem conversa",IF(OR(AND(E1472&lt;&gt;"",E1472&lt;B1472),AND(F1472&lt;&gt;"",F1472&lt;B1472)),"Evento anterior à entrada",IF(AND(F1472&lt;&gt;"",E1472=""),"Conversa sem agendamento",IF(OR(E1472&gt;TODAY(),F1472&gt;TODAY()),"Verificar evento futuro","OK"))))))))))</f>
        <v/>
      </c>
    </row>
    <row r="1473" spans="12:15">
      <c r="L1473" s="5">
        <f>IF(OR(A1473="",B1473=""),"",B1473-WEEKDAY(B1473,2)+1)</f>
        <v/>
      </c>
      <c r="M1473" s="5">
        <f>IF(L1473="","",L1473+6)</f>
        <v/>
      </c>
      <c r="N1473" s="6">
        <f>IF(OR(A1473="",B1473=""),"",DATE(YEAR(B1473),MONTH(B1473),1))</f>
        <v/>
      </c>
      <c r="O1473" s="7">
        <f>IF(COUNTA(A1473:K1473)=0,"",IF(OR(A1473="",B1473=""),"Preencher CPF e entrada",IF(COUNTIFS($A$12:$A$5011,A1473,$B$12:$B$5011,B1473)&gt;1,"CPF + dia duplicado",IF(OR(AND(G1473&lt;&gt;"",G1473&lt;&gt;0,G1473&lt;&gt;1),AND(H1473&lt;&gt;"",H1473&lt;&gt;0,H1473&lt;&gt;1)),"Flags devem ser 0 ou 1",IF(AND(H1473=1,LEN(TRIM(I1473))=0),"Preencher nome do indicante",IF(AND(H1473&lt;&gt;1,I1473&lt;&gt;""),"Nome sem indicação interna",IF(AND(G1473=1,F1473=""),"Fechamento sem conversa",IF(OR(AND(E1473&lt;&gt;"",E1473&lt;B1473),AND(F1473&lt;&gt;"",F1473&lt;B1473)),"Evento anterior à entrada",IF(AND(F1473&lt;&gt;"",E1473=""),"Conversa sem agendamento",IF(OR(E1473&gt;TODAY(),F1473&gt;TODAY()),"Verificar evento futuro","OK"))))))))))</f>
        <v/>
      </c>
    </row>
    <row r="1474" spans="12:15">
      <c r="L1474" s="5">
        <f>IF(OR(A1474="",B1474=""),"",B1474-WEEKDAY(B1474,2)+1)</f>
        <v/>
      </c>
      <c r="M1474" s="5">
        <f>IF(L1474="","",L1474+6)</f>
        <v/>
      </c>
      <c r="N1474" s="6">
        <f>IF(OR(A1474="",B1474=""),"",DATE(YEAR(B1474),MONTH(B1474),1))</f>
        <v/>
      </c>
      <c r="O1474" s="7">
        <f>IF(COUNTA(A1474:K1474)=0,"",IF(OR(A1474="",B1474=""),"Preencher CPF e entrada",IF(COUNTIFS($A$12:$A$5011,A1474,$B$12:$B$5011,B1474)&gt;1,"CPF + dia duplicado",IF(OR(AND(G1474&lt;&gt;"",G1474&lt;&gt;0,G1474&lt;&gt;1),AND(H1474&lt;&gt;"",H1474&lt;&gt;0,H1474&lt;&gt;1)),"Flags devem ser 0 ou 1",IF(AND(H1474=1,LEN(TRIM(I1474))=0),"Preencher nome do indicante",IF(AND(H1474&lt;&gt;1,I1474&lt;&gt;""),"Nome sem indicação interna",IF(AND(G1474=1,F1474=""),"Fechamento sem conversa",IF(OR(AND(E1474&lt;&gt;"",E1474&lt;B1474),AND(F1474&lt;&gt;"",F1474&lt;B1474)),"Evento anterior à entrada",IF(AND(F1474&lt;&gt;"",E1474=""),"Conversa sem agendamento",IF(OR(E1474&gt;TODAY(),F1474&gt;TODAY()),"Verificar evento futuro","OK"))))))))))</f>
        <v/>
      </c>
    </row>
    <row r="1475" spans="12:15">
      <c r="L1475" s="5">
        <f>IF(OR(A1475="",B1475=""),"",B1475-WEEKDAY(B1475,2)+1)</f>
        <v/>
      </c>
      <c r="M1475" s="5">
        <f>IF(L1475="","",L1475+6)</f>
        <v/>
      </c>
      <c r="N1475" s="6">
        <f>IF(OR(A1475="",B1475=""),"",DATE(YEAR(B1475),MONTH(B1475),1))</f>
        <v/>
      </c>
      <c r="O1475" s="7">
        <f>IF(COUNTA(A1475:K1475)=0,"",IF(OR(A1475="",B1475=""),"Preencher CPF e entrada",IF(COUNTIFS($A$12:$A$5011,A1475,$B$12:$B$5011,B1475)&gt;1,"CPF + dia duplicado",IF(OR(AND(G1475&lt;&gt;"",G1475&lt;&gt;0,G1475&lt;&gt;1),AND(H1475&lt;&gt;"",H1475&lt;&gt;0,H1475&lt;&gt;1)),"Flags devem ser 0 ou 1",IF(AND(H1475=1,LEN(TRIM(I1475))=0),"Preencher nome do indicante",IF(AND(H1475&lt;&gt;1,I1475&lt;&gt;""),"Nome sem indicação interna",IF(AND(G1475=1,F1475=""),"Fechamento sem conversa",IF(OR(AND(E1475&lt;&gt;"",E1475&lt;B1475),AND(F1475&lt;&gt;"",F1475&lt;B1475)),"Evento anterior à entrada",IF(AND(F1475&lt;&gt;"",E1475=""),"Conversa sem agendamento",IF(OR(E1475&gt;TODAY(),F1475&gt;TODAY()),"Verificar evento futuro","OK"))))))))))</f>
        <v/>
      </c>
    </row>
    <row r="1476" spans="12:15">
      <c r="L1476" s="5">
        <f>IF(OR(A1476="",B1476=""),"",B1476-WEEKDAY(B1476,2)+1)</f>
        <v/>
      </c>
      <c r="M1476" s="5">
        <f>IF(L1476="","",L1476+6)</f>
        <v/>
      </c>
      <c r="N1476" s="6">
        <f>IF(OR(A1476="",B1476=""),"",DATE(YEAR(B1476),MONTH(B1476),1))</f>
        <v/>
      </c>
      <c r="O1476" s="7">
        <f>IF(COUNTA(A1476:K1476)=0,"",IF(OR(A1476="",B1476=""),"Preencher CPF e entrada",IF(COUNTIFS($A$12:$A$5011,A1476,$B$12:$B$5011,B1476)&gt;1,"CPF + dia duplicado",IF(OR(AND(G1476&lt;&gt;"",G1476&lt;&gt;0,G1476&lt;&gt;1),AND(H1476&lt;&gt;"",H1476&lt;&gt;0,H1476&lt;&gt;1)),"Flags devem ser 0 ou 1",IF(AND(H1476=1,LEN(TRIM(I1476))=0),"Preencher nome do indicante",IF(AND(H1476&lt;&gt;1,I1476&lt;&gt;""),"Nome sem indicação interna",IF(AND(G1476=1,F1476=""),"Fechamento sem conversa",IF(OR(AND(E1476&lt;&gt;"",E1476&lt;B1476),AND(F1476&lt;&gt;"",F1476&lt;B1476)),"Evento anterior à entrada",IF(AND(F1476&lt;&gt;"",E1476=""),"Conversa sem agendamento",IF(OR(E1476&gt;TODAY(),F1476&gt;TODAY()),"Verificar evento futuro","OK"))))))))))</f>
        <v/>
      </c>
    </row>
    <row r="1477" spans="12:15">
      <c r="L1477" s="5">
        <f>IF(OR(A1477="",B1477=""),"",B1477-WEEKDAY(B1477,2)+1)</f>
        <v/>
      </c>
      <c r="M1477" s="5">
        <f>IF(L1477="","",L1477+6)</f>
        <v/>
      </c>
      <c r="N1477" s="6">
        <f>IF(OR(A1477="",B1477=""),"",DATE(YEAR(B1477),MONTH(B1477),1))</f>
        <v/>
      </c>
      <c r="O1477" s="7">
        <f>IF(COUNTA(A1477:K1477)=0,"",IF(OR(A1477="",B1477=""),"Preencher CPF e entrada",IF(COUNTIFS($A$12:$A$5011,A1477,$B$12:$B$5011,B1477)&gt;1,"CPF + dia duplicado",IF(OR(AND(G1477&lt;&gt;"",G1477&lt;&gt;0,G1477&lt;&gt;1),AND(H1477&lt;&gt;"",H1477&lt;&gt;0,H1477&lt;&gt;1)),"Flags devem ser 0 ou 1",IF(AND(H1477=1,LEN(TRIM(I1477))=0),"Preencher nome do indicante",IF(AND(H1477&lt;&gt;1,I1477&lt;&gt;""),"Nome sem indicação interna",IF(AND(G1477=1,F1477=""),"Fechamento sem conversa",IF(OR(AND(E1477&lt;&gt;"",E1477&lt;B1477),AND(F1477&lt;&gt;"",F1477&lt;B1477)),"Evento anterior à entrada",IF(AND(F1477&lt;&gt;"",E1477=""),"Conversa sem agendamento",IF(OR(E1477&gt;TODAY(),F1477&gt;TODAY()),"Verificar evento futuro","OK"))))))))))</f>
        <v/>
      </c>
    </row>
    <row r="1478" spans="12:15">
      <c r="L1478" s="5">
        <f>IF(OR(A1478="",B1478=""),"",B1478-WEEKDAY(B1478,2)+1)</f>
        <v/>
      </c>
      <c r="M1478" s="5">
        <f>IF(L1478="","",L1478+6)</f>
        <v/>
      </c>
      <c r="N1478" s="6">
        <f>IF(OR(A1478="",B1478=""),"",DATE(YEAR(B1478),MONTH(B1478),1))</f>
        <v/>
      </c>
      <c r="O1478" s="7">
        <f>IF(COUNTA(A1478:K1478)=0,"",IF(OR(A1478="",B1478=""),"Preencher CPF e entrada",IF(COUNTIFS($A$12:$A$5011,A1478,$B$12:$B$5011,B1478)&gt;1,"CPF + dia duplicado",IF(OR(AND(G1478&lt;&gt;"",G1478&lt;&gt;0,G1478&lt;&gt;1),AND(H1478&lt;&gt;"",H1478&lt;&gt;0,H1478&lt;&gt;1)),"Flags devem ser 0 ou 1",IF(AND(H1478=1,LEN(TRIM(I1478))=0),"Preencher nome do indicante",IF(AND(H1478&lt;&gt;1,I1478&lt;&gt;""),"Nome sem indicação interna",IF(AND(G1478=1,F1478=""),"Fechamento sem conversa",IF(OR(AND(E1478&lt;&gt;"",E1478&lt;B1478),AND(F1478&lt;&gt;"",F1478&lt;B1478)),"Evento anterior à entrada",IF(AND(F1478&lt;&gt;"",E1478=""),"Conversa sem agendamento",IF(OR(E1478&gt;TODAY(),F1478&gt;TODAY()),"Verificar evento futuro","OK"))))))))))</f>
        <v/>
      </c>
    </row>
    <row r="1479" spans="12:15">
      <c r="L1479" s="5">
        <f>IF(OR(A1479="",B1479=""),"",B1479-WEEKDAY(B1479,2)+1)</f>
        <v/>
      </c>
      <c r="M1479" s="5">
        <f>IF(L1479="","",L1479+6)</f>
        <v/>
      </c>
      <c r="N1479" s="6">
        <f>IF(OR(A1479="",B1479=""),"",DATE(YEAR(B1479),MONTH(B1479),1))</f>
        <v/>
      </c>
      <c r="O1479" s="7">
        <f>IF(COUNTA(A1479:K1479)=0,"",IF(OR(A1479="",B1479=""),"Preencher CPF e entrada",IF(COUNTIFS($A$12:$A$5011,A1479,$B$12:$B$5011,B1479)&gt;1,"CPF + dia duplicado",IF(OR(AND(G1479&lt;&gt;"",G1479&lt;&gt;0,G1479&lt;&gt;1),AND(H1479&lt;&gt;"",H1479&lt;&gt;0,H1479&lt;&gt;1)),"Flags devem ser 0 ou 1",IF(AND(H1479=1,LEN(TRIM(I1479))=0),"Preencher nome do indicante",IF(AND(H1479&lt;&gt;1,I1479&lt;&gt;""),"Nome sem indicação interna",IF(AND(G1479=1,F1479=""),"Fechamento sem conversa",IF(OR(AND(E1479&lt;&gt;"",E1479&lt;B1479),AND(F1479&lt;&gt;"",F1479&lt;B1479)),"Evento anterior à entrada",IF(AND(F1479&lt;&gt;"",E1479=""),"Conversa sem agendamento",IF(OR(E1479&gt;TODAY(),F1479&gt;TODAY()),"Verificar evento futuro","OK"))))))))))</f>
        <v/>
      </c>
    </row>
    <row r="1480" spans="12:15">
      <c r="L1480" s="5">
        <f>IF(OR(A1480="",B1480=""),"",B1480-WEEKDAY(B1480,2)+1)</f>
        <v/>
      </c>
      <c r="M1480" s="5">
        <f>IF(L1480="","",L1480+6)</f>
        <v/>
      </c>
      <c r="N1480" s="6">
        <f>IF(OR(A1480="",B1480=""),"",DATE(YEAR(B1480),MONTH(B1480),1))</f>
        <v/>
      </c>
      <c r="O1480" s="7">
        <f>IF(COUNTA(A1480:K1480)=0,"",IF(OR(A1480="",B1480=""),"Preencher CPF e entrada",IF(COUNTIFS($A$12:$A$5011,A1480,$B$12:$B$5011,B1480)&gt;1,"CPF + dia duplicado",IF(OR(AND(G1480&lt;&gt;"",G1480&lt;&gt;0,G1480&lt;&gt;1),AND(H1480&lt;&gt;"",H1480&lt;&gt;0,H1480&lt;&gt;1)),"Flags devem ser 0 ou 1",IF(AND(H1480=1,LEN(TRIM(I1480))=0),"Preencher nome do indicante",IF(AND(H1480&lt;&gt;1,I1480&lt;&gt;""),"Nome sem indicação interna",IF(AND(G1480=1,F1480=""),"Fechamento sem conversa",IF(OR(AND(E1480&lt;&gt;"",E1480&lt;B1480),AND(F1480&lt;&gt;"",F1480&lt;B1480)),"Evento anterior à entrada",IF(AND(F1480&lt;&gt;"",E1480=""),"Conversa sem agendamento",IF(OR(E1480&gt;TODAY(),F1480&gt;TODAY()),"Verificar evento futuro","OK"))))))))))</f>
        <v/>
      </c>
    </row>
    <row r="1481" spans="12:15">
      <c r="L1481" s="5">
        <f>IF(OR(A1481="",B1481=""),"",B1481-WEEKDAY(B1481,2)+1)</f>
        <v/>
      </c>
      <c r="M1481" s="5">
        <f>IF(L1481="","",L1481+6)</f>
        <v/>
      </c>
      <c r="N1481" s="6">
        <f>IF(OR(A1481="",B1481=""),"",DATE(YEAR(B1481),MONTH(B1481),1))</f>
        <v/>
      </c>
      <c r="O1481" s="7">
        <f>IF(COUNTA(A1481:K1481)=0,"",IF(OR(A1481="",B1481=""),"Preencher CPF e entrada",IF(COUNTIFS($A$12:$A$5011,A1481,$B$12:$B$5011,B1481)&gt;1,"CPF + dia duplicado",IF(OR(AND(G1481&lt;&gt;"",G1481&lt;&gt;0,G1481&lt;&gt;1),AND(H1481&lt;&gt;"",H1481&lt;&gt;0,H1481&lt;&gt;1)),"Flags devem ser 0 ou 1",IF(AND(H1481=1,LEN(TRIM(I1481))=0),"Preencher nome do indicante",IF(AND(H1481&lt;&gt;1,I1481&lt;&gt;""),"Nome sem indicação interna",IF(AND(G1481=1,F1481=""),"Fechamento sem conversa",IF(OR(AND(E1481&lt;&gt;"",E1481&lt;B1481),AND(F1481&lt;&gt;"",F1481&lt;B1481)),"Evento anterior à entrada",IF(AND(F1481&lt;&gt;"",E1481=""),"Conversa sem agendamento",IF(OR(E1481&gt;TODAY(),F1481&gt;TODAY()),"Verificar evento futuro","OK"))))))))))</f>
        <v/>
      </c>
    </row>
    <row r="1482" spans="12:15">
      <c r="L1482" s="5">
        <f>IF(OR(A1482="",B1482=""),"",B1482-WEEKDAY(B1482,2)+1)</f>
        <v/>
      </c>
      <c r="M1482" s="5">
        <f>IF(L1482="","",L1482+6)</f>
        <v/>
      </c>
      <c r="N1482" s="6">
        <f>IF(OR(A1482="",B1482=""),"",DATE(YEAR(B1482),MONTH(B1482),1))</f>
        <v/>
      </c>
      <c r="O1482" s="7">
        <f>IF(COUNTA(A1482:K1482)=0,"",IF(OR(A1482="",B1482=""),"Preencher CPF e entrada",IF(COUNTIFS($A$12:$A$5011,A1482,$B$12:$B$5011,B1482)&gt;1,"CPF + dia duplicado",IF(OR(AND(G1482&lt;&gt;"",G1482&lt;&gt;0,G1482&lt;&gt;1),AND(H1482&lt;&gt;"",H1482&lt;&gt;0,H1482&lt;&gt;1)),"Flags devem ser 0 ou 1",IF(AND(H1482=1,LEN(TRIM(I1482))=0),"Preencher nome do indicante",IF(AND(H1482&lt;&gt;1,I1482&lt;&gt;""),"Nome sem indicação interna",IF(AND(G1482=1,F1482=""),"Fechamento sem conversa",IF(OR(AND(E1482&lt;&gt;"",E1482&lt;B1482),AND(F1482&lt;&gt;"",F1482&lt;B1482)),"Evento anterior à entrada",IF(AND(F1482&lt;&gt;"",E1482=""),"Conversa sem agendamento",IF(OR(E1482&gt;TODAY(),F1482&gt;TODAY()),"Verificar evento futuro","OK"))))))))))</f>
        <v/>
      </c>
    </row>
    <row r="1483" spans="12:15">
      <c r="L1483" s="5">
        <f>IF(OR(A1483="",B1483=""),"",B1483-WEEKDAY(B1483,2)+1)</f>
        <v/>
      </c>
      <c r="M1483" s="5">
        <f>IF(L1483="","",L1483+6)</f>
        <v/>
      </c>
      <c r="N1483" s="6">
        <f>IF(OR(A1483="",B1483=""),"",DATE(YEAR(B1483),MONTH(B1483),1))</f>
        <v/>
      </c>
      <c r="O1483" s="7">
        <f>IF(COUNTA(A1483:K1483)=0,"",IF(OR(A1483="",B1483=""),"Preencher CPF e entrada",IF(COUNTIFS($A$12:$A$5011,A1483,$B$12:$B$5011,B1483)&gt;1,"CPF + dia duplicado",IF(OR(AND(G1483&lt;&gt;"",G1483&lt;&gt;0,G1483&lt;&gt;1),AND(H1483&lt;&gt;"",H1483&lt;&gt;0,H1483&lt;&gt;1)),"Flags devem ser 0 ou 1",IF(AND(H1483=1,LEN(TRIM(I1483))=0),"Preencher nome do indicante",IF(AND(H1483&lt;&gt;1,I1483&lt;&gt;""),"Nome sem indicação interna",IF(AND(G1483=1,F1483=""),"Fechamento sem conversa",IF(OR(AND(E1483&lt;&gt;"",E1483&lt;B1483),AND(F1483&lt;&gt;"",F1483&lt;B1483)),"Evento anterior à entrada",IF(AND(F1483&lt;&gt;"",E1483=""),"Conversa sem agendamento",IF(OR(E1483&gt;TODAY(),F1483&gt;TODAY()),"Verificar evento futuro","OK"))))))))))</f>
        <v/>
      </c>
    </row>
    <row r="1484" spans="12:15">
      <c r="L1484" s="5">
        <f>IF(OR(A1484="",B1484=""),"",B1484-WEEKDAY(B1484,2)+1)</f>
        <v/>
      </c>
      <c r="M1484" s="5">
        <f>IF(L1484="","",L1484+6)</f>
        <v/>
      </c>
      <c r="N1484" s="6">
        <f>IF(OR(A1484="",B1484=""),"",DATE(YEAR(B1484),MONTH(B1484),1))</f>
        <v/>
      </c>
      <c r="O1484" s="7">
        <f>IF(COUNTA(A1484:K1484)=0,"",IF(OR(A1484="",B1484=""),"Preencher CPF e entrada",IF(COUNTIFS($A$12:$A$5011,A1484,$B$12:$B$5011,B1484)&gt;1,"CPF + dia duplicado",IF(OR(AND(G1484&lt;&gt;"",G1484&lt;&gt;0,G1484&lt;&gt;1),AND(H1484&lt;&gt;"",H1484&lt;&gt;0,H1484&lt;&gt;1)),"Flags devem ser 0 ou 1",IF(AND(H1484=1,LEN(TRIM(I1484))=0),"Preencher nome do indicante",IF(AND(H1484&lt;&gt;1,I1484&lt;&gt;""),"Nome sem indicação interna",IF(AND(G1484=1,F1484=""),"Fechamento sem conversa",IF(OR(AND(E1484&lt;&gt;"",E1484&lt;B1484),AND(F1484&lt;&gt;"",F1484&lt;B1484)),"Evento anterior à entrada",IF(AND(F1484&lt;&gt;"",E1484=""),"Conversa sem agendamento",IF(OR(E1484&gt;TODAY(),F1484&gt;TODAY()),"Verificar evento futuro","OK"))))))))))</f>
        <v/>
      </c>
    </row>
    <row r="1485" spans="12:15">
      <c r="L1485" s="5">
        <f>IF(OR(A1485="",B1485=""),"",B1485-WEEKDAY(B1485,2)+1)</f>
        <v/>
      </c>
      <c r="M1485" s="5">
        <f>IF(L1485="","",L1485+6)</f>
        <v/>
      </c>
      <c r="N1485" s="6">
        <f>IF(OR(A1485="",B1485=""),"",DATE(YEAR(B1485),MONTH(B1485),1))</f>
        <v/>
      </c>
      <c r="O1485" s="7">
        <f>IF(COUNTA(A1485:K1485)=0,"",IF(OR(A1485="",B1485=""),"Preencher CPF e entrada",IF(COUNTIFS($A$12:$A$5011,A1485,$B$12:$B$5011,B1485)&gt;1,"CPF + dia duplicado",IF(OR(AND(G1485&lt;&gt;"",G1485&lt;&gt;0,G1485&lt;&gt;1),AND(H1485&lt;&gt;"",H1485&lt;&gt;0,H1485&lt;&gt;1)),"Flags devem ser 0 ou 1",IF(AND(H1485=1,LEN(TRIM(I1485))=0),"Preencher nome do indicante",IF(AND(H1485&lt;&gt;1,I1485&lt;&gt;""),"Nome sem indicação interna",IF(AND(G1485=1,F1485=""),"Fechamento sem conversa",IF(OR(AND(E1485&lt;&gt;"",E1485&lt;B1485),AND(F1485&lt;&gt;"",F1485&lt;B1485)),"Evento anterior à entrada",IF(AND(F1485&lt;&gt;"",E1485=""),"Conversa sem agendamento",IF(OR(E1485&gt;TODAY(),F1485&gt;TODAY()),"Verificar evento futuro","OK"))))))))))</f>
        <v/>
      </c>
    </row>
    <row r="1486" spans="12:15">
      <c r="L1486" s="5">
        <f>IF(OR(A1486="",B1486=""),"",B1486-WEEKDAY(B1486,2)+1)</f>
        <v/>
      </c>
      <c r="M1486" s="5">
        <f>IF(L1486="","",L1486+6)</f>
        <v/>
      </c>
      <c r="N1486" s="6">
        <f>IF(OR(A1486="",B1486=""),"",DATE(YEAR(B1486),MONTH(B1486),1))</f>
        <v/>
      </c>
      <c r="O1486" s="7">
        <f>IF(COUNTA(A1486:K1486)=0,"",IF(OR(A1486="",B1486=""),"Preencher CPF e entrada",IF(COUNTIFS($A$12:$A$5011,A1486,$B$12:$B$5011,B1486)&gt;1,"CPF + dia duplicado",IF(OR(AND(G1486&lt;&gt;"",G1486&lt;&gt;0,G1486&lt;&gt;1),AND(H1486&lt;&gt;"",H1486&lt;&gt;0,H1486&lt;&gt;1)),"Flags devem ser 0 ou 1",IF(AND(H1486=1,LEN(TRIM(I1486))=0),"Preencher nome do indicante",IF(AND(H1486&lt;&gt;1,I1486&lt;&gt;""),"Nome sem indicação interna",IF(AND(G1486=1,F1486=""),"Fechamento sem conversa",IF(OR(AND(E1486&lt;&gt;"",E1486&lt;B1486),AND(F1486&lt;&gt;"",F1486&lt;B1486)),"Evento anterior à entrada",IF(AND(F1486&lt;&gt;"",E1486=""),"Conversa sem agendamento",IF(OR(E1486&gt;TODAY(),F1486&gt;TODAY()),"Verificar evento futuro","OK"))))))))))</f>
        <v/>
      </c>
    </row>
    <row r="1487" spans="12:15">
      <c r="L1487" s="5">
        <f>IF(OR(A1487="",B1487=""),"",B1487-WEEKDAY(B1487,2)+1)</f>
        <v/>
      </c>
      <c r="M1487" s="5">
        <f>IF(L1487="","",L1487+6)</f>
        <v/>
      </c>
      <c r="N1487" s="6">
        <f>IF(OR(A1487="",B1487=""),"",DATE(YEAR(B1487),MONTH(B1487),1))</f>
        <v/>
      </c>
      <c r="O1487" s="7">
        <f>IF(COUNTA(A1487:K1487)=0,"",IF(OR(A1487="",B1487=""),"Preencher CPF e entrada",IF(COUNTIFS($A$12:$A$5011,A1487,$B$12:$B$5011,B1487)&gt;1,"CPF + dia duplicado",IF(OR(AND(G1487&lt;&gt;"",G1487&lt;&gt;0,G1487&lt;&gt;1),AND(H1487&lt;&gt;"",H1487&lt;&gt;0,H1487&lt;&gt;1)),"Flags devem ser 0 ou 1",IF(AND(H1487=1,LEN(TRIM(I1487))=0),"Preencher nome do indicante",IF(AND(H1487&lt;&gt;1,I1487&lt;&gt;""),"Nome sem indicação interna",IF(AND(G1487=1,F1487=""),"Fechamento sem conversa",IF(OR(AND(E1487&lt;&gt;"",E1487&lt;B1487),AND(F1487&lt;&gt;"",F1487&lt;B1487)),"Evento anterior à entrada",IF(AND(F1487&lt;&gt;"",E1487=""),"Conversa sem agendamento",IF(OR(E1487&gt;TODAY(),F1487&gt;TODAY()),"Verificar evento futuro","OK"))))))))))</f>
        <v/>
      </c>
    </row>
    <row r="1488" spans="12:15">
      <c r="L1488" s="5">
        <f>IF(OR(A1488="",B1488=""),"",B1488-WEEKDAY(B1488,2)+1)</f>
        <v/>
      </c>
      <c r="M1488" s="5">
        <f>IF(L1488="","",L1488+6)</f>
        <v/>
      </c>
      <c r="N1488" s="6">
        <f>IF(OR(A1488="",B1488=""),"",DATE(YEAR(B1488),MONTH(B1488),1))</f>
        <v/>
      </c>
      <c r="O1488" s="7">
        <f>IF(COUNTA(A1488:K1488)=0,"",IF(OR(A1488="",B1488=""),"Preencher CPF e entrada",IF(COUNTIFS($A$12:$A$5011,A1488,$B$12:$B$5011,B1488)&gt;1,"CPF + dia duplicado",IF(OR(AND(G1488&lt;&gt;"",G1488&lt;&gt;0,G1488&lt;&gt;1),AND(H1488&lt;&gt;"",H1488&lt;&gt;0,H1488&lt;&gt;1)),"Flags devem ser 0 ou 1",IF(AND(H1488=1,LEN(TRIM(I1488))=0),"Preencher nome do indicante",IF(AND(H1488&lt;&gt;1,I1488&lt;&gt;""),"Nome sem indicação interna",IF(AND(G1488=1,F1488=""),"Fechamento sem conversa",IF(OR(AND(E1488&lt;&gt;"",E1488&lt;B1488),AND(F1488&lt;&gt;"",F1488&lt;B1488)),"Evento anterior à entrada",IF(AND(F1488&lt;&gt;"",E1488=""),"Conversa sem agendamento",IF(OR(E1488&gt;TODAY(),F1488&gt;TODAY()),"Verificar evento futuro","OK"))))))))))</f>
        <v/>
      </c>
    </row>
    <row r="1489" spans="12:15">
      <c r="L1489" s="5">
        <f>IF(OR(A1489="",B1489=""),"",B1489-WEEKDAY(B1489,2)+1)</f>
        <v/>
      </c>
      <c r="M1489" s="5">
        <f>IF(L1489="","",L1489+6)</f>
        <v/>
      </c>
      <c r="N1489" s="6">
        <f>IF(OR(A1489="",B1489=""),"",DATE(YEAR(B1489),MONTH(B1489),1))</f>
        <v/>
      </c>
      <c r="O1489" s="7">
        <f>IF(COUNTA(A1489:K1489)=0,"",IF(OR(A1489="",B1489=""),"Preencher CPF e entrada",IF(COUNTIFS($A$12:$A$5011,A1489,$B$12:$B$5011,B1489)&gt;1,"CPF + dia duplicado",IF(OR(AND(G1489&lt;&gt;"",G1489&lt;&gt;0,G1489&lt;&gt;1),AND(H1489&lt;&gt;"",H1489&lt;&gt;0,H1489&lt;&gt;1)),"Flags devem ser 0 ou 1",IF(AND(H1489=1,LEN(TRIM(I1489))=0),"Preencher nome do indicante",IF(AND(H1489&lt;&gt;1,I1489&lt;&gt;""),"Nome sem indicação interna",IF(AND(G1489=1,F1489=""),"Fechamento sem conversa",IF(OR(AND(E1489&lt;&gt;"",E1489&lt;B1489),AND(F1489&lt;&gt;"",F1489&lt;B1489)),"Evento anterior à entrada",IF(AND(F1489&lt;&gt;"",E1489=""),"Conversa sem agendamento",IF(OR(E1489&gt;TODAY(),F1489&gt;TODAY()),"Verificar evento futuro","OK"))))))))))</f>
        <v/>
      </c>
    </row>
    <row r="1490" spans="12:15">
      <c r="L1490" s="5">
        <f>IF(OR(A1490="",B1490=""),"",B1490-WEEKDAY(B1490,2)+1)</f>
        <v/>
      </c>
      <c r="M1490" s="5">
        <f>IF(L1490="","",L1490+6)</f>
        <v/>
      </c>
      <c r="N1490" s="6">
        <f>IF(OR(A1490="",B1490=""),"",DATE(YEAR(B1490),MONTH(B1490),1))</f>
        <v/>
      </c>
      <c r="O1490" s="7">
        <f>IF(COUNTA(A1490:K1490)=0,"",IF(OR(A1490="",B1490=""),"Preencher CPF e entrada",IF(COUNTIFS($A$12:$A$5011,A1490,$B$12:$B$5011,B1490)&gt;1,"CPF + dia duplicado",IF(OR(AND(G1490&lt;&gt;"",G1490&lt;&gt;0,G1490&lt;&gt;1),AND(H1490&lt;&gt;"",H1490&lt;&gt;0,H1490&lt;&gt;1)),"Flags devem ser 0 ou 1",IF(AND(H1490=1,LEN(TRIM(I1490))=0),"Preencher nome do indicante",IF(AND(H1490&lt;&gt;1,I1490&lt;&gt;""),"Nome sem indicação interna",IF(AND(G1490=1,F1490=""),"Fechamento sem conversa",IF(OR(AND(E1490&lt;&gt;"",E1490&lt;B1490),AND(F1490&lt;&gt;"",F1490&lt;B1490)),"Evento anterior à entrada",IF(AND(F1490&lt;&gt;"",E1490=""),"Conversa sem agendamento",IF(OR(E1490&gt;TODAY(),F1490&gt;TODAY()),"Verificar evento futuro","OK"))))))))))</f>
        <v/>
      </c>
    </row>
    <row r="1491" spans="12:15">
      <c r="L1491" s="5">
        <f>IF(OR(A1491="",B1491=""),"",B1491-WEEKDAY(B1491,2)+1)</f>
        <v/>
      </c>
      <c r="M1491" s="5">
        <f>IF(L1491="","",L1491+6)</f>
        <v/>
      </c>
      <c r="N1491" s="6">
        <f>IF(OR(A1491="",B1491=""),"",DATE(YEAR(B1491),MONTH(B1491),1))</f>
        <v/>
      </c>
      <c r="O1491" s="7">
        <f>IF(COUNTA(A1491:K1491)=0,"",IF(OR(A1491="",B1491=""),"Preencher CPF e entrada",IF(COUNTIFS($A$12:$A$5011,A1491,$B$12:$B$5011,B1491)&gt;1,"CPF + dia duplicado",IF(OR(AND(G1491&lt;&gt;"",G1491&lt;&gt;0,G1491&lt;&gt;1),AND(H1491&lt;&gt;"",H1491&lt;&gt;0,H1491&lt;&gt;1)),"Flags devem ser 0 ou 1",IF(AND(H1491=1,LEN(TRIM(I1491))=0),"Preencher nome do indicante",IF(AND(H1491&lt;&gt;1,I1491&lt;&gt;""),"Nome sem indicação interna",IF(AND(G1491=1,F1491=""),"Fechamento sem conversa",IF(OR(AND(E1491&lt;&gt;"",E1491&lt;B1491),AND(F1491&lt;&gt;"",F1491&lt;B1491)),"Evento anterior à entrada",IF(AND(F1491&lt;&gt;"",E1491=""),"Conversa sem agendamento",IF(OR(E1491&gt;TODAY(),F1491&gt;TODAY()),"Verificar evento futuro","OK"))))))))))</f>
        <v/>
      </c>
    </row>
    <row r="1492" spans="12:15">
      <c r="L1492" s="5">
        <f>IF(OR(A1492="",B1492=""),"",B1492-WEEKDAY(B1492,2)+1)</f>
        <v/>
      </c>
      <c r="M1492" s="5">
        <f>IF(L1492="","",L1492+6)</f>
        <v/>
      </c>
      <c r="N1492" s="6">
        <f>IF(OR(A1492="",B1492=""),"",DATE(YEAR(B1492),MONTH(B1492),1))</f>
        <v/>
      </c>
      <c r="O1492" s="7">
        <f>IF(COUNTA(A1492:K1492)=0,"",IF(OR(A1492="",B1492=""),"Preencher CPF e entrada",IF(COUNTIFS($A$12:$A$5011,A1492,$B$12:$B$5011,B1492)&gt;1,"CPF + dia duplicado",IF(OR(AND(G1492&lt;&gt;"",G1492&lt;&gt;0,G1492&lt;&gt;1),AND(H1492&lt;&gt;"",H1492&lt;&gt;0,H1492&lt;&gt;1)),"Flags devem ser 0 ou 1",IF(AND(H1492=1,LEN(TRIM(I1492))=0),"Preencher nome do indicante",IF(AND(H1492&lt;&gt;1,I1492&lt;&gt;""),"Nome sem indicação interna",IF(AND(G1492=1,F1492=""),"Fechamento sem conversa",IF(OR(AND(E1492&lt;&gt;"",E1492&lt;B1492),AND(F1492&lt;&gt;"",F1492&lt;B1492)),"Evento anterior à entrada",IF(AND(F1492&lt;&gt;"",E1492=""),"Conversa sem agendamento",IF(OR(E1492&gt;TODAY(),F1492&gt;TODAY()),"Verificar evento futuro","OK"))))))))))</f>
        <v/>
      </c>
    </row>
    <row r="1493" spans="12:15">
      <c r="L1493" s="5">
        <f>IF(OR(A1493="",B1493=""),"",B1493-WEEKDAY(B1493,2)+1)</f>
        <v/>
      </c>
      <c r="M1493" s="5">
        <f>IF(L1493="","",L1493+6)</f>
        <v/>
      </c>
      <c r="N1493" s="6">
        <f>IF(OR(A1493="",B1493=""),"",DATE(YEAR(B1493),MONTH(B1493),1))</f>
        <v/>
      </c>
      <c r="O1493" s="7">
        <f>IF(COUNTA(A1493:K1493)=0,"",IF(OR(A1493="",B1493=""),"Preencher CPF e entrada",IF(COUNTIFS($A$12:$A$5011,A1493,$B$12:$B$5011,B1493)&gt;1,"CPF + dia duplicado",IF(OR(AND(G1493&lt;&gt;"",G1493&lt;&gt;0,G1493&lt;&gt;1),AND(H1493&lt;&gt;"",H1493&lt;&gt;0,H1493&lt;&gt;1)),"Flags devem ser 0 ou 1",IF(AND(H1493=1,LEN(TRIM(I1493))=0),"Preencher nome do indicante",IF(AND(H1493&lt;&gt;1,I1493&lt;&gt;""),"Nome sem indicação interna",IF(AND(G1493=1,F1493=""),"Fechamento sem conversa",IF(OR(AND(E1493&lt;&gt;"",E1493&lt;B1493),AND(F1493&lt;&gt;"",F1493&lt;B1493)),"Evento anterior à entrada",IF(AND(F1493&lt;&gt;"",E1493=""),"Conversa sem agendamento",IF(OR(E1493&gt;TODAY(),F1493&gt;TODAY()),"Verificar evento futuro","OK"))))))))))</f>
        <v/>
      </c>
    </row>
    <row r="1494" spans="12:15">
      <c r="L1494" s="5">
        <f>IF(OR(A1494="",B1494=""),"",B1494-WEEKDAY(B1494,2)+1)</f>
        <v/>
      </c>
      <c r="M1494" s="5">
        <f>IF(L1494="","",L1494+6)</f>
        <v/>
      </c>
      <c r="N1494" s="6">
        <f>IF(OR(A1494="",B1494=""),"",DATE(YEAR(B1494),MONTH(B1494),1))</f>
        <v/>
      </c>
      <c r="O1494" s="7">
        <f>IF(COUNTA(A1494:K1494)=0,"",IF(OR(A1494="",B1494=""),"Preencher CPF e entrada",IF(COUNTIFS($A$12:$A$5011,A1494,$B$12:$B$5011,B1494)&gt;1,"CPF + dia duplicado",IF(OR(AND(G1494&lt;&gt;"",G1494&lt;&gt;0,G1494&lt;&gt;1),AND(H1494&lt;&gt;"",H1494&lt;&gt;0,H1494&lt;&gt;1)),"Flags devem ser 0 ou 1",IF(AND(H1494=1,LEN(TRIM(I1494))=0),"Preencher nome do indicante",IF(AND(H1494&lt;&gt;1,I1494&lt;&gt;""),"Nome sem indicação interna",IF(AND(G1494=1,F1494=""),"Fechamento sem conversa",IF(OR(AND(E1494&lt;&gt;"",E1494&lt;B1494),AND(F1494&lt;&gt;"",F1494&lt;B1494)),"Evento anterior à entrada",IF(AND(F1494&lt;&gt;"",E1494=""),"Conversa sem agendamento",IF(OR(E1494&gt;TODAY(),F1494&gt;TODAY()),"Verificar evento futuro","OK"))))))))))</f>
        <v/>
      </c>
    </row>
    <row r="1495" spans="12:15">
      <c r="L1495" s="5">
        <f>IF(OR(A1495="",B1495=""),"",B1495-WEEKDAY(B1495,2)+1)</f>
        <v/>
      </c>
      <c r="M1495" s="5">
        <f>IF(L1495="","",L1495+6)</f>
        <v/>
      </c>
      <c r="N1495" s="6">
        <f>IF(OR(A1495="",B1495=""),"",DATE(YEAR(B1495),MONTH(B1495),1))</f>
        <v/>
      </c>
      <c r="O1495" s="7">
        <f>IF(COUNTA(A1495:K1495)=0,"",IF(OR(A1495="",B1495=""),"Preencher CPF e entrada",IF(COUNTIFS($A$12:$A$5011,A1495,$B$12:$B$5011,B1495)&gt;1,"CPF + dia duplicado",IF(OR(AND(G1495&lt;&gt;"",G1495&lt;&gt;0,G1495&lt;&gt;1),AND(H1495&lt;&gt;"",H1495&lt;&gt;0,H1495&lt;&gt;1)),"Flags devem ser 0 ou 1",IF(AND(H1495=1,LEN(TRIM(I1495))=0),"Preencher nome do indicante",IF(AND(H1495&lt;&gt;1,I1495&lt;&gt;""),"Nome sem indicação interna",IF(AND(G1495=1,F1495=""),"Fechamento sem conversa",IF(OR(AND(E1495&lt;&gt;"",E1495&lt;B1495),AND(F1495&lt;&gt;"",F1495&lt;B1495)),"Evento anterior à entrada",IF(AND(F1495&lt;&gt;"",E1495=""),"Conversa sem agendamento",IF(OR(E1495&gt;TODAY(),F1495&gt;TODAY()),"Verificar evento futuro","OK"))))))))))</f>
        <v/>
      </c>
    </row>
    <row r="1496" spans="12:15">
      <c r="L1496" s="5">
        <f>IF(OR(A1496="",B1496=""),"",B1496-WEEKDAY(B1496,2)+1)</f>
        <v/>
      </c>
      <c r="M1496" s="5">
        <f>IF(L1496="","",L1496+6)</f>
        <v/>
      </c>
      <c r="N1496" s="6">
        <f>IF(OR(A1496="",B1496=""),"",DATE(YEAR(B1496),MONTH(B1496),1))</f>
        <v/>
      </c>
      <c r="O1496" s="7">
        <f>IF(COUNTA(A1496:K1496)=0,"",IF(OR(A1496="",B1496=""),"Preencher CPF e entrada",IF(COUNTIFS($A$12:$A$5011,A1496,$B$12:$B$5011,B1496)&gt;1,"CPF + dia duplicado",IF(OR(AND(G1496&lt;&gt;"",G1496&lt;&gt;0,G1496&lt;&gt;1),AND(H1496&lt;&gt;"",H1496&lt;&gt;0,H1496&lt;&gt;1)),"Flags devem ser 0 ou 1",IF(AND(H1496=1,LEN(TRIM(I1496))=0),"Preencher nome do indicante",IF(AND(H1496&lt;&gt;1,I1496&lt;&gt;""),"Nome sem indicação interna",IF(AND(G1496=1,F1496=""),"Fechamento sem conversa",IF(OR(AND(E1496&lt;&gt;"",E1496&lt;B1496),AND(F1496&lt;&gt;"",F1496&lt;B1496)),"Evento anterior à entrada",IF(AND(F1496&lt;&gt;"",E1496=""),"Conversa sem agendamento",IF(OR(E1496&gt;TODAY(),F1496&gt;TODAY()),"Verificar evento futuro","OK"))))))))))</f>
        <v/>
      </c>
    </row>
    <row r="1497" spans="12:15">
      <c r="L1497" s="5">
        <f>IF(OR(A1497="",B1497=""),"",B1497-WEEKDAY(B1497,2)+1)</f>
        <v/>
      </c>
      <c r="M1497" s="5">
        <f>IF(L1497="","",L1497+6)</f>
        <v/>
      </c>
      <c r="N1497" s="6">
        <f>IF(OR(A1497="",B1497=""),"",DATE(YEAR(B1497),MONTH(B1497),1))</f>
        <v/>
      </c>
      <c r="O1497" s="7">
        <f>IF(COUNTA(A1497:K1497)=0,"",IF(OR(A1497="",B1497=""),"Preencher CPF e entrada",IF(COUNTIFS($A$12:$A$5011,A1497,$B$12:$B$5011,B1497)&gt;1,"CPF + dia duplicado",IF(OR(AND(G1497&lt;&gt;"",G1497&lt;&gt;0,G1497&lt;&gt;1),AND(H1497&lt;&gt;"",H1497&lt;&gt;0,H1497&lt;&gt;1)),"Flags devem ser 0 ou 1",IF(AND(H1497=1,LEN(TRIM(I1497))=0),"Preencher nome do indicante",IF(AND(H1497&lt;&gt;1,I1497&lt;&gt;""),"Nome sem indicação interna",IF(AND(G1497=1,F1497=""),"Fechamento sem conversa",IF(OR(AND(E1497&lt;&gt;"",E1497&lt;B1497),AND(F1497&lt;&gt;"",F1497&lt;B1497)),"Evento anterior à entrada",IF(AND(F1497&lt;&gt;"",E1497=""),"Conversa sem agendamento",IF(OR(E1497&gt;TODAY(),F1497&gt;TODAY()),"Verificar evento futuro","OK"))))))))))</f>
        <v/>
      </c>
    </row>
    <row r="1498" spans="12:15">
      <c r="L1498" s="5">
        <f>IF(OR(A1498="",B1498=""),"",B1498-WEEKDAY(B1498,2)+1)</f>
        <v/>
      </c>
      <c r="M1498" s="5">
        <f>IF(L1498="","",L1498+6)</f>
        <v/>
      </c>
      <c r="N1498" s="6">
        <f>IF(OR(A1498="",B1498=""),"",DATE(YEAR(B1498),MONTH(B1498),1))</f>
        <v/>
      </c>
      <c r="O1498" s="7">
        <f>IF(COUNTA(A1498:K1498)=0,"",IF(OR(A1498="",B1498=""),"Preencher CPF e entrada",IF(COUNTIFS($A$12:$A$5011,A1498,$B$12:$B$5011,B1498)&gt;1,"CPF + dia duplicado",IF(OR(AND(G1498&lt;&gt;"",G1498&lt;&gt;0,G1498&lt;&gt;1),AND(H1498&lt;&gt;"",H1498&lt;&gt;0,H1498&lt;&gt;1)),"Flags devem ser 0 ou 1",IF(AND(H1498=1,LEN(TRIM(I1498))=0),"Preencher nome do indicante",IF(AND(H1498&lt;&gt;1,I1498&lt;&gt;""),"Nome sem indicação interna",IF(AND(G1498=1,F1498=""),"Fechamento sem conversa",IF(OR(AND(E1498&lt;&gt;"",E1498&lt;B1498),AND(F1498&lt;&gt;"",F1498&lt;B1498)),"Evento anterior à entrada",IF(AND(F1498&lt;&gt;"",E1498=""),"Conversa sem agendamento",IF(OR(E1498&gt;TODAY(),F1498&gt;TODAY()),"Verificar evento futuro","OK"))))))))))</f>
        <v/>
      </c>
    </row>
    <row r="1499" spans="12:15">
      <c r="L1499" s="5">
        <f>IF(OR(A1499="",B1499=""),"",B1499-WEEKDAY(B1499,2)+1)</f>
        <v/>
      </c>
      <c r="M1499" s="5">
        <f>IF(L1499="","",L1499+6)</f>
        <v/>
      </c>
      <c r="N1499" s="6">
        <f>IF(OR(A1499="",B1499=""),"",DATE(YEAR(B1499),MONTH(B1499),1))</f>
        <v/>
      </c>
      <c r="O1499" s="7">
        <f>IF(COUNTA(A1499:K1499)=0,"",IF(OR(A1499="",B1499=""),"Preencher CPF e entrada",IF(COUNTIFS($A$12:$A$5011,A1499,$B$12:$B$5011,B1499)&gt;1,"CPF + dia duplicado",IF(OR(AND(G1499&lt;&gt;"",G1499&lt;&gt;0,G1499&lt;&gt;1),AND(H1499&lt;&gt;"",H1499&lt;&gt;0,H1499&lt;&gt;1)),"Flags devem ser 0 ou 1",IF(AND(H1499=1,LEN(TRIM(I1499))=0),"Preencher nome do indicante",IF(AND(H1499&lt;&gt;1,I1499&lt;&gt;""),"Nome sem indicação interna",IF(AND(G1499=1,F1499=""),"Fechamento sem conversa",IF(OR(AND(E1499&lt;&gt;"",E1499&lt;B1499),AND(F1499&lt;&gt;"",F1499&lt;B1499)),"Evento anterior à entrada",IF(AND(F1499&lt;&gt;"",E1499=""),"Conversa sem agendamento",IF(OR(E1499&gt;TODAY(),F1499&gt;TODAY()),"Verificar evento futuro","OK"))))))))))</f>
        <v/>
      </c>
    </row>
    <row r="1500" spans="12:15">
      <c r="L1500" s="5">
        <f>IF(OR(A1500="",B1500=""),"",B1500-WEEKDAY(B1500,2)+1)</f>
        <v/>
      </c>
      <c r="M1500" s="5">
        <f>IF(L1500="","",L1500+6)</f>
        <v/>
      </c>
      <c r="N1500" s="6">
        <f>IF(OR(A1500="",B1500=""),"",DATE(YEAR(B1500),MONTH(B1500),1))</f>
        <v/>
      </c>
      <c r="O1500" s="7">
        <f>IF(COUNTA(A1500:K1500)=0,"",IF(OR(A1500="",B1500=""),"Preencher CPF e entrada",IF(COUNTIFS($A$12:$A$5011,A1500,$B$12:$B$5011,B1500)&gt;1,"CPF + dia duplicado",IF(OR(AND(G1500&lt;&gt;"",G1500&lt;&gt;0,G1500&lt;&gt;1),AND(H1500&lt;&gt;"",H1500&lt;&gt;0,H1500&lt;&gt;1)),"Flags devem ser 0 ou 1",IF(AND(H1500=1,LEN(TRIM(I1500))=0),"Preencher nome do indicante",IF(AND(H1500&lt;&gt;1,I1500&lt;&gt;""),"Nome sem indicação interna",IF(AND(G1500=1,F1500=""),"Fechamento sem conversa",IF(OR(AND(E1500&lt;&gt;"",E1500&lt;B1500),AND(F1500&lt;&gt;"",F1500&lt;B1500)),"Evento anterior à entrada",IF(AND(F1500&lt;&gt;"",E1500=""),"Conversa sem agendamento",IF(OR(E1500&gt;TODAY(),F1500&gt;TODAY()),"Verificar evento futuro","OK"))))))))))</f>
        <v/>
      </c>
    </row>
    <row r="1501" spans="12:15">
      <c r="L1501" s="5">
        <f>IF(OR(A1501="",B1501=""),"",B1501-WEEKDAY(B1501,2)+1)</f>
        <v/>
      </c>
      <c r="M1501" s="5">
        <f>IF(L1501="","",L1501+6)</f>
        <v/>
      </c>
      <c r="N1501" s="6">
        <f>IF(OR(A1501="",B1501=""),"",DATE(YEAR(B1501),MONTH(B1501),1))</f>
        <v/>
      </c>
      <c r="O1501" s="7">
        <f>IF(COUNTA(A1501:K1501)=0,"",IF(OR(A1501="",B1501=""),"Preencher CPF e entrada",IF(COUNTIFS($A$12:$A$5011,A1501,$B$12:$B$5011,B1501)&gt;1,"CPF + dia duplicado",IF(OR(AND(G1501&lt;&gt;"",G1501&lt;&gt;0,G1501&lt;&gt;1),AND(H1501&lt;&gt;"",H1501&lt;&gt;0,H1501&lt;&gt;1)),"Flags devem ser 0 ou 1",IF(AND(H1501=1,LEN(TRIM(I1501))=0),"Preencher nome do indicante",IF(AND(H1501&lt;&gt;1,I1501&lt;&gt;""),"Nome sem indicação interna",IF(AND(G1501=1,F1501=""),"Fechamento sem conversa",IF(OR(AND(E1501&lt;&gt;"",E1501&lt;B1501),AND(F1501&lt;&gt;"",F1501&lt;B1501)),"Evento anterior à entrada",IF(AND(F1501&lt;&gt;"",E1501=""),"Conversa sem agendamento",IF(OR(E1501&gt;TODAY(),F1501&gt;TODAY()),"Verificar evento futuro","OK"))))))))))</f>
        <v/>
      </c>
    </row>
    <row r="1502" spans="12:15">
      <c r="L1502" s="5">
        <f>IF(OR(A1502="",B1502=""),"",B1502-WEEKDAY(B1502,2)+1)</f>
        <v/>
      </c>
      <c r="M1502" s="5">
        <f>IF(L1502="","",L1502+6)</f>
        <v/>
      </c>
      <c r="N1502" s="6">
        <f>IF(OR(A1502="",B1502=""),"",DATE(YEAR(B1502),MONTH(B1502),1))</f>
        <v/>
      </c>
      <c r="O1502" s="7">
        <f>IF(COUNTA(A1502:K1502)=0,"",IF(OR(A1502="",B1502=""),"Preencher CPF e entrada",IF(COUNTIFS($A$12:$A$5011,A1502,$B$12:$B$5011,B1502)&gt;1,"CPF + dia duplicado",IF(OR(AND(G1502&lt;&gt;"",G1502&lt;&gt;0,G1502&lt;&gt;1),AND(H1502&lt;&gt;"",H1502&lt;&gt;0,H1502&lt;&gt;1)),"Flags devem ser 0 ou 1",IF(AND(H1502=1,LEN(TRIM(I1502))=0),"Preencher nome do indicante",IF(AND(H1502&lt;&gt;1,I1502&lt;&gt;""),"Nome sem indicação interna",IF(AND(G1502=1,F1502=""),"Fechamento sem conversa",IF(OR(AND(E1502&lt;&gt;"",E1502&lt;B1502),AND(F1502&lt;&gt;"",F1502&lt;B1502)),"Evento anterior à entrada",IF(AND(F1502&lt;&gt;"",E1502=""),"Conversa sem agendamento",IF(OR(E1502&gt;TODAY(),F1502&gt;TODAY()),"Verificar evento futuro","OK"))))))))))</f>
        <v/>
      </c>
    </row>
    <row r="1503" spans="12:15">
      <c r="L1503" s="5">
        <f>IF(OR(A1503="",B1503=""),"",B1503-WEEKDAY(B1503,2)+1)</f>
        <v/>
      </c>
      <c r="M1503" s="5">
        <f>IF(L1503="","",L1503+6)</f>
        <v/>
      </c>
      <c r="N1503" s="6">
        <f>IF(OR(A1503="",B1503=""),"",DATE(YEAR(B1503),MONTH(B1503),1))</f>
        <v/>
      </c>
      <c r="O1503" s="7">
        <f>IF(COUNTA(A1503:K1503)=0,"",IF(OR(A1503="",B1503=""),"Preencher CPF e entrada",IF(COUNTIFS($A$12:$A$5011,A1503,$B$12:$B$5011,B1503)&gt;1,"CPF + dia duplicado",IF(OR(AND(G1503&lt;&gt;"",G1503&lt;&gt;0,G1503&lt;&gt;1),AND(H1503&lt;&gt;"",H1503&lt;&gt;0,H1503&lt;&gt;1)),"Flags devem ser 0 ou 1",IF(AND(H1503=1,LEN(TRIM(I1503))=0),"Preencher nome do indicante",IF(AND(H1503&lt;&gt;1,I1503&lt;&gt;""),"Nome sem indicação interna",IF(AND(G1503=1,F1503=""),"Fechamento sem conversa",IF(OR(AND(E1503&lt;&gt;"",E1503&lt;B1503),AND(F1503&lt;&gt;"",F1503&lt;B1503)),"Evento anterior à entrada",IF(AND(F1503&lt;&gt;"",E1503=""),"Conversa sem agendamento",IF(OR(E1503&gt;TODAY(),F1503&gt;TODAY()),"Verificar evento futuro","OK"))))))))))</f>
        <v/>
      </c>
    </row>
    <row r="1504" spans="12:15">
      <c r="L1504" s="5">
        <f>IF(OR(A1504="",B1504=""),"",B1504-WEEKDAY(B1504,2)+1)</f>
        <v/>
      </c>
      <c r="M1504" s="5">
        <f>IF(L1504="","",L1504+6)</f>
        <v/>
      </c>
      <c r="N1504" s="6">
        <f>IF(OR(A1504="",B1504=""),"",DATE(YEAR(B1504),MONTH(B1504),1))</f>
        <v/>
      </c>
      <c r="O1504" s="7">
        <f>IF(COUNTA(A1504:K1504)=0,"",IF(OR(A1504="",B1504=""),"Preencher CPF e entrada",IF(COUNTIFS($A$12:$A$5011,A1504,$B$12:$B$5011,B1504)&gt;1,"CPF + dia duplicado",IF(OR(AND(G1504&lt;&gt;"",G1504&lt;&gt;0,G1504&lt;&gt;1),AND(H1504&lt;&gt;"",H1504&lt;&gt;0,H1504&lt;&gt;1)),"Flags devem ser 0 ou 1",IF(AND(H1504=1,LEN(TRIM(I1504))=0),"Preencher nome do indicante",IF(AND(H1504&lt;&gt;1,I1504&lt;&gt;""),"Nome sem indicação interna",IF(AND(G1504=1,F1504=""),"Fechamento sem conversa",IF(OR(AND(E1504&lt;&gt;"",E1504&lt;B1504),AND(F1504&lt;&gt;"",F1504&lt;B1504)),"Evento anterior à entrada",IF(AND(F1504&lt;&gt;"",E1504=""),"Conversa sem agendamento",IF(OR(E1504&gt;TODAY(),F1504&gt;TODAY()),"Verificar evento futuro","OK"))))))))))</f>
        <v/>
      </c>
    </row>
    <row r="1505" spans="12:15">
      <c r="L1505" s="5">
        <f>IF(OR(A1505="",B1505=""),"",B1505-WEEKDAY(B1505,2)+1)</f>
        <v/>
      </c>
      <c r="M1505" s="5">
        <f>IF(L1505="","",L1505+6)</f>
        <v/>
      </c>
      <c r="N1505" s="6">
        <f>IF(OR(A1505="",B1505=""),"",DATE(YEAR(B1505),MONTH(B1505),1))</f>
        <v/>
      </c>
      <c r="O1505" s="7">
        <f>IF(COUNTA(A1505:K1505)=0,"",IF(OR(A1505="",B1505=""),"Preencher CPF e entrada",IF(COUNTIFS($A$12:$A$5011,A1505,$B$12:$B$5011,B1505)&gt;1,"CPF + dia duplicado",IF(OR(AND(G1505&lt;&gt;"",G1505&lt;&gt;0,G1505&lt;&gt;1),AND(H1505&lt;&gt;"",H1505&lt;&gt;0,H1505&lt;&gt;1)),"Flags devem ser 0 ou 1",IF(AND(H1505=1,LEN(TRIM(I1505))=0),"Preencher nome do indicante",IF(AND(H1505&lt;&gt;1,I1505&lt;&gt;""),"Nome sem indicação interna",IF(AND(G1505=1,F1505=""),"Fechamento sem conversa",IF(OR(AND(E1505&lt;&gt;"",E1505&lt;B1505),AND(F1505&lt;&gt;"",F1505&lt;B1505)),"Evento anterior à entrada",IF(AND(F1505&lt;&gt;"",E1505=""),"Conversa sem agendamento",IF(OR(E1505&gt;TODAY(),F1505&gt;TODAY()),"Verificar evento futuro","OK"))))))))))</f>
        <v/>
      </c>
    </row>
    <row r="1506" spans="12:15">
      <c r="L1506" s="5">
        <f>IF(OR(A1506="",B1506=""),"",B1506-WEEKDAY(B1506,2)+1)</f>
        <v/>
      </c>
      <c r="M1506" s="5">
        <f>IF(L1506="","",L1506+6)</f>
        <v/>
      </c>
      <c r="N1506" s="6">
        <f>IF(OR(A1506="",B1506=""),"",DATE(YEAR(B1506),MONTH(B1506),1))</f>
        <v/>
      </c>
      <c r="O1506" s="7">
        <f>IF(COUNTA(A1506:K1506)=0,"",IF(OR(A1506="",B1506=""),"Preencher CPF e entrada",IF(COUNTIFS($A$12:$A$5011,A1506,$B$12:$B$5011,B1506)&gt;1,"CPF + dia duplicado",IF(OR(AND(G1506&lt;&gt;"",G1506&lt;&gt;0,G1506&lt;&gt;1),AND(H1506&lt;&gt;"",H1506&lt;&gt;0,H1506&lt;&gt;1)),"Flags devem ser 0 ou 1",IF(AND(H1506=1,LEN(TRIM(I1506))=0),"Preencher nome do indicante",IF(AND(H1506&lt;&gt;1,I1506&lt;&gt;""),"Nome sem indicação interna",IF(AND(G1506=1,F1506=""),"Fechamento sem conversa",IF(OR(AND(E1506&lt;&gt;"",E1506&lt;B1506),AND(F1506&lt;&gt;"",F1506&lt;B1506)),"Evento anterior à entrada",IF(AND(F1506&lt;&gt;"",E1506=""),"Conversa sem agendamento",IF(OR(E1506&gt;TODAY(),F1506&gt;TODAY()),"Verificar evento futuro","OK"))))))))))</f>
        <v/>
      </c>
    </row>
    <row r="1507" spans="12:15">
      <c r="L1507" s="5">
        <f>IF(OR(A1507="",B1507=""),"",B1507-WEEKDAY(B1507,2)+1)</f>
        <v/>
      </c>
      <c r="M1507" s="5">
        <f>IF(L1507="","",L1507+6)</f>
        <v/>
      </c>
      <c r="N1507" s="6">
        <f>IF(OR(A1507="",B1507=""),"",DATE(YEAR(B1507),MONTH(B1507),1))</f>
        <v/>
      </c>
      <c r="O1507" s="7">
        <f>IF(COUNTA(A1507:K1507)=0,"",IF(OR(A1507="",B1507=""),"Preencher CPF e entrada",IF(COUNTIFS($A$12:$A$5011,A1507,$B$12:$B$5011,B1507)&gt;1,"CPF + dia duplicado",IF(OR(AND(G1507&lt;&gt;"",G1507&lt;&gt;0,G1507&lt;&gt;1),AND(H1507&lt;&gt;"",H1507&lt;&gt;0,H1507&lt;&gt;1)),"Flags devem ser 0 ou 1",IF(AND(H1507=1,LEN(TRIM(I1507))=0),"Preencher nome do indicante",IF(AND(H1507&lt;&gt;1,I1507&lt;&gt;""),"Nome sem indicação interna",IF(AND(G1507=1,F1507=""),"Fechamento sem conversa",IF(OR(AND(E1507&lt;&gt;"",E1507&lt;B1507),AND(F1507&lt;&gt;"",F1507&lt;B1507)),"Evento anterior à entrada",IF(AND(F1507&lt;&gt;"",E1507=""),"Conversa sem agendamento",IF(OR(E1507&gt;TODAY(),F1507&gt;TODAY()),"Verificar evento futuro","OK"))))))))))</f>
        <v/>
      </c>
    </row>
    <row r="1508" spans="12:15">
      <c r="L1508" s="5">
        <f>IF(OR(A1508="",B1508=""),"",B1508-WEEKDAY(B1508,2)+1)</f>
        <v/>
      </c>
      <c r="M1508" s="5">
        <f>IF(L1508="","",L1508+6)</f>
        <v/>
      </c>
      <c r="N1508" s="6">
        <f>IF(OR(A1508="",B1508=""),"",DATE(YEAR(B1508),MONTH(B1508),1))</f>
        <v/>
      </c>
      <c r="O1508" s="7">
        <f>IF(COUNTA(A1508:K1508)=0,"",IF(OR(A1508="",B1508=""),"Preencher CPF e entrada",IF(COUNTIFS($A$12:$A$5011,A1508,$B$12:$B$5011,B1508)&gt;1,"CPF + dia duplicado",IF(OR(AND(G1508&lt;&gt;"",G1508&lt;&gt;0,G1508&lt;&gt;1),AND(H1508&lt;&gt;"",H1508&lt;&gt;0,H1508&lt;&gt;1)),"Flags devem ser 0 ou 1",IF(AND(H1508=1,LEN(TRIM(I1508))=0),"Preencher nome do indicante",IF(AND(H1508&lt;&gt;1,I1508&lt;&gt;""),"Nome sem indicação interna",IF(AND(G1508=1,F1508=""),"Fechamento sem conversa",IF(OR(AND(E1508&lt;&gt;"",E1508&lt;B1508),AND(F1508&lt;&gt;"",F1508&lt;B1508)),"Evento anterior à entrada",IF(AND(F1508&lt;&gt;"",E1508=""),"Conversa sem agendamento",IF(OR(E1508&gt;TODAY(),F1508&gt;TODAY()),"Verificar evento futuro","OK"))))))))))</f>
        <v/>
      </c>
    </row>
    <row r="1509" spans="12:15">
      <c r="L1509" s="5">
        <f>IF(OR(A1509="",B1509=""),"",B1509-WEEKDAY(B1509,2)+1)</f>
        <v/>
      </c>
      <c r="M1509" s="5">
        <f>IF(L1509="","",L1509+6)</f>
        <v/>
      </c>
      <c r="N1509" s="6">
        <f>IF(OR(A1509="",B1509=""),"",DATE(YEAR(B1509),MONTH(B1509),1))</f>
        <v/>
      </c>
      <c r="O1509" s="7">
        <f>IF(COUNTA(A1509:K1509)=0,"",IF(OR(A1509="",B1509=""),"Preencher CPF e entrada",IF(COUNTIFS($A$12:$A$5011,A1509,$B$12:$B$5011,B1509)&gt;1,"CPF + dia duplicado",IF(OR(AND(G1509&lt;&gt;"",G1509&lt;&gt;0,G1509&lt;&gt;1),AND(H1509&lt;&gt;"",H1509&lt;&gt;0,H1509&lt;&gt;1)),"Flags devem ser 0 ou 1",IF(AND(H1509=1,LEN(TRIM(I1509))=0),"Preencher nome do indicante",IF(AND(H1509&lt;&gt;1,I1509&lt;&gt;""),"Nome sem indicação interna",IF(AND(G1509=1,F1509=""),"Fechamento sem conversa",IF(OR(AND(E1509&lt;&gt;"",E1509&lt;B1509),AND(F1509&lt;&gt;"",F1509&lt;B1509)),"Evento anterior à entrada",IF(AND(F1509&lt;&gt;"",E1509=""),"Conversa sem agendamento",IF(OR(E1509&gt;TODAY(),F1509&gt;TODAY()),"Verificar evento futuro","OK"))))))))))</f>
        <v/>
      </c>
    </row>
    <row r="1510" spans="12:15">
      <c r="L1510" s="5">
        <f>IF(OR(A1510="",B1510=""),"",B1510-WEEKDAY(B1510,2)+1)</f>
        <v/>
      </c>
      <c r="M1510" s="5">
        <f>IF(L1510="","",L1510+6)</f>
        <v/>
      </c>
      <c r="N1510" s="6">
        <f>IF(OR(A1510="",B1510=""),"",DATE(YEAR(B1510),MONTH(B1510),1))</f>
        <v/>
      </c>
      <c r="O1510" s="7">
        <f>IF(COUNTA(A1510:K1510)=0,"",IF(OR(A1510="",B1510=""),"Preencher CPF e entrada",IF(COUNTIFS($A$12:$A$5011,A1510,$B$12:$B$5011,B1510)&gt;1,"CPF + dia duplicado",IF(OR(AND(G1510&lt;&gt;"",G1510&lt;&gt;0,G1510&lt;&gt;1),AND(H1510&lt;&gt;"",H1510&lt;&gt;0,H1510&lt;&gt;1)),"Flags devem ser 0 ou 1",IF(AND(H1510=1,LEN(TRIM(I1510))=0),"Preencher nome do indicante",IF(AND(H1510&lt;&gt;1,I1510&lt;&gt;""),"Nome sem indicação interna",IF(AND(G1510=1,F1510=""),"Fechamento sem conversa",IF(OR(AND(E1510&lt;&gt;"",E1510&lt;B1510),AND(F1510&lt;&gt;"",F1510&lt;B1510)),"Evento anterior à entrada",IF(AND(F1510&lt;&gt;"",E1510=""),"Conversa sem agendamento",IF(OR(E1510&gt;TODAY(),F1510&gt;TODAY()),"Verificar evento futuro","OK"))))))))))</f>
        <v/>
      </c>
    </row>
    <row r="1511" spans="12:15">
      <c r="L1511" s="5">
        <f>IF(OR(A1511="",B1511=""),"",B1511-WEEKDAY(B1511,2)+1)</f>
        <v/>
      </c>
      <c r="M1511" s="5">
        <f>IF(L1511="","",L1511+6)</f>
        <v/>
      </c>
      <c r="N1511" s="6">
        <f>IF(OR(A1511="",B1511=""),"",DATE(YEAR(B1511),MONTH(B1511),1))</f>
        <v/>
      </c>
      <c r="O1511" s="7">
        <f>IF(COUNTA(A1511:K1511)=0,"",IF(OR(A1511="",B1511=""),"Preencher CPF e entrada",IF(COUNTIFS($A$12:$A$5011,A1511,$B$12:$B$5011,B1511)&gt;1,"CPF + dia duplicado",IF(OR(AND(G1511&lt;&gt;"",G1511&lt;&gt;0,G1511&lt;&gt;1),AND(H1511&lt;&gt;"",H1511&lt;&gt;0,H1511&lt;&gt;1)),"Flags devem ser 0 ou 1",IF(AND(H1511=1,LEN(TRIM(I1511))=0),"Preencher nome do indicante",IF(AND(H1511&lt;&gt;1,I1511&lt;&gt;""),"Nome sem indicação interna",IF(AND(G1511=1,F1511=""),"Fechamento sem conversa",IF(OR(AND(E1511&lt;&gt;"",E1511&lt;B1511),AND(F1511&lt;&gt;"",F1511&lt;B1511)),"Evento anterior à entrada",IF(AND(F1511&lt;&gt;"",E1511=""),"Conversa sem agendamento",IF(OR(E1511&gt;TODAY(),F1511&gt;TODAY()),"Verificar evento futuro","OK"))))))))))</f>
        <v/>
      </c>
    </row>
    <row r="1512" spans="12:15">
      <c r="L1512" s="5">
        <f>IF(OR(A1512="",B1512=""),"",B1512-WEEKDAY(B1512,2)+1)</f>
        <v/>
      </c>
      <c r="M1512" s="5">
        <f>IF(L1512="","",L1512+6)</f>
        <v/>
      </c>
      <c r="N1512" s="6">
        <f>IF(OR(A1512="",B1512=""),"",DATE(YEAR(B1512),MONTH(B1512),1))</f>
        <v/>
      </c>
      <c r="O1512" s="7">
        <f>IF(COUNTA(A1512:K1512)=0,"",IF(OR(A1512="",B1512=""),"Preencher CPF e entrada",IF(COUNTIFS($A$12:$A$5011,A1512,$B$12:$B$5011,B1512)&gt;1,"CPF + dia duplicado",IF(OR(AND(G1512&lt;&gt;"",G1512&lt;&gt;0,G1512&lt;&gt;1),AND(H1512&lt;&gt;"",H1512&lt;&gt;0,H1512&lt;&gt;1)),"Flags devem ser 0 ou 1",IF(AND(H1512=1,LEN(TRIM(I1512))=0),"Preencher nome do indicante",IF(AND(H1512&lt;&gt;1,I1512&lt;&gt;""),"Nome sem indicação interna",IF(AND(G1512=1,F1512=""),"Fechamento sem conversa",IF(OR(AND(E1512&lt;&gt;"",E1512&lt;B1512),AND(F1512&lt;&gt;"",F1512&lt;B1512)),"Evento anterior à entrada",IF(AND(F1512&lt;&gt;"",E1512=""),"Conversa sem agendamento",IF(OR(E1512&gt;TODAY(),F1512&gt;TODAY()),"Verificar evento futuro","OK"))))))))))</f>
        <v/>
      </c>
    </row>
    <row r="1513" spans="12:15">
      <c r="L1513" s="5">
        <f>IF(OR(A1513="",B1513=""),"",B1513-WEEKDAY(B1513,2)+1)</f>
        <v/>
      </c>
      <c r="M1513" s="5">
        <f>IF(L1513="","",L1513+6)</f>
        <v/>
      </c>
      <c r="N1513" s="6">
        <f>IF(OR(A1513="",B1513=""),"",DATE(YEAR(B1513),MONTH(B1513),1))</f>
        <v/>
      </c>
      <c r="O1513" s="7">
        <f>IF(COUNTA(A1513:K1513)=0,"",IF(OR(A1513="",B1513=""),"Preencher CPF e entrada",IF(COUNTIFS($A$12:$A$5011,A1513,$B$12:$B$5011,B1513)&gt;1,"CPF + dia duplicado",IF(OR(AND(G1513&lt;&gt;"",G1513&lt;&gt;0,G1513&lt;&gt;1),AND(H1513&lt;&gt;"",H1513&lt;&gt;0,H1513&lt;&gt;1)),"Flags devem ser 0 ou 1",IF(AND(H1513=1,LEN(TRIM(I1513))=0),"Preencher nome do indicante",IF(AND(H1513&lt;&gt;1,I1513&lt;&gt;""),"Nome sem indicação interna",IF(AND(G1513=1,F1513=""),"Fechamento sem conversa",IF(OR(AND(E1513&lt;&gt;"",E1513&lt;B1513),AND(F1513&lt;&gt;"",F1513&lt;B1513)),"Evento anterior à entrada",IF(AND(F1513&lt;&gt;"",E1513=""),"Conversa sem agendamento",IF(OR(E1513&gt;TODAY(),F1513&gt;TODAY()),"Verificar evento futuro","OK"))))))))))</f>
        <v/>
      </c>
    </row>
    <row r="1514" spans="12:15">
      <c r="L1514" s="5">
        <f>IF(OR(A1514="",B1514=""),"",B1514-WEEKDAY(B1514,2)+1)</f>
        <v/>
      </c>
      <c r="M1514" s="5">
        <f>IF(L1514="","",L1514+6)</f>
        <v/>
      </c>
      <c r="N1514" s="6">
        <f>IF(OR(A1514="",B1514=""),"",DATE(YEAR(B1514),MONTH(B1514),1))</f>
        <v/>
      </c>
      <c r="O1514" s="7">
        <f>IF(COUNTA(A1514:K1514)=0,"",IF(OR(A1514="",B1514=""),"Preencher CPF e entrada",IF(COUNTIFS($A$12:$A$5011,A1514,$B$12:$B$5011,B1514)&gt;1,"CPF + dia duplicado",IF(OR(AND(G1514&lt;&gt;"",G1514&lt;&gt;0,G1514&lt;&gt;1),AND(H1514&lt;&gt;"",H1514&lt;&gt;0,H1514&lt;&gt;1)),"Flags devem ser 0 ou 1",IF(AND(H1514=1,LEN(TRIM(I1514))=0),"Preencher nome do indicante",IF(AND(H1514&lt;&gt;1,I1514&lt;&gt;""),"Nome sem indicação interna",IF(AND(G1514=1,F1514=""),"Fechamento sem conversa",IF(OR(AND(E1514&lt;&gt;"",E1514&lt;B1514),AND(F1514&lt;&gt;"",F1514&lt;B1514)),"Evento anterior à entrada",IF(AND(F1514&lt;&gt;"",E1514=""),"Conversa sem agendamento",IF(OR(E1514&gt;TODAY(),F1514&gt;TODAY()),"Verificar evento futuro","OK"))))))))))</f>
        <v/>
      </c>
    </row>
    <row r="1515" spans="12:15">
      <c r="L1515" s="5">
        <f>IF(OR(A1515="",B1515=""),"",B1515-WEEKDAY(B1515,2)+1)</f>
        <v/>
      </c>
      <c r="M1515" s="5">
        <f>IF(L1515="","",L1515+6)</f>
        <v/>
      </c>
      <c r="N1515" s="6">
        <f>IF(OR(A1515="",B1515=""),"",DATE(YEAR(B1515),MONTH(B1515),1))</f>
        <v/>
      </c>
      <c r="O1515" s="7">
        <f>IF(COUNTA(A1515:K1515)=0,"",IF(OR(A1515="",B1515=""),"Preencher CPF e entrada",IF(COUNTIFS($A$12:$A$5011,A1515,$B$12:$B$5011,B1515)&gt;1,"CPF + dia duplicado",IF(OR(AND(G1515&lt;&gt;"",G1515&lt;&gt;0,G1515&lt;&gt;1),AND(H1515&lt;&gt;"",H1515&lt;&gt;0,H1515&lt;&gt;1)),"Flags devem ser 0 ou 1",IF(AND(H1515=1,LEN(TRIM(I1515))=0),"Preencher nome do indicante",IF(AND(H1515&lt;&gt;1,I1515&lt;&gt;""),"Nome sem indicação interna",IF(AND(G1515=1,F1515=""),"Fechamento sem conversa",IF(OR(AND(E1515&lt;&gt;"",E1515&lt;B1515),AND(F1515&lt;&gt;"",F1515&lt;B1515)),"Evento anterior à entrada",IF(AND(F1515&lt;&gt;"",E1515=""),"Conversa sem agendamento",IF(OR(E1515&gt;TODAY(),F1515&gt;TODAY()),"Verificar evento futuro","OK"))))))))))</f>
        <v/>
      </c>
    </row>
    <row r="1516" spans="12:15">
      <c r="L1516" s="5">
        <f>IF(OR(A1516="",B1516=""),"",B1516-WEEKDAY(B1516,2)+1)</f>
        <v/>
      </c>
      <c r="M1516" s="5">
        <f>IF(L1516="","",L1516+6)</f>
        <v/>
      </c>
      <c r="N1516" s="6">
        <f>IF(OR(A1516="",B1516=""),"",DATE(YEAR(B1516),MONTH(B1516),1))</f>
        <v/>
      </c>
      <c r="O1516" s="7">
        <f>IF(COUNTA(A1516:K1516)=0,"",IF(OR(A1516="",B1516=""),"Preencher CPF e entrada",IF(COUNTIFS($A$12:$A$5011,A1516,$B$12:$B$5011,B1516)&gt;1,"CPF + dia duplicado",IF(OR(AND(G1516&lt;&gt;"",G1516&lt;&gt;0,G1516&lt;&gt;1),AND(H1516&lt;&gt;"",H1516&lt;&gt;0,H1516&lt;&gt;1)),"Flags devem ser 0 ou 1",IF(AND(H1516=1,LEN(TRIM(I1516))=0),"Preencher nome do indicante",IF(AND(H1516&lt;&gt;1,I1516&lt;&gt;""),"Nome sem indicação interna",IF(AND(G1516=1,F1516=""),"Fechamento sem conversa",IF(OR(AND(E1516&lt;&gt;"",E1516&lt;B1516),AND(F1516&lt;&gt;"",F1516&lt;B1516)),"Evento anterior à entrada",IF(AND(F1516&lt;&gt;"",E1516=""),"Conversa sem agendamento",IF(OR(E1516&gt;TODAY(),F1516&gt;TODAY()),"Verificar evento futuro","OK"))))))))))</f>
        <v/>
      </c>
    </row>
    <row r="1517" spans="12:15">
      <c r="L1517" s="5">
        <f>IF(OR(A1517="",B1517=""),"",B1517-WEEKDAY(B1517,2)+1)</f>
        <v/>
      </c>
      <c r="M1517" s="5">
        <f>IF(L1517="","",L1517+6)</f>
        <v/>
      </c>
      <c r="N1517" s="6">
        <f>IF(OR(A1517="",B1517=""),"",DATE(YEAR(B1517),MONTH(B1517),1))</f>
        <v/>
      </c>
      <c r="O1517" s="7">
        <f>IF(COUNTA(A1517:K1517)=0,"",IF(OR(A1517="",B1517=""),"Preencher CPF e entrada",IF(COUNTIFS($A$12:$A$5011,A1517,$B$12:$B$5011,B1517)&gt;1,"CPF + dia duplicado",IF(OR(AND(G1517&lt;&gt;"",G1517&lt;&gt;0,G1517&lt;&gt;1),AND(H1517&lt;&gt;"",H1517&lt;&gt;0,H1517&lt;&gt;1)),"Flags devem ser 0 ou 1",IF(AND(H1517=1,LEN(TRIM(I1517))=0),"Preencher nome do indicante",IF(AND(H1517&lt;&gt;1,I1517&lt;&gt;""),"Nome sem indicação interna",IF(AND(G1517=1,F1517=""),"Fechamento sem conversa",IF(OR(AND(E1517&lt;&gt;"",E1517&lt;B1517),AND(F1517&lt;&gt;"",F1517&lt;B1517)),"Evento anterior à entrada",IF(AND(F1517&lt;&gt;"",E1517=""),"Conversa sem agendamento",IF(OR(E1517&gt;TODAY(),F1517&gt;TODAY()),"Verificar evento futuro","OK"))))))))))</f>
        <v/>
      </c>
    </row>
    <row r="1518" spans="12:15">
      <c r="L1518" s="5">
        <f>IF(OR(A1518="",B1518=""),"",B1518-WEEKDAY(B1518,2)+1)</f>
        <v/>
      </c>
      <c r="M1518" s="5">
        <f>IF(L1518="","",L1518+6)</f>
        <v/>
      </c>
      <c r="N1518" s="6">
        <f>IF(OR(A1518="",B1518=""),"",DATE(YEAR(B1518),MONTH(B1518),1))</f>
        <v/>
      </c>
      <c r="O1518" s="7">
        <f>IF(COUNTA(A1518:K1518)=0,"",IF(OR(A1518="",B1518=""),"Preencher CPF e entrada",IF(COUNTIFS($A$12:$A$5011,A1518,$B$12:$B$5011,B1518)&gt;1,"CPF + dia duplicado",IF(OR(AND(G1518&lt;&gt;"",G1518&lt;&gt;0,G1518&lt;&gt;1),AND(H1518&lt;&gt;"",H1518&lt;&gt;0,H1518&lt;&gt;1)),"Flags devem ser 0 ou 1",IF(AND(H1518=1,LEN(TRIM(I1518))=0),"Preencher nome do indicante",IF(AND(H1518&lt;&gt;1,I1518&lt;&gt;""),"Nome sem indicação interna",IF(AND(G1518=1,F1518=""),"Fechamento sem conversa",IF(OR(AND(E1518&lt;&gt;"",E1518&lt;B1518),AND(F1518&lt;&gt;"",F1518&lt;B1518)),"Evento anterior à entrada",IF(AND(F1518&lt;&gt;"",E1518=""),"Conversa sem agendamento",IF(OR(E1518&gt;TODAY(),F1518&gt;TODAY()),"Verificar evento futuro","OK"))))))))))</f>
        <v/>
      </c>
    </row>
    <row r="1519" spans="12:15">
      <c r="L1519" s="5">
        <f>IF(OR(A1519="",B1519=""),"",B1519-WEEKDAY(B1519,2)+1)</f>
        <v/>
      </c>
      <c r="M1519" s="5">
        <f>IF(L1519="","",L1519+6)</f>
        <v/>
      </c>
      <c r="N1519" s="6">
        <f>IF(OR(A1519="",B1519=""),"",DATE(YEAR(B1519),MONTH(B1519),1))</f>
        <v/>
      </c>
      <c r="O1519" s="7">
        <f>IF(COUNTA(A1519:K1519)=0,"",IF(OR(A1519="",B1519=""),"Preencher CPF e entrada",IF(COUNTIFS($A$12:$A$5011,A1519,$B$12:$B$5011,B1519)&gt;1,"CPF + dia duplicado",IF(OR(AND(G1519&lt;&gt;"",G1519&lt;&gt;0,G1519&lt;&gt;1),AND(H1519&lt;&gt;"",H1519&lt;&gt;0,H1519&lt;&gt;1)),"Flags devem ser 0 ou 1",IF(AND(H1519=1,LEN(TRIM(I1519))=0),"Preencher nome do indicante",IF(AND(H1519&lt;&gt;1,I1519&lt;&gt;""),"Nome sem indicação interna",IF(AND(G1519=1,F1519=""),"Fechamento sem conversa",IF(OR(AND(E1519&lt;&gt;"",E1519&lt;B1519),AND(F1519&lt;&gt;"",F1519&lt;B1519)),"Evento anterior à entrada",IF(AND(F1519&lt;&gt;"",E1519=""),"Conversa sem agendamento",IF(OR(E1519&gt;TODAY(),F1519&gt;TODAY()),"Verificar evento futuro","OK"))))))))))</f>
        <v/>
      </c>
    </row>
    <row r="1520" spans="12:15">
      <c r="L1520" s="5">
        <f>IF(OR(A1520="",B1520=""),"",B1520-WEEKDAY(B1520,2)+1)</f>
        <v/>
      </c>
      <c r="M1520" s="5">
        <f>IF(L1520="","",L1520+6)</f>
        <v/>
      </c>
      <c r="N1520" s="6">
        <f>IF(OR(A1520="",B1520=""),"",DATE(YEAR(B1520),MONTH(B1520),1))</f>
        <v/>
      </c>
      <c r="O1520" s="7">
        <f>IF(COUNTA(A1520:K1520)=0,"",IF(OR(A1520="",B1520=""),"Preencher CPF e entrada",IF(COUNTIFS($A$12:$A$5011,A1520,$B$12:$B$5011,B1520)&gt;1,"CPF + dia duplicado",IF(OR(AND(G1520&lt;&gt;"",G1520&lt;&gt;0,G1520&lt;&gt;1),AND(H1520&lt;&gt;"",H1520&lt;&gt;0,H1520&lt;&gt;1)),"Flags devem ser 0 ou 1",IF(AND(H1520=1,LEN(TRIM(I1520))=0),"Preencher nome do indicante",IF(AND(H1520&lt;&gt;1,I1520&lt;&gt;""),"Nome sem indicação interna",IF(AND(G1520=1,F1520=""),"Fechamento sem conversa",IF(OR(AND(E1520&lt;&gt;"",E1520&lt;B1520),AND(F1520&lt;&gt;"",F1520&lt;B1520)),"Evento anterior à entrada",IF(AND(F1520&lt;&gt;"",E1520=""),"Conversa sem agendamento",IF(OR(E1520&gt;TODAY(),F1520&gt;TODAY()),"Verificar evento futuro","OK"))))))))))</f>
        <v/>
      </c>
    </row>
    <row r="1521" spans="12:15">
      <c r="L1521" s="5">
        <f>IF(OR(A1521="",B1521=""),"",B1521-WEEKDAY(B1521,2)+1)</f>
        <v/>
      </c>
      <c r="M1521" s="5">
        <f>IF(L1521="","",L1521+6)</f>
        <v/>
      </c>
      <c r="N1521" s="6">
        <f>IF(OR(A1521="",B1521=""),"",DATE(YEAR(B1521),MONTH(B1521),1))</f>
        <v/>
      </c>
      <c r="O1521" s="7">
        <f>IF(COUNTA(A1521:K1521)=0,"",IF(OR(A1521="",B1521=""),"Preencher CPF e entrada",IF(COUNTIFS($A$12:$A$5011,A1521,$B$12:$B$5011,B1521)&gt;1,"CPF + dia duplicado",IF(OR(AND(G1521&lt;&gt;"",G1521&lt;&gt;0,G1521&lt;&gt;1),AND(H1521&lt;&gt;"",H1521&lt;&gt;0,H1521&lt;&gt;1)),"Flags devem ser 0 ou 1",IF(AND(H1521=1,LEN(TRIM(I1521))=0),"Preencher nome do indicante",IF(AND(H1521&lt;&gt;1,I1521&lt;&gt;""),"Nome sem indicação interna",IF(AND(G1521=1,F1521=""),"Fechamento sem conversa",IF(OR(AND(E1521&lt;&gt;"",E1521&lt;B1521),AND(F1521&lt;&gt;"",F1521&lt;B1521)),"Evento anterior à entrada",IF(AND(F1521&lt;&gt;"",E1521=""),"Conversa sem agendamento",IF(OR(E1521&gt;TODAY(),F1521&gt;TODAY()),"Verificar evento futuro","OK"))))))))))</f>
        <v/>
      </c>
    </row>
    <row r="1522" spans="12:15">
      <c r="L1522" s="5">
        <f>IF(OR(A1522="",B1522=""),"",B1522-WEEKDAY(B1522,2)+1)</f>
        <v/>
      </c>
      <c r="M1522" s="5">
        <f>IF(L1522="","",L1522+6)</f>
        <v/>
      </c>
      <c r="N1522" s="6">
        <f>IF(OR(A1522="",B1522=""),"",DATE(YEAR(B1522),MONTH(B1522),1))</f>
        <v/>
      </c>
      <c r="O1522" s="7">
        <f>IF(COUNTA(A1522:K1522)=0,"",IF(OR(A1522="",B1522=""),"Preencher CPF e entrada",IF(COUNTIFS($A$12:$A$5011,A1522,$B$12:$B$5011,B1522)&gt;1,"CPF + dia duplicado",IF(OR(AND(G1522&lt;&gt;"",G1522&lt;&gt;0,G1522&lt;&gt;1),AND(H1522&lt;&gt;"",H1522&lt;&gt;0,H1522&lt;&gt;1)),"Flags devem ser 0 ou 1",IF(AND(H1522=1,LEN(TRIM(I1522))=0),"Preencher nome do indicante",IF(AND(H1522&lt;&gt;1,I1522&lt;&gt;""),"Nome sem indicação interna",IF(AND(G1522=1,F1522=""),"Fechamento sem conversa",IF(OR(AND(E1522&lt;&gt;"",E1522&lt;B1522),AND(F1522&lt;&gt;"",F1522&lt;B1522)),"Evento anterior à entrada",IF(AND(F1522&lt;&gt;"",E1522=""),"Conversa sem agendamento",IF(OR(E1522&gt;TODAY(),F1522&gt;TODAY()),"Verificar evento futuro","OK"))))))))))</f>
        <v/>
      </c>
    </row>
    <row r="1523" spans="12:15">
      <c r="L1523" s="5">
        <f>IF(OR(A1523="",B1523=""),"",B1523-WEEKDAY(B1523,2)+1)</f>
        <v/>
      </c>
      <c r="M1523" s="5">
        <f>IF(L1523="","",L1523+6)</f>
        <v/>
      </c>
      <c r="N1523" s="6">
        <f>IF(OR(A1523="",B1523=""),"",DATE(YEAR(B1523),MONTH(B1523),1))</f>
        <v/>
      </c>
      <c r="O1523" s="7">
        <f>IF(COUNTA(A1523:K1523)=0,"",IF(OR(A1523="",B1523=""),"Preencher CPF e entrada",IF(COUNTIFS($A$12:$A$5011,A1523,$B$12:$B$5011,B1523)&gt;1,"CPF + dia duplicado",IF(OR(AND(G1523&lt;&gt;"",G1523&lt;&gt;0,G1523&lt;&gt;1),AND(H1523&lt;&gt;"",H1523&lt;&gt;0,H1523&lt;&gt;1)),"Flags devem ser 0 ou 1",IF(AND(H1523=1,LEN(TRIM(I1523))=0),"Preencher nome do indicante",IF(AND(H1523&lt;&gt;1,I1523&lt;&gt;""),"Nome sem indicação interna",IF(AND(G1523=1,F1523=""),"Fechamento sem conversa",IF(OR(AND(E1523&lt;&gt;"",E1523&lt;B1523),AND(F1523&lt;&gt;"",F1523&lt;B1523)),"Evento anterior à entrada",IF(AND(F1523&lt;&gt;"",E1523=""),"Conversa sem agendamento",IF(OR(E1523&gt;TODAY(),F1523&gt;TODAY()),"Verificar evento futuro","OK"))))))))))</f>
        <v/>
      </c>
    </row>
    <row r="1524" spans="12:15">
      <c r="L1524" s="5">
        <f>IF(OR(A1524="",B1524=""),"",B1524-WEEKDAY(B1524,2)+1)</f>
        <v/>
      </c>
      <c r="M1524" s="5">
        <f>IF(L1524="","",L1524+6)</f>
        <v/>
      </c>
      <c r="N1524" s="6">
        <f>IF(OR(A1524="",B1524=""),"",DATE(YEAR(B1524),MONTH(B1524),1))</f>
        <v/>
      </c>
      <c r="O1524" s="7">
        <f>IF(COUNTA(A1524:K1524)=0,"",IF(OR(A1524="",B1524=""),"Preencher CPF e entrada",IF(COUNTIFS($A$12:$A$5011,A1524,$B$12:$B$5011,B1524)&gt;1,"CPF + dia duplicado",IF(OR(AND(G1524&lt;&gt;"",G1524&lt;&gt;0,G1524&lt;&gt;1),AND(H1524&lt;&gt;"",H1524&lt;&gt;0,H1524&lt;&gt;1)),"Flags devem ser 0 ou 1",IF(AND(H1524=1,LEN(TRIM(I1524))=0),"Preencher nome do indicante",IF(AND(H1524&lt;&gt;1,I1524&lt;&gt;""),"Nome sem indicação interna",IF(AND(G1524=1,F1524=""),"Fechamento sem conversa",IF(OR(AND(E1524&lt;&gt;"",E1524&lt;B1524),AND(F1524&lt;&gt;"",F1524&lt;B1524)),"Evento anterior à entrada",IF(AND(F1524&lt;&gt;"",E1524=""),"Conversa sem agendamento",IF(OR(E1524&gt;TODAY(),F1524&gt;TODAY()),"Verificar evento futuro","OK"))))))))))</f>
        <v/>
      </c>
    </row>
    <row r="1525" spans="12:15">
      <c r="L1525" s="5">
        <f>IF(OR(A1525="",B1525=""),"",B1525-WEEKDAY(B1525,2)+1)</f>
        <v/>
      </c>
      <c r="M1525" s="5">
        <f>IF(L1525="","",L1525+6)</f>
        <v/>
      </c>
      <c r="N1525" s="6">
        <f>IF(OR(A1525="",B1525=""),"",DATE(YEAR(B1525),MONTH(B1525),1))</f>
        <v/>
      </c>
      <c r="O1525" s="7">
        <f>IF(COUNTA(A1525:K1525)=0,"",IF(OR(A1525="",B1525=""),"Preencher CPF e entrada",IF(COUNTIFS($A$12:$A$5011,A1525,$B$12:$B$5011,B1525)&gt;1,"CPF + dia duplicado",IF(OR(AND(G1525&lt;&gt;"",G1525&lt;&gt;0,G1525&lt;&gt;1),AND(H1525&lt;&gt;"",H1525&lt;&gt;0,H1525&lt;&gt;1)),"Flags devem ser 0 ou 1",IF(AND(H1525=1,LEN(TRIM(I1525))=0),"Preencher nome do indicante",IF(AND(H1525&lt;&gt;1,I1525&lt;&gt;""),"Nome sem indicação interna",IF(AND(G1525=1,F1525=""),"Fechamento sem conversa",IF(OR(AND(E1525&lt;&gt;"",E1525&lt;B1525),AND(F1525&lt;&gt;"",F1525&lt;B1525)),"Evento anterior à entrada",IF(AND(F1525&lt;&gt;"",E1525=""),"Conversa sem agendamento",IF(OR(E1525&gt;TODAY(),F1525&gt;TODAY()),"Verificar evento futuro","OK"))))))))))</f>
        <v/>
      </c>
    </row>
    <row r="1526" spans="12:15">
      <c r="L1526" s="5">
        <f>IF(OR(A1526="",B1526=""),"",B1526-WEEKDAY(B1526,2)+1)</f>
        <v/>
      </c>
      <c r="M1526" s="5">
        <f>IF(L1526="","",L1526+6)</f>
        <v/>
      </c>
      <c r="N1526" s="6">
        <f>IF(OR(A1526="",B1526=""),"",DATE(YEAR(B1526),MONTH(B1526),1))</f>
        <v/>
      </c>
      <c r="O1526" s="7">
        <f>IF(COUNTA(A1526:K1526)=0,"",IF(OR(A1526="",B1526=""),"Preencher CPF e entrada",IF(COUNTIFS($A$12:$A$5011,A1526,$B$12:$B$5011,B1526)&gt;1,"CPF + dia duplicado",IF(OR(AND(G1526&lt;&gt;"",G1526&lt;&gt;0,G1526&lt;&gt;1),AND(H1526&lt;&gt;"",H1526&lt;&gt;0,H1526&lt;&gt;1)),"Flags devem ser 0 ou 1",IF(AND(H1526=1,LEN(TRIM(I1526))=0),"Preencher nome do indicante",IF(AND(H1526&lt;&gt;1,I1526&lt;&gt;""),"Nome sem indicação interna",IF(AND(G1526=1,F1526=""),"Fechamento sem conversa",IF(OR(AND(E1526&lt;&gt;"",E1526&lt;B1526),AND(F1526&lt;&gt;"",F1526&lt;B1526)),"Evento anterior à entrada",IF(AND(F1526&lt;&gt;"",E1526=""),"Conversa sem agendamento",IF(OR(E1526&gt;TODAY(),F1526&gt;TODAY()),"Verificar evento futuro","OK"))))))))))</f>
        <v/>
      </c>
    </row>
    <row r="1527" spans="12:15">
      <c r="L1527" s="5">
        <f>IF(OR(A1527="",B1527=""),"",B1527-WEEKDAY(B1527,2)+1)</f>
        <v/>
      </c>
      <c r="M1527" s="5">
        <f>IF(L1527="","",L1527+6)</f>
        <v/>
      </c>
      <c r="N1527" s="6">
        <f>IF(OR(A1527="",B1527=""),"",DATE(YEAR(B1527),MONTH(B1527),1))</f>
        <v/>
      </c>
      <c r="O1527" s="7">
        <f>IF(COUNTA(A1527:K1527)=0,"",IF(OR(A1527="",B1527=""),"Preencher CPF e entrada",IF(COUNTIFS($A$12:$A$5011,A1527,$B$12:$B$5011,B1527)&gt;1,"CPF + dia duplicado",IF(OR(AND(G1527&lt;&gt;"",G1527&lt;&gt;0,G1527&lt;&gt;1),AND(H1527&lt;&gt;"",H1527&lt;&gt;0,H1527&lt;&gt;1)),"Flags devem ser 0 ou 1",IF(AND(H1527=1,LEN(TRIM(I1527))=0),"Preencher nome do indicante",IF(AND(H1527&lt;&gt;1,I1527&lt;&gt;""),"Nome sem indicação interna",IF(AND(G1527=1,F1527=""),"Fechamento sem conversa",IF(OR(AND(E1527&lt;&gt;"",E1527&lt;B1527),AND(F1527&lt;&gt;"",F1527&lt;B1527)),"Evento anterior à entrada",IF(AND(F1527&lt;&gt;"",E1527=""),"Conversa sem agendamento",IF(OR(E1527&gt;TODAY(),F1527&gt;TODAY()),"Verificar evento futuro","OK"))))))))))</f>
        <v/>
      </c>
    </row>
    <row r="1528" spans="12:15">
      <c r="L1528" s="5">
        <f>IF(OR(A1528="",B1528=""),"",B1528-WEEKDAY(B1528,2)+1)</f>
        <v/>
      </c>
      <c r="M1528" s="5">
        <f>IF(L1528="","",L1528+6)</f>
        <v/>
      </c>
      <c r="N1528" s="6">
        <f>IF(OR(A1528="",B1528=""),"",DATE(YEAR(B1528),MONTH(B1528),1))</f>
        <v/>
      </c>
      <c r="O1528" s="7">
        <f>IF(COUNTA(A1528:K1528)=0,"",IF(OR(A1528="",B1528=""),"Preencher CPF e entrada",IF(COUNTIFS($A$12:$A$5011,A1528,$B$12:$B$5011,B1528)&gt;1,"CPF + dia duplicado",IF(OR(AND(G1528&lt;&gt;"",G1528&lt;&gt;0,G1528&lt;&gt;1),AND(H1528&lt;&gt;"",H1528&lt;&gt;0,H1528&lt;&gt;1)),"Flags devem ser 0 ou 1",IF(AND(H1528=1,LEN(TRIM(I1528))=0),"Preencher nome do indicante",IF(AND(H1528&lt;&gt;1,I1528&lt;&gt;""),"Nome sem indicação interna",IF(AND(G1528=1,F1528=""),"Fechamento sem conversa",IF(OR(AND(E1528&lt;&gt;"",E1528&lt;B1528),AND(F1528&lt;&gt;"",F1528&lt;B1528)),"Evento anterior à entrada",IF(AND(F1528&lt;&gt;"",E1528=""),"Conversa sem agendamento",IF(OR(E1528&gt;TODAY(),F1528&gt;TODAY()),"Verificar evento futuro","OK"))))))))))</f>
        <v/>
      </c>
    </row>
    <row r="1529" spans="12:15">
      <c r="L1529" s="5">
        <f>IF(OR(A1529="",B1529=""),"",B1529-WEEKDAY(B1529,2)+1)</f>
        <v/>
      </c>
      <c r="M1529" s="5">
        <f>IF(L1529="","",L1529+6)</f>
        <v/>
      </c>
      <c r="N1529" s="6">
        <f>IF(OR(A1529="",B1529=""),"",DATE(YEAR(B1529),MONTH(B1529),1))</f>
        <v/>
      </c>
      <c r="O1529" s="7">
        <f>IF(COUNTA(A1529:K1529)=0,"",IF(OR(A1529="",B1529=""),"Preencher CPF e entrada",IF(COUNTIFS($A$12:$A$5011,A1529,$B$12:$B$5011,B1529)&gt;1,"CPF + dia duplicado",IF(OR(AND(G1529&lt;&gt;"",G1529&lt;&gt;0,G1529&lt;&gt;1),AND(H1529&lt;&gt;"",H1529&lt;&gt;0,H1529&lt;&gt;1)),"Flags devem ser 0 ou 1",IF(AND(H1529=1,LEN(TRIM(I1529))=0),"Preencher nome do indicante",IF(AND(H1529&lt;&gt;1,I1529&lt;&gt;""),"Nome sem indicação interna",IF(AND(G1529=1,F1529=""),"Fechamento sem conversa",IF(OR(AND(E1529&lt;&gt;"",E1529&lt;B1529),AND(F1529&lt;&gt;"",F1529&lt;B1529)),"Evento anterior à entrada",IF(AND(F1529&lt;&gt;"",E1529=""),"Conversa sem agendamento",IF(OR(E1529&gt;TODAY(),F1529&gt;TODAY()),"Verificar evento futuro","OK"))))))))))</f>
        <v/>
      </c>
    </row>
    <row r="1530" spans="12:15">
      <c r="L1530" s="5">
        <f>IF(OR(A1530="",B1530=""),"",B1530-WEEKDAY(B1530,2)+1)</f>
        <v/>
      </c>
      <c r="M1530" s="5">
        <f>IF(L1530="","",L1530+6)</f>
        <v/>
      </c>
      <c r="N1530" s="6">
        <f>IF(OR(A1530="",B1530=""),"",DATE(YEAR(B1530),MONTH(B1530),1))</f>
        <v/>
      </c>
      <c r="O1530" s="7">
        <f>IF(COUNTA(A1530:K1530)=0,"",IF(OR(A1530="",B1530=""),"Preencher CPF e entrada",IF(COUNTIFS($A$12:$A$5011,A1530,$B$12:$B$5011,B1530)&gt;1,"CPF + dia duplicado",IF(OR(AND(G1530&lt;&gt;"",G1530&lt;&gt;0,G1530&lt;&gt;1),AND(H1530&lt;&gt;"",H1530&lt;&gt;0,H1530&lt;&gt;1)),"Flags devem ser 0 ou 1",IF(AND(H1530=1,LEN(TRIM(I1530))=0),"Preencher nome do indicante",IF(AND(H1530&lt;&gt;1,I1530&lt;&gt;""),"Nome sem indicação interna",IF(AND(G1530=1,F1530=""),"Fechamento sem conversa",IF(OR(AND(E1530&lt;&gt;"",E1530&lt;B1530),AND(F1530&lt;&gt;"",F1530&lt;B1530)),"Evento anterior à entrada",IF(AND(F1530&lt;&gt;"",E1530=""),"Conversa sem agendamento",IF(OR(E1530&gt;TODAY(),F1530&gt;TODAY()),"Verificar evento futuro","OK"))))))))))</f>
        <v/>
      </c>
    </row>
    <row r="1531" spans="12:15">
      <c r="L1531" s="5">
        <f>IF(OR(A1531="",B1531=""),"",B1531-WEEKDAY(B1531,2)+1)</f>
        <v/>
      </c>
      <c r="M1531" s="5">
        <f>IF(L1531="","",L1531+6)</f>
        <v/>
      </c>
      <c r="N1531" s="6">
        <f>IF(OR(A1531="",B1531=""),"",DATE(YEAR(B1531),MONTH(B1531),1))</f>
        <v/>
      </c>
      <c r="O1531" s="7">
        <f>IF(COUNTA(A1531:K1531)=0,"",IF(OR(A1531="",B1531=""),"Preencher CPF e entrada",IF(COUNTIFS($A$12:$A$5011,A1531,$B$12:$B$5011,B1531)&gt;1,"CPF + dia duplicado",IF(OR(AND(G1531&lt;&gt;"",G1531&lt;&gt;0,G1531&lt;&gt;1),AND(H1531&lt;&gt;"",H1531&lt;&gt;0,H1531&lt;&gt;1)),"Flags devem ser 0 ou 1",IF(AND(H1531=1,LEN(TRIM(I1531))=0),"Preencher nome do indicante",IF(AND(H1531&lt;&gt;1,I1531&lt;&gt;""),"Nome sem indicação interna",IF(AND(G1531=1,F1531=""),"Fechamento sem conversa",IF(OR(AND(E1531&lt;&gt;"",E1531&lt;B1531),AND(F1531&lt;&gt;"",F1531&lt;B1531)),"Evento anterior à entrada",IF(AND(F1531&lt;&gt;"",E1531=""),"Conversa sem agendamento",IF(OR(E1531&gt;TODAY(),F1531&gt;TODAY()),"Verificar evento futuro","OK"))))))))))</f>
        <v/>
      </c>
    </row>
    <row r="1532" spans="12:15">
      <c r="L1532" s="5">
        <f>IF(OR(A1532="",B1532=""),"",B1532-WEEKDAY(B1532,2)+1)</f>
        <v/>
      </c>
      <c r="M1532" s="5">
        <f>IF(L1532="","",L1532+6)</f>
        <v/>
      </c>
      <c r="N1532" s="6">
        <f>IF(OR(A1532="",B1532=""),"",DATE(YEAR(B1532),MONTH(B1532),1))</f>
        <v/>
      </c>
      <c r="O1532" s="7">
        <f>IF(COUNTA(A1532:K1532)=0,"",IF(OR(A1532="",B1532=""),"Preencher CPF e entrada",IF(COUNTIFS($A$12:$A$5011,A1532,$B$12:$B$5011,B1532)&gt;1,"CPF + dia duplicado",IF(OR(AND(G1532&lt;&gt;"",G1532&lt;&gt;0,G1532&lt;&gt;1),AND(H1532&lt;&gt;"",H1532&lt;&gt;0,H1532&lt;&gt;1)),"Flags devem ser 0 ou 1",IF(AND(H1532=1,LEN(TRIM(I1532))=0),"Preencher nome do indicante",IF(AND(H1532&lt;&gt;1,I1532&lt;&gt;""),"Nome sem indicação interna",IF(AND(G1532=1,F1532=""),"Fechamento sem conversa",IF(OR(AND(E1532&lt;&gt;"",E1532&lt;B1532),AND(F1532&lt;&gt;"",F1532&lt;B1532)),"Evento anterior à entrada",IF(AND(F1532&lt;&gt;"",E1532=""),"Conversa sem agendamento",IF(OR(E1532&gt;TODAY(),F1532&gt;TODAY()),"Verificar evento futuro","OK"))))))))))</f>
        <v/>
      </c>
    </row>
    <row r="1533" spans="12:15">
      <c r="L1533" s="5">
        <f>IF(OR(A1533="",B1533=""),"",B1533-WEEKDAY(B1533,2)+1)</f>
        <v/>
      </c>
      <c r="M1533" s="5">
        <f>IF(L1533="","",L1533+6)</f>
        <v/>
      </c>
      <c r="N1533" s="6">
        <f>IF(OR(A1533="",B1533=""),"",DATE(YEAR(B1533),MONTH(B1533),1))</f>
        <v/>
      </c>
      <c r="O1533" s="7">
        <f>IF(COUNTA(A1533:K1533)=0,"",IF(OR(A1533="",B1533=""),"Preencher CPF e entrada",IF(COUNTIFS($A$12:$A$5011,A1533,$B$12:$B$5011,B1533)&gt;1,"CPF + dia duplicado",IF(OR(AND(G1533&lt;&gt;"",G1533&lt;&gt;0,G1533&lt;&gt;1),AND(H1533&lt;&gt;"",H1533&lt;&gt;0,H1533&lt;&gt;1)),"Flags devem ser 0 ou 1",IF(AND(H1533=1,LEN(TRIM(I1533))=0),"Preencher nome do indicante",IF(AND(H1533&lt;&gt;1,I1533&lt;&gt;""),"Nome sem indicação interna",IF(AND(G1533=1,F1533=""),"Fechamento sem conversa",IF(OR(AND(E1533&lt;&gt;"",E1533&lt;B1533),AND(F1533&lt;&gt;"",F1533&lt;B1533)),"Evento anterior à entrada",IF(AND(F1533&lt;&gt;"",E1533=""),"Conversa sem agendamento",IF(OR(E1533&gt;TODAY(),F1533&gt;TODAY()),"Verificar evento futuro","OK"))))))))))</f>
        <v/>
      </c>
    </row>
    <row r="1534" spans="12:15">
      <c r="L1534" s="5">
        <f>IF(OR(A1534="",B1534=""),"",B1534-WEEKDAY(B1534,2)+1)</f>
        <v/>
      </c>
      <c r="M1534" s="5">
        <f>IF(L1534="","",L1534+6)</f>
        <v/>
      </c>
      <c r="N1534" s="6">
        <f>IF(OR(A1534="",B1534=""),"",DATE(YEAR(B1534),MONTH(B1534),1))</f>
        <v/>
      </c>
      <c r="O1534" s="7">
        <f>IF(COUNTA(A1534:K1534)=0,"",IF(OR(A1534="",B1534=""),"Preencher CPF e entrada",IF(COUNTIFS($A$12:$A$5011,A1534,$B$12:$B$5011,B1534)&gt;1,"CPF + dia duplicado",IF(OR(AND(G1534&lt;&gt;"",G1534&lt;&gt;0,G1534&lt;&gt;1),AND(H1534&lt;&gt;"",H1534&lt;&gt;0,H1534&lt;&gt;1)),"Flags devem ser 0 ou 1",IF(AND(H1534=1,LEN(TRIM(I1534))=0),"Preencher nome do indicante",IF(AND(H1534&lt;&gt;1,I1534&lt;&gt;""),"Nome sem indicação interna",IF(AND(G1534=1,F1534=""),"Fechamento sem conversa",IF(OR(AND(E1534&lt;&gt;"",E1534&lt;B1534),AND(F1534&lt;&gt;"",F1534&lt;B1534)),"Evento anterior à entrada",IF(AND(F1534&lt;&gt;"",E1534=""),"Conversa sem agendamento",IF(OR(E1534&gt;TODAY(),F1534&gt;TODAY()),"Verificar evento futuro","OK"))))))))))</f>
        <v/>
      </c>
    </row>
    <row r="1535" spans="12:15">
      <c r="L1535" s="5">
        <f>IF(OR(A1535="",B1535=""),"",B1535-WEEKDAY(B1535,2)+1)</f>
        <v/>
      </c>
      <c r="M1535" s="5">
        <f>IF(L1535="","",L1535+6)</f>
        <v/>
      </c>
      <c r="N1535" s="6">
        <f>IF(OR(A1535="",B1535=""),"",DATE(YEAR(B1535),MONTH(B1535),1))</f>
        <v/>
      </c>
      <c r="O1535" s="7">
        <f>IF(COUNTA(A1535:K1535)=0,"",IF(OR(A1535="",B1535=""),"Preencher CPF e entrada",IF(COUNTIFS($A$12:$A$5011,A1535,$B$12:$B$5011,B1535)&gt;1,"CPF + dia duplicado",IF(OR(AND(G1535&lt;&gt;"",G1535&lt;&gt;0,G1535&lt;&gt;1),AND(H1535&lt;&gt;"",H1535&lt;&gt;0,H1535&lt;&gt;1)),"Flags devem ser 0 ou 1",IF(AND(H1535=1,LEN(TRIM(I1535))=0),"Preencher nome do indicante",IF(AND(H1535&lt;&gt;1,I1535&lt;&gt;""),"Nome sem indicação interna",IF(AND(G1535=1,F1535=""),"Fechamento sem conversa",IF(OR(AND(E1535&lt;&gt;"",E1535&lt;B1535),AND(F1535&lt;&gt;"",F1535&lt;B1535)),"Evento anterior à entrada",IF(AND(F1535&lt;&gt;"",E1535=""),"Conversa sem agendamento",IF(OR(E1535&gt;TODAY(),F1535&gt;TODAY()),"Verificar evento futuro","OK"))))))))))</f>
        <v/>
      </c>
    </row>
    <row r="1536" spans="12:15">
      <c r="L1536" s="5">
        <f>IF(OR(A1536="",B1536=""),"",B1536-WEEKDAY(B1536,2)+1)</f>
        <v/>
      </c>
      <c r="M1536" s="5">
        <f>IF(L1536="","",L1536+6)</f>
        <v/>
      </c>
      <c r="N1536" s="6">
        <f>IF(OR(A1536="",B1536=""),"",DATE(YEAR(B1536),MONTH(B1536),1))</f>
        <v/>
      </c>
      <c r="O1536" s="7">
        <f>IF(COUNTA(A1536:K1536)=0,"",IF(OR(A1536="",B1536=""),"Preencher CPF e entrada",IF(COUNTIFS($A$12:$A$5011,A1536,$B$12:$B$5011,B1536)&gt;1,"CPF + dia duplicado",IF(OR(AND(G1536&lt;&gt;"",G1536&lt;&gt;0,G1536&lt;&gt;1),AND(H1536&lt;&gt;"",H1536&lt;&gt;0,H1536&lt;&gt;1)),"Flags devem ser 0 ou 1",IF(AND(H1536=1,LEN(TRIM(I1536))=0),"Preencher nome do indicante",IF(AND(H1536&lt;&gt;1,I1536&lt;&gt;""),"Nome sem indicação interna",IF(AND(G1536=1,F1536=""),"Fechamento sem conversa",IF(OR(AND(E1536&lt;&gt;"",E1536&lt;B1536),AND(F1536&lt;&gt;"",F1536&lt;B1536)),"Evento anterior à entrada",IF(AND(F1536&lt;&gt;"",E1536=""),"Conversa sem agendamento",IF(OR(E1536&gt;TODAY(),F1536&gt;TODAY()),"Verificar evento futuro","OK"))))))))))</f>
        <v/>
      </c>
    </row>
    <row r="1537" spans="12:15">
      <c r="L1537" s="5">
        <f>IF(OR(A1537="",B1537=""),"",B1537-WEEKDAY(B1537,2)+1)</f>
        <v/>
      </c>
      <c r="M1537" s="5">
        <f>IF(L1537="","",L1537+6)</f>
        <v/>
      </c>
      <c r="N1537" s="6">
        <f>IF(OR(A1537="",B1537=""),"",DATE(YEAR(B1537),MONTH(B1537),1))</f>
        <v/>
      </c>
      <c r="O1537" s="7">
        <f>IF(COUNTA(A1537:K1537)=0,"",IF(OR(A1537="",B1537=""),"Preencher CPF e entrada",IF(COUNTIFS($A$12:$A$5011,A1537,$B$12:$B$5011,B1537)&gt;1,"CPF + dia duplicado",IF(OR(AND(G1537&lt;&gt;"",G1537&lt;&gt;0,G1537&lt;&gt;1),AND(H1537&lt;&gt;"",H1537&lt;&gt;0,H1537&lt;&gt;1)),"Flags devem ser 0 ou 1",IF(AND(H1537=1,LEN(TRIM(I1537))=0),"Preencher nome do indicante",IF(AND(H1537&lt;&gt;1,I1537&lt;&gt;""),"Nome sem indicação interna",IF(AND(G1537=1,F1537=""),"Fechamento sem conversa",IF(OR(AND(E1537&lt;&gt;"",E1537&lt;B1537),AND(F1537&lt;&gt;"",F1537&lt;B1537)),"Evento anterior à entrada",IF(AND(F1537&lt;&gt;"",E1537=""),"Conversa sem agendamento",IF(OR(E1537&gt;TODAY(),F1537&gt;TODAY()),"Verificar evento futuro","OK"))))))))))</f>
        <v/>
      </c>
    </row>
    <row r="1538" spans="12:15">
      <c r="L1538" s="5">
        <f>IF(OR(A1538="",B1538=""),"",B1538-WEEKDAY(B1538,2)+1)</f>
        <v/>
      </c>
      <c r="M1538" s="5">
        <f>IF(L1538="","",L1538+6)</f>
        <v/>
      </c>
      <c r="N1538" s="6">
        <f>IF(OR(A1538="",B1538=""),"",DATE(YEAR(B1538),MONTH(B1538),1))</f>
        <v/>
      </c>
      <c r="O1538" s="7">
        <f>IF(COUNTA(A1538:K1538)=0,"",IF(OR(A1538="",B1538=""),"Preencher CPF e entrada",IF(COUNTIFS($A$12:$A$5011,A1538,$B$12:$B$5011,B1538)&gt;1,"CPF + dia duplicado",IF(OR(AND(G1538&lt;&gt;"",G1538&lt;&gt;0,G1538&lt;&gt;1),AND(H1538&lt;&gt;"",H1538&lt;&gt;0,H1538&lt;&gt;1)),"Flags devem ser 0 ou 1",IF(AND(H1538=1,LEN(TRIM(I1538))=0),"Preencher nome do indicante",IF(AND(H1538&lt;&gt;1,I1538&lt;&gt;""),"Nome sem indicação interna",IF(AND(G1538=1,F1538=""),"Fechamento sem conversa",IF(OR(AND(E1538&lt;&gt;"",E1538&lt;B1538),AND(F1538&lt;&gt;"",F1538&lt;B1538)),"Evento anterior à entrada",IF(AND(F1538&lt;&gt;"",E1538=""),"Conversa sem agendamento",IF(OR(E1538&gt;TODAY(),F1538&gt;TODAY()),"Verificar evento futuro","OK"))))))))))</f>
        <v/>
      </c>
    </row>
    <row r="1539" spans="12:15">
      <c r="L1539" s="5">
        <f>IF(OR(A1539="",B1539=""),"",B1539-WEEKDAY(B1539,2)+1)</f>
        <v/>
      </c>
      <c r="M1539" s="5">
        <f>IF(L1539="","",L1539+6)</f>
        <v/>
      </c>
      <c r="N1539" s="6">
        <f>IF(OR(A1539="",B1539=""),"",DATE(YEAR(B1539),MONTH(B1539),1))</f>
        <v/>
      </c>
      <c r="O1539" s="7">
        <f>IF(COUNTA(A1539:K1539)=0,"",IF(OR(A1539="",B1539=""),"Preencher CPF e entrada",IF(COUNTIFS($A$12:$A$5011,A1539,$B$12:$B$5011,B1539)&gt;1,"CPF + dia duplicado",IF(OR(AND(G1539&lt;&gt;"",G1539&lt;&gt;0,G1539&lt;&gt;1),AND(H1539&lt;&gt;"",H1539&lt;&gt;0,H1539&lt;&gt;1)),"Flags devem ser 0 ou 1",IF(AND(H1539=1,LEN(TRIM(I1539))=0),"Preencher nome do indicante",IF(AND(H1539&lt;&gt;1,I1539&lt;&gt;""),"Nome sem indicação interna",IF(AND(G1539=1,F1539=""),"Fechamento sem conversa",IF(OR(AND(E1539&lt;&gt;"",E1539&lt;B1539),AND(F1539&lt;&gt;"",F1539&lt;B1539)),"Evento anterior à entrada",IF(AND(F1539&lt;&gt;"",E1539=""),"Conversa sem agendamento",IF(OR(E1539&gt;TODAY(),F1539&gt;TODAY()),"Verificar evento futuro","OK"))))))))))</f>
        <v/>
      </c>
    </row>
    <row r="1540" spans="12:15">
      <c r="L1540" s="5">
        <f>IF(OR(A1540="",B1540=""),"",B1540-WEEKDAY(B1540,2)+1)</f>
        <v/>
      </c>
      <c r="M1540" s="5">
        <f>IF(L1540="","",L1540+6)</f>
        <v/>
      </c>
      <c r="N1540" s="6">
        <f>IF(OR(A1540="",B1540=""),"",DATE(YEAR(B1540),MONTH(B1540),1))</f>
        <v/>
      </c>
      <c r="O1540" s="7">
        <f>IF(COUNTA(A1540:K1540)=0,"",IF(OR(A1540="",B1540=""),"Preencher CPF e entrada",IF(COUNTIFS($A$12:$A$5011,A1540,$B$12:$B$5011,B1540)&gt;1,"CPF + dia duplicado",IF(OR(AND(G1540&lt;&gt;"",G1540&lt;&gt;0,G1540&lt;&gt;1),AND(H1540&lt;&gt;"",H1540&lt;&gt;0,H1540&lt;&gt;1)),"Flags devem ser 0 ou 1",IF(AND(H1540=1,LEN(TRIM(I1540))=0),"Preencher nome do indicante",IF(AND(H1540&lt;&gt;1,I1540&lt;&gt;""),"Nome sem indicação interna",IF(AND(G1540=1,F1540=""),"Fechamento sem conversa",IF(OR(AND(E1540&lt;&gt;"",E1540&lt;B1540),AND(F1540&lt;&gt;"",F1540&lt;B1540)),"Evento anterior à entrada",IF(AND(F1540&lt;&gt;"",E1540=""),"Conversa sem agendamento",IF(OR(E1540&gt;TODAY(),F1540&gt;TODAY()),"Verificar evento futuro","OK"))))))))))</f>
        <v/>
      </c>
    </row>
    <row r="1541" spans="12:15">
      <c r="L1541" s="5">
        <f>IF(OR(A1541="",B1541=""),"",B1541-WEEKDAY(B1541,2)+1)</f>
        <v/>
      </c>
      <c r="M1541" s="5">
        <f>IF(L1541="","",L1541+6)</f>
        <v/>
      </c>
      <c r="N1541" s="6">
        <f>IF(OR(A1541="",B1541=""),"",DATE(YEAR(B1541),MONTH(B1541),1))</f>
        <v/>
      </c>
      <c r="O1541" s="7">
        <f>IF(COUNTA(A1541:K1541)=0,"",IF(OR(A1541="",B1541=""),"Preencher CPF e entrada",IF(COUNTIFS($A$12:$A$5011,A1541,$B$12:$B$5011,B1541)&gt;1,"CPF + dia duplicado",IF(OR(AND(G1541&lt;&gt;"",G1541&lt;&gt;0,G1541&lt;&gt;1),AND(H1541&lt;&gt;"",H1541&lt;&gt;0,H1541&lt;&gt;1)),"Flags devem ser 0 ou 1",IF(AND(H1541=1,LEN(TRIM(I1541))=0),"Preencher nome do indicante",IF(AND(H1541&lt;&gt;1,I1541&lt;&gt;""),"Nome sem indicação interna",IF(AND(G1541=1,F1541=""),"Fechamento sem conversa",IF(OR(AND(E1541&lt;&gt;"",E1541&lt;B1541),AND(F1541&lt;&gt;"",F1541&lt;B1541)),"Evento anterior à entrada",IF(AND(F1541&lt;&gt;"",E1541=""),"Conversa sem agendamento",IF(OR(E1541&gt;TODAY(),F1541&gt;TODAY()),"Verificar evento futuro","OK"))))))))))</f>
        <v/>
      </c>
    </row>
    <row r="1542" spans="12:15">
      <c r="L1542" s="5">
        <f>IF(OR(A1542="",B1542=""),"",B1542-WEEKDAY(B1542,2)+1)</f>
        <v/>
      </c>
      <c r="M1542" s="5">
        <f>IF(L1542="","",L1542+6)</f>
        <v/>
      </c>
      <c r="N1542" s="6">
        <f>IF(OR(A1542="",B1542=""),"",DATE(YEAR(B1542),MONTH(B1542),1))</f>
        <v/>
      </c>
      <c r="O1542" s="7">
        <f>IF(COUNTA(A1542:K1542)=0,"",IF(OR(A1542="",B1542=""),"Preencher CPF e entrada",IF(COUNTIFS($A$12:$A$5011,A1542,$B$12:$B$5011,B1542)&gt;1,"CPF + dia duplicado",IF(OR(AND(G1542&lt;&gt;"",G1542&lt;&gt;0,G1542&lt;&gt;1),AND(H1542&lt;&gt;"",H1542&lt;&gt;0,H1542&lt;&gt;1)),"Flags devem ser 0 ou 1",IF(AND(H1542=1,LEN(TRIM(I1542))=0),"Preencher nome do indicante",IF(AND(H1542&lt;&gt;1,I1542&lt;&gt;""),"Nome sem indicação interna",IF(AND(G1542=1,F1542=""),"Fechamento sem conversa",IF(OR(AND(E1542&lt;&gt;"",E1542&lt;B1542),AND(F1542&lt;&gt;"",F1542&lt;B1542)),"Evento anterior à entrada",IF(AND(F1542&lt;&gt;"",E1542=""),"Conversa sem agendamento",IF(OR(E1542&gt;TODAY(),F1542&gt;TODAY()),"Verificar evento futuro","OK"))))))))))</f>
        <v/>
      </c>
    </row>
    <row r="1543" spans="12:15">
      <c r="L1543" s="5">
        <f>IF(OR(A1543="",B1543=""),"",B1543-WEEKDAY(B1543,2)+1)</f>
        <v/>
      </c>
      <c r="M1543" s="5">
        <f>IF(L1543="","",L1543+6)</f>
        <v/>
      </c>
      <c r="N1543" s="6">
        <f>IF(OR(A1543="",B1543=""),"",DATE(YEAR(B1543),MONTH(B1543),1))</f>
        <v/>
      </c>
      <c r="O1543" s="7">
        <f>IF(COUNTA(A1543:K1543)=0,"",IF(OR(A1543="",B1543=""),"Preencher CPF e entrada",IF(COUNTIFS($A$12:$A$5011,A1543,$B$12:$B$5011,B1543)&gt;1,"CPF + dia duplicado",IF(OR(AND(G1543&lt;&gt;"",G1543&lt;&gt;0,G1543&lt;&gt;1),AND(H1543&lt;&gt;"",H1543&lt;&gt;0,H1543&lt;&gt;1)),"Flags devem ser 0 ou 1",IF(AND(H1543=1,LEN(TRIM(I1543))=0),"Preencher nome do indicante",IF(AND(H1543&lt;&gt;1,I1543&lt;&gt;""),"Nome sem indicação interna",IF(AND(G1543=1,F1543=""),"Fechamento sem conversa",IF(OR(AND(E1543&lt;&gt;"",E1543&lt;B1543),AND(F1543&lt;&gt;"",F1543&lt;B1543)),"Evento anterior à entrada",IF(AND(F1543&lt;&gt;"",E1543=""),"Conversa sem agendamento",IF(OR(E1543&gt;TODAY(),F1543&gt;TODAY()),"Verificar evento futuro","OK"))))))))))</f>
        <v/>
      </c>
    </row>
    <row r="1544" spans="12:15">
      <c r="L1544" s="5">
        <f>IF(OR(A1544="",B1544=""),"",B1544-WEEKDAY(B1544,2)+1)</f>
        <v/>
      </c>
      <c r="M1544" s="5">
        <f>IF(L1544="","",L1544+6)</f>
        <v/>
      </c>
      <c r="N1544" s="6">
        <f>IF(OR(A1544="",B1544=""),"",DATE(YEAR(B1544),MONTH(B1544),1))</f>
        <v/>
      </c>
      <c r="O1544" s="7">
        <f>IF(COUNTA(A1544:K1544)=0,"",IF(OR(A1544="",B1544=""),"Preencher CPF e entrada",IF(COUNTIFS($A$12:$A$5011,A1544,$B$12:$B$5011,B1544)&gt;1,"CPF + dia duplicado",IF(OR(AND(G1544&lt;&gt;"",G1544&lt;&gt;0,G1544&lt;&gt;1),AND(H1544&lt;&gt;"",H1544&lt;&gt;0,H1544&lt;&gt;1)),"Flags devem ser 0 ou 1",IF(AND(H1544=1,LEN(TRIM(I1544))=0),"Preencher nome do indicante",IF(AND(H1544&lt;&gt;1,I1544&lt;&gt;""),"Nome sem indicação interna",IF(AND(G1544=1,F1544=""),"Fechamento sem conversa",IF(OR(AND(E1544&lt;&gt;"",E1544&lt;B1544),AND(F1544&lt;&gt;"",F1544&lt;B1544)),"Evento anterior à entrada",IF(AND(F1544&lt;&gt;"",E1544=""),"Conversa sem agendamento",IF(OR(E1544&gt;TODAY(),F1544&gt;TODAY()),"Verificar evento futuro","OK"))))))))))</f>
        <v/>
      </c>
    </row>
    <row r="1545" spans="12:15">
      <c r="L1545" s="5">
        <f>IF(OR(A1545="",B1545=""),"",B1545-WEEKDAY(B1545,2)+1)</f>
        <v/>
      </c>
      <c r="M1545" s="5">
        <f>IF(L1545="","",L1545+6)</f>
        <v/>
      </c>
      <c r="N1545" s="6">
        <f>IF(OR(A1545="",B1545=""),"",DATE(YEAR(B1545),MONTH(B1545),1))</f>
        <v/>
      </c>
      <c r="O1545" s="7">
        <f>IF(COUNTA(A1545:K1545)=0,"",IF(OR(A1545="",B1545=""),"Preencher CPF e entrada",IF(COUNTIFS($A$12:$A$5011,A1545,$B$12:$B$5011,B1545)&gt;1,"CPF + dia duplicado",IF(OR(AND(G1545&lt;&gt;"",G1545&lt;&gt;0,G1545&lt;&gt;1),AND(H1545&lt;&gt;"",H1545&lt;&gt;0,H1545&lt;&gt;1)),"Flags devem ser 0 ou 1",IF(AND(H1545=1,LEN(TRIM(I1545))=0),"Preencher nome do indicante",IF(AND(H1545&lt;&gt;1,I1545&lt;&gt;""),"Nome sem indicação interna",IF(AND(G1545=1,F1545=""),"Fechamento sem conversa",IF(OR(AND(E1545&lt;&gt;"",E1545&lt;B1545),AND(F1545&lt;&gt;"",F1545&lt;B1545)),"Evento anterior à entrada",IF(AND(F1545&lt;&gt;"",E1545=""),"Conversa sem agendamento",IF(OR(E1545&gt;TODAY(),F1545&gt;TODAY()),"Verificar evento futuro","OK"))))))))))</f>
        <v/>
      </c>
    </row>
    <row r="1546" spans="12:15">
      <c r="L1546" s="5">
        <f>IF(OR(A1546="",B1546=""),"",B1546-WEEKDAY(B1546,2)+1)</f>
        <v/>
      </c>
      <c r="M1546" s="5">
        <f>IF(L1546="","",L1546+6)</f>
        <v/>
      </c>
      <c r="N1546" s="6">
        <f>IF(OR(A1546="",B1546=""),"",DATE(YEAR(B1546),MONTH(B1546),1))</f>
        <v/>
      </c>
      <c r="O1546" s="7">
        <f>IF(COUNTA(A1546:K1546)=0,"",IF(OR(A1546="",B1546=""),"Preencher CPF e entrada",IF(COUNTIFS($A$12:$A$5011,A1546,$B$12:$B$5011,B1546)&gt;1,"CPF + dia duplicado",IF(OR(AND(G1546&lt;&gt;"",G1546&lt;&gt;0,G1546&lt;&gt;1),AND(H1546&lt;&gt;"",H1546&lt;&gt;0,H1546&lt;&gt;1)),"Flags devem ser 0 ou 1",IF(AND(H1546=1,LEN(TRIM(I1546))=0),"Preencher nome do indicante",IF(AND(H1546&lt;&gt;1,I1546&lt;&gt;""),"Nome sem indicação interna",IF(AND(G1546=1,F1546=""),"Fechamento sem conversa",IF(OR(AND(E1546&lt;&gt;"",E1546&lt;B1546),AND(F1546&lt;&gt;"",F1546&lt;B1546)),"Evento anterior à entrada",IF(AND(F1546&lt;&gt;"",E1546=""),"Conversa sem agendamento",IF(OR(E1546&gt;TODAY(),F1546&gt;TODAY()),"Verificar evento futuro","OK"))))))))))</f>
        <v/>
      </c>
    </row>
    <row r="1547" spans="12:15">
      <c r="L1547" s="5">
        <f>IF(OR(A1547="",B1547=""),"",B1547-WEEKDAY(B1547,2)+1)</f>
        <v/>
      </c>
      <c r="M1547" s="5">
        <f>IF(L1547="","",L1547+6)</f>
        <v/>
      </c>
      <c r="N1547" s="6">
        <f>IF(OR(A1547="",B1547=""),"",DATE(YEAR(B1547),MONTH(B1547),1))</f>
        <v/>
      </c>
      <c r="O1547" s="7">
        <f>IF(COUNTA(A1547:K1547)=0,"",IF(OR(A1547="",B1547=""),"Preencher CPF e entrada",IF(COUNTIFS($A$12:$A$5011,A1547,$B$12:$B$5011,B1547)&gt;1,"CPF + dia duplicado",IF(OR(AND(G1547&lt;&gt;"",G1547&lt;&gt;0,G1547&lt;&gt;1),AND(H1547&lt;&gt;"",H1547&lt;&gt;0,H1547&lt;&gt;1)),"Flags devem ser 0 ou 1",IF(AND(H1547=1,LEN(TRIM(I1547))=0),"Preencher nome do indicante",IF(AND(H1547&lt;&gt;1,I1547&lt;&gt;""),"Nome sem indicação interna",IF(AND(G1547=1,F1547=""),"Fechamento sem conversa",IF(OR(AND(E1547&lt;&gt;"",E1547&lt;B1547),AND(F1547&lt;&gt;"",F1547&lt;B1547)),"Evento anterior à entrada",IF(AND(F1547&lt;&gt;"",E1547=""),"Conversa sem agendamento",IF(OR(E1547&gt;TODAY(),F1547&gt;TODAY()),"Verificar evento futuro","OK"))))))))))</f>
        <v/>
      </c>
    </row>
    <row r="1548" spans="12:15">
      <c r="L1548" s="5">
        <f>IF(OR(A1548="",B1548=""),"",B1548-WEEKDAY(B1548,2)+1)</f>
        <v/>
      </c>
      <c r="M1548" s="5">
        <f>IF(L1548="","",L1548+6)</f>
        <v/>
      </c>
      <c r="N1548" s="6">
        <f>IF(OR(A1548="",B1548=""),"",DATE(YEAR(B1548),MONTH(B1548),1))</f>
        <v/>
      </c>
      <c r="O1548" s="7">
        <f>IF(COUNTA(A1548:K1548)=0,"",IF(OR(A1548="",B1548=""),"Preencher CPF e entrada",IF(COUNTIFS($A$12:$A$5011,A1548,$B$12:$B$5011,B1548)&gt;1,"CPF + dia duplicado",IF(OR(AND(G1548&lt;&gt;"",G1548&lt;&gt;0,G1548&lt;&gt;1),AND(H1548&lt;&gt;"",H1548&lt;&gt;0,H1548&lt;&gt;1)),"Flags devem ser 0 ou 1",IF(AND(H1548=1,LEN(TRIM(I1548))=0),"Preencher nome do indicante",IF(AND(H1548&lt;&gt;1,I1548&lt;&gt;""),"Nome sem indicação interna",IF(AND(G1548=1,F1548=""),"Fechamento sem conversa",IF(OR(AND(E1548&lt;&gt;"",E1548&lt;B1548),AND(F1548&lt;&gt;"",F1548&lt;B1548)),"Evento anterior à entrada",IF(AND(F1548&lt;&gt;"",E1548=""),"Conversa sem agendamento",IF(OR(E1548&gt;TODAY(),F1548&gt;TODAY()),"Verificar evento futuro","OK"))))))))))</f>
        <v/>
      </c>
    </row>
    <row r="1549" spans="12:15">
      <c r="L1549" s="5">
        <f>IF(OR(A1549="",B1549=""),"",B1549-WEEKDAY(B1549,2)+1)</f>
        <v/>
      </c>
      <c r="M1549" s="5">
        <f>IF(L1549="","",L1549+6)</f>
        <v/>
      </c>
      <c r="N1549" s="6">
        <f>IF(OR(A1549="",B1549=""),"",DATE(YEAR(B1549),MONTH(B1549),1))</f>
        <v/>
      </c>
      <c r="O1549" s="7">
        <f>IF(COUNTA(A1549:K1549)=0,"",IF(OR(A1549="",B1549=""),"Preencher CPF e entrada",IF(COUNTIFS($A$12:$A$5011,A1549,$B$12:$B$5011,B1549)&gt;1,"CPF + dia duplicado",IF(OR(AND(G1549&lt;&gt;"",G1549&lt;&gt;0,G1549&lt;&gt;1),AND(H1549&lt;&gt;"",H1549&lt;&gt;0,H1549&lt;&gt;1)),"Flags devem ser 0 ou 1",IF(AND(H1549=1,LEN(TRIM(I1549))=0),"Preencher nome do indicante",IF(AND(H1549&lt;&gt;1,I1549&lt;&gt;""),"Nome sem indicação interna",IF(AND(G1549=1,F1549=""),"Fechamento sem conversa",IF(OR(AND(E1549&lt;&gt;"",E1549&lt;B1549),AND(F1549&lt;&gt;"",F1549&lt;B1549)),"Evento anterior à entrada",IF(AND(F1549&lt;&gt;"",E1549=""),"Conversa sem agendamento",IF(OR(E1549&gt;TODAY(),F1549&gt;TODAY()),"Verificar evento futuro","OK"))))))))))</f>
        <v/>
      </c>
    </row>
    <row r="1550" spans="12:15">
      <c r="L1550" s="5">
        <f>IF(OR(A1550="",B1550=""),"",B1550-WEEKDAY(B1550,2)+1)</f>
        <v/>
      </c>
      <c r="M1550" s="5">
        <f>IF(L1550="","",L1550+6)</f>
        <v/>
      </c>
      <c r="N1550" s="6">
        <f>IF(OR(A1550="",B1550=""),"",DATE(YEAR(B1550),MONTH(B1550),1))</f>
        <v/>
      </c>
      <c r="O1550" s="7">
        <f>IF(COUNTA(A1550:K1550)=0,"",IF(OR(A1550="",B1550=""),"Preencher CPF e entrada",IF(COUNTIFS($A$12:$A$5011,A1550,$B$12:$B$5011,B1550)&gt;1,"CPF + dia duplicado",IF(OR(AND(G1550&lt;&gt;"",G1550&lt;&gt;0,G1550&lt;&gt;1),AND(H1550&lt;&gt;"",H1550&lt;&gt;0,H1550&lt;&gt;1)),"Flags devem ser 0 ou 1",IF(AND(H1550=1,LEN(TRIM(I1550))=0),"Preencher nome do indicante",IF(AND(H1550&lt;&gt;1,I1550&lt;&gt;""),"Nome sem indicação interna",IF(AND(G1550=1,F1550=""),"Fechamento sem conversa",IF(OR(AND(E1550&lt;&gt;"",E1550&lt;B1550),AND(F1550&lt;&gt;"",F1550&lt;B1550)),"Evento anterior à entrada",IF(AND(F1550&lt;&gt;"",E1550=""),"Conversa sem agendamento",IF(OR(E1550&gt;TODAY(),F1550&gt;TODAY()),"Verificar evento futuro","OK"))))))))))</f>
        <v/>
      </c>
    </row>
    <row r="1551" spans="12:15">
      <c r="L1551" s="5">
        <f>IF(OR(A1551="",B1551=""),"",B1551-WEEKDAY(B1551,2)+1)</f>
        <v/>
      </c>
      <c r="M1551" s="5">
        <f>IF(L1551="","",L1551+6)</f>
        <v/>
      </c>
      <c r="N1551" s="6">
        <f>IF(OR(A1551="",B1551=""),"",DATE(YEAR(B1551),MONTH(B1551),1))</f>
        <v/>
      </c>
      <c r="O1551" s="7">
        <f>IF(COUNTA(A1551:K1551)=0,"",IF(OR(A1551="",B1551=""),"Preencher CPF e entrada",IF(COUNTIFS($A$12:$A$5011,A1551,$B$12:$B$5011,B1551)&gt;1,"CPF + dia duplicado",IF(OR(AND(G1551&lt;&gt;"",G1551&lt;&gt;0,G1551&lt;&gt;1),AND(H1551&lt;&gt;"",H1551&lt;&gt;0,H1551&lt;&gt;1)),"Flags devem ser 0 ou 1",IF(AND(H1551=1,LEN(TRIM(I1551))=0),"Preencher nome do indicante",IF(AND(H1551&lt;&gt;1,I1551&lt;&gt;""),"Nome sem indicação interna",IF(AND(G1551=1,F1551=""),"Fechamento sem conversa",IF(OR(AND(E1551&lt;&gt;"",E1551&lt;B1551),AND(F1551&lt;&gt;"",F1551&lt;B1551)),"Evento anterior à entrada",IF(AND(F1551&lt;&gt;"",E1551=""),"Conversa sem agendamento",IF(OR(E1551&gt;TODAY(),F1551&gt;TODAY()),"Verificar evento futuro","OK"))))))))))</f>
        <v/>
      </c>
    </row>
    <row r="1552" spans="12:15">
      <c r="L1552" s="5">
        <f>IF(OR(A1552="",B1552=""),"",B1552-WEEKDAY(B1552,2)+1)</f>
        <v/>
      </c>
      <c r="M1552" s="5">
        <f>IF(L1552="","",L1552+6)</f>
        <v/>
      </c>
      <c r="N1552" s="6">
        <f>IF(OR(A1552="",B1552=""),"",DATE(YEAR(B1552),MONTH(B1552),1))</f>
        <v/>
      </c>
      <c r="O1552" s="7">
        <f>IF(COUNTA(A1552:K1552)=0,"",IF(OR(A1552="",B1552=""),"Preencher CPF e entrada",IF(COUNTIFS($A$12:$A$5011,A1552,$B$12:$B$5011,B1552)&gt;1,"CPF + dia duplicado",IF(OR(AND(G1552&lt;&gt;"",G1552&lt;&gt;0,G1552&lt;&gt;1),AND(H1552&lt;&gt;"",H1552&lt;&gt;0,H1552&lt;&gt;1)),"Flags devem ser 0 ou 1",IF(AND(H1552=1,LEN(TRIM(I1552))=0),"Preencher nome do indicante",IF(AND(H1552&lt;&gt;1,I1552&lt;&gt;""),"Nome sem indicação interna",IF(AND(G1552=1,F1552=""),"Fechamento sem conversa",IF(OR(AND(E1552&lt;&gt;"",E1552&lt;B1552),AND(F1552&lt;&gt;"",F1552&lt;B1552)),"Evento anterior à entrada",IF(AND(F1552&lt;&gt;"",E1552=""),"Conversa sem agendamento",IF(OR(E1552&gt;TODAY(),F1552&gt;TODAY()),"Verificar evento futuro","OK"))))))))))</f>
        <v/>
      </c>
    </row>
    <row r="1553" spans="12:15">
      <c r="L1553" s="5">
        <f>IF(OR(A1553="",B1553=""),"",B1553-WEEKDAY(B1553,2)+1)</f>
        <v/>
      </c>
      <c r="M1553" s="5">
        <f>IF(L1553="","",L1553+6)</f>
        <v/>
      </c>
      <c r="N1553" s="6">
        <f>IF(OR(A1553="",B1553=""),"",DATE(YEAR(B1553),MONTH(B1553),1))</f>
        <v/>
      </c>
      <c r="O1553" s="7">
        <f>IF(COUNTA(A1553:K1553)=0,"",IF(OR(A1553="",B1553=""),"Preencher CPF e entrada",IF(COUNTIFS($A$12:$A$5011,A1553,$B$12:$B$5011,B1553)&gt;1,"CPF + dia duplicado",IF(OR(AND(G1553&lt;&gt;"",G1553&lt;&gt;0,G1553&lt;&gt;1),AND(H1553&lt;&gt;"",H1553&lt;&gt;0,H1553&lt;&gt;1)),"Flags devem ser 0 ou 1",IF(AND(H1553=1,LEN(TRIM(I1553))=0),"Preencher nome do indicante",IF(AND(H1553&lt;&gt;1,I1553&lt;&gt;""),"Nome sem indicação interna",IF(AND(G1553=1,F1553=""),"Fechamento sem conversa",IF(OR(AND(E1553&lt;&gt;"",E1553&lt;B1553),AND(F1553&lt;&gt;"",F1553&lt;B1553)),"Evento anterior à entrada",IF(AND(F1553&lt;&gt;"",E1553=""),"Conversa sem agendamento",IF(OR(E1553&gt;TODAY(),F1553&gt;TODAY()),"Verificar evento futuro","OK"))))))))))</f>
        <v/>
      </c>
    </row>
    <row r="1554" spans="12:15">
      <c r="L1554" s="5">
        <f>IF(OR(A1554="",B1554=""),"",B1554-WEEKDAY(B1554,2)+1)</f>
        <v/>
      </c>
      <c r="M1554" s="5">
        <f>IF(L1554="","",L1554+6)</f>
        <v/>
      </c>
      <c r="N1554" s="6">
        <f>IF(OR(A1554="",B1554=""),"",DATE(YEAR(B1554),MONTH(B1554),1))</f>
        <v/>
      </c>
      <c r="O1554" s="7">
        <f>IF(COUNTA(A1554:K1554)=0,"",IF(OR(A1554="",B1554=""),"Preencher CPF e entrada",IF(COUNTIFS($A$12:$A$5011,A1554,$B$12:$B$5011,B1554)&gt;1,"CPF + dia duplicado",IF(OR(AND(G1554&lt;&gt;"",G1554&lt;&gt;0,G1554&lt;&gt;1),AND(H1554&lt;&gt;"",H1554&lt;&gt;0,H1554&lt;&gt;1)),"Flags devem ser 0 ou 1",IF(AND(H1554=1,LEN(TRIM(I1554))=0),"Preencher nome do indicante",IF(AND(H1554&lt;&gt;1,I1554&lt;&gt;""),"Nome sem indicação interna",IF(AND(G1554=1,F1554=""),"Fechamento sem conversa",IF(OR(AND(E1554&lt;&gt;"",E1554&lt;B1554),AND(F1554&lt;&gt;"",F1554&lt;B1554)),"Evento anterior à entrada",IF(AND(F1554&lt;&gt;"",E1554=""),"Conversa sem agendamento",IF(OR(E1554&gt;TODAY(),F1554&gt;TODAY()),"Verificar evento futuro","OK"))))))))))</f>
        <v/>
      </c>
    </row>
    <row r="1555" spans="12:15">
      <c r="L1555" s="5">
        <f>IF(OR(A1555="",B1555=""),"",B1555-WEEKDAY(B1555,2)+1)</f>
        <v/>
      </c>
      <c r="M1555" s="5">
        <f>IF(L1555="","",L1555+6)</f>
        <v/>
      </c>
      <c r="N1555" s="6">
        <f>IF(OR(A1555="",B1555=""),"",DATE(YEAR(B1555),MONTH(B1555),1))</f>
        <v/>
      </c>
      <c r="O1555" s="7">
        <f>IF(COUNTA(A1555:K1555)=0,"",IF(OR(A1555="",B1555=""),"Preencher CPF e entrada",IF(COUNTIFS($A$12:$A$5011,A1555,$B$12:$B$5011,B1555)&gt;1,"CPF + dia duplicado",IF(OR(AND(G1555&lt;&gt;"",G1555&lt;&gt;0,G1555&lt;&gt;1),AND(H1555&lt;&gt;"",H1555&lt;&gt;0,H1555&lt;&gt;1)),"Flags devem ser 0 ou 1",IF(AND(H1555=1,LEN(TRIM(I1555))=0),"Preencher nome do indicante",IF(AND(H1555&lt;&gt;1,I1555&lt;&gt;""),"Nome sem indicação interna",IF(AND(G1555=1,F1555=""),"Fechamento sem conversa",IF(OR(AND(E1555&lt;&gt;"",E1555&lt;B1555),AND(F1555&lt;&gt;"",F1555&lt;B1555)),"Evento anterior à entrada",IF(AND(F1555&lt;&gt;"",E1555=""),"Conversa sem agendamento",IF(OR(E1555&gt;TODAY(),F1555&gt;TODAY()),"Verificar evento futuro","OK"))))))))))</f>
        <v/>
      </c>
    </row>
    <row r="1556" spans="12:15">
      <c r="L1556" s="5">
        <f>IF(OR(A1556="",B1556=""),"",B1556-WEEKDAY(B1556,2)+1)</f>
        <v/>
      </c>
      <c r="M1556" s="5">
        <f>IF(L1556="","",L1556+6)</f>
        <v/>
      </c>
      <c r="N1556" s="6">
        <f>IF(OR(A1556="",B1556=""),"",DATE(YEAR(B1556),MONTH(B1556),1))</f>
        <v/>
      </c>
      <c r="O1556" s="7">
        <f>IF(COUNTA(A1556:K1556)=0,"",IF(OR(A1556="",B1556=""),"Preencher CPF e entrada",IF(COUNTIFS($A$12:$A$5011,A1556,$B$12:$B$5011,B1556)&gt;1,"CPF + dia duplicado",IF(OR(AND(G1556&lt;&gt;"",G1556&lt;&gt;0,G1556&lt;&gt;1),AND(H1556&lt;&gt;"",H1556&lt;&gt;0,H1556&lt;&gt;1)),"Flags devem ser 0 ou 1",IF(AND(H1556=1,LEN(TRIM(I1556))=0),"Preencher nome do indicante",IF(AND(H1556&lt;&gt;1,I1556&lt;&gt;""),"Nome sem indicação interna",IF(AND(G1556=1,F1556=""),"Fechamento sem conversa",IF(OR(AND(E1556&lt;&gt;"",E1556&lt;B1556),AND(F1556&lt;&gt;"",F1556&lt;B1556)),"Evento anterior à entrada",IF(AND(F1556&lt;&gt;"",E1556=""),"Conversa sem agendamento",IF(OR(E1556&gt;TODAY(),F1556&gt;TODAY()),"Verificar evento futuro","OK"))))))))))</f>
        <v/>
      </c>
    </row>
    <row r="1557" spans="12:15">
      <c r="L1557" s="5">
        <f>IF(OR(A1557="",B1557=""),"",B1557-WEEKDAY(B1557,2)+1)</f>
        <v/>
      </c>
      <c r="M1557" s="5">
        <f>IF(L1557="","",L1557+6)</f>
        <v/>
      </c>
      <c r="N1557" s="6">
        <f>IF(OR(A1557="",B1557=""),"",DATE(YEAR(B1557),MONTH(B1557),1))</f>
        <v/>
      </c>
      <c r="O1557" s="7">
        <f>IF(COUNTA(A1557:K1557)=0,"",IF(OR(A1557="",B1557=""),"Preencher CPF e entrada",IF(COUNTIFS($A$12:$A$5011,A1557,$B$12:$B$5011,B1557)&gt;1,"CPF + dia duplicado",IF(OR(AND(G1557&lt;&gt;"",G1557&lt;&gt;0,G1557&lt;&gt;1),AND(H1557&lt;&gt;"",H1557&lt;&gt;0,H1557&lt;&gt;1)),"Flags devem ser 0 ou 1",IF(AND(H1557=1,LEN(TRIM(I1557))=0),"Preencher nome do indicante",IF(AND(H1557&lt;&gt;1,I1557&lt;&gt;""),"Nome sem indicação interna",IF(AND(G1557=1,F1557=""),"Fechamento sem conversa",IF(OR(AND(E1557&lt;&gt;"",E1557&lt;B1557),AND(F1557&lt;&gt;"",F1557&lt;B1557)),"Evento anterior à entrada",IF(AND(F1557&lt;&gt;"",E1557=""),"Conversa sem agendamento",IF(OR(E1557&gt;TODAY(),F1557&gt;TODAY()),"Verificar evento futuro","OK"))))))))))</f>
        <v/>
      </c>
    </row>
    <row r="1558" spans="12:15">
      <c r="L1558" s="5">
        <f>IF(OR(A1558="",B1558=""),"",B1558-WEEKDAY(B1558,2)+1)</f>
        <v/>
      </c>
      <c r="M1558" s="5">
        <f>IF(L1558="","",L1558+6)</f>
        <v/>
      </c>
      <c r="N1558" s="6">
        <f>IF(OR(A1558="",B1558=""),"",DATE(YEAR(B1558),MONTH(B1558),1))</f>
        <v/>
      </c>
      <c r="O1558" s="7">
        <f>IF(COUNTA(A1558:K1558)=0,"",IF(OR(A1558="",B1558=""),"Preencher CPF e entrada",IF(COUNTIFS($A$12:$A$5011,A1558,$B$12:$B$5011,B1558)&gt;1,"CPF + dia duplicado",IF(OR(AND(G1558&lt;&gt;"",G1558&lt;&gt;0,G1558&lt;&gt;1),AND(H1558&lt;&gt;"",H1558&lt;&gt;0,H1558&lt;&gt;1)),"Flags devem ser 0 ou 1",IF(AND(H1558=1,LEN(TRIM(I1558))=0),"Preencher nome do indicante",IF(AND(H1558&lt;&gt;1,I1558&lt;&gt;""),"Nome sem indicação interna",IF(AND(G1558=1,F1558=""),"Fechamento sem conversa",IF(OR(AND(E1558&lt;&gt;"",E1558&lt;B1558),AND(F1558&lt;&gt;"",F1558&lt;B1558)),"Evento anterior à entrada",IF(AND(F1558&lt;&gt;"",E1558=""),"Conversa sem agendamento",IF(OR(E1558&gt;TODAY(),F1558&gt;TODAY()),"Verificar evento futuro","OK"))))))))))</f>
        <v/>
      </c>
    </row>
    <row r="1559" spans="12:15">
      <c r="L1559" s="5">
        <f>IF(OR(A1559="",B1559=""),"",B1559-WEEKDAY(B1559,2)+1)</f>
        <v/>
      </c>
      <c r="M1559" s="5">
        <f>IF(L1559="","",L1559+6)</f>
        <v/>
      </c>
      <c r="N1559" s="6">
        <f>IF(OR(A1559="",B1559=""),"",DATE(YEAR(B1559),MONTH(B1559),1))</f>
        <v/>
      </c>
      <c r="O1559" s="7">
        <f>IF(COUNTA(A1559:K1559)=0,"",IF(OR(A1559="",B1559=""),"Preencher CPF e entrada",IF(COUNTIFS($A$12:$A$5011,A1559,$B$12:$B$5011,B1559)&gt;1,"CPF + dia duplicado",IF(OR(AND(G1559&lt;&gt;"",G1559&lt;&gt;0,G1559&lt;&gt;1),AND(H1559&lt;&gt;"",H1559&lt;&gt;0,H1559&lt;&gt;1)),"Flags devem ser 0 ou 1",IF(AND(H1559=1,LEN(TRIM(I1559))=0),"Preencher nome do indicante",IF(AND(H1559&lt;&gt;1,I1559&lt;&gt;""),"Nome sem indicação interna",IF(AND(G1559=1,F1559=""),"Fechamento sem conversa",IF(OR(AND(E1559&lt;&gt;"",E1559&lt;B1559),AND(F1559&lt;&gt;"",F1559&lt;B1559)),"Evento anterior à entrada",IF(AND(F1559&lt;&gt;"",E1559=""),"Conversa sem agendamento",IF(OR(E1559&gt;TODAY(),F1559&gt;TODAY()),"Verificar evento futuro","OK"))))))))))</f>
        <v/>
      </c>
    </row>
    <row r="1560" spans="12:15">
      <c r="L1560" s="5">
        <f>IF(OR(A1560="",B1560=""),"",B1560-WEEKDAY(B1560,2)+1)</f>
        <v/>
      </c>
      <c r="M1560" s="5">
        <f>IF(L1560="","",L1560+6)</f>
        <v/>
      </c>
      <c r="N1560" s="6">
        <f>IF(OR(A1560="",B1560=""),"",DATE(YEAR(B1560),MONTH(B1560),1))</f>
        <v/>
      </c>
      <c r="O1560" s="7">
        <f>IF(COUNTA(A1560:K1560)=0,"",IF(OR(A1560="",B1560=""),"Preencher CPF e entrada",IF(COUNTIFS($A$12:$A$5011,A1560,$B$12:$B$5011,B1560)&gt;1,"CPF + dia duplicado",IF(OR(AND(G1560&lt;&gt;"",G1560&lt;&gt;0,G1560&lt;&gt;1),AND(H1560&lt;&gt;"",H1560&lt;&gt;0,H1560&lt;&gt;1)),"Flags devem ser 0 ou 1",IF(AND(H1560=1,LEN(TRIM(I1560))=0),"Preencher nome do indicante",IF(AND(H1560&lt;&gt;1,I1560&lt;&gt;""),"Nome sem indicação interna",IF(AND(G1560=1,F1560=""),"Fechamento sem conversa",IF(OR(AND(E1560&lt;&gt;"",E1560&lt;B1560),AND(F1560&lt;&gt;"",F1560&lt;B1560)),"Evento anterior à entrada",IF(AND(F1560&lt;&gt;"",E1560=""),"Conversa sem agendamento",IF(OR(E1560&gt;TODAY(),F1560&gt;TODAY()),"Verificar evento futuro","OK"))))))))))</f>
        <v/>
      </c>
    </row>
    <row r="1561" spans="12:15">
      <c r="L1561" s="5">
        <f>IF(OR(A1561="",B1561=""),"",B1561-WEEKDAY(B1561,2)+1)</f>
        <v/>
      </c>
      <c r="M1561" s="5">
        <f>IF(L1561="","",L1561+6)</f>
        <v/>
      </c>
      <c r="N1561" s="6">
        <f>IF(OR(A1561="",B1561=""),"",DATE(YEAR(B1561),MONTH(B1561),1))</f>
        <v/>
      </c>
      <c r="O1561" s="7">
        <f>IF(COUNTA(A1561:K1561)=0,"",IF(OR(A1561="",B1561=""),"Preencher CPF e entrada",IF(COUNTIFS($A$12:$A$5011,A1561,$B$12:$B$5011,B1561)&gt;1,"CPF + dia duplicado",IF(OR(AND(G1561&lt;&gt;"",G1561&lt;&gt;0,G1561&lt;&gt;1),AND(H1561&lt;&gt;"",H1561&lt;&gt;0,H1561&lt;&gt;1)),"Flags devem ser 0 ou 1",IF(AND(H1561=1,LEN(TRIM(I1561))=0),"Preencher nome do indicante",IF(AND(H1561&lt;&gt;1,I1561&lt;&gt;""),"Nome sem indicação interna",IF(AND(G1561=1,F1561=""),"Fechamento sem conversa",IF(OR(AND(E1561&lt;&gt;"",E1561&lt;B1561),AND(F1561&lt;&gt;"",F1561&lt;B1561)),"Evento anterior à entrada",IF(AND(F1561&lt;&gt;"",E1561=""),"Conversa sem agendamento",IF(OR(E1561&gt;TODAY(),F1561&gt;TODAY()),"Verificar evento futuro","OK"))))))))))</f>
        <v/>
      </c>
    </row>
    <row r="1562" spans="12:15">
      <c r="L1562" s="5">
        <f>IF(OR(A1562="",B1562=""),"",B1562-WEEKDAY(B1562,2)+1)</f>
        <v/>
      </c>
      <c r="M1562" s="5">
        <f>IF(L1562="","",L1562+6)</f>
        <v/>
      </c>
      <c r="N1562" s="6">
        <f>IF(OR(A1562="",B1562=""),"",DATE(YEAR(B1562),MONTH(B1562),1))</f>
        <v/>
      </c>
      <c r="O1562" s="7">
        <f>IF(COUNTA(A1562:K1562)=0,"",IF(OR(A1562="",B1562=""),"Preencher CPF e entrada",IF(COUNTIFS($A$12:$A$5011,A1562,$B$12:$B$5011,B1562)&gt;1,"CPF + dia duplicado",IF(OR(AND(G1562&lt;&gt;"",G1562&lt;&gt;0,G1562&lt;&gt;1),AND(H1562&lt;&gt;"",H1562&lt;&gt;0,H1562&lt;&gt;1)),"Flags devem ser 0 ou 1",IF(AND(H1562=1,LEN(TRIM(I1562))=0),"Preencher nome do indicante",IF(AND(H1562&lt;&gt;1,I1562&lt;&gt;""),"Nome sem indicação interna",IF(AND(G1562=1,F1562=""),"Fechamento sem conversa",IF(OR(AND(E1562&lt;&gt;"",E1562&lt;B1562),AND(F1562&lt;&gt;"",F1562&lt;B1562)),"Evento anterior à entrada",IF(AND(F1562&lt;&gt;"",E1562=""),"Conversa sem agendamento",IF(OR(E1562&gt;TODAY(),F1562&gt;TODAY()),"Verificar evento futuro","OK"))))))))))</f>
        <v/>
      </c>
    </row>
    <row r="1563" spans="12:15">
      <c r="L1563" s="5">
        <f>IF(OR(A1563="",B1563=""),"",B1563-WEEKDAY(B1563,2)+1)</f>
        <v/>
      </c>
      <c r="M1563" s="5">
        <f>IF(L1563="","",L1563+6)</f>
        <v/>
      </c>
      <c r="N1563" s="6">
        <f>IF(OR(A1563="",B1563=""),"",DATE(YEAR(B1563),MONTH(B1563),1))</f>
        <v/>
      </c>
      <c r="O1563" s="7">
        <f>IF(COUNTA(A1563:K1563)=0,"",IF(OR(A1563="",B1563=""),"Preencher CPF e entrada",IF(COUNTIFS($A$12:$A$5011,A1563,$B$12:$B$5011,B1563)&gt;1,"CPF + dia duplicado",IF(OR(AND(G1563&lt;&gt;"",G1563&lt;&gt;0,G1563&lt;&gt;1),AND(H1563&lt;&gt;"",H1563&lt;&gt;0,H1563&lt;&gt;1)),"Flags devem ser 0 ou 1",IF(AND(H1563=1,LEN(TRIM(I1563))=0),"Preencher nome do indicante",IF(AND(H1563&lt;&gt;1,I1563&lt;&gt;""),"Nome sem indicação interna",IF(AND(G1563=1,F1563=""),"Fechamento sem conversa",IF(OR(AND(E1563&lt;&gt;"",E1563&lt;B1563),AND(F1563&lt;&gt;"",F1563&lt;B1563)),"Evento anterior à entrada",IF(AND(F1563&lt;&gt;"",E1563=""),"Conversa sem agendamento",IF(OR(E1563&gt;TODAY(),F1563&gt;TODAY()),"Verificar evento futuro","OK"))))))))))</f>
        <v/>
      </c>
    </row>
    <row r="1564" spans="12:15">
      <c r="L1564" s="5">
        <f>IF(OR(A1564="",B1564=""),"",B1564-WEEKDAY(B1564,2)+1)</f>
        <v/>
      </c>
      <c r="M1564" s="5">
        <f>IF(L1564="","",L1564+6)</f>
        <v/>
      </c>
      <c r="N1564" s="6">
        <f>IF(OR(A1564="",B1564=""),"",DATE(YEAR(B1564),MONTH(B1564),1))</f>
        <v/>
      </c>
      <c r="O1564" s="7">
        <f>IF(COUNTA(A1564:K1564)=0,"",IF(OR(A1564="",B1564=""),"Preencher CPF e entrada",IF(COUNTIFS($A$12:$A$5011,A1564,$B$12:$B$5011,B1564)&gt;1,"CPF + dia duplicado",IF(OR(AND(G1564&lt;&gt;"",G1564&lt;&gt;0,G1564&lt;&gt;1),AND(H1564&lt;&gt;"",H1564&lt;&gt;0,H1564&lt;&gt;1)),"Flags devem ser 0 ou 1",IF(AND(H1564=1,LEN(TRIM(I1564))=0),"Preencher nome do indicante",IF(AND(H1564&lt;&gt;1,I1564&lt;&gt;""),"Nome sem indicação interna",IF(AND(G1564=1,F1564=""),"Fechamento sem conversa",IF(OR(AND(E1564&lt;&gt;"",E1564&lt;B1564),AND(F1564&lt;&gt;"",F1564&lt;B1564)),"Evento anterior à entrada",IF(AND(F1564&lt;&gt;"",E1564=""),"Conversa sem agendamento",IF(OR(E1564&gt;TODAY(),F1564&gt;TODAY()),"Verificar evento futuro","OK"))))))))))</f>
        <v/>
      </c>
    </row>
    <row r="1565" spans="12:15">
      <c r="L1565" s="5">
        <f>IF(OR(A1565="",B1565=""),"",B1565-WEEKDAY(B1565,2)+1)</f>
        <v/>
      </c>
      <c r="M1565" s="5">
        <f>IF(L1565="","",L1565+6)</f>
        <v/>
      </c>
      <c r="N1565" s="6">
        <f>IF(OR(A1565="",B1565=""),"",DATE(YEAR(B1565),MONTH(B1565),1))</f>
        <v/>
      </c>
      <c r="O1565" s="7">
        <f>IF(COUNTA(A1565:K1565)=0,"",IF(OR(A1565="",B1565=""),"Preencher CPF e entrada",IF(COUNTIFS($A$12:$A$5011,A1565,$B$12:$B$5011,B1565)&gt;1,"CPF + dia duplicado",IF(OR(AND(G1565&lt;&gt;"",G1565&lt;&gt;0,G1565&lt;&gt;1),AND(H1565&lt;&gt;"",H1565&lt;&gt;0,H1565&lt;&gt;1)),"Flags devem ser 0 ou 1",IF(AND(H1565=1,LEN(TRIM(I1565))=0),"Preencher nome do indicante",IF(AND(H1565&lt;&gt;1,I1565&lt;&gt;""),"Nome sem indicação interna",IF(AND(G1565=1,F1565=""),"Fechamento sem conversa",IF(OR(AND(E1565&lt;&gt;"",E1565&lt;B1565),AND(F1565&lt;&gt;"",F1565&lt;B1565)),"Evento anterior à entrada",IF(AND(F1565&lt;&gt;"",E1565=""),"Conversa sem agendamento",IF(OR(E1565&gt;TODAY(),F1565&gt;TODAY()),"Verificar evento futuro","OK"))))))))))</f>
        <v/>
      </c>
    </row>
    <row r="1566" spans="12:15">
      <c r="L1566" s="5">
        <f>IF(OR(A1566="",B1566=""),"",B1566-WEEKDAY(B1566,2)+1)</f>
        <v/>
      </c>
      <c r="M1566" s="5">
        <f>IF(L1566="","",L1566+6)</f>
        <v/>
      </c>
      <c r="N1566" s="6">
        <f>IF(OR(A1566="",B1566=""),"",DATE(YEAR(B1566),MONTH(B1566),1))</f>
        <v/>
      </c>
      <c r="O1566" s="7">
        <f>IF(COUNTA(A1566:K1566)=0,"",IF(OR(A1566="",B1566=""),"Preencher CPF e entrada",IF(COUNTIFS($A$12:$A$5011,A1566,$B$12:$B$5011,B1566)&gt;1,"CPF + dia duplicado",IF(OR(AND(G1566&lt;&gt;"",G1566&lt;&gt;0,G1566&lt;&gt;1),AND(H1566&lt;&gt;"",H1566&lt;&gt;0,H1566&lt;&gt;1)),"Flags devem ser 0 ou 1",IF(AND(H1566=1,LEN(TRIM(I1566))=0),"Preencher nome do indicante",IF(AND(H1566&lt;&gt;1,I1566&lt;&gt;""),"Nome sem indicação interna",IF(AND(G1566=1,F1566=""),"Fechamento sem conversa",IF(OR(AND(E1566&lt;&gt;"",E1566&lt;B1566),AND(F1566&lt;&gt;"",F1566&lt;B1566)),"Evento anterior à entrada",IF(AND(F1566&lt;&gt;"",E1566=""),"Conversa sem agendamento",IF(OR(E1566&gt;TODAY(),F1566&gt;TODAY()),"Verificar evento futuro","OK"))))))))))</f>
        <v/>
      </c>
    </row>
    <row r="1567" spans="12:15">
      <c r="L1567" s="5">
        <f>IF(OR(A1567="",B1567=""),"",B1567-WEEKDAY(B1567,2)+1)</f>
        <v/>
      </c>
      <c r="M1567" s="5">
        <f>IF(L1567="","",L1567+6)</f>
        <v/>
      </c>
      <c r="N1567" s="6">
        <f>IF(OR(A1567="",B1567=""),"",DATE(YEAR(B1567),MONTH(B1567),1))</f>
        <v/>
      </c>
      <c r="O1567" s="7">
        <f>IF(COUNTA(A1567:K1567)=0,"",IF(OR(A1567="",B1567=""),"Preencher CPF e entrada",IF(COUNTIFS($A$12:$A$5011,A1567,$B$12:$B$5011,B1567)&gt;1,"CPF + dia duplicado",IF(OR(AND(G1567&lt;&gt;"",G1567&lt;&gt;0,G1567&lt;&gt;1),AND(H1567&lt;&gt;"",H1567&lt;&gt;0,H1567&lt;&gt;1)),"Flags devem ser 0 ou 1",IF(AND(H1567=1,LEN(TRIM(I1567))=0),"Preencher nome do indicante",IF(AND(H1567&lt;&gt;1,I1567&lt;&gt;""),"Nome sem indicação interna",IF(AND(G1567=1,F1567=""),"Fechamento sem conversa",IF(OR(AND(E1567&lt;&gt;"",E1567&lt;B1567),AND(F1567&lt;&gt;"",F1567&lt;B1567)),"Evento anterior à entrada",IF(AND(F1567&lt;&gt;"",E1567=""),"Conversa sem agendamento",IF(OR(E1567&gt;TODAY(),F1567&gt;TODAY()),"Verificar evento futuro","OK"))))))))))</f>
        <v/>
      </c>
    </row>
    <row r="1568" spans="12:15">
      <c r="L1568" s="5">
        <f>IF(OR(A1568="",B1568=""),"",B1568-WEEKDAY(B1568,2)+1)</f>
        <v/>
      </c>
      <c r="M1568" s="5">
        <f>IF(L1568="","",L1568+6)</f>
        <v/>
      </c>
      <c r="N1568" s="6">
        <f>IF(OR(A1568="",B1568=""),"",DATE(YEAR(B1568),MONTH(B1568),1))</f>
        <v/>
      </c>
      <c r="O1568" s="7">
        <f>IF(COUNTA(A1568:K1568)=0,"",IF(OR(A1568="",B1568=""),"Preencher CPF e entrada",IF(COUNTIFS($A$12:$A$5011,A1568,$B$12:$B$5011,B1568)&gt;1,"CPF + dia duplicado",IF(OR(AND(G1568&lt;&gt;"",G1568&lt;&gt;0,G1568&lt;&gt;1),AND(H1568&lt;&gt;"",H1568&lt;&gt;0,H1568&lt;&gt;1)),"Flags devem ser 0 ou 1",IF(AND(H1568=1,LEN(TRIM(I1568))=0),"Preencher nome do indicante",IF(AND(H1568&lt;&gt;1,I1568&lt;&gt;""),"Nome sem indicação interna",IF(AND(G1568=1,F1568=""),"Fechamento sem conversa",IF(OR(AND(E1568&lt;&gt;"",E1568&lt;B1568),AND(F1568&lt;&gt;"",F1568&lt;B1568)),"Evento anterior à entrada",IF(AND(F1568&lt;&gt;"",E1568=""),"Conversa sem agendamento",IF(OR(E1568&gt;TODAY(),F1568&gt;TODAY()),"Verificar evento futuro","OK"))))))))))</f>
        <v/>
      </c>
    </row>
    <row r="1569" spans="12:15">
      <c r="L1569" s="5">
        <f>IF(OR(A1569="",B1569=""),"",B1569-WEEKDAY(B1569,2)+1)</f>
        <v/>
      </c>
      <c r="M1569" s="5">
        <f>IF(L1569="","",L1569+6)</f>
        <v/>
      </c>
      <c r="N1569" s="6">
        <f>IF(OR(A1569="",B1569=""),"",DATE(YEAR(B1569),MONTH(B1569),1))</f>
        <v/>
      </c>
      <c r="O1569" s="7">
        <f>IF(COUNTA(A1569:K1569)=0,"",IF(OR(A1569="",B1569=""),"Preencher CPF e entrada",IF(COUNTIFS($A$12:$A$5011,A1569,$B$12:$B$5011,B1569)&gt;1,"CPF + dia duplicado",IF(OR(AND(G1569&lt;&gt;"",G1569&lt;&gt;0,G1569&lt;&gt;1),AND(H1569&lt;&gt;"",H1569&lt;&gt;0,H1569&lt;&gt;1)),"Flags devem ser 0 ou 1",IF(AND(H1569=1,LEN(TRIM(I1569))=0),"Preencher nome do indicante",IF(AND(H1569&lt;&gt;1,I1569&lt;&gt;""),"Nome sem indicação interna",IF(AND(G1569=1,F1569=""),"Fechamento sem conversa",IF(OR(AND(E1569&lt;&gt;"",E1569&lt;B1569),AND(F1569&lt;&gt;"",F1569&lt;B1569)),"Evento anterior à entrada",IF(AND(F1569&lt;&gt;"",E1569=""),"Conversa sem agendamento",IF(OR(E1569&gt;TODAY(),F1569&gt;TODAY()),"Verificar evento futuro","OK"))))))))))</f>
        <v/>
      </c>
    </row>
    <row r="1570" spans="12:15">
      <c r="L1570" s="5">
        <f>IF(OR(A1570="",B1570=""),"",B1570-WEEKDAY(B1570,2)+1)</f>
        <v/>
      </c>
      <c r="M1570" s="5">
        <f>IF(L1570="","",L1570+6)</f>
        <v/>
      </c>
      <c r="N1570" s="6">
        <f>IF(OR(A1570="",B1570=""),"",DATE(YEAR(B1570),MONTH(B1570),1))</f>
        <v/>
      </c>
      <c r="O1570" s="7">
        <f>IF(COUNTA(A1570:K1570)=0,"",IF(OR(A1570="",B1570=""),"Preencher CPF e entrada",IF(COUNTIFS($A$12:$A$5011,A1570,$B$12:$B$5011,B1570)&gt;1,"CPF + dia duplicado",IF(OR(AND(G1570&lt;&gt;"",G1570&lt;&gt;0,G1570&lt;&gt;1),AND(H1570&lt;&gt;"",H1570&lt;&gt;0,H1570&lt;&gt;1)),"Flags devem ser 0 ou 1",IF(AND(H1570=1,LEN(TRIM(I1570))=0),"Preencher nome do indicante",IF(AND(H1570&lt;&gt;1,I1570&lt;&gt;""),"Nome sem indicação interna",IF(AND(G1570=1,F1570=""),"Fechamento sem conversa",IF(OR(AND(E1570&lt;&gt;"",E1570&lt;B1570),AND(F1570&lt;&gt;"",F1570&lt;B1570)),"Evento anterior à entrada",IF(AND(F1570&lt;&gt;"",E1570=""),"Conversa sem agendamento",IF(OR(E1570&gt;TODAY(),F1570&gt;TODAY()),"Verificar evento futuro","OK"))))))))))</f>
        <v/>
      </c>
    </row>
    <row r="1571" spans="12:15">
      <c r="L1571" s="5">
        <f>IF(OR(A1571="",B1571=""),"",B1571-WEEKDAY(B1571,2)+1)</f>
        <v/>
      </c>
      <c r="M1571" s="5">
        <f>IF(L1571="","",L1571+6)</f>
        <v/>
      </c>
      <c r="N1571" s="6">
        <f>IF(OR(A1571="",B1571=""),"",DATE(YEAR(B1571),MONTH(B1571),1))</f>
        <v/>
      </c>
      <c r="O1571" s="7">
        <f>IF(COUNTA(A1571:K1571)=0,"",IF(OR(A1571="",B1571=""),"Preencher CPF e entrada",IF(COUNTIFS($A$12:$A$5011,A1571,$B$12:$B$5011,B1571)&gt;1,"CPF + dia duplicado",IF(OR(AND(G1571&lt;&gt;"",G1571&lt;&gt;0,G1571&lt;&gt;1),AND(H1571&lt;&gt;"",H1571&lt;&gt;0,H1571&lt;&gt;1)),"Flags devem ser 0 ou 1",IF(AND(H1571=1,LEN(TRIM(I1571))=0),"Preencher nome do indicante",IF(AND(H1571&lt;&gt;1,I1571&lt;&gt;""),"Nome sem indicação interna",IF(AND(G1571=1,F1571=""),"Fechamento sem conversa",IF(OR(AND(E1571&lt;&gt;"",E1571&lt;B1571),AND(F1571&lt;&gt;"",F1571&lt;B1571)),"Evento anterior à entrada",IF(AND(F1571&lt;&gt;"",E1571=""),"Conversa sem agendamento",IF(OR(E1571&gt;TODAY(),F1571&gt;TODAY()),"Verificar evento futuro","OK"))))))))))</f>
        <v/>
      </c>
    </row>
    <row r="1572" spans="12:15">
      <c r="L1572" s="5">
        <f>IF(OR(A1572="",B1572=""),"",B1572-WEEKDAY(B1572,2)+1)</f>
        <v/>
      </c>
      <c r="M1572" s="5">
        <f>IF(L1572="","",L1572+6)</f>
        <v/>
      </c>
      <c r="N1572" s="6">
        <f>IF(OR(A1572="",B1572=""),"",DATE(YEAR(B1572),MONTH(B1572),1))</f>
        <v/>
      </c>
      <c r="O1572" s="7">
        <f>IF(COUNTA(A1572:K1572)=0,"",IF(OR(A1572="",B1572=""),"Preencher CPF e entrada",IF(COUNTIFS($A$12:$A$5011,A1572,$B$12:$B$5011,B1572)&gt;1,"CPF + dia duplicado",IF(OR(AND(G1572&lt;&gt;"",G1572&lt;&gt;0,G1572&lt;&gt;1),AND(H1572&lt;&gt;"",H1572&lt;&gt;0,H1572&lt;&gt;1)),"Flags devem ser 0 ou 1",IF(AND(H1572=1,LEN(TRIM(I1572))=0),"Preencher nome do indicante",IF(AND(H1572&lt;&gt;1,I1572&lt;&gt;""),"Nome sem indicação interna",IF(AND(G1572=1,F1572=""),"Fechamento sem conversa",IF(OR(AND(E1572&lt;&gt;"",E1572&lt;B1572),AND(F1572&lt;&gt;"",F1572&lt;B1572)),"Evento anterior à entrada",IF(AND(F1572&lt;&gt;"",E1572=""),"Conversa sem agendamento",IF(OR(E1572&gt;TODAY(),F1572&gt;TODAY()),"Verificar evento futuro","OK"))))))))))</f>
        <v/>
      </c>
    </row>
    <row r="1573" spans="12:15">
      <c r="L1573" s="5">
        <f>IF(OR(A1573="",B1573=""),"",B1573-WEEKDAY(B1573,2)+1)</f>
        <v/>
      </c>
      <c r="M1573" s="5">
        <f>IF(L1573="","",L1573+6)</f>
        <v/>
      </c>
      <c r="N1573" s="6">
        <f>IF(OR(A1573="",B1573=""),"",DATE(YEAR(B1573),MONTH(B1573),1))</f>
        <v/>
      </c>
      <c r="O1573" s="7">
        <f>IF(COUNTA(A1573:K1573)=0,"",IF(OR(A1573="",B1573=""),"Preencher CPF e entrada",IF(COUNTIFS($A$12:$A$5011,A1573,$B$12:$B$5011,B1573)&gt;1,"CPF + dia duplicado",IF(OR(AND(G1573&lt;&gt;"",G1573&lt;&gt;0,G1573&lt;&gt;1),AND(H1573&lt;&gt;"",H1573&lt;&gt;0,H1573&lt;&gt;1)),"Flags devem ser 0 ou 1",IF(AND(H1573=1,LEN(TRIM(I1573))=0),"Preencher nome do indicante",IF(AND(H1573&lt;&gt;1,I1573&lt;&gt;""),"Nome sem indicação interna",IF(AND(G1573=1,F1573=""),"Fechamento sem conversa",IF(OR(AND(E1573&lt;&gt;"",E1573&lt;B1573),AND(F1573&lt;&gt;"",F1573&lt;B1573)),"Evento anterior à entrada",IF(AND(F1573&lt;&gt;"",E1573=""),"Conversa sem agendamento",IF(OR(E1573&gt;TODAY(),F1573&gt;TODAY()),"Verificar evento futuro","OK"))))))))))</f>
        <v/>
      </c>
    </row>
    <row r="1574" spans="12:15">
      <c r="L1574" s="5">
        <f>IF(OR(A1574="",B1574=""),"",B1574-WEEKDAY(B1574,2)+1)</f>
        <v/>
      </c>
      <c r="M1574" s="5">
        <f>IF(L1574="","",L1574+6)</f>
        <v/>
      </c>
      <c r="N1574" s="6">
        <f>IF(OR(A1574="",B1574=""),"",DATE(YEAR(B1574),MONTH(B1574),1))</f>
        <v/>
      </c>
      <c r="O1574" s="7">
        <f>IF(COUNTA(A1574:K1574)=0,"",IF(OR(A1574="",B1574=""),"Preencher CPF e entrada",IF(COUNTIFS($A$12:$A$5011,A1574,$B$12:$B$5011,B1574)&gt;1,"CPF + dia duplicado",IF(OR(AND(G1574&lt;&gt;"",G1574&lt;&gt;0,G1574&lt;&gt;1),AND(H1574&lt;&gt;"",H1574&lt;&gt;0,H1574&lt;&gt;1)),"Flags devem ser 0 ou 1",IF(AND(H1574=1,LEN(TRIM(I1574))=0),"Preencher nome do indicante",IF(AND(H1574&lt;&gt;1,I1574&lt;&gt;""),"Nome sem indicação interna",IF(AND(G1574=1,F1574=""),"Fechamento sem conversa",IF(OR(AND(E1574&lt;&gt;"",E1574&lt;B1574),AND(F1574&lt;&gt;"",F1574&lt;B1574)),"Evento anterior à entrada",IF(AND(F1574&lt;&gt;"",E1574=""),"Conversa sem agendamento",IF(OR(E1574&gt;TODAY(),F1574&gt;TODAY()),"Verificar evento futuro","OK"))))))))))</f>
        <v/>
      </c>
    </row>
    <row r="1575" spans="12:15">
      <c r="L1575" s="5">
        <f>IF(OR(A1575="",B1575=""),"",B1575-WEEKDAY(B1575,2)+1)</f>
        <v/>
      </c>
      <c r="M1575" s="5">
        <f>IF(L1575="","",L1575+6)</f>
        <v/>
      </c>
      <c r="N1575" s="6">
        <f>IF(OR(A1575="",B1575=""),"",DATE(YEAR(B1575),MONTH(B1575),1))</f>
        <v/>
      </c>
      <c r="O1575" s="7">
        <f>IF(COUNTA(A1575:K1575)=0,"",IF(OR(A1575="",B1575=""),"Preencher CPF e entrada",IF(COUNTIFS($A$12:$A$5011,A1575,$B$12:$B$5011,B1575)&gt;1,"CPF + dia duplicado",IF(OR(AND(G1575&lt;&gt;"",G1575&lt;&gt;0,G1575&lt;&gt;1),AND(H1575&lt;&gt;"",H1575&lt;&gt;0,H1575&lt;&gt;1)),"Flags devem ser 0 ou 1",IF(AND(H1575=1,LEN(TRIM(I1575))=0),"Preencher nome do indicante",IF(AND(H1575&lt;&gt;1,I1575&lt;&gt;""),"Nome sem indicação interna",IF(AND(G1575=1,F1575=""),"Fechamento sem conversa",IF(OR(AND(E1575&lt;&gt;"",E1575&lt;B1575),AND(F1575&lt;&gt;"",F1575&lt;B1575)),"Evento anterior à entrada",IF(AND(F1575&lt;&gt;"",E1575=""),"Conversa sem agendamento",IF(OR(E1575&gt;TODAY(),F1575&gt;TODAY()),"Verificar evento futuro","OK"))))))))))</f>
        <v/>
      </c>
    </row>
    <row r="1576" spans="12:15">
      <c r="L1576" s="5">
        <f>IF(OR(A1576="",B1576=""),"",B1576-WEEKDAY(B1576,2)+1)</f>
        <v/>
      </c>
      <c r="M1576" s="5">
        <f>IF(L1576="","",L1576+6)</f>
        <v/>
      </c>
      <c r="N1576" s="6">
        <f>IF(OR(A1576="",B1576=""),"",DATE(YEAR(B1576),MONTH(B1576),1))</f>
        <v/>
      </c>
      <c r="O1576" s="7">
        <f>IF(COUNTA(A1576:K1576)=0,"",IF(OR(A1576="",B1576=""),"Preencher CPF e entrada",IF(COUNTIFS($A$12:$A$5011,A1576,$B$12:$B$5011,B1576)&gt;1,"CPF + dia duplicado",IF(OR(AND(G1576&lt;&gt;"",G1576&lt;&gt;0,G1576&lt;&gt;1),AND(H1576&lt;&gt;"",H1576&lt;&gt;0,H1576&lt;&gt;1)),"Flags devem ser 0 ou 1",IF(AND(H1576=1,LEN(TRIM(I1576))=0),"Preencher nome do indicante",IF(AND(H1576&lt;&gt;1,I1576&lt;&gt;""),"Nome sem indicação interna",IF(AND(G1576=1,F1576=""),"Fechamento sem conversa",IF(OR(AND(E1576&lt;&gt;"",E1576&lt;B1576),AND(F1576&lt;&gt;"",F1576&lt;B1576)),"Evento anterior à entrada",IF(AND(F1576&lt;&gt;"",E1576=""),"Conversa sem agendamento",IF(OR(E1576&gt;TODAY(),F1576&gt;TODAY()),"Verificar evento futuro","OK"))))))))))</f>
        <v/>
      </c>
    </row>
    <row r="1577" spans="12:15">
      <c r="L1577" s="5">
        <f>IF(OR(A1577="",B1577=""),"",B1577-WEEKDAY(B1577,2)+1)</f>
        <v/>
      </c>
      <c r="M1577" s="5">
        <f>IF(L1577="","",L1577+6)</f>
        <v/>
      </c>
      <c r="N1577" s="6">
        <f>IF(OR(A1577="",B1577=""),"",DATE(YEAR(B1577),MONTH(B1577),1))</f>
        <v/>
      </c>
      <c r="O1577" s="7">
        <f>IF(COUNTA(A1577:K1577)=0,"",IF(OR(A1577="",B1577=""),"Preencher CPF e entrada",IF(COUNTIFS($A$12:$A$5011,A1577,$B$12:$B$5011,B1577)&gt;1,"CPF + dia duplicado",IF(OR(AND(G1577&lt;&gt;"",G1577&lt;&gt;0,G1577&lt;&gt;1),AND(H1577&lt;&gt;"",H1577&lt;&gt;0,H1577&lt;&gt;1)),"Flags devem ser 0 ou 1",IF(AND(H1577=1,LEN(TRIM(I1577))=0),"Preencher nome do indicante",IF(AND(H1577&lt;&gt;1,I1577&lt;&gt;""),"Nome sem indicação interna",IF(AND(G1577=1,F1577=""),"Fechamento sem conversa",IF(OR(AND(E1577&lt;&gt;"",E1577&lt;B1577),AND(F1577&lt;&gt;"",F1577&lt;B1577)),"Evento anterior à entrada",IF(AND(F1577&lt;&gt;"",E1577=""),"Conversa sem agendamento",IF(OR(E1577&gt;TODAY(),F1577&gt;TODAY()),"Verificar evento futuro","OK"))))))))))</f>
        <v/>
      </c>
    </row>
    <row r="1578" spans="12:15">
      <c r="L1578" s="5">
        <f>IF(OR(A1578="",B1578=""),"",B1578-WEEKDAY(B1578,2)+1)</f>
        <v/>
      </c>
      <c r="M1578" s="5">
        <f>IF(L1578="","",L1578+6)</f>
        <v/>
      </c>
      <c r="N1578" s="6">
        <f>IF(OR(A1578="",B1578=""),"",DATE(YEAR(B1578),MONTH(B1578),1))</f>
        <v/>
      </c>
      <c r="O1578" s="7">
        <f>IF(COUNTA(A1578:K1578)=0,"",IF(OR(A1578="",B1578=""),"Preencher CPF e entrada",IF(COUNTIFS($A$12:$A$5011,A1578,$B$12:$B$5011,B1578)&gt;1,"CPF + dia duplicado",IF(OR(AND(G1578&lt;&gt;"",G1578&lt;&gt;0,G1578&lt;&gt;1),AND(H1578&lt;&gt;"",H1578&lt;&gt;0,H1578&lt;&gt;1)),"Flags devem ser 0 ou 1",IF(AND(H1578=1,LEN(TRIM(I1578))=0),"Preencher nome do indicante",IF(AND(H1578&lt;&gt;1,I1578&lt;&gt;""),"Nome sem indicação interna",IF(AND(G1578=1,F1578=""),"Fechamento sem conversa",IF(OR(AND(E1578&lt;&gt;"",E1578&lt;B1578),AND(F1578&lt;&gt;"",F1578&lt;B1578)),"Evento anterior à entrada",IF(AND(F1578&lt;&gt;"",E1578=""),"Conversa sem agendamento",IF(OR(E1578&gt;TODAY(),F1578&gt;TODAY()),"Verificar evento futuro","OK"))))))))))</f>
        <v/>
      </c>
    </row>
    <row r="1579" spans="12:15">
      <c r="L1579" s="5">
        <f>IF(OR(A1579="",B1579=""),"",B1579-WEEKDAY(B1579,2)+1)</f>
        <v/>
      </c>
      <c r="M1579" s="5">
        <f>IF(L1579="","",L1579+6)</f>
        <v/>
      </c>
      <c r="N1579" s="6">
        <f>IF(OR(A1579="",B1579=""),"",DATE(YEAR(B1579),MONTH(B1579),1))</f>
        <v/>
      </c>
      <c r="O1579" s="7">
        <f>IF(COUNTA(A1579:K1579)=0,"",IF(OR(A1579="",B1579=""),"Preencher CPF e entrada",IF(COUNTIFS($A$12:$A$5011,A1579,$B$12:$B$5011,B1579)&gt;1,"CPF + dia duplicado",IF(OR(AND(G1579&lt;&gt;"",G1579&lt;&gt;0,G1579&lt;&gt;1),AND(H1579&lt;&gt;"",H1579&lt;&gt;0,H1579&lt;&gt;1)),"Flags devem ser 0 ou 1",IF(AND(H1579=1,LEN(TRIM(I1579))=0),"Preencher nome do indicante",IF(AND(H1579&lt;&gt;1,I1579&lt;&gt;""),"Nome sem indicação interna",IF(AND(G1579=1,F1579=""),"Fechamento sem conversa",IF(OR(AND(E1579&lt;&gt;"",E1579&lt;B1579),AND(F1579&lt;&gt;"",F1579&lt;B1579)),"Evento anterior à entrada",IF(AND(F1579&lt;&gt;"",E1579=""),"Conversa sem agendamento",IF(OR(E1579&gt;TODAY(),F1579&gt;TODAY()),"Verificar evento futuro","OK"))))))))))</f>
        <v/>
      </c>
    </row>
    <row r="1580" spans="12:15">
      <c r="L1580" s="5">
        <f>IF(OR(A1580="",B1580=""),"",B1580-WEEKDAY(B1580,2)+1)</f>
        <v/>
      </c>
      <c r="M1580" s="5">
        <f>IF(L1580="","",L1580+6)</f>
        <v/>
      </c>
      <c r="N1580" s="6">
        <f>IF(OR(A1580="",B1580=""),"",DATE(YEAR(B1580),MONTH(B1580),1))</f>
        <v/>
      </c>
      <c r="O1580" s="7">
        <f>IF(COUNTA(A1580:K1580)=0,"",IF(OR(A1580="",B1580=""),"Preencher CPF e entrada",IF(COUNTIFS($A$12:$A$5011,A1580,$B$12:$B$5011,B1580)&gt;1,"CPF + dia duplicado",IF(OR(AND(G1580&lt;&gt;"",G1580&lt;&gt;0,G1580&lt;&gt;1),AND(H1580&lt;&gt;"",H1580&lt;&gt;0,H1580&lt;&gt;1)),"Flags devem ser 0 ou 1",IF(AND(H1580=1,LEN(TRIM(I1580))=0),"Preencher nome do indicante",IF(AND(H1580&lt;&gt;1,I1580&lt;&gt;""),"Nome sem indicação interna",IF(AND(G1580=1,F1580=""),"Fechamento sem conversa",IF(OR(AND(E1580&lt;&gt;"",E1580&lt;B1580),AND(F1580&lt;&gt;"",F1580&lt;B1580)),"Evento anterior à entrada",IF(AND(F1580&lt;&gt;"",E1580=""),"Conversa sem agendamento",IF(OR(E1580&gt;TODAY(),F1580&gt;TODAY()),"Verificar evento futuro","OK"))))))))))</f>
        <v/>
      </c>
    </row>
    <row r="1581" spans="12:15">
      <c r="L1581" s="5">
        <f>IF(OR(A1581="",B1581=""),"",B1581-WEEKDAY(B1581,2)+1)</f>
        <v/>
      </c>
      <c r="M1581" s="5">
        <f>IF(L1581="","",L1581+6)</f>
        <v/>
      </c>
      <c r="N1581" s="6">
        <f>IF(OR(A1581="",B1581=""),"",DATE(YEAR(B1581),MONTH(B1581),1))</f>
        <v/>
      </c>
      <c r="O1581" s="7">
        <f>IF(COUNTA(A1581:K1581)=0,"",IF(OR(A1581="",B1581=""),"Preencher CPF e entrada",IF(COUNTIFS($A$12:$A$5011,A1581,$B$12:$B$5011,B1581)&gt;1,"CPF + dia duplicado",IF(OR(AND(G1581&lt;&gt;"",G1581&lt;&gt;0,G1581&lt;&gt;1),AND(H1581&lt;&gt;"",H1581&lt;&gt;0,H1581&lt;&gt;1)),"Flags devem ser 0 ou 1",IF(AND(H1581=1,LEN(TRIM(I1581))=0),"Preencher nome do indicante",IF(AND(H1581&lt;&gt;1,I1581&lt;&gt;""),"Nome sem indicação interna",IF(AND(G1581=1,F1581=""),"Fechamento sem conversa",IF(OR(AND(E1581&lt;&gt;"",E1581&lt;B1581),AND(F1581&lt;&gt;"",F1581&lt;B1581)),"Evento anterior à entrada",IF(AND(F1581&lt;&gt;"",E1581=""),"Conversa sem agendamento",IF(OR(E1581&gt;TODAY(),F1581&gt;TODAY()),"Verificar evento futuro","OK"))))))))))</f>
        <v/>
      </c>
    </row>
    <row r="1582" spans="12:15">
      <c r="L1582" s="5">
        <f>IF(OR(A1582="",B1582=""),"",B1582-WEEKDAY(B1582,2)+1)</f>
        <v/>
      </c>
      <c r="M1582" s="5">
        <f>IF(L1582="","",L1582+6)</f>
        <v/>
      </c>
      <c r="N1582" s="6">
        <f>IF(OR(A1582="",B1582=""),"",DATE(YEAR(B1582),MONTH(B1582),1))</f>
        <v/>
      </c>
      <c r="O1582" s="7">
        <f>IF(COUNTA(A1582:K1582)=0,"",IF(OR(A1582="",B1582=""),"Preencher CPF e entrada",IF(COUNTIFS($A$12:$A$5011,A1582,$B$12:$B$5011,B1582)&gt;1,"CPF + dia duplicado",IF(OR(AND(G1582&lt;&gt;"",G1582&lt;&gt;0,G1582&lt;&gt;1),AND(H1582&lt;&gt;"",H1582&lt;&gt;0,H1582&lt;&gt;1)),"Flags devem ser 0 ou 1",IF(AND(H1582=1,LEN(TRIM(I1582))=0),"Preencher nome do indicante",IF(AND(H1582&lt;&gt;1,I1582&lt;&gt;""),"Nome sem indicação interna",IF(AND(G1582=1,F1582=""),"Fechamento sem conversa",IF(OR(AND(E1582&lt;&gt;"",E1582&lt;B1582),AND(F1582&lt;&gt;"",F1582&lt;B1582)),"Evento anterior à entrada",IF(AND(F1582&lt;&gt;"",E1582=""),"Conversa sem agendamento",IF(OR(E1582&gt;TODAY(),F1582&gt;TODAY()),"Verificar evento futuro","OK"))))))))))</f>
        <v/>
      </c>
    </row>
    <row r="1583" spans="12:15">
      <c r="L1583" s="5">
        <f>IF(OR(A1583="",B1583=""),"",B1583-WEEKDAY(B1583,2)+1)</f>
        <v/>
      </c>
      <c r="M1583" s="5">
        <f>IF(L1583="","",L1583+6)</f>
        <v/>
      </c>
      <c r="N1583" s="6">
        <f>IF(OR(A1583="",B1583=""),"",DATE(YEAR(B1583),MONTH(B1583),1))</f>
        <v/>
      </c>
      <c r="O1583" s="7">
        <f>IF(COUNTA(A1583:K1583)=0,"",IF(OR(A1583="",B1583=""),"Preencher CPF e entrada",IF(COUNTIFS($A$12:$A$5011,A1583,$B$12:$B$5011,B1583)&gt;1,"CPF + dia duplicado",IF(OR(AND(G1583&lt;&gt;"",G1583&lt;&gt;0,G1583&lt;&gt;1),AND(H1583&lt;&gt;"",H1583&lt;&gt;0,H1583&lt;&gt;1)),"Flags devem ser 0 ou 1",IF(AND(H1583=1,LEN(TRIM(I1583))=0),"Preencher nome do indicante",IF(AND(H1583&lt;&gt;1,I1583&lt;&gt;""),"Nome sem indicação interna",IF(AND(G1583=1,F1583=""),"Fechamento sem conversa",IF(OR(AND(E1583&lt;&gt;"",E1583&lt;B1583),AND(F1583&lt;&gt;"",F1583&lt;B1583)),"Evento anterior à entrada",IF(AND(F1583&lt;&gt;"",E1583=""),"Conversa sem agendamento",IF(OR(E1583&gt;TODAY(),F1583&gt;TODAY()),"Verificar evento futuro","OK"))))))))))</f>
        <v/>
      </c>
    </row>
    <row r="1584" spans="12:15">
      <c r="L1584" s="5">
        <f>IF(OR(A1584="",B1584=""),"",B1584-WEEKDAY(B1584,2)+1)</f>
        <v/>
      </c>
      <c r="M1584" s="5">
        <f>IF(L1584="","",L1584+6)</f>
        <v/>
      </c>
      <c r="N1584" s="6">
        <f>IF(OR(A1584="",B1584=""),"",DATE(YEAR(B1584),MONTH(B1584),1))</f>
        <v/>
      </c>
      <c r="O1584" s="7">
        <f>IF(COUNTA(A1584:K1584)=0,"",IF(OR(A1584="",B1584=""),"Preencher CPF e entrada",IF(COUNTIFS($A$12:$A$5011,A1584,$B$12:$B$5011,B1584)&gt;1,"CPF + dia duplicado",IF(OR(AND(G1584&lt;&gt;"",G1584&lt;&gt;0,G1584&lt;&gt;1),AND(H1584&lt;&gt;"",H1584&lt;&gt;0,H1584&lt;&gt;1)),"Flags devem ser 0 ou 1",IF(AND(H1584=1,LEN(TRIM(I1584))=0),"Preencher nome do indicante",IF(AND(H1584&lt;&gt;1,I1584&lt;&gt;""),"Nome sem indicação interna",IF(AND(G1584=1,F1584=""),"Fechamento sem conversa",IF(OR(AND(E1584&lt;&gt;"",E1584&lt;B1584),AND(F1584&lt;&gt;"",F1584&lt;B1584)),"Evento anterior à entrada",IF(AND(F1584&lt;&gt;"",E1584=""),"Conversa sem agendamento",IF(OR(E1584&gt;TODAY(),F1584&gt;TODAY()),"Verificar evento futuro","OK"))))))))))</f>
        <v/>
      </c>
    </row>
    <row r="1585" spans="12:15">
      <c r="L1585" s="5">
        <f>IF(OR(A1585="",B1585=""),"",B1585-WEEKDAY(B1585,2)+1)</f>
        <v/>
      </c>
      <c r="M1585" s="5">
        <f>IF(L1585="","",L1585+6)</f>
        <v/>
      </c>
      <c r="N1585" s="6">
        <f>IF(OR(A1585="",B1585=""),"",DATE(YEAR(B1585),MONTH(B1585),1))</f>
        <v/>
      </c>
      <c r="O1585" s="7">
        <f>IF(COUNTA(A1585:K1585)=0,"",IF(OR(A1585="",B1585=""),"Preencher CPF e entrada",IF(COUNTIFS($A$12:$A$5011,A1585,$B$12:$B$5011,B1585)&gt;1,"CPF + dia duplicado",IF(OR(AND(G1585&lt;&gt;"",G1585&lt;&gt;0,G1585&lt;&gt;1),AND(H1585&lt;&gt;"",H1585&lt;&gt;0,H1585&lt;&gt;1)),"Flags devem ser 0 ou 1",IF(AND(H1585=1,LEN(TRIM(I1585))=0),"Preencher nome do indicante",IF(AND(H1585&lt;&gt;1,I1585&lt;&gt;""),"Nome sem indicação interna",IF(AND(G1585=1,F1585=""),"Fechamento sem conversa",IF(OR(AND(E1585&lt;&gt;"",E1585&lt;B1585),AND(F1585&lt;&gt;"",F1585&lt;B1585)),"Evento anterior à entrada",IF(AND(F1585&lt;&gt;"",E1585=""),"Conversa sem agendamento",IF(OR(E1585&gt;TODAY(),F1585&gt;TODAY()),"Verificar evento futuro","OK"))))))))))</f>
        <v/>
      </c>
    </row>
    <row r="1586" spans="12:15">
      <c r="L1586" s="5">
        <f>IF(OR(A1586="",B1586=""),"",B1586-WEEKDAY(B1586,2)+1)</f>
        <v/>
      </c>
      <c r="M1586" s="5">
        <f>IF(L1586="","",L1586+6)</f>
        <v/>
      </c>
      <c r="N1586" s="6">
        <f>IF(OR(A1586="",B1586=""),"",DATE(YEAR(B1586),MONTH(B1586),1))</f>
        <v/>
      </c>
      <c r="O1586" s="7">
        <f>IF(COUNTA(A1586:K1586)=0,"",IF(OR(A1586="",B1586=""),"Preencher CPF e entrada",IF(COUNTIFS($A$12:$A$5011,A1586,$B$12:$B$5011,B1586)&gt;1,"CPF + dia duplicado",IF(OR(AND(G1586&lt;&gt;"",G1586&lt;&gt;0,G1586&lt;&gt;1),AND(H1586&lt;&gt;"",H1586&lt;&gt;0,H1586&lt;&gt;1)),"Flags devem ser 0 ou 1",IF(AND(H1586=1,LEN(TRIM(I1586))=0),"Preencher nome do indicante",IF(AND(H1586&lt;&gt;1,I1586&lt;&gt;""),"Nome sem indicação interna",IF(AND(G1586=1,F1586=""),"Fechamento sem conversa",IF(OR(AND(E1586&lt;&gt;"",E1586&lt;B1586),AND(F1586&lt;&gt;"",F1586&lt;B1586)),"Evento anterior à entrada",IF(AND(F1586&lt;&gt;"",E1586=""),"Conversa sem agendamento",IF(OR(E1586&gt;TODAY(),F1586&gt;TODAY()),"Verificar evento futuro","OK"))))))))))</f>
        <v/>
      </c>
    </row>
    <row r="1587" spans="12:15">
      <c r="L1587" s="5">
        <f>IF(OR(A1587="",B1587=""),"",B1587-WEEKDAY(B1587,2)+1)</f>
        <v/>
      </c>
      <c r="M1587" s="5">
        <f>IF(L1587="","",L1587+6)</f>
        <v/>
      </c>
      <c r="N1587" s="6">
        <f>IF(OR(A1587="",B1587=""),"",DATE(YEAR(B1587),MONTH(B1587),1))</f>
        <v/>
      </c>
      <c r="O1587" s="7">
        <f>IF(COUNTA(A1587:K1587)=0,"",IF(OR(A1587="",B1587=""),"Preencher CPF e entrada",IF(COUNTIFS($A$12:$A$5011,A1587,$B$12:$B$5011,B1587)&gt;1,"CPF + dia duplicado",IF(OR(AND(G1587&lt;&gt;"",G1587&lt;&gt;0,G1587&lt;&gt;1),AND(H1587&lt;&gt;"",H1587&lt;&gt;0,H1587&lt;&gt;1)),"Flags devem ser 0 ou 1",IF(AND(H1587=1,LEN(TRIM(I1587))=0),"Preencher nome do indicante",IF(AND(H1587&lt;&gt;1,I1587&lt;&gt;""),"Nome sem indicação interna",IF(AND(G1587=1,F1587=""),"Fechamento sem conversa",IF(OR(AND(E1587&lt;&gt;"",E1587&lt;B1587),AND(F1587&lt;&gt;"",F1587&lt;B1587)),"Evento anterior à entrada",IF(AND(F1587&lt;&gt;"",E1587=""),"Conversa sem agendamento",IF(OR(E1587&gt;TODAY(),F1587&gt;TODAY()),"Verificar evento futuro","OK"))))))))))</f>
        <v/>
      </c>
    </row>
    <row r="1588" spans="12:15">
      <c r="L1588" s="5">
        <f>IF(OR(A1588="",B1588=""),"",B1588-WEEKDAY(B1588,2)+1)</f>
        <v/>
      </c>
      <c r="M1588" s="5">
        <f>IF(L1588="","",L1588+6)</f>
        <v/>
      </c>
      <c r="N1588" s="6">
        <f>IF(OR(A1588="",B1588=""),"",DATE(YEAR(B1588),MONTH(B1588),1))</f>
        <v/>
      </c>
      <c r="O1588" s="7">
        <f>IF(COUNTA(A1588:K1588)=0,"",IF(OR(A1588="",B1588=""),"Preencher CPF e entrada",IF(COUNTIFS($A$12:$A$5011,A1588,$B$12:$B$5011,B1588)&gt;1,"CPF + dia duplicado",IF(OR(AND(G1588&lt;&gt;"",G1588&lt;&gt;0,G1588&lt;&gt;1),AND(H1588&lt;&gt;"",H1588&lt;&gt;0,H1588&lt;&gt;1)),"Flags devem ser 0 ou 1",IF(AND(H1588=1,LEN(TRIM(I1588))=0),"Preencher nome do indicante",IF(AND(H1588&lt;&gt;1,I1588&lt;&gt;""),"Nome sem indicação interna",IF(AND(G1588=1,F1588=""),"Fechamento sem conversa",IF(OR(AND(E1588&lt;&gt;"",E1588&lt;B1588),AND(F1588&lt;&gt;"",F1588&lt;B1588)),"Evento anterior à entrada",IF(AND(F1588&lt;&gt;"",E1588=""),"Conversa sem agendamento",IF(OR(E1588&gt;TODAY(),F1588&gt;TODAY()),"Verificar evento futuro","OK"))))))))))</f>
        <v/>
      </c>
    </row>
    <row r="1589" spans="12:15">
      <c r="L1589" s="5">
        <f>IF(OR(A1589="",B1589=""),"",B1589-WEEKDAY(B1589,2)+1)</f>
        <v/>
      </c>
      <c r="M1589" s="5">
        <f>IF(L1589="","",L1589+6)</f>
        <v/>
      </c>
      <c r="N1589" s="6">
        <f>IF(OR(A1589="",B1589=""),"",DATE(YEAR(B1589),MONTH(B1589),1))</f>
        <v/>
      </c>
      <c r="O1589" s="7">
        <f>IF(COUNTA(A1589:K1589)=0,"",IF(OR(A1589="",B1589=""),"Preencher CPF e entrada",IF(COUNTIFS($A$12:$A$5011,A1589,$B$12:$B$5011,B1589)&gt;1,"CPF + dia duplicado",IF(OR(AND(G1589&lt;&gt;"",G1589&lt;&gt;0,G1589&lt;&gt;1),AND(H1589&lt;&gt;"",H1589&lt;&gt;0,H1589&lt;&gt;1)),"Flags devem ser 0 ou 1",IF(AND(H1589=1,LEN(TRIM(I1589))=0),"Preencher nome do indicante",IF(AND(H1589&lt;&gt;1,I1589&lt;&gt;""),"Nome sem indicação interna",IF(AND(G1589=1,F1589=""),"Fechamento sem conversa",IF(OR(AND(E1589&lt;&gt;"",E1589&lt;B1589),AND(F1589&lt;&gt;"",F1589&lt;B1589)),"Evento anterior à entrada",IF(AND(F1589&lt;&gt;"",E1589=""),"Conversa sem agendamento",IF(OR(E1589&gt;TODAY(),F1589&gt;TODAY()),"Verificar evento futuro","OK"))))))))))</f>
        <v/>
      </c>
    </row>
    <row r="1590" spans="12:15">
      <c r="L1590" s="5">
        <f>IF(OR(A1590="",B1590=""),"",B1590-WEEKDAY(B1590,2)+1)</f>
        <v/>
      </c>
      <c r="M1590" s="5">
        <f>IF(L1590="","",L1590+6)</f>
        <v/>
      </c>
      <c r="N1590" s="6">
        <f>IF(OR(A1590="",B1590=""),"",DATE(YEAR(B1590),MONTH(B1590),1))</f>
        <v/>
      </c>
      <c r="O1590" s="7">
        <f>IF(COUNTA(A1590:K1590)=0,"",IF(OR(A1590="",B1590=""),"Preencher CPF e entrada",IF(COUNTIFS($A$12:$A$5011,A1590,$B$12:$B$5011,B1590)&gt;1,"CPF + dia duplicado",IF(OR(AND(G1590&lt;&gt;"",G1590&lt;&gt;0,G1590&lt;&gt;1),AND(H1590&lt;&gt;"",H1590&lt;&gt;0,H1590&lt;&gt;1)),"Flags devem ser 0 ou 1",IF(AND(H1590=1,LEN(TRIM(I1590))=0),"Preencher nome do indicante",IF(AND(H1590&lt;&gt;1,I1590&lt;&gt;""),"Nome sem indicação interna",IF(AND(G1590=1,F1590=""),"Fechamento sem conversa",IF(OR(AND(E1590&lt;&gt;"",E1590&lt;B1590),AND(F1590&lt;&gt;"",F1590&lt;B1590)),"Evento anterior à entrada",IF(AND(F1590&lt;&gt;"",E1590=""),"Conversa sem agendamento",IF(OR(E1590&gt;TODAY(),F1590&gt;TODAY()),"Verificar evento futuro","OK"))))))))))</f>
        <v/>
      </c>
    </row>
    <row r="1591" spans="12:15">
      <c r="L1591" s="5">
        <f>IF(OR(A1591="",B1591=""),"",B1591-WEEKDAY(B1591,2)+1)</f>
        <v/>
      </c>
      <c r="M1591" s="5">
        <f>IF(L1591="","",L1591+6)</f>
        <v/>
      </c>
      <c r="N1591" s="6">
        <f>IF(OR(A1591="",B1591=""),"",DATE(YEAR(B1591),MONTH(B1591),1))</f>
        <v/>
      </c>
      <c r="O1591" s="7">
        <f>IF(COUNTA(A1591:K1591)=0,"",IF(OR(A1591="",B1591=""),"Preencher CPF e entrada",IF(COUNTIFS($A$12:$A$5011,A1591,$B$12:$B$5011,B1591)&gt;1,"CPF + dia duplicado",IF(OR(AND(G1591&lt;&gt;"",G1591&lt;&gt;0,G1591&lt;&gt;1),AND(H1591&lt;&gt;"",H1591&lt;&gt;0,H1591&lt;&gt;1)),"Flags devem ser 0 ou 1",IF(AND(H1591=1,LEN(TRIM(I1591))=0),"Preencher nome do indicante",IF(AND(H1591&lt;&gt;1,I1591&lt;&gt;""),"Nome sem indicação interna",IF(AND(G1591=1,F1591=""),"Fechamento sem conversa",IF(OR(AND(E1591&lt;&gt;"",E1591&lt;B1591),AND(F1591&lt;&gt;"",F1591&lt;B1591)),"Evento anterior à entrada",IF(AND(F1591&lt;&gt;"",E1591=""),"Conversa sem agendamento",IF(OR(E1591&gt;TODAY(),F1591&gt;TODAY()),"Verificar evento futuro","OK"))))))))))</f>
        <v/>
      </c>
    </row>
    <row r="1592" spans="12:15">
      <c r="L1592" s="5">
        <f>IF(OR(A1592="",B1592=""),"",B1592-WEEKDAY(B1592,2)+1)</f>
        <v/>
      </c>
      <c r="M1592" s="5">
        <f>IF(L1592="","",L1592+6)</f>
        <v/>
      </c>
      <c r="N1592" s="6">
        <f>IF(OR(A1592="",B1592=""),"",DATE(YEAR(B1592),MONTH(B1592),1))</f>
        <v/>
      </c>
      <c r="O1592" s="7">
        <f>IF(COUNTA(A1592:K1592)=0,"",IF(OR(A1592="",B1592=""),"Preencher CPF e entrada",IF(COUNTIFS($A$12:$A$5011,A1592,$B$12:$B$5011,B1592)&gt;1,"CPF + dia duplicado",IF(OR(AND(G1592&lt;&gt;"",G1592&lt;&gt;0,G1592&lt;&gt;1),AND(H1592&lt;&gt;"",H1592&lt;&gt;0,H1592&lt;&gt;1)),"Flags devem ser 0 ou 1",IF(AND(H1592=1,LEN(TRIM(I1592))=0),"Preencher nome do indicante",IF(AND(H1592&lt;&gt;1,I1592&lt;&gt;""),"Nome sem indicação interna",IF(AND(G1592=1,F1592=""),"Fechamento sem conversa",IF(OR(AND(E1592&lt;&gt;"",E1592&lt;B1592),AND(F1592&lt;&gt;"",F1592&lt;B1592)),"Evento anterior à entrada",IF(AND(F1592&lt;&gt;"",E1592=""),"Conversa sem agendamento",IF(OR(E1592&gt;TODAY(),F1592&gt;TODAY()),"Verificar evento futuro","OK"))))))))))</f>
        <v/>
      </c>
    </row>
    <row r="1593" spans="12:15">
      <c r="L1593" s="5">
        <f>IF(OR(A1593="",B1593=""),"",B1593-WEEKDAY(B1593,2)+1)</f>
        <v/>
      </c>
      <c r="M1593" s="5">
        <f>IF(L1593="","",L1593+6)</f>
        <v/>
      </c>
      <c r="N1593" s="6">
        <f>IF(OR(A1593="",B1593=""),"",DATE(YEAR(B1593),MONTH(B1593),1))</f>
        <v/>
      </c>
      <c r="O1593" s="7">
        <f>IF(COUNTA(A1593:K1593)=0,"",IF(OR(A1593="",B1593=""),"Preencher CPF e entrada",IF(COUNTIFS($A$12:$A$5011,A1593,$B$12:$B$5011,B1593)&gt;1,"CPF + dia duplicado",IF(OR(AND(G1593&lt;&gt;"",G1593&lt;&gt;0,G1593&lt;&gt;1),AND(H1593&lt;&gt;"",H1593&lt;&gt;0,H1593&lt;&gt;1)),"Flags devem ser 0 ou 1",IF(AND(H1593=1,LEN(TRIM(I1593))=0),"Preencher nome do indicante",IF(AND(H1593&lt;&gt;1,I1593&lt;&gt;""),"Nome sem indicação interna",IF(AND(G1593=1,F1593=""),"Fechamento sem conversa",IF(OR(AND(E1593&lt;&gt;"",E1593&lt;B1593),AND(F1593&lt;&gt;"",F1593&lt;B1593)),"Evento anterior à entrada",IF(AND(F1593&lt;&gt;"",E1593=""),"Conversa sem agendamento",IF(OR(E1593&gt;TODAY(),F1593&gt;TODAY()),"Verificar evento futuro","OK"))))))))))</f>
        <v/>
      </c>
    </row>
    <row r="1594" spans="12:15">
      <c r="L1594" s="5">
        <f>IF(OR(A1594="",B1594=""),"",B1594-WEEKDAY(B1594,2)+1)</f>
        <v/>
      </c>
      <c r="M1594" s="5">
        <f>IF(L1594="","",L1594+6)</f>
        <v/>
      </c>
      <c r="N1594" s="6">
        <f>IF(OR(A1594="",B1594=""),"",DATE(YEAR(B1594),MONTH(B1594),1))</f>
        <v/>
      </c>
      <c r="O1594" s="7">
        <f>IF(COUNTA(A1594:K1594)=0,"",IF(OR(A1594="",B1594=""),"Preencher CPF e entrada",IF(COUNTIFS($A$12:$A$5011,A1594,$B$12:$B$5011,B1594)&gt;1,"CPF + dia duplicado",IF(OR(AND(G1594&lt;&gt;"",G1594&lt;&gt;0,G1594&lt;&gt;1),AND(H1594&lt;&gt;"",H1594&lt;&gt;0,H1594&lt;&gt;1)),"Flags devem ser 0 ou 1",IF(AND(H1594=1,LEN(TRIM(I1594))=0),"Preencher nome do indicante",IF(AND(H1594&lt;&gt;1,I1594&lt;&gt;""),"Nome sem indicação interna",IF(AND(G1594=1,F1594=""),"Fechamento sem conversa",IF(OR(AND(E1594&lt;&gt;"",E1594&lt;B1594),AND(F1594&lt;&gt;"",F1594&lt;B1594)),"Evento anterior à entrada",IF(AND(F1594&lt;&gt;"",E1594=""),"Conversa sem agendamento",IF(OR(E1594&gt;TODAY(),F1594&gt;TODAY()),"Verificar evento futuro","OK"))))))))))</f>
        <v/>
      </c>
    </row>
    <row r="1595" spans="12:15">
      <c r="L1595" s="5">
        <f>IF(OR(A1595="",B1595=""),"",B1595-WEEKDAY(B1595,2)+1)</f>
        <v/>
      </c>
      <c r="M1595" s="5">
        <f>IF(L1595="","",L1595+6)</f>
        <v/>
      </c>
      <c r="N1595" s="6">
        <f>IF(OR(A1595="",B1595=""),"",DATE(YEAR(B1595),MONTH(B1595),1))</f>
        <v/>
      </c>
      <c r="O1595" s="7">
        <f>IF(COUNTA(A1595:K1595)=0,"",IF(OR(A1595="",B1595=""),"Preencher CPF e entrada",IF(COUNTIFS($A$12:$A$5011,A1595,$B$12:$B$5011,B1595)&gt;1,"CPF + dia duplicado",IF(OR(AND(G1595&lt;&gt;"",G1595&lt;&gt;0,G1595&lt;&gt;1),AND(H1595&lt;&gt;"",H1595&lt;&gt;0,H1595&lt;&gt;1)),"Flags devem ser 0 ou 1",IF(AND(H1595=1,LEN(TRIM(I1595))=0),"Preencher nome do indicante",IF(AND(H1595&lt;&gt;1,I1595&lt;&gt;""),"Nome sem indicação interna",IF(AND(G1595=1,F1595=""),"Fechamento sem conversa",IF(OR(AND(E1595&lt;&gt;"",E1595&lt;B1595),AND(F1595&lt;&gt;"",F1595&lt;B1595)),"Evento anterior à entrada",IF(AND(F1595&lt;&gt;"",E1595=""),"Conversa sem agendamento",IF(OR(E1595&gt;TODAY(),F1595&gt;TODAY()),"Verificar evento futuro","OK"))))))))))</f>
        <v/>
      </c>
    </row>
    <row r="1596" spans="12:15">
      <c r="L1596" s="5">
        <f>IF(OR(A1596="",B1596=""),"",B1596-WEEKDAY(B1596,2)+1)</f>
        <v/>
      </c>
      <c r="M1596" s="5">
        <f>IF(L1596="","",L1596+6)</f>
        <v/>
      </c>
      <c r="N1596" s="6">
        <f>IF(OR(A1596="",B1596=""),"",DATE(YEAR(B1596),MONTH(B1596),1))</f>
        <v/>
      </c>
      <c r="O1596" s="7">
        <f>IF(COUNTA(A1596:K1596)=0,"",IF(OR(A1596="",B1596=""),"Preencher CPF e entrada",IF(COUNTIFS($A$12:$A$5011,A1596,$B$12:$B$5011,B1596)&gt;1,"CPF + dia duplicado",IF(OR(AND(G1596&lt;&gt;"",G1596&lt;&gt;0,G1596&lt;&gt;1),AND(H1596&lt;&gt;"",H1596&lt;&gt;0,H1596&lt;&gt;1)),"Flags devem ser 0 ou 1",IF(AND(H1596=1,LEN(TRIM(I1596))=0),"Preencher nome do indicante",IF(AND(H1596&lt;&gt;1,I1596&lt;&gt;""),"Nome sem indicação interna",IF(AND(G1596=1,F1596=""),"Fechamento sem conversa",IF(OR(AND(E1596&lt;&gt;"",E1596&lt;B1596),AND(F1596&lt;&gt;"",F1596&lt;B1596)),"Evento anterior à entrada",IF(AND(F1596&lt;&gt;"",E1596=""),"Conversa sem agendamento",IF(OR(E1596&gt;TODAY(),F1596&gt;TODAY()),"Verificar evento futuro","OK"))))))))))</f>
        <v/>
      </c>
    </row>
    <row r="1597" spans="12:15">
      <c r="L1597" s="5">
        <f>IF(OR(A1597="",B1597=""),"",B1597-WEEKDAY(B1597,2)+1)</f>
        <v/>
      </c>
      <c r="M1597" s="5">
        <f>IF(L1597="","",L1597+6)</f>
        <v/>
      </c>
      <c r="N1597" s="6">
        <f>IF(OR(A1597="",B1597=""),"",DATE(YEAR(B1597),MONTH(B1597),1))</f>
        <v/>
      </c>
      <c r="O1597" s="7">
        <f>IF(COUNTA(A1597:K1597)=0,"",IF(OR(A1597="",B1597=""),"Preencher CPF e entrada",IF(COUNTIFS($A$12:$A$5011,A1597,$B$12:$B$5011,B1597)&gt;1,"CPF + dia duplicado",IF(OR(AND(G1597&lt;&gt;"",G1597&lt;&gt;0,G1597&lt;&gt;1),AND(H1597&lt;&gt;"",H1597&lt;&gt;0,H1597&lt;&gt;1)),"Flags devem ser 0 ou 1",IF(AND(H1597=1,LEN(TRIM(I1597))=0),"Preencher nome do indicante",IF(AND(H1597&lt;&gt;1,I1597&lt;&gt;""),"Nome sem indicação interna",IF(AND(G1597=1,F1597=""),"Fechamento sem conversa",IF(OR(AND(E1597&lt;&gt;"",E1597&lt;B1597),AND(F1597&lt;&gt;"",F1597&lt;B1597)),"Evento anterior à entrada",IF(AND(F1597&lt;&gt;"",E1597=""),"Conversa sem agendamento",IF(OR(E1597&gt;TODAY(),F1597&gt;TODAY()),"Verificar evento futuro","OK"))))))))))</f>
        <v/>
      </c>
    </row>
    <row r="1598" spans="12:15">
      <c r="L1598" s="5">
        <f>IF(OR(A1598="",B1598=""),"",B1598-WEEKDAY(B1598,2)+1)</f>
        <v/>
      </c>
      <c r="M1598" s="5">
        <f>IF(L1598="","",L1598+6)</f>
        <v/>
      </c>
      <c r="N1598" s="6">
        <f>IF(OR(A1598="",B1598=""),"",DATE(YEAR(B1598),MONTH(B1598),1))</f>
        <v/>
      </c>
      <c r="O1598" s="7">
        <f>IF(COUNTA(A1598:K1598)=0,"",IF(OR(A1598="",B1598=""),"Preencher CPF e entrada",IF(COUNTIFS($A$12:$A$5011,A1598,$B$12:$B$5011,B1598)&gt;1,"CPF + dia duplicado",IF(OR(AND(G1598&lt;&gt;"",G1598&lt;&gt;0,G1598&lt;&gt;1),AND(H1598&lt;&gt;"",H1598&lt;&gt;0,H1598&lt;&gt;1)),"Flags devem ser 0 ou 1",IF(AND(H1598=1,LEN(TRIM(I1598))=0),"Preencher nome do indicante",IF(AND(H1598&lt;&gt;1,I1598&lt;&gt;""),"Nome sem indicação interna",IF(AND(G1598=1,F1598=""),"Fechamento sem conversa",IF(OR(AND(E1598&lt;&gt;"",E1598&lt;B1598),AND(F1598&lt;&gt;"",F1598&lt;B1598)),"Evento anterior à entrada",IF(AND(F1598&lt;&gt;"",E1598=""),"Conversa sem agendamento",IF(OR(E1598&gt;TODAY(),F1598&gt;TODAY()),"Verificar evento futuro","OK"))))))))))</f>
        <v/>
      </c>
    </row>
    <row r="1599" spans="12:15">
      <c r="L1599" s="5">
        <f>IF(OR(A1599="",B1599=""),"",B1599-WEEKDAY(B1599,2)+1)</f>
        <v/>
      </c>
      <c r="M1599" s="5">
        <f>IF(L1599="","",L1599+6)</f>
        <v/>
      </c>
      <c r="N1599" s="6">
        <f>IF(OR(A1599="",B1599=""),"",DATE(YEAR(B1599),MONTH(B1599),1))</f>
        <v/>
      </c>
      <c r="O1599" s="7">
        <f>IF(COUNTA(A1599:K1599)=0,"",IF(OR(A1599="",B1599=""),"Preencher CPF e entrada",IF(COUNTIFS($A$12:$A$5011,A1599,$B$12:$B$5011,B1599)&gt;1,"CPF + dia duplicado",IF(OR(AND(G1599&lt;&gt;"",G1599&lt;&gt;0,G1599&lt;&gt;1),AND(H1599&lt;&gt;"",H1599&lt;&gt;0,H1599&lt;&gt;1)),"Flags devem ser 0 ou 1",IF(AND(H1599=1,LEN(TRIM(I1599))=0),"Preencher nome do indicante",IF(AND(H1599&lt;&gt;1,I1599&lt;&gt;""),"Nome sem indicação interna",IF(AND(G1599=1,F1599=""),"Fechamento sem conversa",IF(OR(AND(E1599&lt;&gt;"",E1599&lt;B1599),AND(F1599&lt;&gt;"",F1599&lt;B1599)),"Evento anterior à entrada",IF(AND(F1599&lt;&gt;"",E1599=""),"Conversa sem agendamento",IF(OR(E1599&gt;TODAY(),F1599&gt;TODAY()),"Verificar evento futuro","OK"))))))))))</f>
        <v/>
      </c>
    </row>
    <row r="1600" spans="12:15">
      <c r="L1600" s="5">
        <f>IF(OR(A1600="",B1600=""),"",B1600-WEEKDAY(B1600,2)+1)</f>
        <v/>
      </c>
      <c r="M1600" s="5">
        <f>IF(L1600="","",L1600+6)</f>
        <v/>
      </c>
      <c r="N1600" s="6">
        <f>IF(OR(A1600="",B1600=""),"",DATE(YEAR(B1600),MONTH(B1600),1))</f>
        <v/>
      </c>
      <c r="O1600" s="7">
        <f>IF(COUNTA(A1600:K1600)=0,"",IF(OR(A1600="",B1600=""),"Preencher CPF e entrada",IF(COUNTIFS($A$12:$A$5011,A1600,$B$12:$B$5011,B1600)&gt;1,"CPF + dia duplicado",IF(OR(AND(G1600&lt;&gt;"",G1600&lt;&gt;0,G1600&lt;&gt;1),AND(H1600&lt;&gt;"",H1600&lt;&gt;0,H1600&lt;&gt;1)),"Flags devem ser 0 ou 1",IF(AND(H1600=1,LEN(TRIM(I1600))=0),"Preencher nome do indicante",IF(AND(H1600&lt;&gt;1,I1600&lt;&gt;""),"Nome sem indicação interna",IF(AND(G1600=1,F1600=""),"Fechamento sem conversa",IF(OR(AND(E1600&lt;&gt;"",E1600&lt;B1600),AND(F1600&lt;&gt;"",F1600&lt;B1600)),"Evento anterior à entrada",IF(AND(F1600&lt;&gt;"",E1600=""),"Conversa sem agendamento",IF(OR(E1600&gt;TODAY(),F1600&gt;TODAY()),"Verificar evento futuro","OK"))))))))))</f>
        <v/>
      </c>
    </row>
    <row r="1601" spans="12:15">
      <c r="L1601" s="5">
        <f>IF(OR(A1601="",B1601=""),"",B1601-WEEKDAY(B1601,2)+1)</f>
        <v/>
      </c>
      <c r="M1601" s="5">
        <f>IF(L1601="","",L1601+6)</f>
        <v/>
      </c>
      <c r="N1601" s="6">
        <f>IF(OR(A1601="",B1601=""),"",DATE(YEAR(B1601),MONTH(B1601),1))</f>
        <v/>
      </c>
      <c r="O1601" s="7">
        <f>IF(COUNTA(A1601:K1601)=0,"",IF(OR(A1601="",B1601=""),"Preencher CPF e entrada",IF(COUNTIFS($A$12:$A$5011,A1601,$B$12:$B$5011,B1601)&gt;1,"CPF + dia duplicado",IF(OR(AND(G1601&lt;&gt;"",G1601&lt;&gt;0,G1601&lt;&gt;1),AND(H1601&lt;&gt;"",H1601&lt;&gt;0,H1601&lt;&gt;1)),"Flags devem ser 0 ou 1",IF(AND(H1601=1,LEN(TRIM(I1601))=0),"Preencher nome do indicante",IF(AND(H1601&lt;&gt;1,I1601&lt;&gt;""),"Nome sem indicação interna",IF(AND(G1601=1,F1601=""),"Fechamento sem conversa",IF(OR(AND(E1601&lt;&gt;"",E1601&lt;B1601),AND(F1601&lt;&gt;"",F1601&lt;B1601)),"Evento anterior à entrada",IF(AND(F1601&lt;&gt;"",E1601=""),"Conversa sem agendamento",IF(OR(E1601&gt;TODAY(),F1601&gt;TODAY()),"Verificar evento futuro","OK"))))))))))</f>
        <v/>
      </c>
    </row>
    <row r="1602" spans="12:15">
      <c r="L1602" s="5">
        <f>IF(OR(A1602="",B1602=""),"",B1602-WEEKDAY(B1602,2)+1)</f>
        <v/>
      </c>
      <c r="M1602" s="5">
        <f>IF(L1602="","",L1602+6)</f>
        <v/>
      </c>
      <c r="N1602" s="6">
        <f>IF(OR(A1602="",B1602=""),"",DATE(YEAR(B1602),MONTH(B1602),1))</f>
        <v/>
      </c>
      <c r="O1602" s="7">
        <f>IF(COUNTA(A1602:K1602)=0,"",IF(OR(A1602="",B1602=""),"Preencher CPF e entrada",IF(COUNTIFS($A$12:$A$5011,A1602,$B$12:$B$5011,B1602)&gt;1,"CPF + dia duplicado",IF(OR(AND(G1602&lt;&gt;"",G1602&lt;&gt;0,G1602&lt;&gt;1),AND(H1602&lt;&gt;"",H1602&lt;&gt;0,H1602&lt;&gt;1)),"Flags devem ser 0 ou 1",IF(AND(H1602=1,LEN(TRIM(I1602))=0),"Preencher nome do indicante",IF(AND(H1602&lt;&gt;1,I1602&lt;&gt;""),"Nome sem indicação interna",IF(AND(G1602=1,F1602=""),"Fechamento sem conversa",IF(OR(AND(E1602&lt;&gt;"",E1602&lt;B1602),AND(F1602&lt;&gt;"",F1602&lt;B1602)),"Evento anterior à entrada",IF(AND(F1602&lt;&gt;"",E1602=""),"Conversa sem agendamento",IF(OR(E1602&gt;TODAY(),F1602&gt;TODAY()),"Verificar evento futuro","OK"))))))))))</f>
        <v/>
      </c>
    </row>
    <row r="1603" spans="12:15">
      <c r="L1603" s="5">
        <f>IF(OR(A1603="",B1603=""),"",B1603-WEEKDAY(B1603,2)+1)</f>
        <v/>
      </c>
      <c r="M1603" s="5">
        <f>IF(L1603="","",L1603+6)</f>
        <v/>
      </c>
      <c r="N1603" s="6">
        <f>IF(OR(A1603="",B1603=""),"",DATE(YEAR(B1603),MONTH(B1603),1))</f>
        <v/>
      </c>
      <c r="O1603" s="7">
        <f>IF(COUNTA(A1603:K1603)=0,"",IF(OR(A1603="",B1603=""),"Preencher CPF e entrada",IF(COUNTIFS($A$12:$A$5011,A1603,$B$12:$B$5011,B1603)&gt;1,"CPF + dia duplicado",IF(OR(AND(G1603&lt;&gt;"",G1603&lt;&gt;0,G1603&lt;&gt;1),AND(H1603&lt;&gt;"",H1603&lt;&gt;0,H1603&lt;&gt;1)),"Flags devem ser 0 ou 1",IF(AND(H1603=1,LEN(TRIM(I1603))=0),"Preencher nome do indicante",IF(AND(H1603&lt;&gt;1,I1603&lt;&gt;""),"Nome sem indicação interna",IF(AND(G1603=1,F1603=""),"Fechamento sem conversa",IF(OR(AND(E1603&lt;&gt;"",E1603&lt;B1603),AND(F1603&lt;&gt;"",F1603&lt;B1603)),"Evento anterior à entrada",IF(AND(F1603&lt;&gt;"",E1603=""),"Conversa sem agendamento",IF(OR(E1603&gt;TODAY(),F1603&gt;TODAY()),"Verificar evento futuro","OK"))))))))))</f>
        <v/>
      </c>
    </row>
    <row r="1604" spans="12:15">
      <c r="L1604" s="5">
        <f>IF(OR(A1604="",B1604=""),"",B1604-WEEKDAY(B1604,2)+1)</f>
        <v/>
      </c>
      <c r="M1604" s="5">
        <f>IF(L1604="","",L1604+6)</f>
        <v/>
      </c>
      <c r="N1604" s="6">
        <f>IF(OR(A1604="",B1604=""),"",DATE(YEAR(B1604),MONTH(B1604),1))</f>
        <v/>
      </c>
      <c r="O1604" s="7">
        <f>IF(COUNTA(A1604:K1604)=0,"",IF(OR(A1604="",B1604=""),"Preencher CPF e entrada",IF(COUNTIFS($A$12:$A$5011,A1604,$B$12:$B$5011,B1604)&gt;1,"CPF + dia duplicado",IF(OR(AND(G1604&lt;&gt;"",G1604&lt;&gt;0,G1604&lt;&gt;1),AND(H1604&lt;&gt;"",H1604&lt;&gt;0,H1604&lt;&gt;1)),"Flags devem ser 0 ou 1",IF(AND(H1604=1,LEN(TRIM(I1604))=0),"Preencher nome do indicante",IF(AND(H1604&lt;&gt;1,I1604&lt;&gt;""),"Nome sem indicação interna",IF(AND(G1604=1,F1604=""),"Fechamento sem conversa",IF(OR(AND(E1604&lt;&gt;"",E1604&lt;B1604),AND(F1604&lt;&gt;"",F1604&lt;B1604)),"Evento anterior à entrada",IF(AND(F1604&lt;&gt;"",E1604=""),"Conversa sem agendamento",IF(OR(E1604&gt;TODAY(),F1604&gt;TODAY()),"Verificar evento futuro","OK"))))))))))</f>
        <v/>
      </c>
    </row>
    <row r="1605" spans="12:15">
      <c r="L1605" s="5">
        <f>IF(OR(A1605="",B1605=""),"",B1605-WEEKDAY(B1605,2)+1)</f>
        <v/>
      </c>
      <c r="M1605" s="5">
        <f>IF(L1605="","",L1605+6)</f>
        <v/>
      </c>
      <c r="N1605" s="6">
        <f>IF(OR(A1605="",B1605=""),"",DATE(YEAR(B1605),MONTH(B1605),1))</f>
        <v/>
      </c>
      <c r="O1605" s="7">
        <f>IF(COUNTA(A1605:K1605)=0,"",IF(OR(A1605="",B1605=""),"Preencher CPF e entrada",IF(COUNTIFS($A$12:$A$5011,A1605,$B$12:$B$5011,B1605)&gt;1,"CPF + dia duplicado",IF(OR(AND(G1605&lt;&gt;"",G1605&lt;&gt;0,G1605&lt;&gt;1),AND(H1605&lt;&gt;"",H1605&lt;&gt;0,H1605&lt;&gt;1)),"Flags devem ser 0 ou 1",IF(AND(H1605=1,LEN(TRIM(I1605))=0),"Preencher nome do indicante",IF(AND(H1605&lt;&gt;1,I1605&lt;&gt;""),"Nome sem indicação interna",IF(AND(G1605=1,F1605=""),"Fechamento sem conversa",IF(OR(AND(E1605&lt;&gt;"",E1605&lt;B1605),AND(F1605&lt;&gt;"",F1605&lt;B1605)),"Evento anterior à entrada",IF(AND(F1605&lt;&gt;"",E1605=""),"Conversa sem agendamento",IF(OR(E1605&gt;TODAY(),F1605&gt;TODAY()),"Verificar evento futuro","OK"))))))))))</f>
        <v/>
      </c>
    </row>
    <row r="1606" spans="12:15">
      <c r="L1606" s="5">
        <f>IF(OR(A1606="",B1606=""),"",B1606-WEEKDAY(B1606,2)+1)</f>
        <v/>
      </c>
      <c r="M1606" s="5">
        <f>IF(L1606="","",L1606+6)</f>
        <v/>
      </c>
      <c r="N1606" s="6">
        <f>IF(OR(A1606="",B1606=""),"",DATE(YEAR(B1606),MONTH(B1606),1))</f>
        <v/>
      </c>
      <c r="O1606" s="7">
        <f>IF(COUNTA(A1606:K1606)=0,"",IF(OR(A1606="",B1606=""),"Preencher CPF e entrada",IF(COUNTIFS($A$12:$A$5011,A1606,$B$12:$B$5011,B1606)&gt;1,"CPF + dia duplicado",IF(OR(AND(G1606&lt;&gt;"",G1606&lt;&gt;0,G1606&lt;&gt;1),AND(H1606&lt;&gt;"",H1606&lt;&gt;0,H1606&lt;&gt;1)),"Flags devem ser 0 ou 1",IF(AND(H1606=1,LEN(TRIM(I1606))=0),"Preencher nome do indicante",IF(AND(H1606&lt;&gt;1,I1606&lt;&gt;""),"Nome sem indicação interna",IF(AND(G1606=1,F1606=""),"Fechamento sem conversa",IF(OR(AND(E1606&lt;&gt;"",E1606&lt;B1606),AND(F1606&lt;&gt;"",F1606&lt;B1606)),"Evento anterior à entrada",IF(AND(F1606&lt;&gt;"",E1606=""),"Conversa sem agendamento",IF(OR(E1606&gt;TODAY(),F1606&gt;TODAY()),"Verificar evento futuro","OK"))))))))))</f>
        <v/>
      </c>
    </row>
    <row r="1607" spans="12:15">
      <c r="L1607" s="5">
        <f>IF(OR(A1607="",B1607=""),"",B1607-WEEKDAY(B1607,2)+1)</f>
        <v/>
      </c>
      <c r="M1607" s="5">
        <f>IF(L1607="","",L1607+6)</f>
        <v/>
      </c>
      <c r="N1607" s="6">
        <f>IF(OR(A1607="",B1607=""),"",DATE(YEAR(B1607),MONTH(B1607),1))</f>
        <v/>
      </c>
      <c r="O1607" s="7">
        <f>IF(COUNTA(A1607:K1607)=0,"",IF(OR(A1607="",B1607=""),"Preencher CPF e entrada",IF(COUNTIFS($A$12:$A$5011,A1607,$B$12:$B$5011,B1607)&gt;1,"CPF + dia duplicado",IF(OR(AND(G1607&lt;&gt;"",G1607&lt;&gt;0,G1607&lt;&gt;1),AND(H1607&lt;&gt;"",H1607&lt;&gt;0,H1607&lt;&gt;1)),"Flags devem ser 0 ou 1",IF(AND(H1607=1,LEN(TRIM(I1607))=0),"Preencher nome do indicante",IF(AND(H1607&lt;&gt;1,I1607&lt;&gt;""),"Nome sem indicação interna",IF(AND(G1607=1,F1607=""),"Fechamento sem conversa",IF(OR(AND(E1607&lt;&gt;"",E1607&lt;B1607),AND(F1607&lt;&gt;"",F1607&lt;B1607)),"Evento anterior à entrada",IF(AND(F1607&lt;&gt;"",E1607=""),"Conversa sem agendamento",IF(OR(E1607&gt;TODAY(),F1607&gt;TODAY()),"Verificar evento futuro","OK"))))))))))</f>
        <v/>
      </c>
    </row>
    <row r="1608" spans="12:15">
      <c r="L1608" s="5">
        <f>IF(OR(A1608="",B1608=""),"",B1608-WEEKDAY(B1608,2)+1)</f>
        <v/>
      </c>
      <c r="M1608" s="5">
        <f>IF(L1608="","",L1608+6)</f>
        <v/>
      </c>
      <c r="N1608" s="6">
        <f>IF(OR(A1608="",B1608=""),"",DATE(YEAR(B1608),MONTH(B1608),1))</f>
        <v/>
      </c>
      <c r="O1608" s="7">
        <f>IF(COUNTA(A1608:K1608)=0,"",IF(OR(A1608="",B1608=""),"Preencher CPF e entrada",IF(COUNTIFS($A$12:$A$5011,A1608,$B$12:$B$5011,B1608)&gt;1,"CPF + dia duplicado",IF(OR(AND(G1608&lt;&gt;"",G1608&lt;&gt;0,G1608&lt;&gt;1),AND(H1608&lt;&gt;"",H1608&lt;&gt;0,H1608&lt;&gt;1)),"Flags devem ser 0 ou 1",IF(AND(H1608=1,LEN(TRIM(I1608))=0),"Preencher nome do indicante",IF(AND(H1608&lt;&gt;1,I1608&lt;&gt;""),"Nome sem indicação interna",IF(AND(G1608=1,F1608=""),"Fechamento sem conversa",IF(OR(AND(E1608&lt;&gt;"",E1608&lt;B1608),AND(F1608&lt;&gt;"",F1608&lt;B1608)),"Evento anterior à entrada",IF(AND(F1608&lt;&gt;"",E1608=""),"Conversa sem agendamento",IF(OR(E1608&gt;TODAY(),F1608&gt;TODAY()),"Verificar evento futuro","OK"))))))))))</f>
        <v/>
      </c>
    </row>
    <row r="1609" spans="12:15">
      <c r="L1609" s="5">
        <f>IF(OR(A1609="",B1609=""),"",B1609-WEEKDAY(B1609,2)+1)</f>
        <v/>
      </c>
      <c r="M1609" s="5">
        <f>IF(L1609="","",L1609+6)</f>
        <v/>
      </c>
      <c r="N1609" s="6">
        <f>IF(OR(A1609="",B1609=""),"",DATE(YEAR(B1609),MONTH(B1609),1))</f>
        <v/>
      </c>
      <c r="O1609" s="7">
        <f>IF(COUNTA(A1609:K1609)=0,"",IF(OR(A1609="",B1609=""),"Preencher CPF e entrada",IF(COUNTIFS($A$12:$A$5011,A1609,$B$12:$B$5011,B1609)&gt;1,"CPF + dia duplicado",IF(OR(AND(G1609&lt;&gt;"",G1609&lt;&gt;0,G1609&lt;&gt;1),AND(H1609&lt;&gt;"",H1609&lt;&gt;0,H1609&lt;&gt;1)),"Flags devem ser 0 ou 1",IF(AND(H1609=1,LEN(TRIM(I1609))=0),"Preencher nome do indicante",IF(AND(H1609&lt;&gt;1,I1609&lt;&gt;""),"Nome sem indicação interna",IF(AND(G1609=1,F1609=""),"Fechamento sem conversa",IF(OR(AND(E1609&lt;&gt;"",E1609&lt;B1609),AND(F1609&lt;&gt;"",F1609&lt;B1609)),"Evento anterior à entrada",IF(AND(F1609&lt;&gt;"",E1609=""),"Conversa sem agendamento",IF(OR(E1609&gt;TODAY(),F1609&gt;TODAY()),"Verificar evento futuro","OK"))))))))))</f>
        <v/>
      </c>
    </row>
    <row r="1610" spans="12:15">
      <c r="L1610" s="5">
        <f>IF(OR(A1610="",B1610=""),"",B1610-WEEKDAY(B1610,2)+1)</f>
        <v/>
      </c>
      <c r="M1610" s="5">
        <f>IF(L1610="","",L1610+6)</f>
        <v/>
      </c>
      <c r="N1610" s="6">
        <f>IF(OR(A1610="",B1610=""),"",DATE(YEAR(B1610),MONTH(B1610),1))</f>
        <v/>
      </c>
      <c r="O1610" s="7">
        <f>IF(COUNTA(A1610:K1610)=0,"",IF(OR(A1610="",B1610=""),"Preencher CPF e entrada",IF(COUNTIFS($A$12:$A$5011,A1610,$B$12:$B$5011,B1610)&gt;1,"CPF + dia duplicado",IF(OR(AND(G1610&lt;&gt;"",G1610&lt;&gt;0,G1610&lt;&gt;1),AND(H1610&lt;&gt;"",H1610&lt;&gt;0,H1610&lt;&gt;1)),"Flags devem ser 0 ou 1",IF(AND(H1610=1,LEN(TRIM(I1610))=0),"Preencher nome do indicante",IF(AND(H1610&lt;&gt;1,I1610&lt;&gt;""),"Nome sem indicação interna",IF(AND(G1610=1,F1610=""),"Fechamento sem conversa",IF(OR(AND(E1610&lt;&gt;"",E1610&lt;B1610),AND(F1610&lt;&gt;"",F1610&lt;B1610)),"Evento anterior à entrada",IF(AND(F1610&lt;&gt;"",E1610=""),"Conversa sem agendamento",IF(OR(E1610&gt;TODAY(),F1610&gt;TODAY()),"Verificar evento futuro","OK"))))))))))</f>
        <v/>
      </c>
    </row>
    <row r="1611" spans="12:15">
      <c r="L1611" s="5">
        <f>IF(OR(A1611="",B1611=""),"",B1611-WEEKDAY(B1611,2)+1)</f>
        <v/>
      </c>
      <c r="M1611" s="5">
        <f>IF(L1611="","",L1611+6)</f>
        <v/>
      </c>
      <c r="N1611" s="6">
        <f>IF(OR(A1611="",B1611=""),"",DATE(YEAR(B1611),MONTH(B1611),1))</f>
        <v/>
      </c>
      <c r="O1611" s="7">
        <f>IF(COUNTA(A1611:K1611)=0,"",IF(OR(A1611="",B1611=""),"Preencher CPF e entrada",IF(COUNTIFS($A$12:$A$5011,A1611,$B$12:$B$5011,B1611)&gt;1,"CPF + dia duplicado",IF(OR(AND(G1611&lt;&gt;"",G1611&lt;&gt;0,G1611&lt;&gt;1),AND(H1611&lt;&gt;"",H1611&lt;&gt;0,H1611&lt;&gt;1)),"Flags devem ser 0 ou 1",IF(AND(H1611=1,LEN(TRIM(I1611))=0),"Preencher nome do indicante",IF(AND(H1611&lt;&gt;1,I1611&lt;&gt;""),"Nome sem indicação interna",IF(AND(G1611=1,F1611=""),"Fechamento sem conversa",IF(OR(AND(E1611&lt;&gt;"",E1611&lt;B1611),AND(F1611&lt;&gt;"",F1611&lt;B1611)),"Evento anterior à entrada",IF(AND(F1611&lt;&gt;"",E1611=""),"Conversa sem agendamento",IF(OR(E1611&gt;TODAY(),F1611&gt;TODAY()),"Verificar evento futuro","OK"))))))))))</f>
        <v/>
      </c>
    </row>
    <row r="1612" spans="12:15">
      <c r="L1612" s="5">
        <f>IF(OR(A1612="",B1612=""),"",B1612-WEEKDAY(B1612,2)+1)</f>
        <v/>
      </c>
      <c r="M1612" s="5">
        <f>IF(L1612="","",L1612+6)</f>
        <v/>
      </c>
      <c r="N1612" s="6">
        <f>IF(OR(A1612="",B1612=""),"",DATE(YEAR(B1612),MONTH(B1612),1))</f>
        <v/>
      </c>
      <c r="O1612" s="7">
        <f>IF(COUNTA(A1612:K1612)=0,"",IF(OR(A1612="",B1612=""),"Preencher CPF e entrada",IF(COUNTIFS($A$12:$A$5011,A1612,$B$12:$B$5011,B1612)&gt;1,"CPF + dia duplicado",IF(OR(AND(G1612&lt;&gt;"",G1612&lt;&gt;0,G1612&lt;&gt;1),AND(H1612&lt;&gt;"",H1612&lt;&gt;0,H1612&lt;&gt;1)),"Flags devem ser 0 ou 1",IF(AND(H1612=1,LEN(TRIM(I1612))=0),"Preencher nome do indicante",IF(AND(H1612&lt;&gt;1,I1612&lt;&gt;""),"Nome sem indicação interna",IF(AND(G1612=1,F1612=""),"Fechamento sem conversa",IF(OR(AND(E1612&lt;&gt;"",E1612&lt;B1612),AND(F1612&lt;&gt;"",F1612&lt;B1612)),"Evento anterior à entrada",IF(AND(F1612&lt;&gt;"",E1612=""),"Conversa sem agendamento",IF(OR(E1612&gt;TODAY(),F1612&gt;TODAY()),"Verificar evento futuro","OK"))))))))))</f>
        <v/>
      </c>
    </row>
    <row r="1613" spans="12:15">
      <c r="L1613" s="5">
        <f>IF(OR(A1613="",B1613=""),"",B1613-WEEKDAY(B1613,2)+1)</f>
        <v/>
      </c>
      <c r="M1613" s="5">
        <f>IF(L1613="","",L1613+6)</f>
        <v/>
      </c>
      <c r="N1613" s="6">
        <f>IF(OR(A1613="",B1613=""),"",DATE(YEAR(B1613),MONTH(B1613),1))</f>
        <v/>
      </c>
      <c r="O1613" s="7">
        <f>IF(COUNTA(A1613:K1613)=0,"",IF(OR(A1613="",B1613=""),"Preencher CPF e entrada",IF(COUNTIFS($A$12:$A$5011,A1613,$B$12:$B$5011,B1613)&gt;1,"CPF + dia duplicado",IF(OR(AND(G1613&lt;&gt;"",G1613&lt;&gt;0,G1613&lt;&gt;1),AND(H1613&lt;&gt;"",H1613&lt;&gt;0,H1613&lt;&gt;1)),"Flags devem ser 0 ou 1",IF(AND(H1613=1,LEN(TRIM(I1613))=0),"Preencher nome do indicante",IF(AND(H1613&lt;&gt;1,I1613&lt;&gt;""),"Nome sem indicação interna",IF(AND(G1613=1,F1613=""),"Fechamento sem conversa",IF(OR(AND(E1613&lt;&gt;"",E1613&lt;B1613),AND(F1613&lt;&gt;"",F1613&lt;B1613)),"Evento anterior à entrada",IF(AND(F1613&lt;&gt;"",E1613=""),"Conversa sem agendamento",IF(OR(E1613&gt;TODAY(),F1613&gt;TODAY()),"Verificar evento futuro","OK"))))))))))</f>
        <v/>
      </c>
    </row>
    <row r="1614" spans="12:15">
      <c r="L1614" s="5">
        <f>IF(OR(A1614="",B1614=""),"",B1614-WEEKDAY(B1614,2)+1)</f>
        <v/>
      </c>
      <c r="M1614" s="5">
        <f>IF(L1614="","",L1614+6)</f>
        <v/>
      </c>
      <c r="N1614" s="6">
        <f>IF(OR(A1614="",B1614=""),"",DATE(YEAR(B1614),MONTH(B1614),1))</f>
        <v/>
      </c>
      <c r="O1614" s="7">
        <f>IF(COUNTA(A1614:K1614)=0,"",IF(OR(A1614="",B1614=""),"Preencher CPF e entrada",IF(COUNTIFS($A$12:$A$5011,A1614,$B$12:$B$5011,B1614)&gt;1,"CPF + dia duplicado",IF(OR(AND(G1614&lt;&gt;"",G1614&lt;&gt;0,G1614&lt;&gt;1),AND(H1614&lt;&gt;"",H1614&lt;&gt;0,H1614&lt;&gt;1)),"Flags devem ser 0 ou 1",IF(AND(H1614=1,LEN(TRIM(I1614))=0),"Preencher nome do indicante",IF(AND(H1614&lt;&gt;1,I1614&lt;&gt;""),"Nome sem indicação interna",IF(AND(G1614=1,F1614=""),"Fechamento sem conversa",IF(OR(AND(E1614&lt;&gt;"",E1614&lt;B1614),AND(F1614&lt;&gt;"",F1614&lt;B1614)),"Evento anterior à entrada",IF(AND(F1614&lt;&gt;"",E1614=""),"Conversa sem agendamento",IF(OR(E1614&gt;TODAY(),F1614&gt;TODAY()),"Verificar evento futuro","OK"))))))))))</f>
        <v/>
      </c>
    </row>
    <row r="1615" spans="12:15">
      <c r="L1615" s="5">
        <f>IF(OR(A1615="",B1615=""),"",B1615-WEEKDAY(B1615,2)+1)</f>
        <v/>
      </c>
      <c r="M1615" s="5">
        <f>IF(L1615="","",L1615+6)</f>
        <v/>
      </c>
      <c r="N1615" s="6">
        <f>IF(OR(A1615="",B1615=""),"",DATE(YEAR(B1615),MONTH(B1615),1))</f>
        <v/>
      </c>
      <c r="O1615" s="7">
        <f>IF(COUNTA(A1615:K1615)=0,"",IF(OR(A1615="",B1615=""),"Preencher CPF e entrada",IF(COUNTIFS($A$12:$A$5011,A1615,$B$12:$B$5011,B1615)&gt;1,"CPF + dia duplicado",IF(OR(AND(G1615&lt;&gt;"",G1615&lt;&gt;0,G1615&lt;&gt;1),AND(H1615&lt;&gt;"",H1615&lt;&gt;0,H1615&lt;&gt;1)),"Flags devem ser 0 ou 1",IF(AND(H1615=1,LEN(TRIM(I1615))=0),"Preencher nome do indicante",IF(AND(H1615&lt;&gt;1,I1615&lt;&gt;""),"Nome sem indicação interna",IF(AND(G1615=1,F1615=""),"Fechamento sem conversa",IF(OR(AND(E1615&lt;&gt;"",E1615&lt;B1615),AND(F1615&lt;&gt;"",F1615&lt;B1615)),"Evento anterior à entrada",IF(AND(F1615&lt;&gt;"",E1615=""),"Conversa sem agendamento",IF(OR(E1615&gt;TODAY(),F1615&gt;TODAY()),"Verificar evento futuro","OK"))))))))))</f>
        <v/>
      </c>
    </row>
    <row r="1616" spans="12:15">
      <c r="L1616" s="5">
        <f>IF(OR(A1616="",B1616=""),"",B1616-WEEKDAY(B1616,2)+1)</f>
        <v/>
      </c>
      <c r="M1616" s="5">
        <f>IF(L1616="","",L1616+6)</f>
        <v/>
      </c>
      <c r="N1616" s="6">
        <f>IF(OR(A1616="",B1616=""),"",DATE(YEAR(B1616),MONTH(B1616),1))</f>
        <v/>
      </c>
      <c r="O1616" s="7">
        <f>IF(COUNTA(A1616:K1616)=0,"",IF(OR(A1616="",B1616=""),"Preencher CPF e entrada",IF(COUNTIFS($A$12:$A$5011,A1616,$B$12:$B$5011,B1616)&gt;1,"CPF + dia duplicado",IF(OR(AND(G1616&lt;&gt;"",G1616&lt;&gt;0,G1616&lt;&gt;1),AND(H1616&lt;&gt;"",H1616&lt;&gt;0,H1616&lt;&gt;1)),"Flags devem ser 0 ou 1",IF(AND(H1616=1,LEN(TRIM(I1616))=0),"Preencher nome do indicante",IF(AND(H1616&lt;&gt;1,I1616&lt;&gt;""),"Nome sem indicação interna",IF(AND(G1616=1,F1616=""),"Fechamento sem conversa",IF(OR(AND(E1616&lt;&gt;"",E1616&lt;B1616),AND(F1616&lt;&gt;"",F1616&lt;B1616)),"Evento anterior à entrada",IF(AND(F1616&lt;&gt;"",E1616=""),"Conversa sem agendamento",IF(OR(E1616&gt;TODAY(),F1616&gt;TODAY()),"Verificar evento futuro","OK"))))))))))</f>
        <v/>
      </c>
    </row>
    <row r="1617" spans="12:15">
      <c r="L1617" s="5">
        <f>IF(OR(A1617="",B1617=""),"",B1617-WEEKDAY(B1617,2)+1)</f>
        <v/>
      </c>
      <c r="M1617" s="5">
        <f>IF(L1617="","",L1617+6)</f>
        <v/>
      </c>
      <c r="N1617" s="6">
        <f>IF(OR(A1617="",B1617=""),"",DATE(YEAR(B1617),MONTH(B1617),1))</f>
        <v/>
      </c>
      <c r="O1617" s="7">
        <f>IF(COUNTA(A1617:K1617)=0,"",IF(OR(A1617="",B1617=""),"Preencher CPF e entrada",IF(COUNTIFS($A$12:$A$5011,A1617,$B$12:$B$5011,B1617)&gt;1,"CPF + dia duplicado",IF(OR(AND(G1617&lt;&gt;"",G1617&lt;&gt;0,G1617&lt;&gt;1),AND(H1617&lt;&gt;"",H1617&lt;&gt;0,H1617&lt;&gt;1)),"Flags devem ser 0 ou 1",IF(AND(H1617=1,LEN(TRIM(I1617))=0),"Preencher nome do indicante",IF(AND(H1617&lt;&gt;1,I1617&lt;&gt;""),"Nome sem indicação interna",IF(AND(G1617=1,F1617=""),"Fechamento sem conversa",IF(OR(AND(E1617&lt;&gt;"",E1617&lt;B1617),AND(F1617&lt;&gt;"",F1617&lt;B1617)),"Evento anterior à entrada",IF(AND(F1617&lt;&gt;"",E1617=""),"Conversa sem agendamento",IF(OR(E1617&gt;TODAY(),F1617&gt;TODAY()),"Verificar evento futuro","OK"))))))))))</f>
        <v/>
      </c>
    </row>
    <row r="1618" spans="12:15">
      <c r="L1618" s="5">
        <f>IF(OR(A1618="",B1618=""),"",B1618-WEEKDAY(B1618,2)+1)</f>
        <v/>
      </c>
      <c r="M1618" s="5">
        <f>IF(L1618="","",L1618+6)</f>
        <v/>
      </c>
      <c r="N1618" s="6">
        <f>IF(OR(A1618="",B1618=""),"",DATE(YEAR(B1618),MONTH(B1618),1))</f>
        <v/>
      </c>
      <c r="O1618" s="7">
        <f>IF(COUNTA(A1618:K1618)=0,"",IF(OR(A1618="",B1618=""),"Preencher CPF e entrada",IF(COUNTIFS($A$12:$A$5011,A1618,$B$12:$B$5011,B1618)&gt;1,"CPF + dia duplicado",IF(OR(AND(G1618&lt;&gt;"",G1618&lt;&gt;0,G1618&lt;&gt;1),AND(H1618&lt;&gt;"",H1618&lt;&gt;0,H1618&lt;&gt;1)),"Flags devem ser 0 ou 1",IF(AND(H1618=1,LEN(TRIM(I1618))=0),"Preencher nome do indicante",IF(AND(H1618&lt;&gt;1,I1618&lt;&gt;""),"Nome sem indicação interna",IF(AND(G1618=1,F1618=""),"Fechamento sem conversa",IF(OR(AND(E1618&lt;&gt;"",E1618&lt;B1618),AND(F1618&lt;&gt;"",F1618&lt;B1618)),"Evento anterior à entrada",IF(AND(F1618&lt;&gt;"",E1618=""),"Conversa sem agendamento",IF(OR(E1618&gt;TODAY(),F1618&gt;TODAY()),"Verificar evento futuro","OK"))))))))))</f>
        <v/>
      </c>
    </row>
    <row r="1619" spans="12:15">
      <c r="L1619" s="5">
        <f>IF(OR(A1619="",B1619=""),"",B1619-WEEKDAY(B1619,2)+1)</f>
        <v/>
      </c>
      <c r="M1619" s="5">
        <f>IF(L1619="","",L1619+6)</f>
        <v/>
      </c>
      <c r="N1619" s="6">
        <f>IF(OR(A1619="",B1619=""),"",DATE(YEAR(B1619),MONTH(B1619),1))</f>
        <v/>
      </c>
      <c r="O1619" s="7">
        <f>IF(COUNTA(A1619:K1619)=0,"",IF(OR(A1619="",B1619=""),"Preencher CPF e entrada",IF(COUNTIFS($A$12:$A$5011,A1619,$B$12:$B$5011,B1619)&gt;1,"CPF + dia duplicado",IF(OR(AND(G1619&lt;&gt;"",G1619&lt;&gt;0,G1619&lt;&gt;1),AND(H1619&lt;&gt;"",H1619&lt;&gt;0,H1619&lt;&gt;1)),"Flags devem ser 0 ou 1",IF(AND(H1619=1,LEN(TRIM(I1619))=0),"Preencher nome do indicante",IF(AND(H1619&lt;&gt;1,I1619&lt;&gt;""),"Nome sem indicação interna",IF(AND(G1619=1,F1619=""),"Fechamento sem conversa",IF(OR(AND(E1619&lt;&gt;"",E1619&lt;B1619),AND(F1619&lt;&gt;"",F1619&lt;B1619)),"Evento anterior à entrada",IF(AND(F1619&lt;&gt;"",E1619=""),"Conversa sem agendamento",IF(OR(E1619&gt;TODAY(),F1619&gt;TODAY()),"Verificar evento futuro","OK"))))))))))</f>
        <v/>
      </c>
    </row>
    <row r="1620" spans="12:15">
      <c r="L1620" s="5">
        <f>IF(OR(A1620="",B1620=""),"",B1620-WEEKDAY(B1620,2)+1)</f>
        <v/>
      </c>
      <c r="M1620" s="5">
        <f>IF(L1620="","",L1620+6)</f>
        <v/>
      </c>
      <c r="N1620" s="6">
        <f>IF(OR(A1620="",B1620=""),"",DATE(YEAR(B1620),MONTH(B1620),1))</f>
        <v/>
      </c>
      <c r="O1620" s="7">
        <f>IF(COUNTA(A1620:K1620)=0,"",IF(OR(A1620="",B1620=""),"Preencher CPF e entrada",IF(COUNTIFS($A$12:$A$5011,A1620,$B$12:$B$5011,B1620)&gt;1,"CPF + dia duplicado",IF(OR(AND(G1620&lt;&gt;"",G1620&lt;&gt;0,G1620&lt;&gt;1),AND(H1620&lt;&gt;"",H1620&lt;&gt;0,H1620&lt;&gt;1)),"Flags devem ser 0 ou 1",IF(AND(H1620=1,LEN(TRIM(I1620))=0),"Preencher nome do indicante",IF(AND(H1620&lt;&gt;1,I1620&lt;&gt;""),"Nome sem indicação interna",IF(AND(G1620=1,F1620=""),"Fechamento sem conversa",IF(OR(AND(E1620&lt;&gt;"",E1620&lt;B1620),AND(F1620&lt;&gt;"",F1620&lt;B1620)),"Evento anterior à entrada",IF(AND(F1620&lt;&gt;"",E1620=""),"Conversa sem agendamento",IF(OR(E1620&gt;TODAY(),F1620&gt;TODAY()),"Verificar evento futuro","OK"))))))))))</f>
        <v/>
      </c>
    </row>
    <row r="1621" spans="12:15">
      <c r="L1621" s="5">
        <f>IF(OR(A1621="",B1621=""),"",B1621-WEEKDAY(B1621,2)+1)</f>
        <v/>
      </c>
      <c r="M1621" s="5">
        <f>IF(L1621="","",L1621+6)</f>
        <v/>
      </c>
      <c r="N1621" s="6">
        <f>IF(OR(A1621="",B1621=""),"",DATE(YEAR(B1621),MONTH(B1621),1))</f>
        <v/>
      </c>
      <c r="O1621" s="7">
        <f>IF(COUNTA(A1621:K1621)=0,"",IF(OR(A1621="",B1621=""),"Preencher CPF e entrada",IF(COUNTIFS($A$12:$A$5011,A1621,$B$12:$B$5011,B1621)&gt;1,"CPF + dia duplicado",IF(OR(AND(G1621&lt;&gt;"",G1621&lt;&gt;0,G1621&lt;&gt;1),AND(H1621&lt;&gt;"",H1621&lt;&gt;0,H1621&lt;&gt;1)),"Flags devem ser 0 ou 1",IF(AND(H1621=1,LEN(TRIM(I1621))=0),"Preencher nome do indicante",IF(AND(H1621&lt;&gt;1,I1621&lt;&gt;""),"Nome sem indicação interna",IF(AND(G1621=1,F1621=""),"Fechamento sem conversa",IF(OR(AND(E1621&lt;&gt;"",E1621&lt;B1621),AND(F1621&lt;&gt;"",F1621&lt;B1621)),"Evento anterior à entrada",IF(AND(F1621&lt;&gt;"",E1621=""),"Conversa sem agendamento",IF(OR(E1621&gt;TODAY(),F1621&gt;TODAY()),"Verificar evento futuro","OK"))))))))))</f>
        <v/>
      </c>
    </row>
    <row r="1622" spans="12:15">
      <c r="L1622" s="5">
        <f>IF(OR(A1622="",B1622=""),"",B1622-WEEKDAY(B1622,2)+1)</f>
        <v/>
      </c>
      <c r="M1622" s="5">
        <f>IF(L1622="","",L1622+6)</f>
        <v/>
      </c>
      <c r="N1622" s="6">
        <f>IF(OR(A1622="",B1622=""),"",DATE(YEAR(B1622),MONTH(B1622),1))</f>
        <v/>
      </c>
      <c r="O1622" s="7">
        <f>IF(COUNTA(A1622:K1622)=0,"",IF(OR(A1622="",B1622=""),"Preencher CPF e entrada",IF(COUNTIFS($A$12:$A$5011,A1622,$B$12:$B$5011,B1622)&gt;1,"CPF + dia duplicado",IF(OR(AND(G1622&lt;&gt;"",G1622&lt;&gt;0,G1622&lt;&gt;1),AND(H1622&lt;&gt;"",H1622&lt;&gt;0,H1622&lt;&gt;1)),"Flags devem ser 0 ou 1",IF(AND(H1622=1,LEN(TRIM(I1622))=0),"Preencher nome do indicante",IF(AND(H1622&lt;&gt;1,I1622&lt;&gt;""),"Nome sem indicação interna",IF(AND(G1622=1,F1622=""),"Fechamento sem conversa",IF(OR(AND(E1622&lt;&gt;"",E1622&lt;B1622),AND(F1622&lt;&gt;"",F1622&lt;B1622)),"Evento anterior à entrada",IF(AND(F1622&lt;&gt;"",E1622=""),"Conversa sem agendamento",IF(OR(E1622&gt;TODAY(),F1622&gt;TODAY()),"Verificar evento futuro","OK"))))))))))</f>
        <v/>
      </c>
    </row>
    <row r="1623" spans="12:15">
      <c r="L1623" s="5">
        <f>IF(OR(A1623="",B1623=""),"",B1623-WEEKDAY(B1623,2)+1)</f>
        <v/>
      </c>
      <c r="M1623" s="5">
        <f>IF(L1623="","",L1623+6)</f>
        <v/>
      </c>
      <c r="N1623" s="6">
        <f>IF(OR(A1623="",B1623=""),"",DATE(YEAR(B1623),MONTH(B1623),1))</f>
        <v/>
      </c>
      <c r="O1623" s="7">
        <f>IF(COUNTA(A1623:K1623)=0,"",IF(OR(A1623="",B1623=""),"Preencher CPF e entrada",IF(COUNTIFS($A$12:$A$5011,A1623,$B$12:$B$5011,B1623)&gt;1,"CPF + dia duplicado",IF(OR(AND(G1623&lt;&gt;"",G1623&lt;&gt;0,G1623&lt;&gt;1),AND(H1623&lt;&gt;"",H1623&lt;&gt;0,H1623&lt;&gt;1)),"Flags devem ser 0 ou 1",IF(AND(H1623=1,LEN(TRIM(I1623))=0),"Preencher nome do indicante",IF(AND(H1623&lt;&gt;1,I1623&lt;&gt;""),"Nome sem indicação interna",IF(AND(G1623=1,F1623=""),"Fechamento sem conversa",IF(OR(AND(E1623&lt;&gt;"",E1623&lt;B1623),AND(F1623&lt;&gt;"",F1623&lt;B1623)),"Evento anterior à entrada",IF(AND(F1623&lt;&gt;"",E1623=""),"Conversa sem agendamento",IF(OR(E1623&gt;TODAY(),F1623&gt;TODAY()),"Verificar evento futuro","OK"))))))))))</f>
        <v/>
      </c>
    </row>
    <row r="1624" spans="12:15">
      <c r="L1624" s="5">
        <f>IF(OR(A1624="",B1624=""),"",B1624-WEEKDAY(B1624,2)+1)</f>
        <v/>
      </c>
      <c r="M1624" s="5">
        <f>IF(L1624="","",L1624+6)</f>
        <v/>
      </c>
      <c r="N1624" s="6">
        <f>IF(OR(A1624="",B1624=""),"",DATE(YEAR(B1624),MONTH(B1624),1))</f>
        <v/>
      </c>
      <c r="O1624" s="7">
        <f>IF(COUNTA(A1624:K1624)=0,"",IF(OR(A1624="",B1624=""),"Preencher CPF e entrada",IF(COUNTIFS($A$12:$A$5011,A1624,$B$12:$B$5011,B1624)&gt;1,"CPF + dia duplicado",IF(OR(AND(G1624&lt;&gt;"",G1624&lt;&gt;0,G1624&lt;&gt;1),AND(H1624&lt;&gt;"",H1624&lt;&gt;0,H1624&lt;&gt;1)),"Flags devem ser 0 ou 1",IF(AND(H1624=1,LEN(TRIM(I1624))=0),"Preencher nome do indicante",IF(AND(H1624&lt;&gt;1,I1624&lt;&gt;""),"Nome sem indicação interna",IF(AND(G1624=1,F1624=""),"Fechamento sem conversa",IF(OR(AND(E1624&lt;&gt;"",E1624&lt;B1624),AND(F1624&lt;&gt;"",F1624&lt;B1624)),"Evento anterior à entrada",IF(AND(F1624&lt;&gt;"",E1624=""),"Conversa sem agendamento",IF(OR(E1624&gt;TODAY(),F1624&gt;TODAY()),"Verificar evento futuro","OK"))))))))))</f>
        <v/>
      </c>
    </row>
    <row r="1625" spans="12:15">
      <c r="L1625" s="5">
        <f>IF(OR(A1625="",B1625=""),"",B1625-WEEKDAY(B1625,2)+1)</f>
        <v/>
      </c>
      <c r="M1625" s="5">
        <f>IF(L1625="","",L1625+6)</f>
        <v/>
      </c>
      <c r="N1625" s="6">
        <f>IF(OR(A1625="",B1625=""),"",DATE(YEAR(B1625),MONTH(B1625),1))</f>
        <v/>
      </c>
      <c r="O1625" s="7">
        <f>IF(COUNTA(A1625:K1625)=0,"",IF(OR(A1625="",B1625=""),"Preencher CPF e entrada",IF(COUNTIFS($A$12:$A$5011,A1625,$B$12:$B$5011,B1625)&gt;1,"CPF + dia duplicado",IF(OR(AND(G1625&lt;&gt;"",G1625&lt;&gt;0,G1625&lt;&gt;1),AND(H1625&lt;&gt;"",H1625&lt;&gt;0,H1625&lt;&gt;1)),"Flags devem ser 0 ou 1",IF(AND(H1625=1,LEN(TRIM(I1625))=0),"Preencher nome do indicante",IF(AND(H1625&lt;&gt;1,I1625&lt;&gt;""),"Nome sem indicação interna",IF(AND(G1625=1,F1625=""),"Fechamento sem conversa",IF(OR(AND(E1625&lt;&gt;"",E1625&lt;B1625),AND(F1625&lt;&gt;"",F1625&lt;B1625)),"Evento anterior à entrada",IF(AND(F1625&lt;&gt;"",E1625=""),"Conversa sem agendamento",IF(OR(E1625&gt;TODAY(),F1625&gt;TODAY()),"Verificar evento futuro","OK"))))))))))</f>
        <v/>
      </c>
    </row>
    <row r="1626" spans="12:15">
      <c r="L1626" s="5">
        <f>IF(OR(A1626="",B1626=""),"",B1626-WEEKDAY(B1626,2)+1)</f>
        <v/>
      </c>
      <c r="M1626" s="5">
        <f>IF(L1626="","",L1626+6)</f>
        <v/>
      </c>
      <c r="N1626" s="6">
        <f>IF(OR(A1626="",B1626=""),"",DATE(YEAR(B1626),MONTH(B1626),1))</f>
        <v/>
      </c>
      <c r="O1626" s="7">
        <f>IF(COUNTA(A1626:K1626)=0,"",IF(OR(A1626="",B1626=""),"Preencher CPF e entrada",IF(COUNTIFS($A$12:$A$5011,A1626,$B$12:$B$5011,B1626)&gt;1,"CPF + dia duplicado",IF(OR(AND(G1626&lt;&gt;"",G1626&lt;&gt;0,G1626&lt;&gt;1),AND(H1626&lt;&gt;"",H1626&lt;&gt;0,H1626&lt;&gt;1)),"Flags devem ser 0 ou 1",IF(AND(H1626=1,LEN(TRIM(I1626))=0),"Preencher nome do indicante",IF(AND(H1626&lt;&gt;1,I1626&lt;&gt;""),"Nome sem indicação interna",IF(AND(G1626=1,F1626=""),"Fechamento sem conversa",IF(OR(AND(E1626&lt;&gt;"",E1626&lt;B1626),AND(F1626&lt;&gt;"",F1626&lt;B1626)),"Evento anterior à entrada",IF(AND(F1626&lt;&gt;"",E1626=""),"Conversa sem agendamento",IF(OR(E1626&gt;TODAY(),F1626&gt;TODAY()),"Verificar evento futuro","OK"))))))))))</f>
        <v/>
      </c>
    </row>
    <row r="1627" spans="12:15">
      <c r="L1627" s="5">
        <f>IF(OR(A1627="",B1627=""),"",B1627-WEEKDAY(B1627,2)+1)</f>
        <v/>
      </c>
      <c r="M1627" s="5">
        <f>IF(L1627="","",L1627+6)</f>
        <v/>
      </c>
      <c r="N1627" s="6">
        <f>IF(OR(A1627="",B1627=""),"",DATE(YEAR(B1627),MONTH(B1627),1))</f>
        <v/>
      </c>
      <c r="O1627" s="7">
        <f>IF(COUNTA(A1627:K1627)=0,"",IF(OR(A1627="",B1627=""),"Preencher CPF e entrada",IF(COUNTIFS($A$12:$A$5011,A1627,$B$12:$B$5011,B1627)&gt;1,"CPF + dia duplicado",IF(OR(AND(G1627&lt;&gt;"",G1627&lt;&gt;0,G1627&lt;&gt;1),AND(H1627&lt;&gt;"",H1627&lt;&gt;0,H1627&lt;&gt;1)),"Flags devem ser 0 ou 1",IF(AND(H1627=1,LEN(TRIM(I1627))=0),"Preencher nome do indicante",IF(AND(H1627&lt;&gt;1,I1627&lt;&gt;""),"Nome sem indicação interna",IF(AND(G1627=1,F1627=""),"Fechamento sem conversa",IF(OR(AND(E1627&lt;&gt;"",E1627&lt;B1627),AND(F1627&lt;&gt;"",F1627&lt;B1627)),"Evento anterior à entrada",IF(AND(F1627&lt;&gt;"",E1627=""),"Conversa sem agendamento",IF(OR(E1627&gt;TODAY(),F1627&gt;TODAY()),"Verificar evento futuro","OK"))))))))))</f>
        <v/>
      </c>
    </row>
    <row r="1628" spans="12:15">
      <c r="L1628" s="5">
        <f>IF(OR(A1628="",B1628=""),"",B1628-WEEKDAY(B1628,2)+1)</f>
        <v/>
      </c>
      <c r="M1628" s="5">
        <f>IF(L1628="","",L1628+6)</f>
        <v/>
      </c>
      <c r="N1628" s="6">
        <f>IF(OR(A1628="",B1628=""),"",DATE(YEAR(B1628),MONTH(B1628),1))</f>
        <v/>
      </c>
      <c r="O1628" s="7">
        <f>IF(COUNTA(A1628:K1628)=0,"",IF(OR(A1628="",B1628=""),"Preencher CPF e entrada",IF(COUNTIFS($A$12:$A$5011,A1628,$B$12:$B$5011,B1628)&gt;1,"CPF + dia duplicado",IF(OR(AND(G1628&lt;&gt;"",G1628&lt;&gt;0,G1628&lt;&gt;1),AND(H1628&lt;&gt;"",H1628&lt;&gt;0,H1628&lt;&gt;1)),"Flags devem ser 0 ou 1",IF(AND(H1628=1,LEN(TRIM(I1628))=0),"Preencher nome do indicante",IF(AND(H1628&lt;&gt;1,I1628&lt;&gt;""),"Nome sem indicação interna",IF(AND(G1628=1,F1628=""),"Fechamento sem conversa",IF(OR(AND(E1628&lt;&gt;"",E1628&lt;B1628),AND(F1628&lt;&gt;"",F1628&lt;B1628)),"Evento anterior à entrada",IF(AND(F1628&lt;&gt;"",E1628=""),"Conversa sem agendamento",IF(OR(E1628&gt;TODAY(),F1628&gt;TODAY()),"Verificar evento futuro","OK"))))))))))</f>
        <v/>
      </c>
    </row>
    <row r="1629" spans="12:15">
      <c r="L1629" s="5">
        <f>IF(OR(A1629="",B1629=""),"",B1629-WEEKDAY(B1629,2)+1)</f>
        <v/>
      </c>
      <c r="M1629" s="5">
        <f>IF(L1629="","",L1629+6)</f>
        <v/>
      </c>
      <c r="N1629" s="6">
        <f>IF(OR(A1629="",B1629=""),"",DATE(YEAR(B1629),MONTH(B1629),1))</f>
        <v/>
      </c>
      <c r="O1629" s="7">
        <f>IF(COUNTA(A1629:K1629)=0,"",IF(OR(A1629="",B1629=""),"Preencher CPF e entrada",IF(COUNTIFS($A$12:$A$5011,A1629,$B$12:$B$5011,B1629)&gt;1,"CPF + dia duplicado",IF(OR(AND(G1629&lt;&gt;"",G1629&lt;&gt;0,G1629&lt;&gt;1),AND(H1629&lt;&gt;"",H1629&lt;&gt;0,H1629&lt;&gt;1)),"Flags devem ser 0 ou 1",IF(AND(H1629=1,LEN(TRIM(I1629))=0),"Preencher nome do indicante",IF(AND(H1629&lt;&gt;1,I1629&lt;&gt;""),"Nome sem indicação interna",IF(AND(G1629=1,F1629=""),"Fechamento sem conversa",IF(OR(AND(E1629&lt;&gt;"",E1629&lt;B1629),AND(F1629&lt;&gt;"",F1629&lt;B1629)),"Evento anterior à entrada",IF(AND(F1629&lt;&gt;"",E1629=""),"Conversa sem agendamento",IF(OR(E1629&gt;TODAY(),F1629&gt;TODAY()),"Verificar evento futuro","OK"))))))))))</f>
        <v/>
      </c>
    </row>
    <row r="1630" spans="12:15">
      <c r="L1630" s="5">
        <f>IF(OR(A1630="",B1630=""),"",B1630-WEEKDAY(B1630,2)+1)</f>
        <v/>
      </c>
      <c r="M1630" s="5">
        <f>IF(L1630="","",L1630+6)</f>
        <v/>
      </c>
      <c r="N1630" s="6">
        <f>IF(OR(A1630="",B1630=""),"",DATE(YEAR(B1630),MONTH(B1630),1))</f>
        <v/>
      </c>
      <c r="O1630" s="7">
        <f>IF(COUNTA(A1630:K1630)=0,"",IF(OR(A1630="",B1630=""),"Preencher CPF e entrada",IF(COUNTIFS($A$12:$A$5011,A1630,$B$12:$B$5011,B1630)&gt;1,"CPF + dia duplicado",IF(OR(AND(G1630&lt;&gt;"",G1630&lt;&gt;0,G1630&lt;&gt;1),AND(H1630&lt;&gt;"",H1630&lt;&gt;0,H1630&lt;&gt;1)),"Flags devem ser 0 ou 1",IF(AND(H1630=1,LEN(TRIM(I1630))=0),"Preencher nome do indicante",IF(AND(H1630&lt;&gt;1,I1630&lt;&gt;""),"Nome sem indicação interna",IF(AND(G1630=1,F1630=""),"Fechamento sem conversa",IF(OR(AND(E1630&lt;&gt;"",E1630&lt;B1630),AND(F1630&lt;&gt;"",F1630&lt;B1630)),"Evento anterior à entrada",IF(AND(F1630&lt;&gt;"",E1630=""),"Conversa sem agendamento",IF(OR(E1630&gt;TODAY(),F1630&gt;TODAY()),"Verificar evento futuro","OK"))))))))))</f>
        <v/>
      </c>
    </row>
    <row r="1631" spans="12:15">
      <c r="L1631" s="5">
        <f>IF(OR(A1631="",B1631=""),"",B1631-WEEKDAY(B1631,2)+1)</f>
        <v/>
      </c>
      <c r="M1631" s="5">
        <f>IF(L1631="","",L1631+6)</f>
        <v/>
      </c>
      <c r="N1631" s="6">
        <f>IF(OR(A1631="",B1631=""),"",DATE(YEAR(B1631),MONTH(B1631),1))</f>
        <v/>
      </c>
      <c r="O1631" s="7">
        <f>IF(COUNTA(A1631:K1631)=0,"",IF(OR(A1631="",B1631=""),"Preencher CPF e entrada",IF(COUNTIFS($A$12:$A$5011,A1631,$B$12:$B$5011,B1631)&gt;1,"CPF + dia duplicado",IF(OR(AND(G1631&lt;&gt;"",G1631&lt;&gt;0,G1631&lt;&gt;1),AND(H1631&lt;&gt;"",H1631&lt;&gt;0,H1631&lt;&gt;1)),"Flags devem ser 0 ou 1",IF(AND(H1631=1,LEN(TRIM(I1631))=0),"Preencher nome do indicante",IF(AND(H1631&lt;&gt;1,I1631&lt;&gt;""),"Nome sem indicação interna",IF(AND(G1631=1,F1631=""),"Fechamento sem conversa",IF(OR(AND(E1631&lt;&gt;"",E1631&lt;B1631),AND(F1631&lt;&gt;"",F1631&lt;B1631)),"Evento anterior à entrada",IF(AND(F1631&lt;&gt;"",E1631=""),"Conversa sem agendamento",IF(OR(E1631&gt;TODAY(),F1631&gt;TODAY()),"Verificar evento futuro","OK"))))))))))</f>
        <v/>
      </c>
    </row>
    <row r="1632" spans="12:15">
      <c r="L1632" s="5">
        <f>IF(OR(A1632="",B1632=""),"",B1632-WEEKDAY(B1632,2)+1)</f>
        <v/>
      </c>
      <c r="M1632" s="5">
        <f>IF(L1632="","",L1632+6)</f>
        <v/>
      </c>
      <c r="N1632" s="6">
        <f>IF(OR(A1632="",B1632=""),"",DATE(YEAR(B1632),MONTH(B1632),1))</f>
        <v/>
      </c>
      <c r="O1632" s="7">
        <f>IF(COUNTA(A1632:K1632)=0,"",IF(OR(A1632="",B1632=""),"Preencher CPF e entrada",IF(COUNTIFS($A$12:$A$5011,A1632,$B$12:$B$5011,B1632)&gt;1,"CPF + dia duplicado",IF(OR(AND(G1632&lt;&gt;"",G1632&lt;&gt;0,G1632&lt;&gt;1),AND(H1632&lt;&gt;"",H1632&lt;&gt;0,H1632&lt;&gt;1)),"Flags devem ser 0 ou 1",IF(AND(H1632=1,LEN(TRIM(I1632))=0),"Preencher nome do indicante",IF(AND(H1632&lt;&gt;1,I1632&lt;&gt;""),"Nome sem indicação interna",IF(AND(G1632=1,F1632=""),"Fechamento sem conversa",IF(OR(AND(E1632&lt;&gt;"",E1632&lt;B1632),AND(F1632&lt;&gt;"",F1632&lt;B1632)),"Evento anterior à entrada",IF(AND(F1632&lt;&gt;"",E1632=""),"Conversa sem agendamento",IF(OR(E1632&gt;TODAY(),F1632&gt;TODAY()),"Verificar evento futuro","OK"))))))))))</f>
        <v/>
      </c>
    </row>
    <row r="1633" spans="12:15">
      <c r="L1633" s="5">
        <f>IF(OR(A1633="",B1633=""),"",B1633-WEEKDAY(B1633,2)+1)</f>
        <v/>
      </c>
      <c r="M1633" s="5">
        <f>IF(L1633="","",L1633+6)</f>
        <v/>
      </c>
      <c r="N1633" s="6">
        <f>IF(OR(A1633="",B1633=""),"",DATE(YEAR(B1633),MONTH(B1633),1))</f>
        <v/>
      </c>
      <c r="O1633" s="7">
        <f>IF(COUNTA(A1633:K1633)=0,"",IF(OR(A1633="",B1633=""),"Preencher CPF e entrada",IF(COUNTIFS($A$12:$A$5011,A1633,$B$12:$B$5011,B1633)&gt;1,"CPF + dia duplicado",IF(OR(AND(G1633&lt;&gt;"",G1633&lt;&gt;0,G1633&lt;&gt;1),AND(H1633&lt;&gt;"",H1633&lt;&gt;0,H1633&lt;&gt;1)),"Flags devem ser 0 ou 1",IF(AND(H1633=1,LEN(TRIM(I1633))=0),"Preencher nome do indicante",IF(AND(H1633&lt;&gt;1,I1633&lt;&gt;""),"Nome sem indicação interna",IF(AND(G1633=1,F1633=""),"Fechamento sem conversa",IF(OR(AND(E1633&lt;&gt;"",E1633&lt;B1633),AND(F1633&lt;&gt;"",F1633&lt;B1633)),"Evento anterior à entrada",IF(AND(F1633&lt;&gt;"",E1633=""),"Conversa sem agendamento",IF(OR(E1633&gt;TODAY(),F1633&gt;TODAY()),"Verificar evento futuro","OK"))))))))))</f>
        <v/>
      </c>
    </row>
    <row r="1634" spans="12:15">
      <c r="L1634" s="5">
        <f>IF(OR(A1634="",B1634=""),"",B1634-WEEKDAY(B1634,2)+1)</f>
        <v/>
      </c>
      <c r="M1634" s="5">
        <f>IF(L1634="","",L1634+6)</f>
        <v/>
      </c>
      <c r="N1634" s="6">
        <f>IF(OR(A1634="",B1634=""),"",DATE(YEAR(B1634),MONTH(B1634),1))</f>
        <v/>
      </c>
      <c r="O1634" s="7">
        <f>IF(COUNTA(A1634:K1634)=0,"",IF(OR(A1634="",B1634=""),"Preencher CPF e entrada",IF(COUNTIFS($A$12:$A$5011,A1634,$B$12:$B$5011,B1634)&gt;1,"CPF + dia duplicado",IF(OR(AND(G1634&lt;&gt;"",G1634&lt;&gt;0,G1634&lt;&gt;1),AND(H1634&lt;&gt;"",H1634&lt;&gt;0,H1634&lt;&gt;1)),"Flags devem ser 0 ou 1",IF(AND(H1634=1,LEN(TRIM(I1634))=0),"Preencher nome do indicante",IF(AND(H1634&lt;&gt;1,I1634&lt;&gt;""),"Nome sem indicação interna",IF(AND(G1634=1,F1634=""),"Fechamento sem conversa",IF(OR(AND(E1634&lt;&gt;"",E1634&lt;B1634),AND(F1634&lt;&gt;"",F1634&lt;B1634)),"Evento anterior à entrada",IF(AND(F1634&lt;&gt;"",E1634=""),"Conversa sem agendamento",IF(OR(E1634&gt;TODAY(),F1634&gt;TODAY()),"Verificar evento futuro","OK"))))))))))</f>
        <v/>
      </c>
    </row>
    <row r="1635" spans="12:15">
      <c r="L1635" s="5">
        <f>IF(OR(A1635="",B1635=""),"",B1635-WEEKDAY(B1635,2)+1)</f>
        <v/>
      </c>
      <c r="M1635" s="5">
        <f>IF(L1635="","",L1635+6)</f>
        <v/>
      </c>
      <c r="N1635" s="6">
        <f>IF(OR(A1635="",B1635=""),"",DATE(YEAR(B1635),MONTH(B1635),1))</f>
        <v/>
      </c>
      <c r="O1635" s="7">
        <f>IF(COUNTA(A1635:K1635)=0,"",IF(OR(A1635="",B1635=""),"Preencher CPF e entrada",IF(COUNTIFS($A$12:$A$5011,A1635,$B$12:$B$5011,B1635)&gt;1,"CPF + dia duplicado",IF(OR(AND(G1635&lt;&gt;"",G1635&lt;&gt;0,G1635&lt;&gt;1),AND(H1635&lt;&gt;"",H1635&lt;&gt;0,H1635&lt;&gt;1)),"Flags devem ser 0 ou 1",IF(AND(H1635=1,LEN(TRIM(I1635))=0),"Preencher nome do indicante",IF(AND(H1635&lt;&gt;1,I1635&lt;&gt;""),"Nome sem indicação interna",IF(AND(G1635=1,F1635=""),"Fechamento sem conversa",IF(OR(AND(E1635&lt;&gt;"",E1635&lt;B1635),AND(F1635&lt;&gt;"",F1635&lt;B1635)),"Evento anterior à entrada",IF(AND(F1635&lt;&gt;"",E1635=""),"Conversa sem agendamento",IF(OR(E1635&gt;TODAY(),F1635&gt;TODAY()),"Verificar evento futuro","OK"))))))))))</f>
        <v/>
      </c>
    </row>
    <row r="1636" spans="12:15">
      <c r="L1636" s="5">
        <f>IF(OR(A1636="",B1636=""),"",B1636-WEEKDAY(B1636,2)+1)</f>
        <v/>
      </c>
      <c r="M1636" s="5">
        <f>IF(L1636="","",L1636+6)</f>
        <v/>
      </c>
      <c r="N1636" s="6">
        <f>IF(OR(A1636="",B1636=""),"",DATE(YEAR(B1636),MONTH(B1636),1))</f>
        <v/>
      </c>
      <c r="O1636" s="7">
        <f>IF(COUNTA(A1636:K1636)=0,"",IF(OR(A1636="",B1636=""),"Preencher CPF e entrada",IF(COUNTIFS($A$12:$A$5011,A1636,$B$12:$B$5011,B1636)&gt;1,"CPF + dia duplicado",IF(OR(AND(G1636&lt;&gt;"",G1636&lt;&gt;0,G1636&lt;&gt;1),AND(H1636&lt;&gt;"",H1636&lt;&gt;0,H1636&lt;&gt;1)),"Flags devem ser 0 ou 1",IF(AND(H1636=1,LEN(TRIM(I1636))=0),"Preencher nome do indicante",IF(AND(H1636&lt;&gt;1,I1636&lt;&gt;""),"Nome sem indicação interna",IF(AND(G1636=1,F1636=""),"Fechamento sem conversa",IF(OR(AND(E1636&lt;&gt;"",E1636&lt;B1636),AND(F1636&lt;&gt;"",F1636&lt;B1636)),"Evento anterior à entrada",IF(AND(F1636&lt;&gt;"",E1636=""),"Conversa sem agendamento",IF(OR(E1636&gt;TODAY(),F1636&gt;TODAY()),"Verificar evento futuro","OK"))))))))))</f>
        <v/>
      </c>
    </row>
    <row r="1637" spans="12:15">
      <c r="L1637" s="5">
        <f>IF(OR(A1637="",B1637=""),"",B1637-WEEKDAY(B1637,2)+1)</f>
        <v/>
      </c>
      <c r="M1637" s="5">
        <f>IF(L1637="","",L1637+6)</f>
        <v/>
      </c>
      <c r="N1637" s="6">
        <f>IF(OR(A1637="",B1637=""),"",DATE(YEAR(B1637),MONTH(B1637),1))</f>
        <v/>
      </c>
      <c r="O1637" s="7">
        <f>IF(COUNTA(A1637:K1637)=0,"",IF(OR(A1637="",B1637=""),"Preencher CPF e entrada",IF(COUNTIFS($A$12:$A$5011,A1637,$B$12:$B$5011,B1637)&gt;1,"CPF + dia duplicado",IF(OR(AND(G1637&lt;&gt;"",G1637&lt;&gt;0,G1637&lt;&gt;1),AND(H1637&lt;&gt;"",H1637&lt;&gt;0,H1637&lt;&gt;1)),"Flags devem ser 0 ou 1",IF(AND(H1637=1,LEN(TRIM(I1637))=0),"Preencher nome do indicante",IF(AND(H1637&lt;&gt;1,I1637&lt;&gt;""),"Nome sem indicação interna",IF(AND(G1637=1,F1637=""),"Fechamento sem conversa",IF(OR(AND(E1637&lt;&gt;"",E1637&lt;B1637),AND(F1637&lt;&gt;"",F1637&lt;B1637)),"Evento anterior à entrada",IF(AND(F1637&lt;&gt;"",E1637=""),"Conversa sem agendamento",IF(OR(E1637&gt;TODAY(),F1637&gt;TODAY()),"Verificar evento futuro","OK"))))))))))</f>
        <v/>
      </c>
    </row>
    <row r="1638" spans="12:15">
      <c r="L1638" s="5">
        <f>IF(OR(A1638="",B1638=""),"",B1638-WEEKDAY(B1638,2)+1)</f>
        <v/>
      </c>
      <c r="M1638" s="5">
        <f>IF(L1638="","",L1638+6)</f>
        <v/>
      </c>
      <c r="N1638" s="6">
        <f>IF(OR(A1638="",B1638=""),"",DATE(YEAR(B1638),MONTH(B1638),1))</f>
        <v/>
      </c>
      <c r="O1638" s="7">
        <f>IF(COUNTA(A1638:K1638)=0,"",IF(OR(A1638="",B1638=""),"Preencher CPF e entrada",IF(COUNTIFS($A$12:$A$5011,A1638,$B$12:$B$5011,B1638)&gt;1,"CPF + dia duplicado",IF(OR(AND(G1638&lt;&gt;"",G1638&lt;&gt;0,G1638&lt;&gt;1),AND(H1638&lt;&gt;"",H1638&lt;&gt;0,H1638&lt;&gt;1)),"Flags devem ser 0 ou 1",IF(AND(H1638=1,LEN(TRIM(I1638))=0),"Preencher nome do indicante",IF(AND(H1638&lt;&gt;1,I1638&lt;&gt;""),"Nome sem indicação interna",IF(AND(G1638=1,F1638=""),"Fechamento sem conversa",IF(OR(AND(E1638&lt;&gt;"",E1638&lt;B1638),AND(F1638&lt;&gt;"",F1638&lt;B1638)),"Evento anterior à entrada",IF(AND(F1638&lt;&gt;"",E1638=""),"Conversa sem agendamento",IF(OR(E1638&gt;TODAY(),F1638&gt;TODAY()),"Verificar evento futuro","OK"))))))))))</f>
        <v/>
      </c>
    </row>
    <row r="1639" spans="12:15">
      <c r="L1639" s="5">
        <f>IF(OR(A1639="",B1639=""),"",B1639-WEEKDAY(B1639,2)+1)</f>
        <v/>
      </c>
      <c r="M1639" s="5">
        <f>IF(L1639="","",L1639+6)</f>
        <v/>
      </c>
      <c r="N1639" s="6">
        <f>IF(OR(A1639="",B1639=""),"",DATE(YEAR(B1639),MONTH(B1639),1))</f>
        <v/>
      </c>
      <c r="O1639" s="7">
        <f>IF(COUNTA(A1639:K1639)=0,"",IF(OR(A1639="",B1639=""),"Preencher CPF e entrada",IF(COUNTIFS($A$12:$A$5011,A1639,$B$12:$B$5011,B1639)&gt;1,"CPF + dia duplicado",IF(OR(AND(G1639&lt;&gt;"",G1639&lt;&gt;0,G1639&lt;&gt;1),AND(H1639&lt;&gt;"",H1639&lt;&gt;0,H1639&lt;&gt;1)),"Flags devem ser 0 ou 1",IF(AND(H1639=1,LEN(TRIM(I1639))=0),"Preencher nome do indicante",IF(AND(H1639&lt;&gt;1,I1639&lt;&gt;""),"Nome sem indicação interna",IF(AND(G1639=1,F1639=""),"Fechamento sem conversa",IF(OR(AND(E1639&lt;&gt;"",E1639&lt;B1639),AND(F1639&lt;&gt;"",F1639&lt;B1639)),"Evento anterior à entrada",IF(AND(F1639&lt;&gt;"",E1639=""),"Conversa sem agendamento",IF(OR(E1639&gt;TODAY(),F1639&gt;TODAY()),"Verificar evento futuro","OK"))))))))))</f>
        <v/>
      </c>
    </row>
    <row r="1640" spans="12:15">
      <c r="L1640" s="5">
        <f>IF(OR(A1640="",B1640=""),"",B1640-WEEKDAY(B1640,2)+1)</f>
        <v/>
      </c>
      <c r="M1640" s="5">
        <f>IF(L1640="","",L1640+6)</f>
        <v/>
      </c>
      <c r="N1640" s="6">
        <f>IF(OR(A1640="",B1640=""),"",DATE(YEAR(B1640),MONTH(B1640),1))</f>
        <v/>
      </c>
      <c r="O1640" s="7">
        <f>IF(COUNTA(A1640:K1640)=0,"",IF(OR(A1640="",B1640=""),"Preencher CPF e entrada",IF(COUNTIFS($A$12:$A$5011,A1640,$B$12:$B$5011,B1640)&gt;1,"CPF + dia duplicado",IF(OR(AND(G1640&lt;&gt;"",G1640&lt;&gt;0,G1640&lt;&gt;1),AND(H1640&lt;&gt;"",H1640&lt;&gt;0,H1640&lt;&gt;1)),"Flags devem ser 0 ou 1",IF(AND(H1640=1,LEN(TRIM(I1640))=0),"Preencher nome do indicante",IF(AND(H1640&lt;&gt;1,I1640&lt;&gt;""),"Nome sem indicação interna",IF(AND(G1640=1,F1640=""),"Fechamento sem conversa",IF(OR(AND(E1640&lt;&gt;"",E1640&lt;B1640),AND(F1640&lt;&gt;"",F1640&lt;B1640)),"Evento anterior à entrada",IF(AND(F1640&lt;&gt;"",E1640=""),"Conversa sem agendamento",IF(OR(E1640&gt;TODAY(),F1640&gt;TODAY()),"Verificar evento futuro","OK"))))))))))</f>
        <v/>
      </c>
    </row>
    <row r="1641" spans="12:15">
      <c r="L1641" s="5">
        <f>IF(OR(A1641="",B1641=""),"",B1641-WEEKDAY(B1641,2)+1)</f>
        <v/>
      </c>
      <c r="M1641" s="5">
        <f>IF(L1641="","",L1641+6)</f>
        <v/>
      </c>
      <c r="N1641" s="6">
        <f>IF(OR(A1641="",B1641=""),"",DATE(YEAR(B1641),MONTH(B1641),1))</f>
        <v/>
      </c>
      <c r="O1641" s="7">
        <f>IF(COUNTA(A1641:K1641)=0,"",IF(OR(A1641="",B1641=""),"Preencher CPF e entrada",IF(COUNTIFS($A$12:$A$5011,A1641,$B$12:$B$5011,B1641)&gt;1,"CPF + dia duplicado",IF(OR(AND(G1641&lt;&gt;"",G1641&lt;&gt;0,G1641&lt;&gt;1),AND(H1641&lt;&gt;"",H1641&lt;&gt;0,H1641&lt;&gt;1)),"Flags devem ser 0 ou 1",IF(AND(H1641=1,LEN(TRIM(I1641))=0),"Preencher nome do indicante",IF(AND(H1641&lt;&gt;1,I1641&lt;&gt;""),"Nome sem indicação interna",IF(AND(G1641=1,F1641=""),"Fechamento sem conversa",IF(OR(AND(E1641&lt;&gt;"",E1641&lt;B1641),AND(F1641&lt;&gt;"",F1641&lt;B1641)),"Evento anterior à entrada",IF(AND(F1641&lt;&gt;"",E1641=""),"Conversa sem agendamento",IF(OR(E1641&gt;TODAY(),F1641&gt;TODAY()),"Verificar evento futuro","OK"))))))))))</f>
        <v/>
      </c>
    </row>
    <row r="1642" spans="12:15">
      <c r="L1642" s="5">
        <f>IF(OR(A1642="",B1642=""),"",B1642-WEEKDAY(B1642,2)+1)</f>
        <v/>
      </c>
      <c r="M1642" s="5">
        <f>IF(L1642="","",L1642+6)</f>
        <v/>
      </c>
      <c r="N1642" s="6">
        <f>IF(OR(A1642="",B1642=""),"",DATE(YEAR(B1642),MONTH(B1642),1))</f>
        <v/>
      </c>
      <c r="O1642" s="7">
        <f>IF(COUNTA(A1642:K1642)=0,"",IF(OR(A1642="",B1642=""),"Preencher CPF e entrada",IF(COUNTIFS($A$12:$A$5011,A1642,$B$12:$B$5011,B1642)&gt;1,"CPF + dia duplicado",IF(OR(AND(G1642&lt;&gt;"",G1642&lt;&gt;0,G1642&lt;&gt;1),AND(H1642&lt;&gt;"",H1642&lt;&gt;0,H1642&lt;&gt;1)),"Flags devem ser 0 ou 1",IF(AND(H1642=1,LEN(TRIM(I1642))=0),"Preencher nome do indicante",IF(AND(H1642&lt;&gt;1,I1642&lt;&gt;""),"Nome sem indicação interna",IF(AND(G1642=1,F1642=""),"Fechamento sem conversa",IF(OR(AND(E1642&lt;&gt;"",E1642&lt;B1642),AND(F1642&lt;&gt;"",F1642&lt;B1642)),"Evento anterior à entrada",IF(AND(F1642&lt;&gt;"",E1642=""),"Conversa sem agendamento",IF(OR(E1642&gt;TODAY(),F1642&gt;TODAY()),"Verificar evento futuro","OK"))))))))))</f>
        <v/>
      </c>
    </row>
    <row r="1643" spans="12:15">
      <c r="L1643" s="5">
        <f>IF(OR(A1643="",B1643=""),"",B1643-WEEKDAY(B1643,2)+1)</f>
        <v/>
      </c>
      <c r="M1643" s="5">
        <f>IF(L1643="","",L1643+6)</f>
        <v/>
      </c>
      <c r="N1643" s="6">
        <f>IF(OR(A1643="",B1643=""),"",DATE(YEAR(B1643),MONTH(B1643),1))</f>
        <v/>
      </c>
      <c r="O1643" s="7">
        <f>IF(COUNTA(A1643:K1643)=0,"",IF(OR(A1643="",B1643=""),"Preencher CPF e entrada",IF(COUNTIFS($A$12:$A$5011,A1643,$B$12:$B$5011,B1643)&gt;1,"CPF + dia duplicado",IF(OR(AND(G1643&lt;&gt;"",G1643&lt;&gt;0,G1643&lt;&gt;1),AND(H1643&lt;&gt;"",H1643&lt;&gt;0,H1643&lt;&gt;1)),"Flags devem ser 0 ou 1",IF(AND(H1643=1,LEN(TRIM(I1643))=0),"Preencher nome do indicante",IF(AND(H1643&lt;&gt;1,I1643&lt;&gt;""),"Nome sem indicação interna",IF(AND(G1643=1,F1643=""),"Fechamento sem conversa",IF(OR(AND(E1643&lt;&gt;"",E1643&lt;B1643),AND(F1643&lt;&gt;"",F1643&lt;B1643)),"Evento anterior à entrada",IF(AND(F1643&lt;&gt;"",E1643=""),"Conversa sem agendamento",IF(OR(E1643&gt;TODAY(),F1643&gt;TODAY()),"Verificar evento futuro","OK"))))))))))</f>
        <v/>
      </c>
    </row>
    <row r="1644" spans="12:15">
      <c r="L1644" s="5">
        <f>IF(OR(A1644="",B1644=""),"",B1644-WEEKDAY(B1644,2)+1)</f>
        <v/>
      </c>
      <c r="M1644" s="5">
        <f>IF(L1644="","",L1644+6)</f>
        <v/>
      </c>
      <c r="N1644" s="6">
        <f>IF(OR(A1644="",B1644=""),"",DATE(YEAR(B1644),MONTH(B1644),1))</f>
        <v/>
      </c>
      <c r="O1644" s="7">
        <f>IF(COUNTA(A1644:K1644)=0,"",IF(OR(A1644="",B1644=""),"Preencher CPF e entrada",IF(COUNTIFS($A$12:$A$5011,A1644,$B$12:$B$5011,B1644)&gt;1,"CPF + dia duplicado",IF(OR(AND(G1644&lt;&gt;"",G1644&lt;&gt;0,G1644&lt;&gt;1),AND(H1644&lt;&gt;"",H1644&lt;&gt;0,H1644&lt;&gt;1)),"Flags devem ser 0 ou 1",IF(AND(H1644=1,LEN(TRIM(I1644))=0),"Preencher nome do indicante",IF(AND(H1644&lt;&gt;1,I1644&lt;&gt;""),"Nome sem indicação interna",IF(AND(G1644=1,F1644=""),"Fechamento sem conversa",IF(OR(AND(E1644&lt;&gt;"",E1644&lt;B1644),AND(F1644&lt;&gt;"",F1644&lt;B1644)),"Evento anterior à entrada",IF(AND(F1644&lt;&gt;"",E1644=""),"Conversa sem agendamento",IF(OR(E1644&gt;TODAY(),F1644&gt;TODAY()),"Verificar evento futuro","OK"))))))))))</f>
        <v/>
      </c>
    </row>
    <row r="1645" spans="12:15">
      <c r="L1645" s="5">
        <f>IF(OR(A1645="",B1645=""),"",B1645-WEEKDAY(B1645,2)+1)</f>
        <v/>
      </c>
      <c r="M1645" s="5">
        <f>IF(L1645="","",L1645+6)</f>
        <v/>
      </c>
      <c r="N1645" s="6">
        <f>IF(OR(A1645="",B1645=""),"",DATE(YEAR(B1645),MONTH(B1645),1))</f>
        <v/>
      </c>
      <c r="O1645" s="7">
        <f>IF(COUNTA(A1645:K1645)=0,"",IF(OR(A1645="",B1645=""),"Preencher CPF e entrada",IF(COUNTIFS($A$12:$A$5011,A1645,$B$12:$B$5011,B1645)&gt;1,"CPF + dia duplicado",IF(OR(AND(G1645&lt;&gt;"",G1645&lt;&gt;0,G1645&lt;&gt;1),AND(H1645&lt;&gt;"",H1645&lt;&gt;0,H1645&lt;&gt;1)),"Flags devem ser 0 ou 1",IF(AND(H1645=1,LEN(TRIM(I1645))=0),"Preencher nome do indicante",IF(AND(H1645&lt;&gt;1,I1645&lt;&gt;""),"Nome sem indicação interna",IF(AND(G1645=1,F1645=""),"Fechamento sem conversa",IF(OR(AND(E1645&lt;&gt;"",E1645&lt;B1645),AND(F1645&lt;&gt;"",F1645&lt;B1645)),"Evento anterior à entrada",IF(AND(F1645&lt;&gt;"",E1645=""),"Conversa sem agendamento",IF(OR(E1645&gt;TODAY(),F1645&gt;TODAY()),"Verificar evento futuro","OK"))))))))))</f>
        <v/>
      </c>
    </row>
    <row r="1646" spans="12:15">
      <c r="L1646" s="5">
        <f>IF(OR(A1646="",B1646=""),"",B1646-WEEKDAY(B1646,2)+1)</f>
        <v/>
      </c>
      <c r="M1646" s="5">
        <f>IF(L1646="","",L1646+6)</f>
        <v/>
      </c>
      <c r="N1646" s="6">
        <f>IF(OR(A1646="",B1646=""),"",DATE(YEAR(B1646),MONTH(B1646),1))</f>
        <v/>
      </c>
      <c r="O1646" s="7">
        <f>IF(COUNTA(A1646:K1646)=0,"",IF(OR(A1646="",B1646=""),"Preencher CPF e entrada",IF(COUNTIFS($A$12:$A$5011,A1646,$B$12:$B$5011,B1646)&gt;1,"CPF + dia duplicado",IF(OR(AND(G1646&lt;&gt;"",G1646&lt;&gt;0,G1646&lt;&gt;1),AND(H1646&lt;&gt;"",H1646&lt;&gt;0,H1646&lt;&gt;1)),"Flags devem ser 0 ou 1",IF(AND(H1646=1,LEN(TRIM(I1646))=0),"Preencher nome do indicante",IF(AND(H1646&lt;&gt;1,I1646&lt;&gt;""),"Nome sem indicação interna",IF(AND(G1646=1,F1646=""),"Fechamento sem conversa",IF(OR(AND(E1646&lt;&gt;"",E1646&lt;B1646),AND(F1646&lt;&gt;"",F1646&lt;B1646)),"Evento anterior à entrada",IF(AND(F1646&lt;&gt;"",E1646=""),"Conversa sem agendamento",IF(OR(E1646&gt;TODAY(),F1646&gt;TODAY()),"Verificar evento futuro","OK"))))))))))</f>
        <v/>
      </c>
    </row>
    <row r="1647" spans="12:15">
      <c r="L1647" s="5">
        <f>IF(OR(A1647="",B1647=""),"",B1647-WEEKDAY(B1647,2)+1)</f>
        <v/>
      </c>
      <c r="M1647" s="5">
        <f>IF(L1647="","",L1647+6)</f>
        <v/>
      </c>
      <c r="N1647" s="6">
        <f>IF(OR(A1647="",B1647=""),"",DATE(YEAR(B1647),MONTH(B1647),1))</f>
        <v/>
      </c>
      <c r="O1647" s="7">
        <f>IF(COUNTA(A1647:K1647)=0,"",IF(OR(A1647="",B1647=""),"Preencher CPF e entrada",IF(COUNTIFS($A$12:$A$5011,A1647,$B$12:$B$5011,B1647)&gt;1,"CPF + dia duplicado",IF(OR(AND(G1647&lt;&gt;"",G1647&lt;&gt;0,G1647&lt;&gt;1),AND(H1647&lt;&gt;"",H1647&lt;&gt;0,H1647&lt;&gt;1)),"Flags devem ser 0 ou 1",IF(AND(H1647=1,LEN(TRIM(I1647))=0),"Preencher nome do indicante",IF(AND(H1647&lt;&gt;1,I1647&lt;&gt;""),"Nome sem indicação interna",IF(AND(G1647=1,F1647=""),"Fechamento sem conversa",IF(OR(AND(E1647&lt;&gt;"",E1647&lt;B1647),AND(F1647&lt;&gt;"",F1647&lt;B1647)),"Evento anterior à entrada",IF(AND(F1647&lt;&gt;"",E1647=""),"Conversa sem agendamento",IF(OR(E1647&gt;TODAY(),F1647&gt;TODAY()),"Verificar evento futuro","OK"))))))))))</f>
        <v/>
      </c>
    </row>
    <row r="1648" spans="12:15">
      <c r="L1648" s="5">
        <f>IF(OR(A1648="",B1648=""),"",B1648-WEEKDAY(B1648,2)+1)</f>
        <v/>
      </c>
      <c r="M1648" s="5">
        <f>IF(L1648="","",L1648+6)</f>
        <v/>
      </c>
      <c r="N1648" s="6">
        <f>IF(OR(A1648="",B1648=""),"",DATE(YEAR(B1648),MONTH(B1648),1))</f>
        <v/>
      </c>
      <c r="O1648" s="7">
        <f>IF(COUNTA(A1648:K1648)=0,"",IF(OR(A1648="",B1648=""),"Preencher CPF e entrada",IF(COUNTIFS($A$12:$A$5011,A1648,$B$12:$B$5011,B1648)&gt;1,"CPF + dia duplicado",IF(OR(AND(G1648&lt;&gt;"",G1648&lt;&gt;0,G1648&lt;&gt;1),AND(H1648&lt;&gt;"",H1648&lt;&gt;0,H1648&lt;&gt;1)),"Flags devem ser 0 ou 1",IF(AND(H1648=1,LEN(TRIM(I1648))=0),"Preencher nome do indicante",IF(AND(H1648&lt;&gt;1,I1648&lt;&gt;""),"Nome sem indicação interna",IF(AND(G1648=1,F1648=""),"Fechamento sem conversa",IF(OR(AND(E1648&lt;&gt;"",E1648&lt;B1648),AND(F1648&lt;&gt;"",F1648&lt;B1648)),"Evento anterior à entrada",IF(AND(F1648&lt;&gt;"",E1648=""),"Conversa sem agendamento",IF(OR(E1648&gt;TODAY(),F1648&gt;TODAY()),"Verificar evento futuro","OK"))))))))))</f>
        <v/>
      </c>
    </row>
    <row r="1649" spans="12:15">
      <c r="L1649" s="5">
        <f>IF(OR(A1649="",B1649=""),"",B1649-WEEKDAY(B1649,2)+1)</f>
        <v/>
      </c>
      <c r="M1649" s="5">
        <f>IF(L1649="","",L1649+6)</f>
        <v/>
      </c>
      <c r="N1649" s="6">
        <f>IF(OR(A1649="",B1649=""),"",DATE(YEAR(B1649),MONTH(B1649),1))</f>
        <v/>
      </c>
      <c r="O1649" s="7">
        <f>IF(COUNTA(A1649:K1649)=0,"",IF(OR(A1649="",B1649=""),"Preencher CPF e entrada",IF(COUNTIFS($A$12:$A$5011,A1649,$B$12:$B$5011,B1649)&gt;1,"CPF + dia duplicado",IF(OR(AND(G1649&lt;&gt;"",G1649&lt;&gt;0,G1649&lt;&gt;1),AND(H1649&lt;&gt;"",H1649&lt;&gt;0,H1649&lt;&gt;1)),"Flags devem ser 0 ou 1",IF(AND(H1649=1,LEN(TRIM(I1649))=0),"Preencher nome do indicante",IF(AND(H1649&lt;&gt;1,I1649&lt;&gt;""),"Nome sem indicação interna",IF(AND(G1649=1,F1649=""),"Fechamento sem conversa",IF(OR(AND(E1649&lt;&gt;"",E1649&lt;B1649),AND(F1649&lt;&gt;"",F1649&lt;B1649)),"Evento anterior à entrada",IF(AND(F1649&lt;&gt;"",E1649=""),"Conversa sem agendamento",IF(OR(E1649&gt;TODAY(),F1649&gt;TODAY()),"Verificar evento futuro","OK"))))))))))</f>
        <v/>
      </c>
    </row>
    <row r="1650" spans="12:15">
      <c r="L1650" s="5">
        <f>IF(OR(A1650="",B1650=""),"",B1650-WEEKDAY(B1650,2)+1)</f>
        <v/>
      </c>
      <c r="M1650" s="5">
        <f>IF(L1650="","",L1650+6)</f>
        <v/>
      </c>
      <c r="N1650" s="6">
        <f>IF(OR(A1650="",B1650=""),"",DATE(YEAR(B1650),MONTH(B1650),1))</f>
        <v/>
      </c>
      <c r="O1650" s="7">
        <f>IF(COUNTA(A1650:K1650)=0,"",IF(OR(A1650="",B1650=""),"Preencher CPF e entrada",IF(COUNTIFS($A$12:$A$5011,A1650,$B$12:$B$5011,B1650)&gt;1,"CPF + dia duplicado",IF(OR(AND(G1650&lt;&gt;"",G1650&lt;&gt;0,G1650&lt;&gt;1),AND(H1650&lt;&gt;"",H1650&lt;&gt;0,H1650&lt;&gt;1)),"Flags devem ser 0 ou 1",IF(AND(H1650=1,LEN(TRIM(I1650))=0),"Preencher nome do indicante",IF(AND(H1650&lt;&gt;1,I1650&lt;&gt;""),"Nome sem indicação interna",IF(AND(G1650=1,F1650=""),"Fechamento sem conversa",IF(OR(AND(E1650&lt;&gt;"",E1650&lt;B1650),AND(F1650&lt;&gt;"",F1650&lt;B1650)),"Evento anterior à entrada",IF(AND(F1650&lt;&gt;"",E1650=""),"Conversa sem agendamento",IF(OR(E1650&gt;TODAY(),F1650&gt;TODAY()),"Verificar evento futuro","OK"))))))))))</f>
        <v/>
      </c>
    </row>
    <row r="1651" spans="12:15">
      <c r="L1651" s="5">
        <f>IF(OR(A1651="",B1651=""),"",B1651-WEEKDAY(B1651,2)+1)</f>
        <v/>
      </c>
      <c r="M1651" s="5">
        <f>IF(L1651="","",L1651+6)</f>
        <v/>
      </c>
      <c r="N1651" s="6">
        <f>IF(OR(A1651="",B1651=""),"",DATE(YEAR(B1651),MONTH(B1651),1))</f>
        <v/>
      </c>
      <c r="O1651" s="7">
        <f>IF(COUNTA(A1651:K1651)=0,"",IF(OR(A1651="",B1651=""),"Preencher CPF e entrada",IF(COUNTIFS($A$12:$A$5011,A1651,$B$12:$B$5011,B1651)&gt;1,"CPF + dia duplicado",IF(OR(AND(G1651&lt;&gt;"",G1651&lt;&gt;0,G1651&lt;&gt;1),AND(H1651&lt;&gt;"",H1651&lt;&gt;0,H1651&lt;&gt;1)),"Flags devem ser 0 ou 1",IF(AND(H1651=1,LEN(TRIM(I1651))=0),"Preencher nome do indicante",IF(AND(H1651&lt;&gt;1,I1651&lt;&gt;""),"Nome sem indicação interna",IF(AND(G1651=1,F1651=""),"Fechamento sem conversa",IF(OR(AND(E1651&lt;&gt;"",E1651&lt;B1651),AND(F1651&lt;&gt;"",F1651&lt;B1651)),"Evento anterior à entrada",IF(AND(F1651&lt;&gt;"",E1651=""),"Conversa sem agendamento",IF(OR(E1651&gt;TODAY(),F1651&gt;TODAY()),"Verificar evento futuro","OK"))))))))))</f>
        <v/>
      </c>
    </row>
    <row r="1652" spans="12:15">
      <c r="L1652" s="5">
        <f>IF(OR(A1652="",B1652=""),"",B1652-WEEKDAY(B1652,2)+1)</f>
        <v/>
      </c>
      <c r="M1652" s="5">
        <f>IF(L1652="","",L1652+6)</f>
        <v/>
      </c>
      <c r="N1652" s="6">
        <f>IF(OR(A1652="",B1652=""),"",DATE(YEAR(B1652),MONTH(B1652),1))</f>
        <v/>
      </c>
      <c r="O1652" s="7">
        <f>IF(COUNTA(A1652:K1652)=0,"",IF(OR(A1652="",B1652=""),"Preencher CPF e entrada",IF(COUNTIFS($A$12:$A$5011,A1652,$B$12:$B$5011,B1652)&gt;1,"CPF + dia duplicado",IF(OR(AND(G1652&lt;&gt;"",G1652&lt;&gt;0,G1652&lt;&gt;1),AND(H1652&lt;&gt;"",H1652&lt;&gt;0,H1652&lt;&gt;1)),"Flags devem ser 0 ou 1",IF(AND(H1652=1,LEN(TRIM(I1652))=0),"Preencher nome do indicante",IF(AND(H1652&lt;&gt;1,I1652&lt;&gt;""),"Nome sem indicação interna",IF(AND(G1652=1,F1652=""),"Fechamento sem conversa",IF(OR(AND(E1652&lt;&gt;"",E1652&lt;B1652),AND(F1652&lt;&gt;"",F1652&lt;B1652)),"Evento anterior à entrada",IF(AND(F1652&lt;&gt;"",E1652=""),"Conversa sem agendamento",IF(OR(E1652&gt;TODAY(),F1652&gt;TODAY()),"Verificar evento futuro","OK"))))))))))</f>
        <v/>
      </c>
    </row>
    <row r="1653" spans="12:15">
      <c r="L1653" s="5">
        <f>IF(OR(A1653="",B1653=""),"",B1653-WEEKDAY(B1653,2)+1)</f>
        <v/>
      </c>
      <c r="M1653" s="5">
        <f>IF(L1653="","",L1653+6)</f>
        <v/>
      </c>
      <c r="N1653" s="6">
        <f>IF(OR(A1653="",B1653=""),"",DATE(YEAR(B1653),MONTH(B1653),1))</f>
        <v/>
      </c>
      <c r="O1653" s="7">
        <f>IF(COUNTA(A1653:K1653)=0,"",IF(OR(A1653="",B1653=""),"Preencher CPF e entrada",IF(COUNTIFS($A$12:$A$5011,A1653,$B$12:$B$5011,B1653)&gt;1,"CPF + dia duplicado",IF(OR(AND(G1653&lt;&gt;"",G1653&lt;&gt;0,G1653&lt;&gt;1),AND(H1653&lt;&gt;"",H1653&lt;&gt;0,H1653&lt;&gt;1)),"Flags devem ser 0 ou 1",IF(AND(H1653=1,LEN(TRIM(I1653))=0),"Preencher nome do indicante",IF(AND(H1653&lt;&gt;1,I1653&lt;&gt;""),"Nome sem indicação interna",IF(AND(G1653=1,F1653=""),"Fechamento sem conversa",IF(OR(AND(E1653&lt;&gt;"",E1653&lt;B1653),AND(F1653&lt;&gt;"",F1653&lt;B1653)),"Evento anterior à entrada",IF(AND(F1653&lt;&gt;"",E1653=""),"Conversa sem agendamento",IF(OR(E1653&gt;TODAY(),F1653&gt;TODAY()),"Verificar evento futuro","OK"))))))))))</f>
        <v/>
      </c>
    </row>
    <row r="1654" spans="12:15">
      <c r="L1654" s="5">
        <f>IF(OR(A1654="",B1654=""),"",B1654-WEEKDAY(B1654,2)+1)</f>
        <v/>
      </c>
      <c r="M1654" s="5">
        <f>IF(L1654="","",L1654+6)</f>
        <v/>
      </c>
      <c r="N1654" s="6">
        <f>IF(OR(A1654="",B1654=""),"",DATE(YEAR(B1654),MONTH(B1654),1))</f>
        <v/>
      </c>
      <c r="O1654" s="7">
        <f>IF(COUNTA(A1654:K1654)=0,"",IF(OR(A1654="",B1654=""),"Preencher CPF e entrada",IF(COUNTIFS($A$12:$A$5011,A1654,$B$12:$B$5011,B1654)&gt;1,"CPF + dia duplicado",IF(OR(AND(G1654&lt;&gt;"",G1654&lt;&gt;0,G1654&lt;&gt;1),AND(H1654&lt;&gt;"",H1654&lt;&gt;0,H1654&lt;&gt;1)),"Flags devem ser 0 ou 1",IF(AND(H1654=1,LEN(TRIM(I1654))=0),"Preencher nome do indicante",IF(AND(H1654&lt;&gt;1,I1654&lt;&gt;""),"Nome sem indicação interna",IF(AND(G1654=1,F1654=""),"Fechamento sem conversa",IF(OR(AND(E1654&lt;&gt;"",E1654&lt;B1654),AND(F1654&lt;&gt;"",F1654&lt;B1654)),"Evento anterior à entrada",IF(AND(F1654&lt;&gt;"",E1654=""),"Conversa sem agendamento",IF(OR(E1654&gt;TODAY(),F1654&gt;TODAY()),"Verificar evento futuro","OK"))))))))))</f>
        <v/>
      </c>
    </row>
    <row r="1655" spans="12:15">
      <c r="L1655" s="5">
        <f>IF(OR(A1655="",B1655=""),"",B1655-WEEKDAY(B1655,2)+1)</f>
        <v/>
      </c>
      <c r="M1655" s="5">
        <f>IF(L1655="","",L1655+6)</f>
        <v/>
      </c>
      <c r="N1655" s="6">
        <f>IF(OR(A1655="",B1655=""),"",DATE(YEAR(B1655),MONTH(B1655),1))</f>
        <v/>
      </c>
      <c r="O1655" s="7">
        <f>IF(COUNTA(A1655:K1655)=0,"",IF(OR(A1655="",B1655=""),"Preencher CPF e entrada",IF(COUNTIFS($A$12:$A$5011,A1655,$B$12:$B$5011,B1655)&gt;1,"CPF + dia duplicado",IF(OR(AND(G1655&lt;&gt;"",G1655&lt;&gt;0,G1655&lt;&gt;1),AND(H1655&lt;&gt;"",H1655&lt;&gt;0,H1655&lt;&gt;1)),"Flags devem ser 0 ou 1",IF(AND(H1655=1,LEN(TRIM(I1655))=0),"Preencher nome do indicante",IF(AND(H1655&lt;&gt;1,I1655&lt;&gt;""),"Nome sem indicação interna",IF(AND(G1655=1,F1655=""),"Fechamento sem conversa",IF(OR(AND(E1655&lt;&gt;"",E1655&lt;B1655),AND(F1655&lt;&gt;"",F1655&lt;B1655)),"Evento anterior à entrada",IF(AND(F1655&lt;&gt;"",E1655=""),"Conversa sem agendamento",IF(OR(E1655&gt;TODAY(),F1655&gt;TODAY()),"Verificar evento futuro","OK"))))))))))</f>
        <v/>
      </c>
    </row>
    <row r="1656" spans="12:15">
      <c r="L1656" s="5">
        <f>IF(OR(A1656="",B1656=""),"",B1656-WEEKDAY(B1656,2)+1)</f>
        <v/>
      </c>
      <c r="M1656" s="5">
        <f>IF(L1656="","",L1656+6)</f>
        <v/>
      </c>
      <c r="N1656" s="6">
        <f>IF(OR(A1656="",B1656=""),"",DATE(YEAR(B1656),MONTH(B1656),1))</f>
        <v/>
      </c>
      <c r="O1656" s="7">
        <f>IF(COUNTA(A1656:K1656)=0,"",IF(OR(A1656="",B1656=""),"Preencher CPF e entrada",IF(COUNTIFS($A$12:$A$5011,A1656,$B$12:$B$5011,B1656)&gt;1,"CPF + dia duplicado",IF(OR(AND(G1656&lt;&gt;"",G1656&lt;&gt;0,G1656&lt;&gt;1),AND(H1656&lt;&gt;"",H1656&lt;&gt;0,H1656&lt;&gt;1)),"Flags devem ser 0 ou 1",IF(AND(H1656=1,LEN(TRIM(I1656))=0),"Preencher nome do indicante",IF(AND(H1656&lt;&gt;1,I1656&lt;&gt;""),"Nome sem indicação interna",IF(AND(G1656=1,F1656=""),"Fechamento sem conversa",IF(OR(AND(E1656&lt;&gt;"",E1656&lt;B1656),AND(F1656&lt;&gt;"",F1656&lt;B1656)),"Evento anterior à entrada",IF(AND(F1656&lt;&gt;"",E1656=""),"Conversa sem agendamento",IF(OR(E1656&gt;TODAY(),F1656&gt;TODAY()),"Verificar evento futuro","OK"))))))))))</f>
        <v/>
      </c>
    </row>
    <row r="1657" spans="12:15">
      <c r="L1657" s="5">
        <f>IF(OR(A1657="",B1657=""),"",B1657-WEEKDAY(B1657,2)+1)</f>
        <v/>
      </c>
      <c r="M1657" s="5">
        <f>IF(L1657="","",L1657+6)</f>
        <v/>
      </c>
      <c r="N1657" s="6">
        <f>IF(OR(A1657="",B1657=""),"",DATE(YEAR(B1657),MONTH(B1657),1))</f>
        <v/>
      </c>
      <c r="O1657" s="7">
        <f>IF(COUNTA(A1657:K1657)=0,"",IF(OR(A1657="",B1657=""),"Preencher CPF e entrada",IF(COUNTIFS($A$12:$A$5011,A1657,$B$12:$B$5011,B1657)&gt;1,"CPF + dia duplicado",IF(OR(AND(G1657&lt;&gt;"",G1657&lt;&gt;0,G1657&lt;&gt;1),AND(H1657&lt;&gt;"",H1657&lt;&gt;0,H1657&lt;&gt;1)),"Flags devem ser 0 ou 1",IF(AND(H1657=1,LEN(TRIM(I1657))=0),"Preencher nome do indicante",IF(AND(H1657&lt;&gt;1,I1657&lt;&gt;""),"Nome sem indicação interna",IF(AND(G1657=1,F1657=""),"Fechamento sem conversa",IF(OR(AND(E1657&lt;&gt;"",E1657&lt;B1657),AND(F1657&lt;&gt;"",F1657&lt;B1657)),"Evento anterior à entrada",IF(AND(F1657&lt;&gt;"",E1657=""),"Conversa sem agendamento",IF(OR(E1657&gt;TODAY(),F1657&gt;TODAY()),"Verificar evento futuro","OK"))))))))))</f>
        <v/>
      </c>
    </row>
    <row r="1658" spans="12:15">
      <c r="L1658" s="5">
        <f>IF(OR(A1658="",B1658=""),"",B1658-WEEKDAY(B1658,2)+1)</f>
        <v/>
      </c>
      <c r="M1658" s="5">
        <f>IF(L1658="","",L1658+6)</f>
        <v/>
      </c>
      <c r="N1658" s="6">
        <f>IF(OR(A1658="",B1658=""),"",DATE(YEAR(B1658),MONTH(B1658),1))</f>
        <v/>
      </c>
      <c r="O1658" s="7">
        <f>IF(COUNTA(A1658:K1658)=0,"",IF(OR(A1658="",B1658=""),"Preencher CPF e entrada",IF(COUNTIFS($A$12:$A$5011,A1658,$B$12:$B$5011,B1658)&gt;1,"CPF + dia duplicado",IF(OR(AND(G1658&lt;&gt;"",G1658&lt;&gt;0,G1658&lt;&gt;1),AND(H1658&lt;&gt;"",H1658&lt;&gt;0,H1658&lt;&gt;1)),"Flags devem ser 0 ou 1",IF(AND(H1658=1,LEN(TRIM(I1658))=0),"Preencher nome do indicante",IF(AND(H1658&lt;&gt;1,I1658&lt;&gt;""),"Nome sem indicação interna",IF(AND(G1658=1,F1658=""),"Fechamento sem conversa",IF(OR(AND(E1658&lt;&gt;"",E1658&lt;B1658),AND(F1658&lt;&gt;"",F1658&lt;B1658)),"Evento anterior à entrada",IF(AND(F1658&lt;&gt;"",E1658=""),"Conversa sem agendamento",IF(OR(E1658&gt;TODAY(),F1658&gt;TODAY()),"Verificar evento futuro","OK"))))))))))</f>
        <v/>
      </c>
    </row>
    <row r="1659" spans="12:15">
      <c r="L1659" s="5">
        <f>IF(OR(A1659="",B1659=""),"",B1659-WEEKDAY(B1659,2)+1)</f>
        <v/>
      </c>
      <c r="M1659" s="5">
        <f>IF(L1659="","",L1659+6)</f>
        <v/>
      </c>
      <c r="N1659" s="6">
        <f>IF(OR(A1659="",B1659=""),"",DATE(YEAR(B1659),MONTH(B1659),1))</f>
        <v/>
      </c>
      <c r="O1659" s="7">
        <f>IF(COUNTA(A1659:K1659)=0,"",IF(OR(A1659="",B1659=""),"Preencher CPF e entrada",IF(COUNTIFS($A$12:$A$5011,A1659,$B$12:$B$5011,B1659)&gt;1,"CPF + dia duplicado",IF(OR(AND(G1659&lt;&gt;"",G1659&lt;&gt;0,G1659&lt;&gt;1),AND(H1659&lt;&gt;"",H1659&lt;&gt;0,H1659&lt;&gt;1)),"Flags devem ser 0 ou 1",IF(AND(H1659=1,LEN(TRIM(I1659))=0),"Preencher nome do indicante",IF(AND(H1659&lt;&gt;1,I1659&lt;&gt;""),"Nome sem indicação interna",IF(AND(G1659=1,F1659=""),"Fechamento sem conversa",IF(OR(AND(E1659&lt;&gt;"",E1659&lt;B1659),AND(F1659&lt;&gt;"",F1659&lt;B1659)),"Evento anterior à entrada",IF(AND(F1659&lt;&gt;"",E1659=""),"Conversa sem agendamento",IF(OR(E1659&gt;TODAY(),F1659&gt;TODAY()),"Verificar evento futuro","OK"))))))))))</f>
        <v/>
      </c>
    </row>
    <row r="1660" spans="12:15">
      <c r="L1660" s="5">
        <f>IF(OR(A1660="",B1660=""),"",B1660-WEEKDAY(B1660,2)+1)</f>
        <v/>
      </c>
      <c r="M1660" s="5">
        <f>IF(L1660="","",L1660+6)</f>
        <v/>
      </c>
      <c r="N1660" s="6">
        <f>IF(OR(A1660="",B1660=""),"",DATE(YEAR(B1660),MONTH(B1660),1))</f>
        <v/>
      </c>
      <c r="O1660" s="7">
        <f>IF(COUNTA(A1660:K1660)=0,"",IF(OR(A1660="",B1660=""),"Preencher CPF e entrada",IF(COUNTIFS($A$12:$A$5011,A1660,$B$12:$B$5011,B1660)&gt;1,"CPF + dia duplicado",IF(OR(AND(G1660&lt;&gt;"",G1660&lt;&gt;0,G1660&lt;&gt;1),AND(H1660&lt;&gt;"",H1660&lt;&gt;0,H1660&lt;&gt;1)),"Flags devem ser 0 ou 1",IF(AND(H1660=1,LEN(TRIM(I1660))=0),"Preencher nome do indicante",IF(AND(H1660&lt;&gt;1,I1660&lt;&gt;""),"Nome sem indicação interna",IF(AND(G1660=1,F1660=""),"Fechamento sem conversa",IF(OR(AND(E1660&lt;&gt;"",E1660&lt;B1660),AND(F1660&lt;&gt;"",F1660&lt;B1660)),"Evento anterior à entrada",IF(AND(F1660&lt;&gt;"",E1660=""),"Conversa sem agendamento",IF(OR(E1660&gt;TODAY(),F1660&gt;TODAY()),"Verificar evento futuro","OK"))))))))))</f>
        <v/>
      </c>
    </row>
    <row r="1661" spans="12:15">
      <c r="L1661" s="5">
        <f>IF(OR(A1661="",B1661=""),"",B1661-WEEKDAY(B1661,2)+1)</f>
        <v/>
      </c>
      <c r="M1661" s="5">
        <f>IF(L1661="","",L1661+6)</f>
        <v/>
      </c>
      <c r="N1661" s="6">
        <f>IF(OR(A1661="",B1661=""),"",DATE(YEAR(B1661),MONTH(B1661),1))</f>
        <v/>
      </c>
      <c r="O1661" s="7">
        <f>IF(COUNTA(A1661:K1661)=0,"",IF(OR(A1661="",B1661=""),"Preencher CPF e entrada",IF(COUNTIFS($A$12:$A$5011,A1661,$B$12:$B$5011,B1661)&gt;1,"CPF + dia duplicado",IF(OR(AND(G1661&lt;&gt;"",G1661&lt;&gt;0,G1661&lt;&gt;1),AND(H1661&lt;&gt;"",H1661&lt;&gt;0,H1661&lt;&gt;1)),"Flags devem ser 0 ou 1",IF(AND(H1661=1,LEN(TRIM(I1661))=0),"Preencher nome do indicante",IF(AND(H1661&lt;&gt;1,I1661&lt;&gt;""),"Nome sem indicação interna",IF(AND(G1661=1,F1661=""),"Fechamento sem conversa",IF(OR(AND(E1661&lt;&gt;"",E1661&lt;B1661),AND(F1661&lt;&gt;"",F1661&lt;B1661)),"Evento anterior à entrada",IF(AND(F1661&lt;&gt;"",E1661=""),"Conversa sem agendamento",IF(OR(E1661&gt;TODAY(),F1661&gt;TODAY()),"Verificar evento futuro","OK"))))))))))</f>
        <v/>
      </c>
    </row>
    <row r="1662" spans="12:15">
      <c r="L1662" s="5">
        <f>IF(OR(A1662="",B1662=""),"",B1662-WEEKDAY(B1662,2)+1)</f>
        <v/>
      </c>
      <c r="M1662" s="5">
        <f>IF(L1662="","",L1662+6)</f>
        <v/>
      </c>
      <c r="N1662" s="6">
        <f>IF(OR(A1662="",B1662=""),"",DATE(YEAR(B1662),MONTH(B1662),1))</f>
        <v/>
      </c>
      <c r="O1662" s="7">
        <f>IF(COUNTA(A1662:K1662)=0,"",IF(OR(A1662="",B1662=""),"Preencher CPF e entrada",IF(COUNTIFS($A$12:$A$5011,A1662,$B$12:$B$5011,B1662)&gt;1,"CPF + dia duplicado",IF(OR(AND(G1662&lt;&gt;"",G1662&lt;&gt;0,G1662&lt;&gt;1),AND(H1662&lt;&gt;"",H1662&lt;&gt;0,H1662&lt;&gt;1)),"Flags devem ser 0 ou 1",IF(AND(H1662=1,LEN(TRIM(I1662))=0),"Preencher nome do indicante",IF(AND(H1662&lt;&gt;1,I1662&lt;&gt;""),"Nome sem indicação interna",IF(AND(G1662=1,F1662=""),"Fechamento sem conversa",IF(OR(AND(E1662&lt;&gt;"",E1662&lt;B1662),AND(F1662&lt;&gt;"",F1662&lt;B1662)),"Evento anterior à entrada",IF(AND(F1662&lt;&gt;"",E1662=""),"Conversa sem agendamento",IF(OR(E1662&gt;TODAY(),F1662&gt;TODAY()),"Verificar evento futuro","OK"))))))))))</f>
        <v/>
      </c>
    </row>
    <row r="1663" spans="12:15">
      <c r="L1663" s="5">
        <f>IF(OR(A1663="",B1663=""),"",B1663-WEEKDAY(B1663,2)+1)</f>
        <v/>
      </c>
      <c r="M1663" s="5">
        <f>IF(L1663="","",L1663+6)</f>
        <v/>
      </c>
      <c r="N1663" s="6">
        <f>IF(OR(A1663="",B1663=""),"",DATE(YEAR(B1663),MONTH(B1663),1))</f>
        <v/>
      </c>
      <c r="O1663" s="7">
        <f>IF(COUNTA(A1663:K1663)=0,"",IF(OR(A1663="",B1663=""),"Preencher CPF e entrada",IF(COUNTIFS($A$12:$A$5011,A1663,$B$12:$B$5011,B1663)&gt;1,"CPF + dia duplicado",IF(OR(AND(G1663&lt;&gt;"",G1663&lt;&gt;0,G1663&lt;&gt;1),AND(H1663&lt;&gt;"",H1663&lt;&gt;0,H1663&lt;&gt;1)),"Flags devem ser 0 ou 1",IF(AND(H1663=1,LEN(TRIM(I1663))=0),"Preencher nome do indicante",IF(AND(H1663&lt;&gt;1,I1663&lt;&gt;""),"Nome sem indicação interna",IF(AND(G1663=1,F1663=""),"Fechamento sem conversa",IF(OR(AND(E1663&lt;&gt;"",E1663&lt;B1663),AND(F1663&lt;&gt;"",F1663&lt;B1663)),"Evento anterior à entrada",IF(AND(F1663&lt;&gt;"",E1663=""),"Conversa sem agendamento",IF(OR(E1663&gt;TODAY(),F1663&gt;TODAY()),"Verificar evento futuro","OK"))))))))))</f>
        <v/>
      </c>
    </row>
    <row r="1664" spans="12:15">
      <c r="L1664" s="5">
        <f>IF(OR(A1664="",B1664=""),"",B1664-WEEKDAY(B1664,2)+1)</f>
        <v/>
      </c>
      <c r="M1664" s="5">
        <f>IF(L1664="","",L1664+6)</f>
        <v/>
      </c>
      <c r="N1664" s="6">
        <f>IF(OR(A1664="",B1664=""),"",DATE(YEAR(B1664),MONTH(B1664),1))</f>
        <v/>
      </c>
      <c r="O1664" s="7">
        <f>IF(COUNTA(A1664:K1664)=0,"",IF(OR(A1664="",B1664=""),"Preencher CPF e entrada",IF(COUNTIFS($A$12:$A$5011,A1664,$B$12:$B$5011,B1664)&gt;1,"CPF + dia duplicado",IF(OR(AND(G1664&lt;&gt;"",G1664&lt;&gt;0,G1664&lt;&gt;1),AND(H1664&lt;&gt;"",H1664&lt;&gt;0,H1664&lt;&gt;1)),"Flags devem ser 0 ou 1",IF(AND(H1664=1,LEN(TRIM(I1664))=0),"Preencher nome do indicante",IF(AND(H1664&lt;&gt;1,I1664&lt;&gt;""),"Nome sem indicação interna",IF(AND(G1664=1,F1664=""),"Fechamento sem conversa",IF(OR(AND(E1664&lt;&gt;"",E1664&lt;B1664),AND(F1664&lt;&gt;"",F1664&lt;B1664)),"Evento anterior à entrada",IF(AND(F1664&lt;&gt;"",E1664=""),"Conversa sem agendamento",IF(OR(E1664&gt;TODAY(),F1664&gt;TODAY()),"Verificar evento futuro","OK"))))))))))</f>
        <v/>
      </c>
    </row>
    <row r="1665" spans="12:15">
      <c r="L1665" s="5">
        <f>IF(OR(A1665="",B1665=""),"",B1665-WEEKDAY(B1665,2)+1)</f>
        <v/>
      </c>
      <c r="M1665" s="5">
        <f>IF(L1665="","",L1665+6)</f>
        <v/>
      </c>
      <c r="N1665" s="6">
        <f>IF(OR(A1665="",B1665=""),"",DATE(YEAR(B1665),MONTH(B1665),1))</f>
        <v/>
      </c>
      <c r="O1665" s="7">
        <f>IF(COUNTA(A1665:K1665)=0,"",IF(OR(A1665="",B1665=""),"Preencher CPF e entrada",IF(COUNTIFS($A$12:$A$5011,A1665,$B$12:$B$5011,B1665)&gt;1,"CPF + dia duplicado",IF(OR(AND(G1665&lt;&gt;"",G1665&lt;&gt;0,G1665&lt;&gt;1),AND(H1665&lt;&gt;"",H1665&lt;&gt;0,H1665&lt;&gt;1)),"Flags devem ser 0 ou 1",IF(AND(H1665=1,LEN(TRIM(I1665))=0),"Preencher nome do indicante",IF(AND(H1665&lt;&gt;1,I1665&lt;&gt;""),"Nome sem indicação interna",IF(AND(G1665=1,F1665=""),"Fechamento sem conversa",IF(OR(AND(E1665&lt;&gt;"",E1665&lt;B1665),AND(F1665&lt;&gt;"",F1665&lt;B1665)),"Evento anterior à entrada",IF(AND(F1665&lt;&gt;"",E1665=""),"Conversa sem agendamento",IF(OR(E1665&gt;TODAY(),F1665&gt;TODAY()),"Verificar evento futuro","OK"))))))))))</f>
        <v/>
      </c>
    </row>
    <row r="1666" spans="12:15">
      <c r="L1666" s="5">
        <f>IF(OR(A1666="",B1666=""),"",B1666-WEEKDAY(B1666,2)+1)</f>
        <v/>
      </c>
      <c r="M1666" s="5">
        <f>IF(L1666="","",L1666+6)</f>
        <v/>
      </c>
      <c r="N1666" s="6">
        <f>IF(OR(A1666="",B1666=""),"",DATE(YEAR(B1666),MONTH(B1666),1))</f>
        <v/>
      </c>
      <c r="O1666" s="7">
        <f>IF(COUNTA(A1666:K1666)=0,"",IF(OR(A1666="",B1666=""),"Preencher CPF e entrada",IF(COUNTIFS($A$12:$A$5011,A1666,$B$12:$B$5011,B1666)&gt;1,"CPF + dia duplicado",IF(OR(AND(G1666&lt;&gt;"",G1666&lt;&gt;0,G1666&lt;&gt;1),AND(H1666&lt;&gt;"",H1666&lt;&gt;0,H1666&lt;&gt;1)),"Flags devem ser 0 ou 1",IF(AND(H1666=1,LEN(TRIM(I1666))=0),"Preencher nome do indicante",IF(AND(H1666&lt;&gt;1,I1666&lt;&gt;""),"Nome sem indicação interna",IF(AND(G1666=1,F1666=""),"Fechamento sem conversa",IF(OR(AND(E1666&lt;&gt;"",E1666&lt;B1666),AND(F1666&lt;&gt;"",F1666&lt;B1666)),"Evento anterior à entrada",IF(AND(F1666&lt;&gt;"",E1666=""),"Conversa sem agendamento",IF(OR(E1666&gt;TODAY(),F1666&gt;TODAY()),"Verificar evento futuro","OK"))))))))))</f>
        <v/>
      </c>
    </row>
    <row r="1667" spans="12:15">
      <c r="L1667" s="5">
        <f>IF(OR(A1667="",B1667=""),"",B1667-WEEKDAY(B1667,2)+1)</f>
        <v/>
      </c>
      <c r="M1667" s="5">
        <f>IF(L1667="","",L1667+6)</f>
        <v/>
      </c>
      <c r="N1667" s="6">
        <f>IF(OR(A1667="",B1667=""),"",DATE(YEAR(B1667),MONTH(B1667),1))</f>
        <v/>
      </c>
      <c r="O1667" s="7">
        <f>IF(COUNTA(A1667:K1667)=0,"",IF(OR(A1667="",B1667=""),"Preencher CPF e entrada",IF(COUNTIFS($A$12:$A$5011,A1667,$B$12:$B$5011,B1667)&gt;1,"CPF + dia duplicado",IF(OR(AND(G1667&lt;&gt;"",G1667&lt;&gt;0,G1667&lt;&gt;1),AND(H1667&lt;&gt;"",H1667&lt;&gt;0,H1667&lt;&gt;1)),"Flags devem ser 0 ou 1",IF(AND(H1667=1,LEN(TRIM(I1667))=0),"Preencher nome do indicante",IF(AND(H1667&lt;&gt;1,I1667&lt;&gt;""),"Nome sem indicação interna",IF(AND(G1667=1,F1667=""),"Fechamento sem conversa",IF(OR(AND(E1667&lt;&gt;"",E1667&lt;B1667),AND(F1667&lt;&gt;"",F1667&lt;B1667)),"Evento anterior à entrada",IF(AND(F1667&lt;&gt;"",E1667=""),"Conversa sem agendamento",IF(OR(E1667&gt;TODAY(),F1667&gt;TODAY()),"Verificar evento futuro","OK"))))))))))</f>
        <v/>
      </c>
    </row>
    <row r="1668" spans="12:15">
      <c r="L1668" s="5">
        <f>IF(OR(A1668="",B1668=""),"",B1668-WEEKDAY(B1668,2)+1)</f>
        <v/>
      </c>
      <c r="M1668" s="5">
        <f>IF(L1668="","",L1668+6)</f>
        <v/>
      </c>
      <c r="N1668" s="6">
        <f>IF(OR(A1668="",B1668=""),"",DATE(YEAR(B1668),MONTH(B1668),1))</f>
        <v/>
      </c>
      <c r="O1668" s="7">
        <f>IF(COUNTA(A1668:K1668)=0,"",IF(OR(A1668="",B1668=""),"Preencher CPF e entrada",IF(COUNTIFS($A$12:$A$5011,A1668,$B$12:$B$5011,B1668)&gt;1,"CPF + dia duplicado",IF(OR(AND(G1668&lt;&gt;"",G1668&lt;&gt;0,G1668&lt;&gt;1),AND(H1668&lt;&gt;"",H1668&lt;&gt;0,H1668&lt;&gt;1)),"Flags devem ser 0 ou 1",IF(AND(H1668=1,LEN(TRIM(I1668))=0),"Preencher nome do indicante",IF(AND(H1668&lt;&gt;1,I1668&lt;&gt;""),"Nome sem indicação interna",IF(AND(G1668=1,F1668=""),"Fechamento sem conversa",IF(OR(AND(E1668&lt;&gt;"",E1668&lt;B1668),AND(F1668&lt;&gt;"",F1668&lt;B1668)),"Evento anterior à entrada",IF(AND(F1668&lt;&gt;"",E1668=""),"Conversa sem agendamento",IF(OR(E1668&gt;TODAY(),F1668&gt;TODAY()),"Verificar evento futuro","OK"))))))))))</f>
        <v/>
      </c>
    </row>
    <row r="1669" spans="12:15">
      <c r="L1669" s="5">
        <f>IF(OR(A1669="",B1669=""),"",B1669-WEEKDAY(B1669,2)+1)</f>
        <v/>
      </c>
      <c r="M1669" s="5">
        <f>IF(L1669="","",L1669+6)</f>
        <v/>
      </c>
      <c r="N1669" s="6">
        <f>IF(OR(A1669="",B1669=""),"",DATE(YEAR(B1669),MONTH(B1669),1))</f>
        <v/>
      </c>
      <c r="O1669" s="7">
        <f>IF(COUNTA(A1669:K1669)=0,"",IF(OR(A1669="",B1669=""),"Preencher CPF e entrada",IF(COUNTIFS($A$12:$A$5011,A1669,$B$12:$B$5011,B1669)&gt;1,"CPF + dia duplicado",IF(OR(AND(G1669&lt;&gt;"",G1669&lt;&gt;0,G1669&lt;&gt;1),AND(H1669&lt;&gt;"",H1669&lt;&gt;0,H1669&lt;&gt;1)),"Flags devem ser 0 ou 1",IF(AND(H1669=1,LEN(TRIM(I1669))=0),"Preencher nome do indicante",IF(AND(H1669&lt;&gt;1,I1669&lt;&gt;""),"Nome sem indicação interna",IF(AND(G1669=1,F1669=""),"Fechamento sem conversa",IF(OR(AND(E1669&lt;&gt;"",E1669&lt;B1669),AND(F1669&lt;&gt;"",F1669&lt;B1669)),"Evento anterior à entrada",IF(AND(F1669&lt;&gt;"",E1669=""),"Conversa sem agendamento",IF(OR(E1669&gt;TODAY(),F1669&gt;TODAY()),"Verificar evento futuro","OK"))))))))))</f>
        <v/>
      </c>
    </row>
    <row r="1670" spans="12:15">
      <c r="L1670" s="5">
        <f>IF(OR(A1670="",B1670=""),"",B1670-WEEKDAY(B1670,2)+1)</f>
        <v/>
      </c>
      <c r="M1670" s="5">
        <f>IF(L1670="","",L1670+6)</f>
        <v/>
      </c>
      <c r="N1670" s="6">
        <f>IF(OR(A1670="",B1670=""),"",DATE(YEAR(B1670),MONTH(B1670),1))</f>
        <v/>
      </c>
      <c r="O1670" s="7">
        <f>IF(COUNTA(A1670:K1670)=0,"",IF(OR(A1670="",B1670=""),"Preencher CPF e entrada",IF(COUNTIFS($A$12:$A$5011,A1670,$B$12:$B$5011,B1670)&gt;1,"CPF + dia duplicado",IF(OR(AND(G1670&lt;&gt;"",G1670&lt;&gt;0,G1670&lt;&gt;1),AND(H1670&lt;&gt;"",H1670&lt;&gt;0,H1670&lt;&gt;1)),"Flags devem ser 0 ou 1",IF(AND(H1670=1,LEN(TRIM(I1670))=0),"Preencher nome do indicante",IF(AND(H1670&lt;&gt;1,I1670&lt;&gt;""),"Nome sem indicação interna",IF(AND(G1670=1,F1670=""),"Fechamento sem conversa",IF(OR(AND(E1670&lt;&gt;"",E1670&lt;B1670),AND(F1670&lt;&gt;"",F1670&lt;B1670)),"Evento anterior à entrada",IF(AND(F1670&lt;&gt;"",E1670=""),"Conversa sem agendamento",IF(OR(E1670&gt;TODAY(),F1670&gt;TODAY()),"Verificar evento futuro","OK"))))))))))</f>
        <v/>
      </c>
    </row>
    <row r="1671" spans="12:15">
      <c r="L1671" s="5">
        <f>IF(OR(A1671="",B1671=""),"",B1671-WEEKDAY(B1671,2)+1)</f>
        <v/>
      </c>
      <c r="M1671" s="5">
        <f>IF(L1671="","",L1671+6)</f>
        <v/>
      </c>
      <c r="N1671" s="6">
        <f>IF(OR(A1671="",B1671=""),"",DATE(YEAR(B1671),MONTH(B1671),1))</f>
        <v/>
      </c>
      <c r="O1671" s="7">
        <f>IF(COUNTA(A1671:K1671)=0,"",IF(OR(A1671="",B1671=""),"Preencher CPF e entrada",IF(COUNTIFS($A$12:$A$5011,A1671,$B$12:$B$5011,B1671)&gt;1,"CPF + dia duplicado",IF(OR(AND(G1671&lt;&gt;"",G1671&lt;&gt;0,G1671&lt;&gt;1),AND(H1671&lt;&gt;"",H1671&lt;&gt;0,H1671&lt;&gt;1)),"Flags devem ser 0 ou 1",IF(AND(H1671=1,LEN(TRIM(I1671))=0),"Preencher nome do indicante",IF(AND(H1671&lt;&gt;1,I1671&lt;&gt;""),"Nome sem indicação interna",IF(AND(G1671=1,F1671=""),"Fechamento sem conversa",IF(OR(AND(E1671&lt;&gt;"",E1671&lt;B1671),AND(F1671&lt;&gt;"",F1671&lt;B1671)),"Evento anterior à entrada",IF(AND(F1671&lt;&gt;"",E1671=""),"Conversa sem agendamento",IF(OR(E1671&gt;TODAY(),F1671&gt;TODAY()),"Verificar evento futuro","OK"))))))))))</f>
        <v/>
      </c>
    </row>
    <row r="1672" spans="12:15">
      <c r="L1672" s="5">
        <f>IF(OR(A1672="",B1672=""),"",B1672-WEEKDAY(B1672,2)+1)</f>
        <v/>
      </c>
      <c r="M1672" s="5">
        <f>IF(L1672="","",L1672+6)</f>
        <v/>
      </c>
      <c r="N1672" s="6">
        <f>IF(OR(A1672="",B1672=""),"",DATE(YEAR(B1672),MONTH(B1672),1))</f>
        <v/>
      </c>
      <c r="O1672" s="7">
        <f>IF(COUNTA(A1672:K1672)=0,"",IF(OR(A1672="",B1672=""),"Preencher CPF e entrada",IF(COUNTIFS($A$12:$A$5011,A1672,$B$12:$B$5011,B1672)&gt;1,"CPF + dia duplicado",IF(OR(AND(G1672&lt;&gt;"",G1672&lt;&gt;0,G1672&lt;&gt;1),AND(H1672&lt;&gt;"",H1672&lt;&gt;0,H1672&lt;&gt;1)),"Flags devem ser 0 ou 1",IF(AND(H1672=1,LEN(TRIM(I1672))=0),"Preencher nome do indicante",IF(AND(H1672&lt;&gt;1,I1672&lt;&gt;""),"Nome sem indicação interna",IF(AND(G1672=1,F1672=""),"Fechamento sem conversa",IF(OR(AND(E1672&lt;&gt;"",E1672&lt;B1672),AND(F1672&lt;&gt;"",F1672&lt;B1672)),"Evento anterior à entrada",IF(AND(F1672&lt;&gt;"",E1672=""),"Conversa sem agendamento",IF(OR(E1672&gt;TODAY(),F1672&gt;TODAY()),"Verificar evento futuro","OK"))))))))))</f>
        <v/>
      </c>
    </row>
    <row r="1673" spans="12:15">
      <c r="L1673" s="5">
        <f>IF(OR(A1673="",B1673=""),"",B1673-WEEKDAY(B1673,2)+1)</f>
        <v/>
      </c>
      <c r="M1673" s="5">
        <f>IF(L1673="","",L1673+6)</f>
        <v/>
      </c>
      <c r="N1673" s="6">
        <f>IF(OR(A1673="",B1673=""),"",DATE(YEAR(B1673),MONTH(B1673),1))</f>
        <v/>
      </c>
      <c r="O1673" s="7">
        <f>IF(COUNTA(A1673:K1673)=0,"",IF(OR(A1673="",B1673=""),"Preencher CPF e entrada",IF(COUNTIFS($A$12:$A$5011,A1673,$B$12:$B$5011,B1673)&gt;1,"CPF + dia duplicado",IF(OR(AND(G1673&lt;&gt;"",G1673&lt;&gt;0,G1673&lt;&gt;1),AND(H1673&lt;&gt;"",H1673&lt;&gt;0,H1673&lt;&gt;1)),"Flags devem ser 0 ou 1",IF(AND(H1673=1,LEN(TRIM(I1673))=0),"Preencher nome do indicante",IF(AND(H1673&lt;&gt;1,I1673&lt;&gt;""),"Nome sem indicação interna",IF(AND(G1673=1,F1673=""),"Fechamento sem conversa",IF(OR(AND(E1673&lt;&gt;"",E1673&lt;B1673),AND(F1673&lt;&gt;"",F1673&lt;B1673)),"Evento anterior à entrada",IF(AND(F1673&lt;&gt;"",E1673=""),"Conversa sem agendamento",IF(OR(E1673&gt;TODAY(),F1673&gt;TODAY()),"Verificar evento futuro","OK"))))))))))</f>
        <v/>
      </c>
    </row>
    <row r="1674" spans="12:15">
      <c r="L1674" s="5">
        <f>IF(OR(A1674="",B1674=""),"",B1674-WEEKDAY(B1674,2)+1)</f>
        <v/>
      </c>
      <c r="M1674" s="5">
        <f>IF(L1674="","",L1674+6)</f>
        <v/>
      </c>
      <c r="N1674" s="6">
        <f>IF(OR(A1674="",B1674=""),"",DATE(YEAR(B1674),MONTH(B1674),1))</f>
        <v/>
      </c>
      <c r="O1674" s="7">
        <f>IF(COUNTA(A1674:K1674)=0,"",IF(OR(A1674="",B1674=""),"Preencher CPF e entrada",IF(COUNTIFS($A$12:$A$5011,A1674,$B$12:$B$5011,B1674)&gt;1,"CPF + dia duplicado",IF(OR(AND(G1674&lt;&gt;"",G1674&lt;&gt;0,G1674&lt;&gt;1),AND(H1674&lt;&gt;"",H1674&lt;&gt;0,H1674&lt;&gt;1)),"Flags devem ser 0 ou 1",IF(AND(H1674=1,LEN(TRIM(I1674))=0),"Preencher nome do indicante",IF(AND(H1674&lt;&gt;1,I1674&lt;&gt;""),"Nome sem indicação interna",IF(AND(G1674=1,F1674=""),"Fechamento sem conversa",IF(OR(AND(E1674&lt;&gt;"",E1674&lt;B1674),AND(F1674&lt;&gt;"",F1674&lt;B1674)),"Evento anterior à entrada",IF(AND(F1674&lt;&gt;"",E1674=""),"Conversa sem agendamento",IF(OR(E1674&gt;TODAY(),F1674&gt;TODAY()),"Verificar evento futuro","OK"))))))))))</f>
        <v/>
      </c>
    </row>
    <row r="1675" spans="12:15">
      <c r="L1675" s="5">
        <f>IF(OR(A1675="",B1675=""),"",B1675-WEEKDAY(B1675,2)+1)</f>
        <v/>
      </c>
      <c r="M1675" s="5">
        <f>IF(L1675="","",L1675+6)</f>
        <v/>
      </c>
      <c r="N1675" s="6">
        <f>IF(OR(A1675="",B1675=""),"",DATE(YEAR(B1675),MONTH(B1675),1))</f>
        <v/>
      </c>
      <c r="O1675" s="7">
        <f>IF(COUNTA(A1675:K1675)=0,"",IF(OR(A1675="",B1675=""),"Preencher CPF e entrada",IF(COUNTIFS($A$12:$A$5011,A1675,$B$12:$B$5011,B1675)&gt;1,"CPF + dia duplicado",IF(OR(AND(G1675&lt;&gt;"",G1675&lt;&gt;0,G1675&lt;&gt;1),AND(H1675&lt;&gt;"",H1675&lt;&gt;0,H1675&lt;&gt;1)),"Flags devem ser 0 ou 1",IF(AND(H1675=1,LEN(TRIM(I1675))=0),"Preencher nome do indicante",IF(AND(H1675&lt;&gt;1,I1675&lt;&gt;""),"Nome sem indicação interna",IF(AND(G1675=1,F1675=""),"Fechamento sem conversa",IF(OR(AND(E1675&lt;&gt;"",E1675&lt;B1675),AND(F1675&lt;&gt;"",F1675&lt;B1675)),"Evento anterior à entrada",IF(AND(F1675&lt;&gt;"",E1675=""),"Conversa sem agendamento",IF(OR(E1675&gt;TODAY(),F1675&gt;TODAY()),"Verificar evento futuro","OK"))))))))))</f>
        <v/>
      </c>
    </row>
    <row r="1676" spans="12:15">
      <c r="L1676" s="5">
        <f>IF(OR(A1676="",B1676=""),"",B1676-WEEKDAY(B1676,2)+1)</f>
        <v/>
      </c>
      <c r="M1676" s="5">
        <f>IF(L1676="","",L1676+6)</f>
        <v/>
      </c>
      <c r="N1676" s="6">
        <f>IF(OR(A1676="",B1676=""),"",DATE(YEAR(B1676),MONTH(B1676),1))</f>
        <v/>
      </c>
      <c r="O1676" s="7">
        <f>IF(COUNTA(A1676:K1676)=0,"",IF(OR(A1676="",B1676=""),"Preencher CPF e entrada",IF(COUNTIFS($A$12:$A$5011,A1676,$B$12:$B$5011,B1676)&gt;1,"CPF + dia duplicado",IF(OR(AND(G1676&lt;&gt;"",G1676&lt;&gt;0,G1676&lt;&gt;1),AND(H1676&lt;&gt;"",H1676&lt;&gt;0,H1676&lt;&gt;1)),"Flags devem ser 0 ou 1",IF(AND(H1676=1,LEN(TRIM(I1676))=0),"Preencher nome do indicante",IF(AND(H1676&lt;&gt;1,I1676&lt;&gt;""),"Nome sem indicação interna",IF(AND(G1676=1,F1676=""),"Fechamento sem conversa",IF(OR(AND(E1676&lt;&gt;"",E1676&lt;B1676),AND(F1676&lt;&gt;"",F1676&lt;B1676)),"Evento anterior à entrada",IF(AND(F1676&lt;&gt;"",E1676=""),"Conversa sem agendamento",IF(OR(E1676&gt;TODAY(),F1676&gt;TODAY()),"Verificar evento futuro","OK"))))))))))</f>
        <v/>
      </c>
    </row>
    <row r="1677" spans="12:15">
      <c r="L1677" s="5">
        <f>IF(OR(A1677="",B1677=""),"",B1677-WEEKDAY(B1677,2)+1)</f>
        <v/>
      </c>
      <c r="M1677" s="5">
        <f>IF(L1677="","",L1677+6)</f>
        <v/>
      </c>
      <c r="N1677" s="6">
        <f>IF(OR(A1677="",B1677=""),"",DATE(YEAR(B1677),MONTH(B1677),1))</f>
        <v/>
      </c>
      <c r="O1677" s="7">
        <f>IF(COUNTA(A1677:K1677)=0,"",IF(OR(A1677="",B1677=""),"Preencher CPF e entrada",IF(COUNTIFS($A$12:$A$5011,A1677,$B$12:$B$5011,B1677)&gt;1,"CPF + dia duplicado",IF(OR(AND(G1677&lt;&gt;"",G1677&lt;&gt;0,G1677&lt;&gt;1),AND(H1677&lt;&gt;"",H1677&lt;&gt;0,H1677&lt;&gt;1)),"Flags devem ser 0 ou 1",IF(AND(H1677=1,LEN(TRIM(I1677))=0),"Preencher nome do indicante",IF(AND(H1677&lt;&gt;1,I1677&lt;&gt;""),"Nome sem indicação interna",IF(AND(G1677=1,F1677=""),"Fechamento sem conversa",IF(OR(AND(E1677&lt;&gt;"",E1677&lt;B1677),AND(F1677&lt;&gt;"",F1677&lt;B1677)),"Evento anterior à entrada",IF(AND(F1677&lt;&gt;"",E1677=""),"Conversa sem agendamento",IF(OR(E1677&gt;TODAY(),F1677&gt;TODAY()),"Verificar evento futuro","OK"))))))))))</f>
        <v/>
      </c>
    </row>
    <row r="1678" spans="12:15">
      <c r="L1678" s="5">
        <f>IF(OR(A1678="",B1678=""),"",B1678-WEEKDAY(B1678,2)+1)</f>
        <v/>
      </c>
      <c r="M1678" s="5">
        <f>IF(L1678="","",L1678+6)</f>
        <v/>
      </c>
      <c r="N1678" s="6">
        <f>IF(OR(A1678="",B1678=""),"",DATE(YEAR(B1678),MONTH(B1678),1))</f>
        <v/>
      </c>
      <c r="O1678" s="7">
        <f>IF(COUNTA(A1678:K1678)=0,"",IF(OR(A1678="",B1678=""),"Preencher CPF e entrada",IF(COUNTIFS($A$12:$A$5011,A1678,$B$12:$B$5011,B1678)&gt;1,"CPF + dia duplicado",IF(OR(AND(G1678&lt;&gt;"",G1678&lt;&gt;0,G1678&lt;&gt;1),AND(H1678&lt;&gt;"",H1678&lt;&gt;0,H1678&lt;&gt;1)),"Flags devem ser 0 ou 1",IF(AND(H1678=1,LEN(TRIM(I1678))=0),"Preencher nome do indicante",IF(AND(H1678&lt;&gt;1,I1678&lt;&gt;""),"Nome sem indicação interna",IF(AND(G1678=1,F1678=""),"Fechamento sem conversa",IF(OR(AND(E1678&lt;&gt;"",E1678&lt;B1678),AND(F1678&lt;&gt;"",F1678&lt;B1678)),"Evento anterior à entrada",IF(AND(F1678&lt;&gt;"",E1678=""),"Conversa sem agendamento",IF(OR(E1678&gt;TODAY(),F1678&gt;TODAY()),"Verificar evento futuro","OK"))))))))))</f>
        <v/>
      </c>
    </row>
    <row r="1679" spans="12:15">
      <c r="L1679" s="5">
        <f>IF(OR(A1679="",B1679=""),"",B1679-WEEKDAY(B1679,2)+1)</f>
        <v/>
      </c>
      <c r="M1679" s="5">
        <f>IF(L1679="","",L1679+6)</f>
        <v/>
      </c>
      <c r="N1679" s="6">
        <f>IF(OR(A1679="",B1679=""),"",DATE(YEAR(B1679),MONTH(B1679),1))</f>
        <v/>
      </c>
      <c r="O1679" s="7">
        <f>IF(COUNTA(A1679:K1679)=0,"",IF(OR(A1679="",B1679=""),"Preencher CPF e entrada",IF(COUNTIFS($A$12:$A$5011,A1679,$B$12:$B$5011,B1679)&gt;1,"CPF + dia duplicado",IF(OR(AND(G1679&lt;&gt;"",G1679&lt;&gt;0,G1679&lt;&gt;1),AND(H1679&lt;&gt;"",H1679&lt;&gt;0,H1679&lt;&gt;1)),"Flags devem ser 0 ou 1",IF(AND(H1679=1,LEN(TRIM(I1679))=0),"Preencher nome do indicante",IF(AND(H1679&lt;&gt;1,I1679&lt;&gt;""),"Nome sem indicação interna",IF(AND(G1679=1,F1679=""),"Fechamento sem conversa",IF(OR(AND(E1679&lt;&gt;"",E1679&lt;B1679),AND(F1679&lt;&gt;"",F1679&lt;B1679)),"Evento anterior à entrada",IF(AND(F1679&lt;&gt;"",E1679=""),"Conversa sem agendamento",IF(OR(E1679&gt;TODAY(),F1679&gt;TODAY()),"Verificar evento futuro","OK"))))))))))</f>
        <v/>
      </c>
    </row>
    <row r="1680" spans="12:15">
      <c r="L1680" s="5">
        <f>IF(OR(A1680="",B1680=""),"",B1680-WEEKDAY(B1680,2)+1)</f>
        <v/>
      </c>
      <c r="M1680" s="5">
        <f>IF(L1680="","",L1680+6)</f>
        <v/>
      </c>
      <c r="N1680" s="6">
        <f>IF(OR(A1680="",B1680=""),"",DATE(YEAR(B1680),MONTH(B1680),1))</f>
        <v/>
      </c>
      <c r="O1680" s="7">
        <f>IF(COUNTA(A1680:K1680)=0,"",IF(OR(A1680="",B1680=""),"Preencher CPF e entrada",IF(COUNTIFS($A$12:$A$5011,A1680,$B$12:$B$5011,B1680)&gt;1,"CPF + dia duplicado",IF(OR(AND(G1680&lt;&gt;"",G1680&lt;&gt;0,G1680&lt;&gt;1),AND(H1680&lt;&gt;"",H1680&lt;&gt;0,H1680&lt;&gt;1)),"Flags devem ser 0 ou 1",IF(AND(H1680=1,LEN(TRIM(I1680))=0),"Preencher nome do indicante",IF(AND(H1680&lt;&gt;1,I1680&lt;&gt;""),"Nome sem indicação interna",IF(AND(G1680=1,F1680=""),"Fechamento sem conversa",IF(OR(AND(E1680&lt;&gt;"",E1680&lt;B1680),AND(F1680&lt;&gt;"",F1680&lt;B1680)),"Evento anterior à entrada",IF(AND(F1680&lt;&gt;"",E1680=""),"Conversa sem agendamento",IF(OR(E1680&gt;TODAY(),F1680&gt;TODAY()),"Verificar evento futuro","OK"))))))))))</f>
        <v/>
      </c>
    </row>
    <row r="1681" spans="12:15">
      <c r="L1681" s="5">
        <f>IF(OR(A1681="",B1681=""),"",B1681-WEEKDAY(B1681,2)+1)</f>
        <v/>
      </c>
      <c r="M1681" s="5">
        <f>IF(L1681="","",L1681+6)</f>
        <v/>
      </c>
      <c r="N1681" s="6">
        <f>IF(OR(A1681="",B1681=""),"",DATE(YEAR(B1681),MONTH(B1681),1))</f>
        <v/>
      </c>
      <c r="O1681" s="7">
        <f>IF(COUNTA(A1681:K1681)=0,"",IF(OR(A1681="",B1681=""),"Preencher CPF e entrada",IF(COUNTIFS($A$12:$A$5011,A1681,$B$12:$B$5011,B1681)&gt;1,"CPF + dia duplicado",IF(OR(AND(G1681&lt;&gt;"",G1681&lt;&gt;0,G1681&lt;&gt;1),AND(H1681&lt;&gt;"",H1681&lt;&gt;0,H1681&lt;&gt;1)),"Flags devem ser 0 ou 1",IF(AND(H1681=1,LEN(TRIM(I1681))=0),"Preencher nome do indicante",IF(AND(H1681&lt;&gt;1,I1681&lt;&gt;""),"Nome sem indicação interna",IF(AND(G1681=1,F1681=""),"Fechamento sem conversa",IF(OR(AND(E1681&lt;&gt;"",E1681&lt;B1681),AND(F1681&lt;&gt;"",F1681&lt;B1681)),"Evento anterior à entrada",IF(AND(F1681&lt;&gt;"",E1681=""),"Conversa sem agendamento",IF(OR(E1681&gt;TODAY(),F1681&gt;TODAY()),"Verificar evento futuro","OK"))))))))))</f>
        <v/>
      </c>
    </row>
    <row r="1682" spans="12:15">
      <c r="L1682" s="5">
        <f>IF(OR(A1682="",B1682=""),"",B1682-WEEKDAY(B1682,2)+1)</f>
        <v/>
      </c>
      <c r="M1682" s="5">
        <f>IF(L1682="","",L1682+6)</f>
        <v/>
      </c>
      <c r="N1682" s="6">
        <f>IF(OR(A1682="",B1682=""),"",DATE(YEAR(B1682),MONTH(B1682),1))</f>
        <v/>
      </c>
      <c r="O1682" s="7">
        <f>IF(COUNTA(A1682:K1682)=0,"",IF(OR(A1682="",B1682=""),"Preencher CPF e entrada",IF(COUNTIFS($A$12:$A$5011,A1682,$B$12:$B$5011,B1682)&gt;1,"CPF + dia duplicado",IF(OR(AND(G1682&lt;&gt;"",G1682&lt;&gt;0,G1682&lt;&gt;1),AND(H1682&lt;&gt;"",H1682&lt;&gt;0,H1682&lt;&gt;1)),"Flags devem ser 0 ou 1",IF(AND(H1682=1,LEN(TRIM(I1682))=0),"Preencher nome do indicante",IF(AND(H1682&lt;&gt;1,I1682&lt;&gt;""),"Nome sem indicação interna",IF(AND(G1682=1,F1682=""),"Fechamento sem conversa",IF(OR(AND(E1682&lt;&gt;"",E1682&lt;B1682),AND(F1682&lt;&gt;"",F1682&lt;B1682)),"Evento anterior à entrada",IF(AND(F1682&lt;&gt;"",E1682=""),"Conversa sem agendamento",IF(OR(E1682&gt;TODAY(),F1682&gt;TODAY()),"Verificar evento futuro","OK"))))))))))</f>
        <v/>
      </c>
    </row>
    <row r="1683" spans="12:15">
      <c r="L1683" s="5">
        <f>IF(OR(A1683="",B1683=""),"",B1683-WEEKDAY(B1683,2)+1)</f>
        <v/>
      </c>
      <c r="M1683" s="5">
        <f>IF(L1683="","",L1683+6)</f>
        <v/>
      </c>
      <c r="N1683" s="6">
        <f>IF(OR(A1683="",B1683=""),"",DATE(YEAR(B1683),MONTH(B1683),1))</f>
        <v/>
      </c>
      <c r="O1683" s="7">
        <f>IF(COUNTA(A1683:K1683)=0,"",IF(OR(A1683="",B1683=""),"Preencher CPF e entrada",IF(COUNTIFS($A$12:$A$5011,A1683,$B$12:$B$5011,B1683)&gt;1,"CPF + dia duplicado",IF(OR(AND(G1683&lt;&gt;"",G1683&lt;&gt;0,G1683&lt;&gt;1),AND(H1683&lt;&gt;"",H1683&lt;&gt;0,H1683&lt;&gt;1)),"Flags devem ser 0 ou 1",IF(AND(H1683=1,LEN(TRIM(I1683))=0),"Preencher nome do indicante",IF(AND(H1683&lt;&gt;1,I1683&lt;&gt;""),"Nome sem indicação interna",IF(AND(G1683=1,F1683=""),"Fechamento sem conversa",IF(OR(AND(E1683&lt;&gt;"",E1683&lt;B1683),AND(F1683&lt;&gt;"",F1683&lt;B1683)),"Evento anterior à entrada",IF(AND(F1683&lt;&gt;"",E1683=""),"Conversa sem agendamento",IF(OR(E1683&gt;TODAY(),F1683&gt;TODAY()),"Verificar evento futuro","OK"))))))))))</f>
        <v/>
      </c>
    </row>
    <row r="1684" spans="12:15">
      <c r="L1684" s="5">
        <f>IF(OR(A1684="",B1684=""),"",B1684-WEEKDAY(B1684,2)+1)</f>
        <v/>
      </c>
      <c r="M1684" s="5">
        <f>IF(L1684="","",L1684+6)</f>
        <v/>
      </c>
      <c r="N1684" s="6">
        <f>IF(OR(A1684="",B1684=""),"",DATE(YEAR(B1684),MONTH(B1684),1))</f>
        <v/>
      </c>
      <c r="O1684" s="7">
        <f>IF(COUNTA(A1684:K1684)=0,"",IF(OR(A1684="",B1684=""),"Preencher CPF e entrada",IF(COUNTIFS($A$12:$A$5011,A1684,$B$12:$B$5011,B1684)&gt;1,"CPF + dia duplicado",IF(OR(AND(G1684&lt;&gt;"",G1684&lt;&gt;0,G1684&lt;&gt;1),AND(H1684&lt;&gt;"",H1684&lt;&gt;0,H1684&lt;&gt;1)),"Flags devem ser 0 ou 1",IF(AND(H1684=1,LEN(TRIM(I1684))=0),"Preencher nome do indicante",IF(AND(H1684&lt;&gt;1,I1684&lt;&gt;""),"Nome sem indicação interna",IF(AND(G1684=1,F1684=""),"Fechamento sem conversa",IF(OR(AND(E1684&lt;&gt;"",E1684&lt;B1684),AND(F1684&lt;&gt;"",F1684&lt;B1684)),"Evento anterior à entrada",IF(AND(F1684&lt;&gt;"",E1684=""),"Conversa sem agendamento",IF(OR(E1684&gt;TODAY(),F1684&gt;TODAY()),"Verificar evento futuro","OK"))))))))))</f>
        <v/>
      </c>
    </row>
    <row r="1685" spans="12:15">
      <c r="L1685" s="5">
        <f>IF(OR(A1685="",B1685=""),"",B1685-WEEKDAY(B1685,2)+1)</f>
        <v/>
      </c>
      <c r="M1685" s="5">
        <f>IF(L1685="","",L1685+6)</f>
        <v/>
      </c>
      <c r="N1685" s="6">
        <f>IF(OR(A1685="",B1685=""),"",DATE(YEAR(B1685),MONTH(B1685),1))</f>
        <v/>
      </c>
      <c r="O1685" s="7">
        <f>IF(COUNTA(A1685:K1685)=0,"",IF(OR(A1685="",B1685=""),"Preencher CPF e entrada",IF(COUNTIFS($A$12:$A$5011,A1685,$B$12:$B$5011,B1685)&gt;1,"CPF + dia duplicado",IF(OR(AND(G1685&lt;&gt;"",G1685&lt;&gt;0,G1685&lt;&gt;1),AND(H1685&lt;&gt;"",H1685&lt;&gt;0,H1685&lt;&gt;1)),"Flags devem ser 0 ou 1",IF(AND(H1685=1,LEN(TRIM(I1685))=0),"Preencher nome do indicante",IF(AND(H1685&lt;&gt;1,I1685&lt;&gt;""),"Nome sem indicação interna",IF(AND(G1685=1,F1685=""),"Fechamento sem conversa",IF(OR(AND(E1685&lt;&gt;"",E1685&lt;B1685),AND(F1685&lt;&gt;"",F1685&lt;B1685)),"Evento anterior à entrada",IF(AND(F1685&lt;&gt;"",E1685=""),"Conversa sem agendamento",IF(OR(E1685&gt;TODAY(),F1685&gt;TODAY()),"Verificar evento futuro","OK"))))))))))</f>
        <v/>
      </c>
    </row>
    <row r="1686" spans="12:15">
      <c r="L1686" s="5">
        <f>IF(OR(A1686="",B1686=""),"",B1686-WEEKDAY(B1686,2)+1)</f>
        <v/>
      </c>
      <c r="M1686" s="5">
        <f>IF(L1686="","",L1686+6)</f>
        <v/>
      </c>
      <c r="N1686" s="6">
        <f>IF(OR(A1686="",B1686=""),"",DATE(YEAR(B1686),MONTH(B1686),1))</f>
        <v/>
      </c>
      <c r="O1686" s="7">
        <f>IF(COUNTA(A1686:K1686)=0,"",IF(OR(A1686="",B1686=""),"Preencher CPF e entrada",IF(COUNTIFS($A$12:$A$5011,A1686,$B$12:$B$5011,B1686)&gt;1,"CPF + dia duplicado",IF(OR(AND(G1686&lt;&gt;"",G1686&lt;&gt;0,G1686&lt;&gt;1),AND(H1686&lt;&gt;"",H1686&lt;&gt;0,H1686&lt;&gt;1)),"Flags devem ser 0 ou 1",IF(AND(H1686=1,LEN(TRIM(I1686))=0),"Preencher nome do indicante",IF(AND(H1686&lt;&gt;1,I1686&lt;&gt;""),"Nome sem indicação interna",IF(AND(G1686=1,F1686=""),"Fechamento sem conversa",IF(OR(AND(E1686&lt;&gt;"",E1686&lt;B1686),AND(F1686&lt;&gt;"",F1686&lt;B1686)),"Evento anterior à entrada",IF(AND(F1686&lt;&gt;"",E1686=""),"Conversa sem agendamento",IF(OR(E1686&gt;TODAY(),F1686&gt;TODAY()),"Verificar evento futuro","OK"))))))))))</f>
        <v/>
      </c>
    </row>
    <row r="1687" spans="12:15">
      <c r="L1687" s="5">
        <f>IF(OR(A1687="",B1687=""),"",B1687-WEEKDAY(B1687,2)+1)</f>
        <v/>
      </c>
      <c r="M1687" s="5">
        <f>IF(L1687="","",L1687+6)</f>
        <v/>
      </c>
      <c r="N1687" s="6">
        <f>IF(OR(A1687="",B1687=""),"",DATE(YEAR(B1687),MONTH(B1687),1))</f>
        <v/>
      </c>
      <c r="O1687" s="7">
        <f>IF(COUNTA(A1687:K1687)=0,"",IF(OR(A1687="",B1687=""),"Preencher CPF e entrada",IF(COUNTIFS($A$12:$A$5011,A1687,$B$12:$B$5011,B1687)&gt;1,"CPF + dia duplicado",IF(OR(AND(G1687&lt;&gt;"",G1687&lt;&gt;0,G1687&lt;&gt;1),AND(H1687&lt;&gt;"",H1687&lt;&gt;0,H1687&lt;&gt;1)),"Flags devem ser 0 ou 1",IF(AND(H1687=1,LEN(TRIM(I1687))=0),"Preencher nome do indicante",IF(AND(H1687&lt;&gt;1,I1687&lt;&gt;""),"Nome sem indicação interna",IF(AND(G1687=1,F1687=""),"Fechamento sem conversa",IF(OR(AND(E1687&lt;&gt;"",E1687&lt;B1687),AND(F1687&lt;&gt;"",F1687&lt;B1687)),"Evento anterior à entrada",IF(AND(F1687&lt;&gt;"",E1687=""),"Conversa sem agendamento",IF(OR(E1687&gt;TODAY(),F1687&gt;TODAY()),"Verificar evento futuro","OK"))))))))))</f>
        <v/>
      </c>
    </row>
    <row r="1688" spans="12:15">
      <c r="L1688" s="5">
        <f>IF(OR(A1688="",B1688=""),"",B1688-WEEKDAY(B1688,2)+1)</f>
        <v/>
      </c>
      <c r="M1688" s="5">
        <f>IF(L1688="","",L1688+6)</f>
        <v/>
      </c>
      <c r="N1688" s="6">
        <f>IF(OR(A1688="",B1688=""),"",DATE(YEAR(B1688),MONTH(B1688),1))</f>
        <v/>
      </c>
      <c r="O1688" s="7">
        <f>IF(COUNTA(A1688:K1688)=0,"",IF(OR(A1688="",B1688=""),"Preencher CPF e entrada",IF(COUNTIFS($A$12:$A$5011,A1688,$B$12:$B$5011,B1688)&gt;1,"CPF + dia duplicado",IF(OR(AND(G1688&lt;&gt;"",G1688&lt;&gt;0,G1688&lt;&gt;1),AND(H1688&lt;&gt;"",H1688&lt;&gt;0,H1688&lt;&gt;1)),"Flags devem ser 0 ou 1",IF(AND(H1688=1,LEN(TRIM(I1688))=0),"Preencher nome do indicante",IF(AND(H1688&lt;&gt;1,I1688&lt;&gt;""),"Nome sem indicação interna",IF(AND(G1688=1,F1688=""),"Fechamento sem conversa",IF(OR(AND(E1688&lt;&gt;"",E1688&lt;B1688),AND(F1688&lt;&gt;"",F1688&lt;B1688)),"Evento anterior à entrada",IF(AND(F1688&lt;&gt;"",E1688=""),"Conversa sem agendamento",IF(OR(E1688&gt;TODAY(),F1688&gt;TODAY()),"Verificar evento futuro","OK"))))))))))</f>
        <v/>
      </c>
    </row>
    <row r="1689" spans="12:15">
      <c r="L1689" s="5">
        <f>IF(OR(A1689="",B1689=""),"",B1689-WEEKDAY(B1689,2)+1)</f>
        <v/>
      </c>
      <c r="M1689" s="5">
        <f>IF(L1689="","",L1689+6)</f>
        <v/>
      </c>
      <c r="N1689" s="6">
        <f>IF(OR(A1689="",B1689=""),"",DATE(YEAR(B1689),MONTH(B1689),1))</f>
        <v/>
      </c>
      <c r="O1689" s="7">
        <f>IF(COUNTA(A1689:K1689)=0,"",IF(OR(A1689="",B1689=""),"Preencher CPF e entrada",IF(COUNTIFS($A$12:$A$5011,A1689,$B$12:$B$5011,B1689)&gt;1,"CPF + dia duplicado",IF(OR(AND(G1689&lt;&gt;"",G1689&lt;&gt;0,G1689&lt;&gt;1),AND(H1689&lt;&gt;"",H1689&lt;&gt;0,H1689&lt;&gt;1)),"Flags devem ser 0 ou 1",IF(AND(H1689=1,LEN(TRIM(I1689))=0),"Preencher nome do indicante",IF(AND(H1689&lt;&gt;1,I1689&lt;&gt;""),"Nome sem indicação interna",IF(AND(G1689=1,F1689=""),"Fechamento sem conversa",IF(OR(AND(E1689&lt;&gt;"",E1689&lt;B1689),AND(F1689&lt;&gt;"",F1689&lt;B1689)),"Evento anterior à entrada",IF(AND(F1689&lt;&gt;"",E1689=""),"Conversa sem agendamento",IF(OR(E1689&gt;TODAY(),F1689&gt;TODAY()),"Verificar evento futuro","OK"))))))))))</f>
        <v/>
      </c>
    </row>
    <row r="1690" spans="12:15">
      <c r="L1690" s="5">
        <f>IF(OR(A1690="",B1690=""),"",B1690-WEEKDAY(B1690,2)+1)</f>
        <v/>
      </c>
      <c r="M1690" s="5">
        <f>IF(L1690="","",L1690+6)</f>
        <v/>
      </c>
      <c r="N1690" s="6">
        <f>IF(OR(A1690="",B1690=""),"",DATE(YEAR(B1690),MONTH(B1690),1))</f>
        <v/>
      </c>
      <c r="O1690" s="7">
        <f>IF(COUNTA(A1690:K1690)=0,"",IF(OR(A1690="",B1690=""),"Preencher CPF e entrada",IF(COUNTIFS($A$12:$A$5011,A1690,$B$12:$B$5011,B1690)&gt;1,"CPF + dia duplicado",IF(OR(AND(G1690&lt;&gt;"",G1690&lt;&gt;0,G1690&lt;&gt;1),AND(H1690&lt;&gt;"",H1690&lt;&gt;0,H1690&lt;&gt;1)),"Flags devem ser 0 ou 1",IF(AND(H1690=1,LEN(TRIM(I1690))=0),"Preencher nome do indicante",IF(AND(H1690&lt;&gt;1,I1690&lt;&gt;""),"Nome sem indicação interna",IF(AND(G1690=1,F1690=""),"Fechamento sem conversa",IF(OR(AND(E1690&lt;&gt;"",E1690&lt;B1690),AND(F1690&lt;&gt;"",F1690&lt;B1690)),"Evento anterior à entrada",IF(AND(F1690&lt;&gt;"",E1690=""),"Conversa sem agendamento",IF(OR(E1690&gt;TODAY(),F1690&gt;TODAY()),"Verificar evento futuro","OK"))))))))))</f>
        <v/>
      </c>
    </row>
    <row r="1691" spans="12:15">
      <c r="L1691" s="5">
        <f>IF(OR(A1691="",B1691=""),"",B1691-WEEKDAY(B1691,2)+1)</f>
        <v/>
      </c>
      <c r="M1691" s="5">
        <f>IF(L1691="","",L1691+6)</f>
        <v/>
      </c>
      <c r="N1691" s="6">
        <f>IF(OR(A1691="",B1691=""),"",DATE(YEAR(B1691),MONTH(B1691),1))</f>
        <v/>
      </c>
      <c r="O1691" s="7">
        <f>IF(COUNTA(A1691:K1691)=0,"",IF(OR(A1691="",B1691=""),"Preencher CPF e entrada",IF(COUNTIFS($A$12:$A$5011,A1691,$B$12:$B$5011,B1691)&gt;1,"CPF + dia duplicado",IF(OR(AND(G1691&lt;&gt;"",G1691&lt;&gt;0,G1691&lt;&gt;1),AND(H1691&lt;&gt;"",H1691&lt;&gt;0,H1691&lt;&gt;1)),"Flags devem ser 0 ou 1",IF(AND(H1691=1,LEN(TRIM(I1691))=0),"Preencher nome do indicante",IF(AND(H1691&lt;&gt;1,I1691&lt;&gt;""),"Nome sem indicação interna",IF(AND(G1691=1,F1691=""),"Fechamento sem conversa",IF(OR(AND(E1691&lt;&gt;"",E1691&lt;B1691),AND(F1691&lt;&gt;"",F1691&lt;B1691)),"Evento anterior à entrada",IF(AND(F1691&lt;&gt;"",E1691=""),"Conversa sem agendamento",IF(OR(E1691&gt;TODAY(),F1691&gt;TODAY()),"Verificar evento futuro","OK"))))))))))</f>
        <v/>
      </c>
    </row>
    <row r="1692" spans="12:15">
      <c r="L1692" s="5">
        <f>IF(OR(A1692="",B1692=""),"",B1692-WEEKDAY(B1692,2)+1)</f>
        <v/>
      </c>
      <c r="M1692" s="5">
        <f>IF(L1692="","",L1692+6)</f>
        <v/>
      </c>
      <c r="N1692" s="6">
        <f>IF(OR(A1692="",B1692=""),"",DATE(YEAR(B1692),MONTH(B1692),1))</f>
        <v/>
      </c>
      <c r="O1692" s="7">
        <f>IF(COUNTA(A1692:K1692)=0,"",IF(OR(A1692="",B1692=""),"Preencher CPF e entrada",IF(COUNTIFS($A$12:$A$5011,A1692,$B$12:$B$5011,B1692)&gt;1,"CPF + dia duplicado",IF(OR(AND(G1692&lt;&gt;"",G1692&lt;&gt;0,G1692&lt;&gt;1),AND(H1692&lt;&gt;"",H1692&lt;&gt;0,H1692&lt;&gt;1)),"Flags devem ser 0 ou 1",IF(AND(H1692=1,LEN(TRIM(I1692))=0),"Preencher nome do indicante",IF(AND(H1692&lt;&gt;1,I1692&lt;&gt;""),"Nome sem indicação interna",IF(AND(G1692=1,F1692=""),"Fechamento sem conversa",IF(OR(AND(E1692&lt;&gt;"",E1692&lt;B1692),AND(F1692&lt;&gt;"",F1692&lt;B1692)),"Evento anterior à entrada",IF(AND(F1692&lt;&gt;"",E1692=""),"Conversa sem agendamento",IF(OR(E1692&gt;TODAY(),F1692&gt;TODAY()),"Verificar evento futuro","OK"))))))))))</f>
        <v/>
      </c>
    </row>
    <row r="1693" spans="12:15">
      <c r="L1693" s="5">
        <f>IF(OR(A1693="",B1693=""),"",B1693-WEEKDAY(B1693,2)+1)</f>
        <v/>
      </c>
      <c r="M1693" s="5">
        <f>IF(L1693="","",L1693+6)</f>
        <v/>
      </c>
      <c r="N1693" s="6">
        <f>IF(OR(A1693="",B1693=""),"",DATE(YEAR(B1693),MONTH(B1693),1))</f>
        <v/>
      </c>
      <c r="O1693" s="7">
        <f>IF(COUNTA(A1693:K1693)=0,"",IF(OR(A1693="",B1693=""),"Preencher CPF e entrada",IF(COUNTIFS($A$12:$A$5011,A1693,$B$12:$B$5011,B1693)&gt;1,"CPF + dia duplicado",IF(OR(AND(G1693&lt;&gt;"",G1693&lt;&gt;0,G1693&lt;&gt;1),AND(H1693&lt;&gt;"",H1693&lt;&gt;0,H1693&lt;&gt;1)),"Flags devem ser 0 ou 1",IF(AND(H1693=1,LEN(TRIM(I1693))=0),"Preencher nome do indicante",IF(AND(H1693&lt;&gt;1,I1693&lt;&gt;""),"Nome sem indicação interna",IF(AND(G1693=1,F1693=""),"Fechamento sem conversa",IF(OR(AND(E1693&lt;&gt;"",E1693&lt;B1693),AND(F1693&lt;&gt;"",F1693&lt;B1693)),"Evento anterior à entrada",IF(AND(F1693&lt;&gt;"",E1693=""),"Conversa sem agendamento",IF(OR(E1693&gt;TODAY(),F1693&gt;TODAY()),"Verificar evento futuro","OK"))))))))))</f>
        <v/>
      </c>
    </row>
    <row r="1694" spans="12:15">
      <c r="L1694" s="5">
        <f>IF(OR(A1694="",B1694=""),"",B1694-WEEKDAY(B1694,2)+1)</f>
        <v/>
      </c>
      <c r="M1694" s="5">
        <f>IF(L1694="","",L1694+6)</f>
        <v/>
      </c>
      <c r="N1694" s="6">
        <f>IF(OR(A1694="",B1694=""),"",DATE(YEAR(B1694),MONTH(B1694),1))</f>
        <v/>
      </c>
      <c r="O1694" s="7">
        <f>IF(COUNTA(A1694:K1694)=0,"",IF(OR(A1694="",B1694=""),"Preencher CPF e entrada",IF(COUNTIFS($A$12:$A$5011,A1694,$B$12:$B$5011,B1694)&gt;1,"CPF + dia duplicado",IF(OR(AND(G1694&lt;&gt;"",G1694&lt;&gt;0,G1694&lt;&gt;1),AND(H1694&lt;&gt;"",H1694&lt;&gt;0,H1694&lt;&gt;1)),"Flags devem ser 0 ou 1",IF(AND(H1694=1,LEN(TRIM(I1694))=0),"Preencher nome do indicante",IF(AND(H1694&lt;&gt;1,I1694&lt;&gt;""),"Nome sem indicação interna",IF(AND(G1694=1,F1694=""),"Fechamento sem conversa",IF(OR(AND(E1694&lt;&gt;"",E1694&lt;B1694),AND(F1694&lt;&gt;"",F1694&lt;B1694)),"Evento anterior à entrada",IF(AND(F1694&lt;&gt;"",E1694=""),"Conversa sem agendamento",IF(OR(E1694&gt;TODAY(),F1694&gt;TODAY()),"Verificar evento futuro","OK"))))))))))</f>
        <v/>
      </c>
    </row>
    <row r="1695" spans="12:15">
      <c r="L1695" s="5">
        <f>IF(OR(A1695="",B1695=""),"",B1695-WEEKDAY(B1695,2)+1)</f>
        <v/>
      </c>
      <c r="M1695" s="5">
        <f>IF(L1695="","",L1695+6)</f>
        <v/>
      </c>
      <c r="N1695" s="6">
        <f>IF(OR(A1695="",B1695=""),"",DATE(YEAR(B1695),MONTH(B1695),1))</f>
        <v/>
      </c>
      <c r="O1695" s="7">
        <f>IF(COUNTA(A1695:K1695)=0,"",IF(OR(A1695="",B1695=""),"Preencher CPF e entrada",IF(COUNTIFS($A$12:$A$5011,A1695,$B$12:$B$5011,B1695)&gt;1,"CPF + dia duplicado",IF(OR(AND(G1695&lt;&gt;"",G1695&lt;&gt;0,G1695&lt;&gt;1),AND(H1695&lt;&gt;"",H1695&lt;&gt;0,H1695&lt;&gt;1)),"Flags devem ser 0 ou 1",IF(AND(H1695=1,LEN(TRIM(I1695))=0),"Preencher nome do indicante",IF(AND(H1695&lt;&gt;1,I1695&lt;&gt;""),"Nome sem indicação interna",IF(AND(G1695=1,F1695=""),"Fechamento sem conversa",IF(OR(AND(E1695&lt;&gt;"",E1695&lt;B1695),AND(F1695&lt;&gt;"",F1695&lt;B1695)),"Evento anterior à entrada",IF(AND(F1695&lt;&gt;"",E1695=""),"Conversa sem agendamento",IF(OR(E1695&gt;TODAY(),F1695&gt;TODAY()),"Verificar evento futuro","OK"))))))))))</f>
        <v/>
      </c>
    </row>
    <row r="1696" spans="12:15">
      <c r="L1696" s="5">
        <f>IF(OR(A1696="",B1696=""),"",B1696-WEEKDAY(B1696,2)+1)</f>
        <v/>
      </c>
      <c r="M1696" s="5">
        <f>IF(L1696="","",L1696+6)</f>
        <v/>
      </c>
      <c r="N1696" s="6">
        <f>IF(OR(A1696="",B1696=""),"",DATE(YEAR(B1696),MONTH(B1696),1))</f>
        <v/>
      </c>
      <c r="O1696" s="7">
        <f>IF(COUNTA(A1696:K1696)=0,"",IF(OR(A1696="",B1696=""),"Preencher CPF e entrada",IF(COUNTIFS($A$12:$A$5011,A1696,$B$12:$B$5011,B1696)&gt;1,"CPF + dia duplicado",IF(OR(AND(G1696&lt;&gt;"",G1696&lt;&gt;0,G1696&lt;&gt;1),AND(H1696&lt;&gt;"",H1696&lt;&gt;0,H1696&lt;&gt;1)),"Flags devem ser 0 ou 1",IF(AND(H1696=1,LEN(TRIM(I1696))=0),"Preencher nome do indicante",IF(AND(H1696&lt;&gt;1,I1696&lt;&gt;""),"Nome sem indicação interna",IF(AND(G1696=1,F1696=""),"Fechamento sem conversa",IF(OR(AND(E1696&lt;&gt;"",E1696&lt;B1696),AND(F1696&lt;&gt;"",F1696&lt;B1696)),"Evento anterior à entrada",IF(AND(F1696&lt;&gt;"",E1696=""),"Conversa sem agendamento",IF(OR(E1696&gt;TODAY(),F1696&gt;TODAY()),"Verificar evento futuro","OK"))))))))))</f>
        <v/>
      </c>
    </row>
    <row r="1697" spans="12:15">
      <c r="L1697" s="5">
        <f>IF(OR(A1697="",B1697=""),"",B1697-WEEKDAY(B1697,2)+1)</f>
        <v/>
      </c>
      <c r="M1697" s="5">
        <f>IF(L1697="","",L1697+6)</f>
        <v/>
      </c>
      <c r="N1697" s="6">
        <f>IF(OR(A1697="",B1697=""),"",DATE(YEAR(B1697),MONTH(B1697),1))</f>
        <v/>
      </c>
      <c r="O1697" s="7">
        <f>IF(COUNTA(A1697:K1697)=0,"",IF(OR(A1697="",B1697=""),"Preencher CPF e entrada",IF(COUNTIFS($A$12:$A$5011,A1697,$B$12:$B$5011,B1697)&gt;1,"CPF + dia duplicado",IF(OR(AND(G1697&lt;&gt;"",G1697&lt;&gt;0,G1697&lt;&gt;1),AND(H1697&lt;&gt;"",H1697&lt;&gt;0,H1697&lt;&gt;1)),"Flags devem ser 0 ou 1",IF(AND(H1697=1,LEN(TRIM(I1697))=0),"Preencher nome do indicante",IF(AND(H1697&lt;&gt;1,I1697&lt;&gt;""),"Nome sem indicação interna",IF(AND(G1697=1,F1697=""),"Fechamento sem conversa",IF(OR(AND(E1697&lt;&gt;"",E1697&lt;B1697),AND(F1697&lt;&gt;"",F1697&lt;B1697)),"Evento anterior à entrada",IF(AND(F1697&lt;&gt;"",E1697=""),"Conversa sem agendamento",IF(OR(E1697&gt;TODAY(),F1697&gt;TODAY()),"Verificar evento futuro","OK"))))))))))</f>
        <v/>
      </c>
    </row>
    <row r="1698" spans="12:15">
      <c r="L1698" s="5">
        <f>IF(OR(A1698="",B1698=""),"",B1698-WEEKDAY(B1698,2)+1)</f>
        <v/>
      </c>
      <c r="M1698" s="5">
        <f>IF(L1698="","",L1698+6)</f>
        <v/>
      </c>
      <c r="N1698" s="6">
        <f>IF(OR(A1698="",B1698=""),"",DATE(YEAR(B1698),MONTH(B1698),1))</f>
        <v/>
      </c>
      <c r="O1698" s="7">
        <f>IF(COUNTA(A1698:K1698)=0,"",IF(OR(A1698="",B1698=""),"Preencher CPF e entrada",IF(COUNTIFS($A$12:$A$5011,A1698,$B$12:$B$5011,B1698)&gt;1,"CPF + dia duplicado",IF(OR(AND(G1698&lt;&gt;"",G1698&lt;&gt;0,G1698&lt;&gt;1),AND(H1698&lt;&gt;"",H1698&lt;&gt;0,H1698&lt;&gt;1)),"Flags devem ser 0 ou 1",IF(AND(H1698=1,LEN(TRIM(I1698))=0),"Preencher nome do indicante",IF(AND(H1698&lt;&gt;1,I1698&lt;&gt;""),"Nome sem indicação interna",IF(AND(G1698=1,F1698=""),"Fechamento sem conversa",IF(OR(AND(E1698&lt;&gt;"",E1698&lt;B1698),AND(F1698&lt;&gt;"",F1698&lt;B1698)),"Evento anterior à entrada",IF(AND(F1698&lt;&gt;"",E1698=""),"Conversa sem agendamento",IF(OR(E1698&gt;TODAY(),F1698&gt;TODAY()),"Verificar evento futuro","OK"))))))))))</f>
        <v/>
      </c>
    </row>
    <row r="1699" spans="12:15">
      <c r="L1699" s="5">
        <f>IF(OR(A1699="",B1699=""),"",B1699-WEEKDAY(B1699,2)+1)</f>
        <v/>
      </c>
      <c r="M1699" s="5">
        <f>IF(L1699="","",L1699+6)</f>
        <v/>
      </c>
      <c r="N1699" s="6">
        <f>IF(OR(A1699="",B1699=""),"",DATE(YEAR(B1699),MONTH(B1699),1))</f>
        <v/>
      </c>
      <c r="O1699" s="7">
        <f>IF(COUNTA(A1699:K1699)=0,"",IF(OR(A1699="",B1699=""),"Preencher CPF e entrada",IF(COUNTIFS($A$12:$A$5011,A1699,$B$12:$B$5011,B1699)&gt;1,"CPF + dia duplicado",IF(OR(AND(G1699&lt;&gt;"",G1699&lt;&gt;0,G1699&lt;&gt;1),AND(H1699&lt;&gt;"",H1699&lt;&gt;0,H1699&lt;&gt;1)),"Flags devem ser 0 ou 1",IF(AND(H1699=1,LEN(TRIM(I1699))=0),"Preencher nome do indicante",IF(AND(H1699&lt;&gt;1,I1699&lt;&gt;""),"Nome sem indicação interna",IF(AND(G1699=1,F1699=""),"Fechamento sem conversa",IF(OR(AND(E1699&lt;&gt;"",E1699&lt;B1699),AND(F1699&lt;&gt;"",F1699&lt;B1699)),"Evento anterior à entrada",IF(AND(F1699&lt;&gt;"",E1699=""),"Conversa sem agendamento",IF(OR(E1699&gt;TODAY(),F1699&gt;TODAY()),"Verificar evento futuro","OK"))))))))))</f>
        <v/>
      </c>
    </row>
    <row r="1700" spans="12:15">
      <c r="L1700" s="5">
        <f>IF(OR(A1700="",B1700=""),"",B1700-WEEKDAY(B1700,2)+1)</f>
        <v/>
      </c>
      <c r="M1700" s="5">
        <f>IF(L1700="","",L1700+6)</f>
        <v/>
      </c>
      <c r="N1700" s="6">
        <f>IF(OR(A1700="",B1700=""),"",DATE(YEAR(B1700),MONTH(B1700),1))</f>
        <v/>
      </c>
      <c r="O1700" s="7">
        <f>IF(COUNTA(A1700:K1700)=0,"",IF(OR(A1700="",B1700=""),"Preencher CPF e entrada",IF(COUNTIFS($A$12:$A$5011,A1700,$B$12:$B$5011,B1700)&gt;1,"CPF + dia duplicado",IF(OR(AND(G1700&lt;&gt;"",G1700&lt;&gt;0,G1700&lt;&gt;1),AND(H1700&lt;&gt;"",H1700&lt;&gt;0,H1700&lt;&gt;1)),"Flags devem ser 0 ou 1",IF(AND(H1700=1,LEN(TRIM(I1700))=0),"Preencher nome do indicante",IF(AND(H1700&lt;&gt;1,I1700&lt;&gt;""),"Nome sem indicação interna",IF(AND(G1700=1,F1700=""),"Fechamento sem conversa",IF(OR(AND(E1700&lt;&gt;"",E1700&lt;B1700),AND(F1700&lt;&gt;"",F1700&lt;B1700)),"Evento anterior à entrada",IF(AND(F1700&lt;&gt;"",E1700=""),"Conversa sem agendamento",IF(OR(E1700&gt;TODAY(),F1700&gt;TODAY()),"Verificar evento futuro","OK"))))))))))</f>
        <v/>
      </c>
    </row>
    <row r="1701" spans="12:15">
      <c r="L1701" s="5">
        <f>IF(OR(A1701="",B1701=""),"",B1701-WEEKDAY(B1701,2)+1)</f>
        <v/>
      </c>
      <c r="M1701" s="5">
        <f>IF(L1701="","",L1701+6)</f>
        <v/>
      </c>
      <c r="N1701" s="6">
        <f>IF(OR(A1701="",B1701=""),"",DATE(YEAR(B1701),MONTH(B1701),1))</f>
        <v/>
      </c>
      <c r="O1701" s="7">
        <f>IF(COUNTA(A1701:K1701)=0,"",IF(OR(A1701="",B1701=""),"Preencher CPF e entrada",IF(COUNTIFS($A$12:$A$5011,A1701,$B$12:$B$5011,B1701)&gt;1,"CPF + dia duplicado",IF(OR(AND(G1701&lt;&gt;"",G1701&lt;&gt;0,G1701&lt;&gt;1),AND(H1701&lt;&gt;"",H1701&lt;&gt;0,H1701&lt;&gt;1)),"Flags devem ser 0 ou 1",IF(AND(H1701=1,LEN(TRIM(I1701))=0),"Preencher nome do indicante",IF(AND(H1701&lt;&gt;1,I1701&lt;&gt;""),"Nome sem indicação interna",IF(AND(G1701=1,F1701=""),"Fechamento sem conversa",IF(OR(AND(E1701&lt;&gt;"",E1701&lt;B1701),AND(F1701&lt;&gt;"",F1701&lt;B1701)),"Evento anterior à entrada",IF(AND(F1701&lt;&gt;"",E1701=""),"Conversa sem agendamento",IF(OR(E1701&gt;TODAY(),F1701&gt;TODAY()),"Verificar evento futuro","OK"))))))))))</f>
        <v/>
      </c>
    </row>
    <row r="1702" spans="12:15">
      <c r="L1702" s="5">
        <f>IF(OR(A1702="",B1702=""),"",B1702-WEEKDAY(B1702,2)+1)</f>
        <v/>
      </c>
      <c r="M1702" s="5">
        <f>IF(L1702="","",L1702+6)</f>
        <v/>
      </c>
      <c r="N1702" s="6">
        <f>IF(OR(A1702="",B1702=""),"",DATE(YEAR(B1702),MONTH(B1702),1))</f>
        <v/>
      </c>
      <c r="O1702" s="7">
        <f>IF(COUNTA(A1702:K1702)=0,"",IF(OR(A1702="",B1702=""),"Preencher CPF e entrada",IF(COUNTIFS($A$12:$A$5011,A1702,$B$12:$B$5011,B1702)&gt;1,"CPF + dia duplicado",IF(OR(AND(G1702&lt;&gt;"",G1702&lt;&gt;0,G1702&lt;&gt;1),AND(H1702&lt;&gt;"",H1702&lt;&gt;0,H1702&lt;&gt;1)),"Flags devem ser 0 ou 1",IF(AND(H1702=1,LEN(TRIM(I1702))=0),"Preencher nome do indicante",IF(AND(H1702&lt;&gt;1,I1702&lt;&gt;""),"Nome sem indicação interna",IF(AND(G1702=1,F1702=""),"Fechamento sem conversa",IF(OR(AND(E1702&lt;&gt;"",E1702&lt;B1702),AND(F1702&lt;&gt;"",F1702&lt;B1702)),"Evento anterior à entrada",IF(AND(F1702&lt;&gt;"",E1702=""),"Conversa sem agendamento",IF(OR(E1702&gt;TODAY(),F1702&gt;TODAY()),"Verificar evento futuro","OK"))))))))))</f>
        <v/>
      </c>
    </row>
    <row r="1703" spans="12:15">
      <c r="L1703" s="5">
        <f>IF(OR(A1703="",B1703=""),"",B1703-WEEKDAY(B1703,2)+1)</f>
        <v/>
      </c>
      <c r="M1703" s="5">
        <f>IF(L1703="","",L1703+6)</f>
        <v/>
      </c>
      <c r="N1703" s="6">
        <f>IF(OR(A1703="",B1703=""),"",DATE(YEAR(B1703),MONTH(B1703),1))</f>
        <v/>
      </c>
      <c r="O1703" s="7">
        <f>IF(COUNTA(A1703:K1703)=0,"",IF(OR(A1703="",B1703=""),"Preencher CPF e entrada",IF(COUNTIFS($A$12:$A$5011,A1703,$B$12:$B$5011,B1703)&gt;1,"CPF + dia duplicado",IF(OR(AND(G1703&lt;&gt;"",G1703&lt;&gt;0,G1703&lt;&gt;1),AND(H1703&lt;&gt;"",H1703&lt;&gt;0,H1703&lt;&gt;1)),"Flags devem ser 0 ou 1",IF(AND(H1703=1,LEN(TRIM(I1703))=0),"Preencher nome do indicante",IF(AND(H1703&lt;&gt;1,I1703&lt;&gt;""),"Nome sem indicação interna",IF(AND(G1703=1,F1703=""),"Fechamento sem conversa",IF(OR(AND(E1703&lt;&gt;"",E1703&lt;B1703),AND(F1703&lt;&gt;"",F1703&lt;B1703)),"Evento anterior à entrada",IF(AND(F1703&lt;&gt;"",E1703=""),"Conversa sem agendamento",IF(OR(E1703&gt;TODAY(),F1703&gt;TODAY()),"Verificar evento futuro","OK"))))))))))</f>
        <v/>
      </c>
    </row>
    <row r="1704" spans="12:15">
      <c r="L1704" s="5">
        <f>IF(OR(A1704="",B1704=""),"",B1704-WEEKDAY(B1704,2)+1)</f>
        <v/>
      </c>
      <c r="M1704" s="5">
        <f>IF(L1704="","",L1704+6)</f>
        <v/>
      </c>
      <c r="N1704" s="6">
        <f>IF(OR(A1704="",B1704=""),"",DATE(YEAR(B1704),MONTH(B1704),1))</f>
        <v/>
      </c>
      <c r="O1704" s="7">
        <f>IF(COUNTA(A1704:K1704)=0,"",IF(OR(A1704="",B1704=""),"Preencher CPF e entrada",IF(COUNTIFS($A$12:$A$5011,A1704,$B$12:$B$5011,B1704)&gt;1,"CPF + dia duplicado",IF(OR(AND(G1704&lt;&gt;"",G1704&lt;&gt;0,G1704&lt;&gt;1),AND(H1704&lt;&gt;"",H1704&lt;&gt;0,H1704&lt;&gt;1)),"Flags devem ser 0 ou 1",IF(AND(H1704=1,LEN(TRIM(I1704))=0),"Preencher nome do indicante",IF(AND(H1704&lt;&gt;1,I1704&lt;&gt;""),"Nome sem indicação interna",IF(AND(G1704=1,F1704=""),"Fechamento sem conversa",IF(OR(AND(E1704&lt;&gt;"",E1704&lt;B1704),AND(F1704&lt;&gt;"",F1704&lt;B1704)),"Evento anterior à entrada",IF(AND(F1704&lt;&gt;"",E1704=""),"Conversa sem agendamento",IF(OR(E1704&gt;TODAY(),F1704&gt;TODAY()),"Verificar evento futuro","OK"))))))))))</f>
        <v/>
      </c>
    </row>
    <row r="1705" spans="12:15">
      <c r="L1705" s="5">
        <f>IF(OR(A1705="",B1705=""),"",B1705-WEEKDAY(B1705,2)+1)</f>
        <v/>
      </c>
      <c r="M1705" s="5">
        <f>IF(L1705="","",L1705+6)</f>
        <v/>
      </c>
      <c r="N1705" s="6">
        <f>IF(OR(A1705="",B1705=""),"",DATE(YEAR(B1705),MONTH(B1705),1))</f>
        <v/>
      </c>
      <c r="O1705" s="7">
        <f>IF(COUNTA(A1705:K1705)=0,"",IF(OR(A1705="",B1705=""),"Preencher CPF e entrada",IF(COUNTIFS($A$12:$A$5011,A1705,$B$12:$B$5011,B1705)&gt;1,"CPF + dia duplicado",IF(OR(AND(G1705&lt;&gt;"",G1705&lt;&gt;0,G1705&lt;&gt;1),AND(H1705&lt;&gt;"",H1705&lt;&gt;0,H1705&lt;&gt;1)),"Flags devem ser 0 ou 1",IF(AND(H1705=1,LEN(TRIM(I1705))=0),"Preencher nome do indicante",IF(AND(H1705&lt;&gt;1,I1705&lt;&gt;""),"Nome sem indicação interna",IF(AND(G1705=1,F1705=""),"Fechamento sem conversa",IF(OR(AND(E1705&lt;&gt;"",E1705&lt;B1705),AND(F1705&lt;&gt;"",F1705&lt;B1705)),"Evento anterior à entrada",IF(AND(F1705&lt;&gt;"",E1705=""),"Conversa sem agendamento",IF(OR(E1705&gt;TODAY(),F1705&gt;TODAY()),"Verificar evento futuro","OK"))))))))))</f>
        <v/>
      </c>
    </row>
    <row r="1706" spans="12:15">
      <c r="L1706" s="5">
        <f>IF(OR(A1706="",B1706=""),"",B1706-WEEKDAY(B1706,2)+1)</f>
        <v/>
      </c>
      <c r="M1706" s="5">
        <f>IF(L1706="","",L1706+6)</f>
        <v/>
      </c>
      <c r="N1706" s="6">
        <f>IF(OR(A1706="",B1706=""),"",DATE(YEAR(B1706),MONTH(B1706),1))</f>
        <v/>
      </c>
      <c r="O1706" s="7">
        <f>IF(COUNTA(A1706:K1706)=0,"",IF(OR(A1706="",B1706=""),"Preencher CPF e entrada",IF(COUNTIFS($A$12:$A$5011,A1706,$B$12:$B$5011,B1706)&gt;1,"CPF + dia duplicado",IF(OR(AND(G1706&lt;&gt;"",G1706&lt;&gt;0,G1706&lt;&gt;1),AND(H1706&lt;&gt;"",H1706&lt;&gt;0,H1706&lt;&gt;1)),"Flags devem ser 0 ou 1",IF(AND(H1706=1,LEN(TRIM(I1706))=0),"Preencher nome do indicante",IF(AND(H1706&lt;&gt;1,I1706&lt;&gt;""),"Nome sem indicação interna",IF(AND(G1706=1,F1706=""),"Fechamento sem conversa",IF(OR(AND(E1706&lt;&gt;"",E1706&lt;B1706),AND(F1706&lt;&gt;"",F1706&lt;B1706)),"Evento anterior à entrada",IF(AND(F1706&lt;&gt;"",E1706=""),"Conversa sem agendamento",IF(OR(E1706&gt;TODAY(),F1706&gt;TODAY()),"Verificar evento futuro","OK"))))))))))</f>
        <v/>
      </c>
    </row>
    <row r="1707" spans="12:15">
      <c r="L1707" s="5">
        <f>IF(OR(A1707="",B1707=""),"",B1707-WEEKDAY(B1707,2)+1)</f>
        <v/>
      </c>
      <c r="M1707" s="5">
        <f>IF(L1707="","",L1707+6)</f>
        <v/>
      </c>
      <c r="N1707" s="6">
        <f>IF(OR(A1707="",B1707=""),"",DATE(YEAR(B1707),MONTH(B1707),1))</f>
        <v/>
      </c>
      <c r="O1707" s="7">
        <f>IF(COUNTA(A1707:K1707)=0,"",IF(OR(A1707="",B1707=""),"Preencher CPF e entrada",IF(COUNTIFS($A$12:$A$5011,A1707,$B$12:$B$5011,B1707)&gt;1,"CPF + dia duplicado",IF(OR(AND(G1707&lt;&gt;"",G1707&lt;&gt;0,G1707&lt;&gt;1),AND(H1707&lt;&gt;"",H1707&lt;&gt;0,H1707&lt;&gt;1)),"Flags devem ser 0 ou 1",IF(AND(H1707=1,LEN(TRIM(I1707))=0),"Preencher nome do indicante",IF(AND(H1707&lt;&gt;1,I1707&lt;&gt;""),"Nome sem indicação interna",IF(AND(G1707=1,F1707=""),"Fechamento sem conversa",IF(OR(AND(E1707&lt;&gt;"",E1707&lt;B1707),AND(F1707&lt;&gt;"",F1707&lt;B1707)),"Evento anterior à entrada",IF(AND(F1707&lt;&gt;"",E1707=""),"Conversa sem agendamento",IF(OR(E1707&gt;TODAY(),F1707&gt;TODAY()),"Verificar evento futuro","OK"))))))))))</f>
        <v/>
      </c>
    </row>
    <row r="1708" spans="12:15">
      <c r="L1708" s="5">
        <f>IF(OR(A1708="",B1708=""),"",B1708-WEEKDAY(B1708,2)+1)</f>
        <v/>
      </c>
      <c r="M1708" s="5">
        <f>IF(L1708="","",L1708+6)</f>
        <v/>
      </c>
      <c r="N1708" s="6">
        <f>IF(OR(A1708="",B1708=""),"",DATE(YEAR(B1708),MONTH(B1708),1))</f>
        <v/>
      </c>
      <c r="O1708" s="7">
        <f>IF(COUNTA(A1708:K1708)=0,"",IF(OR(A1708="",B1708=""),"Preencher CPF e entrada",IF(COUNTIFS($A$12:$A$5011,A1708,$B$12:$B$5011,B1708)&gt;1,"CPF + dia duplicado",IF(OR(AND(G1708&lt;&gt;"",G1708&lt;&gt;0,G1708&lt;&gt;1),AND(H1708&lt;&gt;"",H1708&lt;&gt;0,H1708&lt;&gt;1)),"Flags devem ser 0 ou 1",IF(AND(H1708=1,LEN(TRIM(I1708))=0),"Preencher nome do indicante",IF(AND(H1708&lt;&gt;1,I1708&lt;&gt;""),"Nome sem indicação interna",IF(AND(G1708=1,F1708=""),"Fechamento sem conversa",IF(OR(AND(E1708&lt;&gt;"",E1708&lt;B1708),AND(F1708&lt;&gt;"",F1708&lt;B1708)),"Evento anterior à entrada",IF(AND(F1708&lt;&gt;"",E1708=""),"Conversa sem agendamento",IF(OR(E1708&gt;TODAY(),F1708&gt;TODAY()),"Verificar evento futuro","OK"))))))))))</f>
        <v/>
      </c>
    </row>
    <row r="1709" spans="12:15">
      <c r="L1709" s="5">
        <f>IF(OR(A1709="",B1709=""),"",B1709-WEEKDAY(B1709,2)+1)</f>
        <v/>
      </c>
      <c r="M1709" s="5">
        <f>IF(L1709="","",L1709+6)</f>
        <v/>
      </c>
      <c r="N1709" s="6">
        <f>IF(OR(A1709="",B1709=""),"",DATE(YEAR(B1709),MONTH(B1709),1))</f>
        <v/>
      </c>
      <c r="O1709" s="7">
        <f>IF(COUNTA(A1709:K1709)=0,"",IF(OR(A1709="",B1709=""),"Preencher CPF e entrada",IF(COUNTIFS($A$12:$A$5011,A1709,$B$12:$B$5011,B1709)&gt;1,"CPF + dia duplicado",IF(OR(AND(G1709&lt;&gt;"",G1709&lt;&gt;0,G1709&lt;&gt;1),AND(H1709&lt;&gt;"",H1709&lt;&gt;0,H1709&lt;&gt;1)),"Flags devem ser 0 ou 1",IF(AND(H1709=1,LEN(TRIM(I1709))=0),"Preencher nome do indicante",IF(AND(H1709&lt;&gt;1,I1709&lt;&gt;""),"Nome sem indicação interna",IF(AND(G1709=1,F1709=""),"Fechamento sem conversa",IF(OR(AND(E1709&lt;&gt;"",E1709&lt;B1709),AND(F1709&lt;&gt;"",F1709&lt;B1709)),"Evento anterior à entrada",IF(AND(F1709&lt;&gt;"",E1709=""),"Conversa sem agendamento",IF(OR(E1709&gt;TODAY(),F1709&gt;TODAY()),"Verificar evento futuro","OK"))))))))))</f>
        <v/>
      </c>
    </row>
    <row r="1710" spans="12:15">
      <c r="L1710" s="5">
        <f>IF(OR(A1710="",B1710=""),"",B1710-WEEKDAY(B1710,2)+1)</f>
        <v/>
      </c>
      <c r="M1710" s="5">
        <f>IF(L1710="","",L1710+6)</f>
        <v/>
      </c>
      <c r="N1710" s="6">
        <f>IF(OR(A1710="",B1710=""),"",DATE(YEAR(B1710),MONTH(B1710),1))</f>
        <v/>
      </c>
      <c r="O1710" s="7">
        <f>IF(COUNTA(A1710:K1710)=0,"",IF(OR(A1710="",B1710=""),"Preencher CPF e entrada",IF(COUNTIFS($A$12:$A$5011,A1710,$B$12:$B$5011,B1710)&gt;1,"CPF + dia duplicado",IF(OR(AND(G1710&lt;&gt;"",G1710&lt;&gt;0,G1710&lt;&gt;1),AND(H1710&lt;&gt;"",H1710&lt;&gt;0,H1710&lt;&gt;1)),"Flags devem ser 0 ou 1",IF(AND(H1710=1,LEN(TRIM(I1710))=0),"Preencher nome do indicante",IF(AND(H1710&lt;&gt;1,I1710&lt;&gt;""),"Nome sem indicação interna",IF(AND(G1710=1,F1710=""),"Fechamento sem conversa",IF(OR(AND(E1710&lt;&gt;"",E1710&lt;B1710),AND(F1710&lt;&gt;"",F1710&lt;B1710)),"Evento anterior à entrada",IF(AND(F1710&lt;&gt;"",E1710=""),"Conversa sem agendamento",IF(OR(E1710&gt;TODAY(),F1710&gt;TODAY()),"Verificar evento futuro","OK"))))))))))</f>
        <v/>
      </c>
    </row>
    <row r="1711" spans="12:15">
      <c r="L1711" s="5">
        <f>IF(OR(A1711="",B1711=""),"",B1711-WEEKDAY(B1711,2)+1)</f>
        <v/>
      </c>
      <c r="M1711" s="5">
        <f>IF(L1711="","",L1711+6)</f>
        <v/>
      </c>
      <c r="N1711" s="6">
        <f>IF(OR(A1711="",B1711=""),"",DATE(YEAR(B1711),MONTH(B1711),1))</f>
        <v/>
      </c>
      <c r="O1711" s="7">
        <f>IF(COUNTA(A1711:K1711)=0,"",IF(OR(A1711="",B1711=""),"Preencher CPF e entrada",IF(COUNTIFS($A$12:$A$5011,A1711,$B$12:$B$5011,B1711)&gt;1,"CPF + dia duplicado",IF(OR(AND(G1711&lt;&gt;"",G1711&lt;&gt;0,G1711&lt;&gt;1),AND(H1711&lt;&gt;"",H1711&lt;&gt;0,H1711&lt;&gt;1)),"Flags devem ser 0 ou 1",IF(AND(H1711=1,LEN(TRIM(I1711))=0),"Preencher nome do indicante",IF(AND(H1711&lt;&gt;1,I1711&lt;&gt;""),"Nome sem indicação interna",IF(AND(G1711=1,F1711=""),"Fechamento sem conversa",IF(OR(AND(E1711&lt;&gt;"",E1711&lt;B1711),AND(F1711&lt;&gt;"",F1711&lt;B1711)),"Evento anterior à entrada",IF(AND(F1711&lt;&gt;"",E1711=""),"Conversa sem agendamento",IF(OR(E1711&gt;TODAY(),F1711&gt;TODAY()),"Verificar evento futuro","OK"))))))))))</f>
        <v/>
      </c>
    </row>
    <row r="1712" spans="12:15">
      <c r="L1712" s="5">
        <f>IF(OR(A1712="",B1712=""),"",B1712-WEEKDAY(B1712,2)+1)</f>
        <v/>
      </c>
      <c r="M1712" s="5">
        <f>IF(L1712="","",L1712+6)</f>
        <v/>
      </c>
      <c r="N1712" s="6">
        <f>IF(OR(A1712="",B1712=""),"",DATE(YEAR(B1712),MONTH(B1712),1))</f>
        <v/>
      </c>
      <c r="O1712" s="7">
        <f>IF(COUNTA(A1712:K1712)=0,"",IF(OR(A1712="",B1712=""),"Preencher CPF e entrada",IF(COUNTIFS($A$12:$A$5011,A1712,$B$12:$B$5011,B1712)&gt;1,"CPF + dia duplicado",IF(OR(AND(G1712&lt;&gt;"",G1712&lt;&gt;0,G1712&lt;&gt;1),AND(H1712&lt;&gt;"",H1712&lt;&gt;0,H1712&lt;&gt;1)),"Flags devem ser 0 ou 1",IF(AND(H1712=1,LEN(TRIM(I1712))=0),"Preencher nome do indicante",IF(AND(H1712&lt;&gt;1,I1712&lt;&gt;""),"Nome sem indicação interna",IF(AND(G1712=1,F1712=""),"Fechamento sem conversa",IF(OR(AND(E1712&lt;&gt;"",E1712&lt;B1712),AND(F1712&lt;&gt;"",F1712&lt;B1712)),"Evento anterior à entrada",IF(AND(F1712&lt;&gt;"",E1712=""),"Conversa sem agendamento",IF(OR(E1712&gt;TODAY(),F1712&gt;TODAY()),"Verificar evento futuro","OK"))))))))))</f>
        <v/>
      </c>
    </row>
    <row r="1713" spans="12:15">
      <c r="L1713" s="5">
        <f>IF(OR(A1713="",B1713=""),"",B1713-WEEKDAY(B1713,2)+1)</f>
        <v/>
      </c>
      <c r="M1713" s="5">
        <f>IF(L1713="","",L1713+6)</f>
        <v/>
      </c>
      <c r="N1713" s="6">
        <f>IF(OR(A1713="",B1713=""),"",DATE(YEAR(B1713),MONTH(B1713),1))</f>
        <v/>
      </c>
      <c r="O1713" s="7">
        <f>IF(COUNTA(A1713:K1713)=0,"",IF(OR(A1713="",B1713=""),"Preencher CPF e entrada",IF(COUNTIFS($A$12:$A$5011,A1713,$B$12:$B$5011,B1713)&gt;1,"CPF + dia duplicado",IF(OR(AND(G1713&lt;&gt;"",G1713&lt;&gt;0,G1713&lt;&gt;1),AND(H1713&lt;&gt;"",H1713&lt;&gt;0,H1713&lt;&gt;1)),"Flags devem ser 0 ou 1",IF(AND(H1713=1,LEN(TRIM(I1713))=0),"Preencher nome do indicante",IF(AND(H1713&lt;&gt;1,I1713&lt;&gt;""),"Nome sem indicação interna",IF(AND(G1713=1,F1713=""),"Fechamento sem conversa",IF(OR(AND(E1713&lt;&gt;"",E1713&lt;B1713),AND(F1713&lt;&gt;"",F1713&lt;B1713)),"Evento anterior à entrada",IF(AND(F1713&lt;&gt;"",E1713=""),"Conversa sem agendamento",IF(OR(E1713&gt;TODAY(),F1713&gt;TODAY()),"Verificar evento futuro","OK"))))))))))</f>
        <v/>
      </c>
    </row>
    <row r="1714" spans="12:15">
      <c r="L1714" s="5">
        <f>IF(OR(A1714="",B1714=""),"",B1714-WEEKDAY(B1714,2)+1)</f>
        <v/>
      </c>
      <c r="M1714" s="5">
        <f>IF(L1714="","",L1714+6)</f>
        <v/>
      </c>
      <c r="N1714" s="6">
        <f>IF(OR(A1714="",B1714=""),"",DATE(YEAR(B1714),MONTH(B1714),1))</f>
        <v/>
      </c>
      <c r="O1714" s="7">
        <f>IF(COUNTA(A1714:K1714)=0,"",IF(OR(A1714="",B1714=""),"Preencher CPF e entrada",IF(COUNTIFS($A$12:$A$5011,A1714,$B$12:$B$5011,B1714)&gt;1,"CPF + dia duplicado",IF(OR(AND(G1714&lt;&gt;"",G1714&lt;&gt;0,G1714&lt;&gt;1),AND(H1714&lt;&gt;"",H1714&lt;&gt;0,H1714&lt;&gt;1)),"Flags devem ser 0 ou 1",IF(AND(H1714=1,LEN(TRIM(I1714))=0),"Preencher nome do indicante",IF(AND(H1714&lt;&gt;1,I1714&lt;&gt;""),"Nome sem indicação interna",IF(AND(G1714=1,F1714=""),"Fechamento sem conversa",IF(OR(AND(E1714&lt;&gt;"",E1714&lt;B1714),AND(F1714&lt;&gt;"",F1714&lt;B1714)),"Evento anterior à entrada",IF(AND(F1714&lt;&gt;"",E1714=""),"Conversa sem agendamento",IF(OR(E1714&gt;TODAY(),F1714&gt;TODAY()),"Verificar evento futuro","OK"))))))))))</f>
        <v/>
      </c>
    </row>
    <row r="1715" spans="12:15">
      <c r="L1715" s="5">
        <f>IF(OR(A1715="",B1715=""),"",B1715-WEEKDAY(B1715,2)+1)</f>
        <v/>
      </c>
      <c r="M1715" s="5">
        <f>IF(L1715="","",L1715+6)</f>
        <v/>
      </c>
      <c r="N1715" s="6">
        <f>IF(OR(A1715="",B1715=""),"",DATE(YEAR(B1715),MONTH(B1715),1))</f>
        <v/>
      </c>
      <c r="O1715" s="7">
        <f>IF(COUNTA(A1715:K1715)=0,"",IF(OR(A1715="",B1715=""),"Preencher CPF e entrada",IF(COUNTIFS($A$12:$A$5011,A1715,$B$12:$B$5011,B1715)&gt;1,"CPF + dia duplicado",IF(OR(AND(G1715&lt;&gt;"",G1715&lt;&gt;0,G1715&lt;&gt;1),AND(H1715&lt;&gt;"",H1715&lt;&gt;0,H1715&lt;&gt;1)),"Flags devem ser 0 ou 1",IF(AND(H1715=1,LEN(TRIM(I1715))=0),"Preencher nome do indicante",IF(AND(H1715&lt;&gt;1,I1715&lt;&gt;""),"Nome sem indicação interna",IF(AND(G1715=1,F1715=""),"Fechamento sem conversa",IF(OR(AND(E1715&lt;&gt;"",E1715&lt;B1715),AND(F1715&lt;&gt;"",F1715&lt;B1715)),"Evento anterior à entrada",IF(AND(F1715&lt;&gt;"",E1715=""),"Conversa sem agendamento",IF(OR(E1715&gt;TODAY(),F1715&gt;TODAY()),"Verificar evento futuro","OK"))))))))))</f>
        <v/>
      </c>
    </row>
    <row r="1716" spans="12:15">
      <c r="L1716" s="5">
        <f>IF(OR(A1716="",B1716=""),"",B1716-WEEKDAY(B1716,2)+1)</f>
        <v/>
      </c>
      <c r="M1716" s="5">
        <f>IF(L1716="","",L1716+6)</f>
        <v/>
      </c>
      <c r="N1716" s="6">
        <f>IF(OR(A1716="",B1716=""),"",DATE(YEAR(B1716),MONTH(B1716),1))</f>
        <v/>
      </c>
      <c r="O1716" s="7">
        <f>IF(COUNTA(A1716:K1716)=0,"",IF(OR(A1716="",B1716=""),"Preencher CPF e entrada",IF(COUNTIFS($A$12:$A$5011,A1716,$B$12:$B$5011,B1716)&gt;1,"CPF + dia duplicado",IF(OR(AND(G1716&lt;&gt;"",G1716&lt;&gt;0,G1716&lt;&gt;1),AND(H1716&lt;&gt;"",H1716&lt;&gt;0,H1716&lt;&gt;1)),"Flags devem ser 0 ou 1",IF(AND(H1716=1,LEN(TRIM(I1716))=0),"Preencher nome do indicante",IF(AND(H1716&lt;&gt;1,I1716&lt;&gt;""),"Nome sem indicação interna",IF(AND(G1716=1,F1716=""),"Fechamento sem conversa",IF(OR(AND(E1716&lt;&gt;"",E1716&lt;B1716),AND(F1716&lt;&gt;"",F1716&lt;B1716)),"Evento anterior à entrada",IF(AND(F1716&lt;&gt;"",E1716=""),"Conversa sem agendamento",IF(OR(E1716&gt;TODAY(),F1716&gt;TODAY()),"Verificar evento futuro","OK"))))))))))</f>
        <v/>
      </c>
    </row>
    <row r="1717" spans="12:15">
      <c r="L1717" s="5">
        <f>IF(OR(A1717="",B1717=""),"",B1717-WEEKDAY(B1717,2)+1)</f>
        <v/>
      </c>
      <c r="M1717" s="5">
        <f>IF(L1717="","",L1717+6)</f>
        <v/>
      </c>
      <c r="N1717" s="6">
        <f>IF(OR(A1717="",B1717=""),"",DATE(YEAR(B1717),MONTH(B1717),1))</f>
        <v/>
      </c>
      <c r="O1717" s="7">
        <f>IF(COUNTA(A1717:K1717)=0,"",IF(OR(A1717="",B1717=""),"Preencher CPF e entrada",IF(COUNTIFS($A$12:$A$5011,A1717,$B$12:$B$5011,B1717)&gt;1,"CPF + dia duplicado",IF(OR(AND(G1717&lt;&gt;"",G1717&lt;&gt;0,G1717&lt;&gt;1),AND(H1717&lt;&gt;"",H1717&lt;&gt;0,H1717&lt;&gt;1)),"Flags devem ser 0 ou 1",IF(AND(H1717=1,LEN(TRIM(I1717))=0),"Preencher nome do indicante",IF(AND(H1717&lt;&gt;1,I1717&lt;&gt;""),"Nome sem indicação interna",IF(AND(G1717=1,F1717=""),"Fechamento sem conversa",IF(OR(AND(E1717&lt;&gt;"",E1717&lt;B1717),AND(F1717&lt;&gt;"",F1717&lt;B1717)),"Evento anterior à entrada",IF(AND(F1717&lt;&gt;"",E1717=""),"Conversa sem agendamento",IF(OR(E1717&gt;TODAY(),F1717&gt;TODAY()),"Verificar evento futuro","OK"))))))))))</f>
        <v/>
      </c>
    </row>
    <row r="1718" spans="12:15">
      <c r="L1718" s="5">
        <f>IF(OR(A1718="",B1718=""),"",B1718-WEEKDAY(B1718,2)+1)</f>
        <v/>
      </c>
      <c r="M1718" s="5">
        <f>IF(L1718="","",L1718+6)</f>
        <v/>
      </c>
      <c r="N1718" s="6">
        <f>IF(OR(A1718="",B1718=""),"",DATE(YEAR(B1718),MONTH(B1718),1))</f>
        <v/>
      </c>
      <c r="O1718" s="7">
        <f>IF(COUNTA(A1718:K1718)=0,"",IF(OR(A1718="",B1718=""),"Preencher CPF e entrada",IF(COUNTIFS($A$12:$A$5011,A1718,$B$12:$B$5011,B1718)&gt;1,"CPF + dia duplicado",IF(OR(AND(G1718&lt;&gt;"",G1718&lt;&gt;0,G1718&lt;&gt;1),AND(H1718&lt;&gt;"",H1718&lt;&gt;0,H1718&lt;&gt;1)),"Flags devem ser 0 ou 1",IF(AND(H1718=1,LEN(TRIM(I1718))=0),"Preencher nome do indicante",IF(AND(H1718&lt;&gt;1,I1718&lt;&gt;""),"Nome sem indicação interna",IF(AND(G1718=1,F1718=""),"Fechamento sem conversa",IF(OR(AND(E1718&lt;&gt;"",E1718&lt;B1718),AND(F1718&lt;&gt;"",F1718&lt;B1718)),"Evento anterior à entrada",IF(AND(F1718&lt;&gt;"",E1718=""),"Conversa sem agendamento",IF(OR(E1718&gt;TODAY(),F1718&gt;TODAY()),"Verificar evento futuro","OK"))))))))))</f>
        <v/>
      </c>
    </row>
    <row r="1719" spans="12:15">
      <c r="L1719" s="5">
        <f>IF(OR(A1719="",B1719=""),"",B1719-WEEKDAY(B1719,2)+1)</f>
        <v/>
      </c>
      <c r="M1719" s="5">
        <f>IF(L1719="","",L1719+6)</f>
        <v/>
      </c>
      <c r="N1719" s="6">
        <f>IF(OR(A1719="",B1719=""),"",DATE(YEAR(B1719),MONTH(B1719),1))</f>
        <v/>
      </c>
      <c r="O1719" s="7">
        <f>IF(COUNTA(A1719:K1719)=0,"",IF(OR(A1719="",B1719=""),"Preencher CPF e entrada",IF(COUNTIFS($A$12:$A$5011,A1719,$B$12:$B$5011,B1719)&gt;1,"CPF + dia duplicado",IF(OR(AND(G1719&lt;&gt;"",G1719&lt;&gt;0,G1719&lt;&gt;1),AND(H1719&lt;&gt;"",H1719&lt;&gt;0,H1719&lt;&gt;1)),"Flags devem ser 0 ou 1",IF(AND(H1719=1,LEN(TRIM(I1719))=0),"Preencher nome do indicante",IF(AND(H1719&lt;&gt;1,I1719&lt;&gt;""),"Nome sem indicação interna",IF(AND(G1719=1,F1719=""),"Fechamento sem conversa",IF(OR(AND(E1719&lt;&gt;"",E1719&lt;B1719),AND(F1719&lt;&gt;"",F1719&lt;B1719)),"Evento anterior à entrada",IF(AND(F1719&lt;&gt;"",E1719=""),"Conversa sem agendamento",IF(OR(E1719&gt;TODAY(),F1719&gt;TODAY()),"Verificar evento futuro","OK"))))))))))</f>
        <v/>
      </c>
    </row>
    <row r="1720" spans="12:15">
      <c r="L1720" s="5">
        <f>IF(OR(A1720="",B1720=""),"",B1720-WEEKDAY(B1720,2)+1)</f>
        <v/>
      </c>
      <c r="M1720" s="5">
        <f>IF(L1720="","",L1720+6)</f>
        <v/>
      </c>
      <c r="N1720" s="6">
        <f>IF(OR(A1720="",B1720=""),"",DATE(YEAR(B1720),MONTH(B1720),1))</f>
        <v/>
      </c>
      <c r="O1720" s="7">
        <f>IF(COUNTA(A1720:K1720)=0,"",IF(OR(A1720="",B1720=""),"Preencher CPF e entrada",IF(COUNTIFS($A$12:$A$5011,A1720,$B$12:$B$5011,B1720)&gt;1,"CPF + dia duplicado",IF(OR(AND(G1720&lt;&gt;"",G1720&lt;&gt;0,G1720&lt;&gt;1),AND(H1720&lt;&gt;"",H1720&lt;&gt;0,H1720&lt;&gt;1)),"Flags devem ser 0 ou 1",IF(AND(H1720=1,LEN(TRIM(I1720))=0),"Preencher nome do indicante",IF(AND(H1720&lt;&gt;1,I1720&lt;&gt;""),"Nome sem indicação interna",IF(AND(G1720=1,F1720=""),"Fechamento sem conversa",IF(OR(AND(E1720&lt;&gt;"",E1720&lt;B1720),AND(F1720&lt;&gt;"",F1720&lt;B1720)),"Evento anterior à entrada",IF(AND(F1720&lt;&gt;"",E1720=""),"Conversa sem agendamento",IF(OR(E1720&gt;TODAY(),F1720&gt;TODAY()),"Verificar evento futuro","OK"))))))))))</f>
        <v/>
      </c>
    </row>
    <row r="1721" spans="12:15">
      <c r="L1721" s="5">
        <f>IF(OR(A1721="",B1721=""),"",B1721-WEEKDAY(B1721,2)+1)</f>
        <v/>
      </c>
      <c r="M1721" s="5">
        <f>IF(L1721="","",L1721+6)</f>
        <v/>
      </c>
      <c r="N1721" s="6">
        <f>IF(OR(A1721="",B1721=""),"",DATE(YEAR(B1721),MONTH(B1721),1))</f>
        <v/>
      </c>
      <c r="O1721" s="7">
        <f>IF(COUNTA(A1721:K1721)=0,"",IF(OR(A1721="",B1721=""),"Preencher CPF e entrada",IF(COUNTIFS($A$12:$A$5011,A1721,$B$12:$B$5011,B1721)&gt;1,"CPF + dia duplicado",IF(OR(AND(G1721&lt;&gt;"",G1721&lt;&gt;0,G1721&lt;&gt;1),AND(H1721&lt;&gt;"",H1721&lt;&gt;0,H1721&lt;&gt;1)),"Flags devem ser 0 ou 1",IF(AND(H1721=1,LEN(TRIM(I1721))=0),"Preencher nome do indicante",IF(AND(H1721&lt;&gt;1,I1721&lt;&gt;""),"Nome sem indicação interna",IF(AND(G1721=1,F1721=""),"Fechamento sem conversa",IF(OR(AND(E1721&lt;&gt;"",E1721&lt;B1721),AND(F1721&lt;&gt;"",F1721&lt;B1721)),"Evento anterior à entrada",IF(AND(F1721&lt;&gt;"",E1721=""),"Conversa sem agendamento",IF(OR(E1721&gt;TODAY(),F1721&gt;TODAY()),"Verificar evento futuro","OK"))))))))))</f>
        <v/>
      </c>
    </row>
    <row r="1722" spans="12:15">
      <c r="L1722" s="5">
        <f>IF(OR(A1722="",B1722=""),"",B1722-WEEKDAY(B1722,2)+1)</f>
        <v/>
      </c>
      <c r="M1722" s="5">
        <f>IF(L1722="","",L1722+6)</f>
        <v/>
      </c>
      <c r="N1722" s="6">
        <f>IF(OR(A1722="",B1722=""),"",DATE(YEAR(B1722),MONTH(B1722),1))</f>
        <v/>
      </c>
      <c r="O1722" s="7">
        <f>IF(COUNTA(A1722:K1722)=0,"",IF(OR(A1722="",B1722=""),"Preencher CPF e entrada",IF(COUNTIFS($A$12:$A$5011,A1722,$B$12:$B$5011,B1722)&gt;1,"CPF + dia duplicado",IF(OR(AND(G1722&lt;&gt;"",G1722&lt;&gt;0,G1722&lt;&gt;1),AND(H1722&lt;&gt;"",H1722&lt;&gt;0,H1722&lt;&gt;1)),"Flags devem ser 0 ou 1",IF(AND(H1722=1,LEN(TRIM(I1722))=0),"Preencher nome do indicante",IF(AND(H1722&lt;&gt;1,I1722&lt;&gt;""),"Nome sem indicação interna",IF(AND(G1722=1,F1722=""),"Fechamento sem conversa",IF(OR(AND(E1722&lt;&gt;"",E1722&lt;B1722),AND(F1722&lt;&gt;"",F1722&lt;B1722)),"Evento anterior à entrada",IF(AND(F1722&lt;&gt;"",E1722=""),"Conversa sem agendamento",IF(OR(E1722&gt;TODAY(),F1722&gt;TODAY()),"Verificar evento futuro","OK"))))))))))</f>
        <v/>
      </c>
    </row>
    <row r="1723" spans="12:15">
      <c r="L1723" s="5">
        <f>IF(OR(A1723="",B1723=""),"",B1723-WEEKDAY(B1723,2)+1)</f>
        <v/>
      </c>
      <c r="M1723" s="5">
        <f>IF(L1723="","",L1723+6)</f>
        <v/>
      </c>
      <c r="N1723" s="6">
        <f>IF(OR(A1723="",B1723=""),"",DATE(YEAR(B1723),MONTH(B1723),1))</f>
        <v/>
      </c>
      <c r="O1723" s="7">
        <f>IF(COUNTA(A1723:K1723)=0,"",IF(OR(A1723="",B1723=""),"Preencher CPF e entrada",IF(COUNTIFS($A$12:$A$5011,A1723,$B$12:$B$5011,B1723)&gt;1,"CPF + dia duplicado",IF(OR(AND(G1723&lt;&gt;"",G1723&lt;&gt;0,G1723&lt;&gt;1),AND(H1723&lt;&gt;"",H1723&lt;&gt;0,H1723&lt;&gt;1)),"Flags devem ser 0 ou 1",IF(AND(H1723=1,LEN(TRIM(I1723))=0),"Preencher nome do indicante",IF(AND(H1723&lt;&gt;1,I1723&lt;&gt;""),"Nome sem indicação interna",IF(AND(G1723=1,F1723=""),"Fechamento sem conversa",IF(OR(AND(E1723&lt;&gt;"",E1723&lt;B1723),AND(F1723&lt;&gt;"",F1723&lt;B1723)),"Evento anterior à entrada",IF(AND(F1723&lt;&gt;"",E1723=""),"Conversa sem agendamento",IF(OR(E1723&gt;TODAY(),F1723&gt;TODAY()),"Verificar evento futuro","OK"))))))))))</f>
        <v/>
      </c>
    </row>
    <row r="1724" spans="12:15">
      <c r="L1724" s="5">
        <f>IF(OR(A1724="",B1724=""),"",B1724-WEEKDAY(B1724,2)+1)</f>
        <v/>
      </c>
      <c r="M1724" s="5">
        <f>IF(L1724="","",L1724+6)</f>
        <v/>
      </c>
      <c r="N1724" s="6">
        <f>IF(OR(A1724="",B1724=""),"",DATE(YEAR(B1724),MONTH(B1724),1))</f>
        <v/>
      </c>
      <c r="O1724" s="7">
        <f>IF(COUNTA(A1724:K1724)=0,"",IF(OR(A1724="",B1724=""),"Preencher CPF e entrada",IF(COUNTIFS($A$12:$A$5011,A1724,$B$12:$B$5011,B1724)&gt;1,"CPF + dia duplicado",IF(OR(AND(G1724&lt;&gt;"",G1724&lt;&gt;0,G1724&lt;&gt;1),AND(H1724&lt;&gt;"",H1724&lt;&gt;0,H1724&lt;&gt;1)),"Flags devem ser 0 ou 1",IF(AND(H1724=1,LEN(TRIM(I1724))=0),"Preencher nome do indicante",IF(AND(H1724&lt;&gt;1,I1724&lt;&gt;""),"Nome sem indicação interna",IF(AND(G1724=1,F1724=""),"Fechamento sem conversa",IF(OR(AND(E1724&lt;&gt;"",E1724&lt;B1724),AND(F1724&lt;&gt;"",F1724&lt;B1724)),"Evento anterior à entrada",IF(AND(F1724&lt;&gt;"",E1724=""),"Conversa sem agendamento",IF(OR(E1724&gt;TODAY(),F1724&gt;TODAY()),"Verificar evento futuro","OK"))))))))))</f>
        <v/>
      </c>
    </row>
    <row r="1725" spans="12:15">
      <c r="L1725" s="5">
        <f>IF(OR(A1725="",B1725=""),"",B1725-WEEKDAY(B1725,2)+1)</f>
        <v/>
      </c>
      <c r="M1725" s="5">
        <f>IF(L1725="","",L1725+6)</f>
        <v/>
      </c>
      <c r="N1725" s="6">
        <f>IF(OR(A1725="",B1725=""),"",DATE(YEAR(B1725),MONTH(B1725),1))</f>
        <v/>
      </c>
      <c r="O1725" s="7">
        <f>IF(COUNTA(A1725:K1725)=0,"",IF(OR(A1725="",B1725=""),"Preencher CPF e entrada",IF(COUNTIFS($A$12:$A$5011,A1725,$B$12:$B$5011,B1725)&gt;1,"CPF + dia duplicado",IF(OR(AND(G1725&lt;&gt;"",G1725&lt;&gt;0,G1725&lt;&gt;1),AND(H1725&lt;&gt;"",H1725&lt;&gt;0,H1725&lt;&gt;1)),"Flags devem ser 0 ou 1",IF(AND(H1725=1,LEN(TRIM(I1725))=0),"Preencher nome do indicante",IF(AND(H1725&lt;&gt;1,I1725&lt;&gt;""),"Nome sem indicação interna",IF(AND(G1725=1,F1725=""),"Fechamento sem conversa",IF(OR(AND(E1725&lt;&gt;"",E1725&lt;B1725),AND(F1725&lt;&gt;"",F1725&lt;B1725)),"Evento anterior à entrada",IF(AND(F1725&lt;&gt;"",E1725=""),"Conversa sem agendamento",IF(OR(E1725&gt;TODAY(),F1725&gt;TODAY()),"Verificar evento futuro","OK"))))))))))</f>
        <v/>
      </c>
    </row>
    <row r="1726" spans="12:15">
      <c r="L1726" s="5">
        <f>IF(OR(A1726="",B1726=""),"",B1726-WEEKDAY(B1726,2)+1)</f>
        <v/>
      </c>
      <c r="M1726" s="5">
        <f>IF(L1726="","",L1726+6)</f>
        <v/>
      </c>
      <c r="N1726" s="6">
        <f>IF(OR(A1726="",B1726=""),"",DATE(YEAR(B1726),MONTH(B1726),1))</f>
        <v/>
      </c>
      <c r="O1726" s="7">
        <f>IF(COUNTA(A1726:K1726)=0,"",IF(OR(A1726="",B1726=""),"Preencher CPF e entrada",IF(COUNTIFS($A$12:$A$5011,A1726,$B$12:$B$5011,B1726)&gt;1,"CPF + dia duplicado",IF(OR(AND(G1726&lt;&gt;"",G1726&lt;&gt;0,G1726&lt;&gt;1),AND(H1726&lt;&gt;"",H1726&lt;&gt;0,H1726&lt;&gt;1)),"Flags devem ser 0 ou 1",IF(AND(H1726=1,LEN(TRIM(I1726))=0),"Preencher nome do indicante",IF(AND(H1726&lt;&gt;1,I1726&lt;&gt;""),"Nome sem indicação interna",IF(AND(G1726=1,F1726=""),"Fechamento sem conversa",IF(OR(AND(E1726&lt;&gt;"",E1726&lt;B1726),AND(F1726&lt;&gt;"",F1726&lt;B1726)),"Evento anterior à entrada",IF(AND(F1726&lt;&gt;"",E1726=""),"Conversa sem agendamento",IF(OR(E1726&gt;TODAY(),F1726&gt;TODAY()),"Verificar evento futuro","OK"))))))))))</f>
        <v/>
      </c>
    </row>
    <row r="1727" spans="12:15">
      <c r="L1727" s="5">
        <f>IF(OR(A1727="",B1727=""),"",B1727-WEEKDAY(B1727,2)+1)</f>
        <v/>
      </c>
      <c r="M1727" s="5">
        <f>IF(L1727="","",L1727+6)</f>
        <v/>
      </c>
      <c r="N1727" s="6">
        <f>IF(OR(A1727="",B1727=""),"",DATE(YEAR(B1727),MONTH(B1727),1))</f>
        <v/>
      </c>
      <c r="O1727" s="7">
        <f>IF(COUNTA(A1727:K1727)=0,"",IF(OR(A1727="",B1727=""),"Preencher CPF e entrada",IF(COUNTIFS($A$12:$A$5011,A1727,$B$12:$B$5011,B1727)&gt;1,"CPF + dia duplicado",IF(OR(AND(G1727&lt;&gt;"",G1727&lt;&gt;0,G1727&lt;&gt;1),AND(H1727&lt;&gt;"",H1727&lt;&gt;0,H1727&lt;&gt;1)),"Flags devem ser 0 ou 1",IF(AND(H1727=1,LEN(TRIM(I1727))=0),"Preencher nome do indicante",IF(AND(H1727&lt;&gt;1,I1727&lt;&gt;""),"Nome sem indicação interna",IF(AND(G1727=1,F1727=""),"Fechamento sem conversa",IF(OR(AND(E1727&lt;&gt;"",E1727&lt;B1727),AND(F1727&lt;&gt;"",F1727&lt;B1727)),"Evento anterior à entrada",IF(AND(F1727&lt;&gt;"",E1727=""),"Conversa sem agendamento",IF(OR(E1727&gt;TODAY(),F1727&gt;TODAY()),"Verificar evento futuro","OK"))))))))))</f>
        <v/>
      </c>
    </row>
    <row r="1728" spans="12:15">
      <c r="L1728" s="5">
        <f>IF(OR(A1728="",B1728=""),"",B1728-WEEKDAY(B1728,2)+1)</f>
        <v/>
      </c>
      <c r="M1728" s="5">
        <f>IF(L1728="","",L1728+6)</f>
        <v/>
      </c>
      <c r="N1728" s="6">
        <f>IF(OR(A1728="",B1728=""),"",DATE(YEAR(B1728),MONTH(B1728),1))</f>
        <v/>
      </c>
      <c r="O1728" s="7">
        <f>IF(COUNTA(A1728:K1728)=0,"",IF(OR(A1728="",B1728=""),"Preencher CPF e entrada",IF(COUNTIFS($A$12:$A$5011,A1728,$B$12:$B$5011,B1728)&gt;1,"CPF + dia duplicado",IF(OR(AND(G1728&lt;&gt;"",G1728&lt;&gt;0,G1728&lt;&gt;1),AND(H1728&lt;&gt;"",H1728&lt;&gt;0,H1728&lt;&gt;1)),"Flags devem ser 0 ou 1",IF(AND(H1728=1,LEN(TRIM(I1728))=0),"Preencher nome do indicante",IF(AND(H1728&lt;&gt;1,I1728&lt;&gt;""),"Nome sem indicação interna",IF(AND(G1728=1,F1728=""),"Fechamento sem conversa",IF(OR(AND(E1728&lt;&gt;"",E1728&lt;B1728),AND(F1728&lt;&gt;"",F1728&lt;B1728)),"Evento anterior à entrada",IF(AND(F1728&lt;&gt;"",E1728=""),"Conversa sem agendamento",IF(OR(E1728&gt;TODAY(),F1728&gt;TODAY()),"Verificar evento futuro","OK"))))))))))</f>
        <v/>
      </c>
    </row>
    <row r="1729" spans="12:15">
      <c r="L1729" s="5">
        <f>IF(OR(A1729="",B1729=""),"",B1729-WEEKDAY(B1729,2)+1)</f>
        <v/>
      </c>
      <c r="M1729" s="5">
        <f>IF(L1729="","",L1729+6)</f>
        <v/>
      </c>
      <c r="N1729" s="6">
        <f>IF(OR(A1729="",B1729=""),"",DATE(YEAR(B1729),MONTH(B1729),1))</f>
        <v/>
      </c>
      <c r="O1729" s="7">
        <f>IF(COUNTA(A1729:K1729)=0,"",IF(OR(A1729="",B1729=""),"Preencher CPF e entrada",IF(COUNTIFS($A$12:$A$5011,A1729,$B$12:$B$5011,B1729)&gt;1,"CPF + dia duplicado",IF(OR(AND(G1729&lt;&gt;"",G1729&lt;&gt;0,G1729&lt;&gt;1),AND(H1729&lt;&gt;"",H1729&lt;&gt;0,H1729&lt;&gt;1)),"Flags devem ser 0 ou 1",IF(AND(H1729=1,LEN(TRIM(I1729))=0),"Preencher nome do indicante",IF(AND(H1729&lt;&gt;1,I1729&lt;&gt;""),"Nome sem indicação interna",IF(AND(G1729=1,F1729=""),"Fechamento sem conversa",IF(OR(AND(E1729&lt;&gt;"",E1729&lt;B1729),AND(F1729&lt;&gt;"",F1729&lt;B1729)),"Evento anterior à entrada",IF(AND(F1729&lt;&gt;"",E1729=""),"Conversa sem agendamento",IF(OR(E1729&gt;TODAY(),F1729&gt;TODAY()),"Verificar evento futuro","OK"))))))))))</f>
        <v/>
      </c>
    </row>
    <row r="1730" spans="12:15">
      <c r="L1730" s="5">
        <f>IF(OR(A1730="",B1730=""),"",B1730-WEEKDAY(B1730,2)+1)</f>
        <v/>
      </c>
      <c r="M1730" s="5">
        <f>IF(L1730="","",L1730+6)</f>
        <v/>
      </c>
      <c r="N1730" s="6">
        <f>IF(OR(A1730="",B1730=""),"",DATE(YEAR(B1730),MONTH(B1730),1))</f>
        <v/>
      </c>
      <c r="O1730" s="7">
        <f>IF(COUNTA(A1730:K1730)=0,"",IF(OR(A1730="",B1730=""),"Preencher CPF e entrada",IF(COUNTIFS($A$12:$A$5011,A1730,$B$12:$B$5011,B1730)&gt;1,"CPF + dia duplicado",IF(OR(AND(G1730&lt;&gt;"",G1730&lt;&gt;0,G1730&lt;&gt;1),AND(H1730&lt;&gt;"",H1730&lt;&gt;0,H1730&lt;&gt;1)),"Flags devem ser 0 ou 1",IF(AND(H1730=1,LEN(TRIM(I1730))=0),"Preencher nome do indicante",IF(AND(H1730&lt;&gt;1,I1730&lt;&gt;""),"Nome sem indicação interna",IF(AND(G1730=1,F1730=""),"Fechamento sem conversa",IF(OR(AND(E1730&lt;&gt;"",E1730&lt;B1730),AND(F1730&lt;&gt;"",F1730&lt;B1730)),"Evento anterior à entrada",IF(AND(F1730&lt;&gt;"",E1730=""),"Conversa sem agendamento",IF(OR(E1730&gt;TODAY(),F1730&gt;TODAY()),"Verificar evento futuro","OK"))))))))))</f>
        <v/>
      </c>
    </row>
    <row r="1731" spans="12:15">
      <c r="L1731" s="5">
        <f>IF(OR(A1731="",B1731=""),"",B1731-WEEKDAY(B1731,2)+1)</f>
        <v/>
      </c>
      <c r="M1731" s="5">
        <f>IF(L1731="","",L1731+6)</f>
        <v/>
      </c>
      <c r="N1731" s="6">
        <f>IF(OR(A1731="",B1731=""),"",DATE(YEAR(B1731),MONTH(B1731),1))</f>
        <v/>
      </c>
      <c r="O1731" s="7">
        <f>IF(COUNTA(A1731:K1731)=0,"",IF(OR(A1731="",B1731=""),"Preencher CPF e entrada",IF(COUNTIFS($A$12:$A$5011,A1731,$B$12:$B$5011,B1731)&gt;1,"CPF + dia duplicado",IF(OR(AND(G1731&lt;&gt;"",G1731&lt;&gt;0,G1731&lt;&gt;1),AND(H1731&lt;&gt;"",H1731&lt;&gt;0,H1731&lt;&gt;1)),"Flags devem ser 0 ou 1",IF(AND(H1731=1,LEN(TRIM(I1731))=0),"Preencher nome do indicante",IF(AND(H1731&lt;&gt;1,I1731&lt;&gt;""),"Nome sem indicação interna",IF(AND(G1731=1,F1731=""),"Fechamento sem conversa",IF(OR(AND(E1731&lt;&gt;"",E1731&lt;B1731),AND(F1731&lt;&gt;"",F1731&lt;B1731)),"Evento anterior à entrada",IF(AND(F1731&lt;&gt;"",E1731=""),"Conversa sem agendamento",IF(OR(E1731&gt;TODAY(),F1731&gt;TODAY()),"Verificar evento futuro","OK"))))))))))</f>
        <v/>
      </c>
    </row>
    <row r="1732" spans="12:15">
      <c r="L1732" s="5">
        <f>IF(OR(A1732="",B1732=""),"",B1732-WEEKDAY(B1732,2)+1)</f>
        <v/>
      </c>
      <c r="M1732" s="5">
        <f>IF(L1732="","",L1732+6)</f>
        <v/>
      </c>
      <c r="N1732" s="6">
        <f>IF(OR(A1732="",B1732=""),"",DATE(YEAR(B1732),MONTH(B1732),1))</f>
        <v/>
      </c>
      <c r="O1732" s="7">
        <f>IF(COUNTA(A1732:K1732)=0,"",IF(OR(A1732="",B1732=""),"Preencher CPF e entrada",IF(COUNTIFS($A$12:$A$5011,A1732,$B$12:$B$5011,B1732)&gt;1,"CPF + dia duplicado",IF(OR(AND(G1732&lt;&gt;"",G1732&lt;&gt;0,G1732&lt;&gt;1),AND(H1732&lt;&gt;"",H1732&lt;&gt;0,H1732&lt;&gt;1)),"Flags devem ser 0 ou 1",IF(AND(H1732=1,LEN(TRIM(I1732))=0),"Preencher nome do indicante",IF(AND(H1732&lt;&gt;1,I1732&lt;&gt;""),"Nome sem indicação interna",IF(AND(G1732=1,F1732=""),"Fechamento sem conversa",IF(OR(AND(E1732&lt;&gt;"",E1732&lt;B1732),AND(F1732&lt;&gt;"",F1732&lt;B1732)),"Evento anterior à entrada",IF(AND(F1732&lt;&gt;"",E1732=""),"Conversa sem agendamento",IF(OR(E1732&gt;TODAY(),F1732&gt;TODAY()),"Verificar evento futuro","OK"))))))))))</f>
        <v/>
      </c>
    </row>
    <row r="1733" spans="12:15">
      <c r="L1733" s="5">
        <f>IF(OR(A1733="",B1733=""),"",B1733-WEEKDAY(B1733,2)+1)</f>
        <v/>
      </c>
      <c r="M1733" s="5">
        <f>IF(L1733="","",L1733+6)</f>
        <v/>
      </c>
      <c r="N1733" s="6">
        <f>IF(OR(A1733="",B1733=""),"",DATE(YEAR(B1733),MONTH(B1733),1))</f>
        <v/>
      </c>
      <c r="O1733" s="7">
        <f>IF(COUNTA(A1733:K1733)=0,"",IF(OR(A1733="",B1733=""),"Preencher CPF e entrada",IF(COUNTIFS($A$12:$A$5011,A1733,$B$12:$B$5011,B1733)&gt;1,"CPF + dia duplicado",IF(OR(AND(G1733&lt;&gt;"",G1733&lt;&gt;0,G1733&lt;&gt;1),AND(H1733&lt;&gt;"",H1733&lt;&gt;0,H1733&lt;&gt;1)),"Flags devem ser 0 ou 1",IF(AND(H1733=1,LEN(TRIM(I1733))=0),"Preencher nome do indicante",IF(AND(H1733&lt;&gt;1,I1733&lt;&gt;""),"Nome sem indicação interna",IF(AND(G1733=1,F1733=""),"Fechamento sem conversa",IF(OR(AND(E1733&lt;&gt;"",E1733&lt;B1733),AND(F1733&lt;&gt;"",F1733&lt;B1733)),"Evento anterior à entrada",IF(AND(F1733&lt;&gt;"",E1733=""),"Conversa sem agendamento",IF(OR(E1733&gt;TODAY(),F1733&gt;TODAY()),"Verificar evento futuro","OK"))))))))))</f>
        <v/>
      </c>
    </row>
    <row r="1734" spans="12:15">
      <c r="L1734" s="5">
        <f>IF(OR(A1734="",B1734=""),"",B1734-WEEKDAY(B1734,2)+1)</f>
        <v/>
      </c>
      <c r="M1734" s="5">
        <f>IF(L1734="","",L1734+6)</f>
        <v/>
      </c>
      <c r="N1734" s="6">
        <f>IF(OR(A1734="",B1734=""),"",DATE(YEAR(B1734),MONTH(B1734),1))</f>
        <v/>
      </c>
      <c r="O1734" s="7">
        <f>IF(COUNTA(A1734:K1734)=0,"",IF(OR(A1734="",B1734=""),"Preencher CPF e entrada",IF(COUNTIFS($A$12:$A$5011,A1734,$B$12:$B$5011,B1734)&gt;1,"CPF + dia duplicado",IF(OR(AND(G1734&lt;&gt;"",G1734&lt;&gt;0,G1734&lt;&gt;1),AND(H1734&lt;&gt;"",H1734&lt;&gt;0,H1734&lt;&gt;1)),"Flags devem ser 0 ou 1",IF(AND(H1734=1,LEN(TRIM(I1734))=0),"Preencher nome do indicante",IF(AND(H1734&lt;&gt;1,I1734&lt;&gt;""),"Nome sem indicação interna",IF(AND(G1734=1,F1734=""),"Fechamento sem conversa",IF(OR(AND(E1734&lt;&gt;"",E1734&lt;B1734),AND(F1734&lt;&gt;"",F1734&lt;B1734)),"Evento anterior à entrada",IF(AND(F1734&lt;&gt;"",E1734=""),"Conversa sem agendamento",IF(OR(E1734&gt;TODAY(),F1734&gt;TODAY()),"Verificar evento futuro","OK"))))))))))</f>
        <v/>
      </c>
    </row>
    <row r="1735" spans="12:15">
      <c r="L1735" s="5">
        <f>IF(OR(A1735="",B1735=""),"",B1735-WEEKDAY(B1735,2)+1)</f>
        <v/>
      </c>
      <c r="M1735" s="5">
        <f>IF(L1735="","",L1735+6)</f>
        <v/>
      </c>
      <c r="N1735" s="6">
        <f>IF(OR(A1735="",B1735=""),"",DATE(YEAR(B1735),MONTH(B1735),1))</f>
        <v/>
      </c>
      <c r="O1735" s="7">
        <f>IF(COUNTA(A1735:K1735)=0,"",IF(OR(A1735="",B1735=""),"Preencher CPF e entrada",IF(COUNTIFS($A$12:$A$5011,A1735,$B$12:$B$5011,B1735)&gt;1,"CPF + dia duplicado",IF(OR(AND(G1735&lt;&gt;"",G1735&lt;&gt;0,G1735&lt;&gt;1),AND(H1735&lt;&gt;"",H1735&lt;&gt;0,H1735&lt;&gt;1)),"Flags devem ser 0 ou 1",IF(AND(H1735=1,LEN(TRIM(I1735))=0),"Preencher nome do indicante",IF(AND(H1735&lt;&gt;1,I1735&lt;&gt;""),"Nome sem indicação interna",IF(AND(G1735=1,F1735=""),"Fechamento sem conversa",IF(OR(AND(E1735&lt;&gt;"",E1735&lt;B1735),AND(F1735&lt;&gt;"",F1735&lt;B1735)),"Evento anterior à entrada",IF(AND(F1735&lt;&gt;"",E1735=""),"Conversa sem agendamento",IF(OR(E1735&gt;TODAY(),F1735&gt;TODAY()),"Verificar evento futuro","OK"))))))))))</f>
        <v/>
      </c>
    </row>
    <row r="1736" spans="12:15">
      <c r="L1736" s="5">
        <f>IF(OR(A1736="",B1736=""),"",B1736-WEEKDAY(B1736,2)+1)</f>
        <v/>
      </c>
      <c r="M1736" s="5">
        <f>IF(L1736="","",L1736+6)</f>
        <v/>
      </c>
      <c r="N1736" s="6">
        <f>IF(OR(A1736="",B1736=""),"",DATE(YEAR(B1736),MONTH(B1736),1))</f>
        <v/>
      </c>
      <c r="O1736" s="7">
        <f>IF(COUNTA(A1736:K1736)=0,"",IF(OR(A1736="",B1736=""),"Preencher CPF e entrada",IF(COUNTIFS($A$12:$A$5011,A1736,$B$12:$B$5011,B1736)&gt;1,"CPF + dia duplicado",IF(OR(AND(G1736&lt;&gt;"",G1736&lt;&gt;0,G1736&lt;&gt;1),AND(H1736&lt;&gt;"",H1736&lt;&gt;0,H1736&lt;&gt;1)),"Flags devem ser 0 ou 1",IF(AND(H1736=1,LEN(TRIM(I1736))=0),"Preencher nome do indicante",IF(AND(H1736&lt;&gt;1,I1736&lt;&gt;""),"Nome sem indicação interna",IF(AND(G1736=1,F1736=""),"Fechamento sem conversa",IF(OR(AND(E1736&lt;&gt;"",E1736&lt;B1736),AND(F1736&lt;&gt;"",F1736&lt;B1736)),"Evento anterior à entrada",IF(AND(F1736&lt;&gt;"",E1736=""),"Conversa sem agendamento",IF(OR(E1736&gt;TODAY(),F1736&gt;TODAY()),"Verificar evento futuro","OK"))))))))))</f>
        <v/>
      </c>
    </row>
    <row r="1737" spans="12:15">
      <c r="L1737" s="5">
        <f>IF(OR(A1737="",B1737=""),"",B1737-WEEKDAY(B1737,2)+1)</f>
        <v/>
      </c>
      <c r="M1737" s="5">
        <f>IF(L1737="","",L1737+6)</f>
        <v/>
      </c>
      <c r="N1737" s="6">
        <f>IF(OR(A1737="",B1737=""),"",DATE(YEAR(B1737),MONTH(B1737),1))</f>
        <v/>
      </c>
      <c r="O1737" s="7">
        <f>IF(COUNTA(A1737:K1737)=0,"",IF(OR(A1737="",B1737=""),"Preencher CPF e entrada",IF(COUNTIFS($A$12:$A$5011,A1737,$B$12:$B$5011,B1737)&gt;1,"CPF + dia duplicado",IF(OR(AND(G1737&lt;&gt;"",G1737&lt;&gt;0,G1737&lt;&gt;1),AND(H1737&lt;&gt;"",H1737&lt;&gt;0,H1737&lt;&gt;1)),"Flags devem ser 0 ou 1",IF(AND(H1737=1,LEN(TRIM(I1737))=0),"Preencher nome do indicante",IF(AND(H1737&lt;&gt;1,I1737&lt;&gt;""),"Nome sem indicação interna",IF(AND(G1737=1,F1737=""),"Fechamento sem conversa",IF(OR(AND(E1737&lt;&gt;"",E1737&lt;B1737),AND(F1737&lt;&gt;"",F1737&lt;B1737)),"Evento anterior à entrada",IF(AND(F1737&lt;&gt;"",E1737=""),"Conversa sem agendamento",IF(OR(E1737&gt;TODAY(),F1737&gt;TODAY()),"Verificar evento futuro","OK"))))))))))</f>
        <v/>
      </c>
    </row>
    <row r="1738" spans="12:15">
      <c r="L1738" s="5">
        <f>IF(OR(A1738="",B1738=""),"",B1738-WEEKDAY(B1738,2)+1)</f>
        <v/>
      </c>
      <c r="M1738" s="5">
        <f>IF(L1738="","",L1738+6)</f>
        <v/>
      </c>
      <c r="N1738" s="6">
        <f>IF(OR(A1738="",B1738=""),"",DATE(YEAR(B1738),MONTH(B1738),1))</f>
        <v/>
      </c>
      <c r="O1738" s="7">
        <f>IF(COUNTA(A1738:K1738)=0,"",IF(OR(A1738="",B1738=""),"Preencher CPF e entrada",IF(COUNTIFS($A$12:$A$5011,A1738,$B$12:$B$5011,B1738)&gt;1,"CPF + dia duplicado",IF(OR(AND(G1738&lt;&gt;"",G1738&lt;&gt;0,G1738&lt;&gt;1),AND(H1738&lt;&gt;"",H1738&lt;&gt;0,H1738&lt;&gt;1)),"Flags devem ser 0 ou 1",IF(AND(H1738=1,LEN(TRIM(I1738))=0),"Preencher nome do indicante",IF(AND(H1738&lt;&gt;1,I1738&lt;&gt;""),"Nome sem indicação interna",IF(AND(G1738=1,F1738=""),"Fechamento sem conversa",IF(OR(AND(E1738&lt;&gt;"",E1738&lt;B1738),AND(F1738&lt;&gt;"",F1738&lt;B1738)),"Evento anterior à entrada",IF(AND(F1738&lt;&gt;"",E1738=""),"Conversa sem agendamento",IF(OR(E1738&gt;TODAY(),F1738&gt;TODAY()),"Verificar evento futuro","OK"))))))))))</f>
        <v/>
      </c>
    </row>
    <row r="1739" spans="12:15">
      <c r="L1739" s="5">
        <f>IF(OR(A1739="",B1739=""),"",B1739-WEEKDAY(B1739,2)+1)</f>
        <v/>
      </c>
      <c r="M1739" s="5">
        <f>IF(L1739="","",L1739+6)</f>
        <v/>
      </c>
      <c r="N1739" s="6">
        <f>IF(OR(A1739="",B1739=""),"",DATE(YEAR(B1739),MONTH(B1739),1))</f>
        <v/>
      </c>
      <c r="O1739" s="7">
        <f>IF(COUNTA(A1739:K1739)=0,"",IF(OR(A1739="",B1739=""),"Preencher CPF e entrada",IF(COUNTIFS($A$12:$A$5011,A1739,$B$12:$B$5011,B1739)&gt;1,"CPF + dia duplicado",IF(OR(AND(G1739&lt;&gt;"",G1739&lt;&gt;0,G1739&lt;&gt;1),AND(H1739&lt;&gt;"",H1739&lt;&gt;0,H1739&lt;&gt;1)),"Flags devem ser 0 ou 1",IF(AND(H1739=1,LEN(TRIM(I1739))=0),"Preencher nome do indicante",IF(AND(H1739&lt;&gt;1,I1739&lt;&gt;""),"Nome sem indicação interna",IF(AND(G1739=1,F1739=""),"Fechamento sem conversa",IF(OR(AND(E1739&lt;&gt;"",E1739&lt;B1739),AND(F1739&lt;&gt;"",F1739&lt;B1739)),"Evento anterior à entrada",IF(AND(F1739&lt;&gt;"",E1739=""),"Conversa sem agendamento",IF(OR(E1739&gt;TODAY(),F1739&gt;TODAY()),"Verificar evento futuro","OK"))))))))))</f>
        <v/>
      </c>
    </row>
    <row r="1740" spans="12:15">
      <c r="L1740" s="5">
        <f>IF(OR(A1740="",B1740=""),"",B1740-WEEKDAY(B1740,2)+1)</f>
        <v/>
      </c>
      <c r="M1740" s="5">
        <f>IF(L1740="","",L1740+6)</f>
        <v/>
      </c>
      <c r="N1740" s="6">
        <f>IF(OR(A1740="",B1740=""),"",DATE(YEAR(B1740),MONTH(B1740),1))</f>
        <v/>
      </c>
      <c r="O1740" s="7">
        <f>IF(COUNTA(A1740:K1740)=0,"",IF(OR(A1740="",B1740=""),"Preencher CPF e entrada",IF(COUNTIFS($A$12:$A$5011,A1740,$B$12:$B$5011,B1740)&gt;1,"CPF + dia duplicado",IF(OR(AND(G1740&lt;&gt;"",G1740&lt;&gt;0,G1740&lt;&gt;1),AND(H1740&lt;&gt;"",H1740&lt;&gt;0,H1740&lt;&gt;1)),"Flags devem ser 0 ou 1",IF(AND(H1740=1,LEN(TRIM(I1740))=0),"Preencher nome do indicante",IF(AND(H1740&lt;&gt;1,I1740&lt;&gt;""),"Nome sem indicação interna",IF(AND(G1740=1,F1740=""),"Fechamento sem conversa",IF(OR(AND(E1740&lt;&gt;"",E1740&lt;B1740),AND(F1740&lt;&gt;"",F1740&lt;B1740)),"Evento anterior à entrada",IF(AND(F1740&lt;&gt;"",E1740=""),"Conversa sem agendamento",IF(OR(E1740&gt;TODAY(),F1740&gt;TODAY()),"Verificar evento futuro","OK"))))))))))</f>
        <v/>
      </c>
    </row>
    <row r="1741" spans="12:15">
      <c r="L1741" s="5">
        <f>IF(OR(A1741="",B1741=""),"",B1741-WEEKDAY(B1741,2)+1)</f>
        <v/>
      </c>
      <c r="M1741" s="5">
        <f>IF(L1741="","",L1741+6)</f>
        <v/>
      </c>
      <c r="N1741" s="6">
        <f>IF(OR(A1741="",B1741=""),"",DATE(YEAR(B1741),MONTH(B1741),1))</f>
        <v/>
      </c>
      <c r="O1741" s="7">
        <f>IF(COUNTA(A1741:K1741)=0,"",IF(OR(A1741="",B1741=""),"Preencher CPF e entrada",IF(COUNTIFS($A$12:$A$5011,A1741,$B$12:$B$5011,B1741)&gt;1,"CPF + dia duplicado",IF(OR(AND(G1741&lt;&gt;"",G1741&lt;&gt;0,G1741&lt;&gt;1),AND(H1741&lt;&gt;"",H1741&lt;&gt;0,H1741&lt;&gt;1)),"Flags devem ser 0 ou 1",IF(AND(H1741=1,LEN(TRIM(I1741))=0),"Preencher nome do indicante",IF(AND(H1741&lt;&gt;1,I1741&lt;&gt;""),"Nome sem indicação interna",IF(AND(G1741=1,F1741=""),"Fechamento sem conversa",IF(OR(AND(E1741&lt;&gt;"",E1741&lt;B1741),AND(F1741&lt;&gt;"",F1741&lt;B1741)),"Evento anterior à entrada",IF(AND(F1741&lt;&gt;"",E1741=""),"Conversa sem agendamento",IF(OR(E1741&gt;TODAY(),F1741&gt;TODAY()),"Verificar evento futuro","OK"))))))))))</f>
        <v/>
      </c>
    </row>
    <row r="1742" spans="12:15">
      <c r="L1742" s="5">
        <f>IF(OR(A1742="",B1742=""),"",B1742-WEEKDAY(B1742,2)+1)</f>
        <v/>
      </c>
      <c r="M1742" s="5">
        <f>IF(L1742="","",L1742+6)</f>
        <v/>
      </c>
      <c r="N1742" s="6">
        <f>IF(OR(A1742="",B1742=""),"",DATE(YEAR(B1742),MONTH(B1742),1))</f>
        <v/>
      </c>
      <c r="O1742" s="7">
        <f>IF(COUNTA(A1742:K1742)=0,"",IF(OR(A1742="",B1742=""),"Preencher CPF e entrada",IF(COUNTIFS($A$12:$A$5011,A1742,$B$12:$B$5011,B1742)&gt;1,"CPF + dia duplicado",IF(OR(AND(G1742&lt;&gt;"",G1742&lt;&gt;0,G1742&lt;&gt;1),AND(H1742&lt;&gt;"",H1742&lt;&gt;0,H1742&lt;&gt;1)),"Flags devem ser 0 ou 1",IF(AND(H1742=1,LEN(TRIM(I1742))=0),"Preencher nome do indicante",IF(AND(H1742&lt;&gt;1,I1742&lt;&gt;""),"Nome sem indicação interna",IF(AND(G1742=1,F1742=""),"Fechamento sem conversa",IF(OR(AND(E1742&lt;&gt;"",E1742&lt;B1742),AND(F1742&lt;&gt;"",F1742&lt;B1742)),"Evento anterior à entrada",IF(AND(F1742&lt;&gt;"",E1742=""),"Conversa sem agendamento",IF(OR(E1742&gt;TODAY(),F1742&gt;TODAY()),"Verificar evento futuro","OK"))))))))))</f>
        <v/>
      </c>
    </row>
    <row r="1743" spans="12:15">
      <c r="L1743" s="5">
        <f>IF(OR(A1743="",B1743=""),"",B1743-WEEKDAY(B1743,2)+1)</f>
        <v/>
      </c>
      <c r="M1743" s="5">
        <f>IF(L1743="","",L1743+6)</f>
        <v/>
      </c>
      <c r="N1743" s="6">
        <f>IF(OR(A1743="",B1743=""),"",DATE(YEAR(B1743),MONTH(B1743),1))</f>
        <v/>
      </c>
      <c r="O1743" s="7">
        <f>IF(COUNTA(A1743:K1743)=0,"",IF(OR(A1743="",B1743=""),"Preencher CPF e entrada",IF(COUNTIFS($A$12:$A$5011,A1743,$B$12:$B$5011,B1743)&gt;1,"CPF + dia duplicado",IF(OR(AND(G1743&lt;&gt;"",G1743&lt;&gt;0,G1743&lt;&gt;1),AND(H1743&lt;&gt;"",H1743&lt;&gt;0,H1743&lt;&gt;1)),"Flags devem ser 0 ou 1",IF(AND(H1743=1,LEN(TRIM(I1743))=0),"Preencher nome do indicante",IF(AND(H1743&lt;&gt;1,I1743&lt;&gt;""),"Nome sem indicação interna",IF(AND(G1743=1,F1743=""),"Fechamento sem conversa",IF(OR(AND(E1743&lt;&gt;"",E1743&lt;B1743),AND(F1743&lt;&gt;"",F1743&lt;B1743)),"Evento anterior à entrada",IF(AND(F1743&lt;&gt;"",E1743=""),"Conversa sem agendamento",IF(OR(E1743&gt;TODAY(),F1743&gt;TODAY()),"Verificar evento futuro","OK"))))))))))</f>
        <v/>
      </c>
    </row>
    <row r="1744" spans="12:15">
      <c r="L1744" s="5">
        <f>IF(OR(A1744="",B1744=""),"",B1744-WEEKDAY(B1744,2)+1)</f>
        <v/>
      </c>
      <c r="M1744" s="5">
        <f>IF(L1744="","",L1744+6)</f>
        <v/>
      </c>
      <c r="N1744" s="6">
        <f>IF(OR(A1744="",B1744=""),"",DATE(YEAR(B1744),MONTH(B1744),1))</f>
        <v/>
      </c>
      <c r="O1744" s="7">
        <f>IF(COUNTA(A1744:K1744)=0,"",IF(OR(A1744="",B1744=""),"Preencher CPF e entrada",IF(COUNTIFS($A$12:$A$5011,A1744,$B$12:$B$5011,B1744)&gt;1,"CPF + dia duplicado",IF(OR(AND(G1744&lt;&gt;"",G1744&lt;&gt;0,G1744&lt;&gt;1),AND(H1744&lt;&gt;"",H1744&lt;&gt;0,H1744&lt;&gt;1)),"Flags devem ser 0 ou 1",IF(AND(H1744=1,LEN(TRIM(I1744))=0),"Preencher nome do indicante",IF(AND(H1744&lt;&gt;1,I1744&lt;&gt;""),"Nome sem indicação interna",IF(AND(G1744=1,F1744=""),"Fechamento sem conversa",IF(OR(AND(E1744&lt;&gt;"",E1744&lt;B1744),AND(F1744&lt;&gt;"",F1744&lt;B1744)),"Evento anterior à entrada",IF(AND(F1744&lt;&gt;"",E1744=""),"Conversa sem agendamento",IF(OR(E1744&gt;TODAY(),F1744&gt;TODAY()),"Verificar evento futuro","OK"))))))))))</f>
        <v/>
      </c>
    </row>
    <row r="1745" spans="12:15">
      <c r="L1745" s="5">
        <f>IF(OR(A1745="",B1745=""),"",B1745-WEEKDAY(B1745,2)+1)</f>
        <v/>
      </c>
      <c r="M1745" s="5">
        <f>IF(L1745="","",L1745+6)</f>
        <v/>
      </c>
      <c r="N1745" s="6">
        <f>IF(OR(A1745="",B1745=""),"",DATE(YEAR(B1745),MONTH(B1745),1))</f>
        <v/>
      </c>
      <c r="O1745" s="7">
        <f>IF(COUNTA(A1745:K1745)=0,"",IF(OR(A1745="",B1745=""),"Preencher CPF e entrada",IF(COUNTIFS($A$12:$A$5011,A1745,$B$12:$B$5011,B1745)&gt;1,"CPF + dia duplicado",IF(OR(AND(G1745&lt;&gt;"",G1745&lt;&gt;0,G1745&lt;&gt;1),AND(H1745&lt;&gt;"",H1745&lt;&gt;0,H1745&lt;&gt;1)),"Flags devem ser 0 ou 1",IF(AND(H1745=1,LEN(TRIM(I1745))=0),"Preencher nome do indicante",IF(AND(H1745&lt;&gt;1,I1745&lt;&gt;""),"Nome sem indicação interna",IF(AND(G1745=1,F1745=""),"Fechamento sem conversa",IF(OR(AND(E1745&lt;&gt;"",E1745&lt;B1745),AND(F1745&lt;&gt;"",F1745&lt;B1745)),"Evento anterior à entrada",IF(AND(F1745&lt;&gt;"",E1745=""),"Conversa sem agendamento",IF(OR(E1745&gt;TODAY(),F1745&gt;TODAY()),"Verificar evento futuro","OK"))))))))))</f>
        <v/>
      </c>
    </row>
    <row r="1746" spans="12:15">
      <c r="L1746" s="5">
        <f>IF(OR(A1746="",B1746=""),"",B1746-WEEKDAY(B1746,2)+1)</f>
        <v/>
      </c>
      <c r="M1746" s="5">
        <f>IF(L1746="","",L1746+6)</f>
        <v/>
      </c>
      <c r="N1746" s="6">
        <f>IF(OR(A1746="",B1746=""),"",DATE(YEAR(B1746),MONTH(B1746),1))</f>
        <v/>
      </c>
      <c r="O1746" s="7">
        <f>IF(COUNTA(A1746:K1746)=0,"",IF(OR(A1746="",B1746=""),"Preencher CPF e entrada",IF(COUNTIFS($A$12:$A$5011,A1746,$B$12:$B$5011,B1746)&gt;1,"CPF + dia duplicado",IF(OR(AND(G1746&lt;&gt;"",G1746&lt;&gt;0,G1746&lt;&gt;1),AND(H1746&lt;&gt;"",H1746&lt;&gt;0,H1746&lt;&gt;1)),"Flags devem ser 0 ou 1",IF(AND(H1746=1,LEN(TRIM(I1746))=0),"Preencher nome do indicante",IF(AND(H1746&lt;&gt;1,I1746&lt;&gt;""),"Nome sem indicação interna",IF(AND(G1746=1,F1746=""),"Fechamento sem conversa",IF(OR(AND(E1746&lt;&gt;"",E1746&lt;B1746),AND(F1746&lt;&gt;"",F1746&lt;B1746)),"Evento anterior à entrada",IF(AND(F1746&lt;&gt;"",E1746=""),"Conversa sem agendamento",IF(OR(E1746&gt;TODAY(),F1746&gt;TODAY()),"Verificar evento futuro","OK"))))))))))</f>
        <v/>
      </c>
    </row>
    <row r="1747" spans="12:15">
      <c r="L1747" s="5">
        <f>IF(OR(A1747="",B1747=""),"",B1747-WEEKDAY(B1747,2)+1)</f>
        <v/>
      </c>
      <c r="M1747" s="5">
        <f>IF(L1747="","",L1747+6)</f>
        <v/>
      </c>
      <c r="N1747" s="6">
        <f>IF(OR(A1747="",B1747=""),"",DATE(YEAR(B1747),MONTH(B1747),1))</f>
        <v/>
      </c>
      <c r="O1747" s="7">
        <f>IF(COUNTA(A1747:K1747)=0,"",IF(OR(A1747="",B1747=""),"Preencher CPF e entrada",IF(COUNTIFS($A$12:$A$5011,A1747,$B$12:$B$5011,B1747)&gt;1,"CPF + dia duplicado",IF(OR(AND(G1747&lt;&gt;"",G1747&lt;&gt;0,G1747&lt;&gt;1),AND(H1747&lt;&gt;"",H1747&lt;&gt;0,H1747&lt;&gt;1)),"Flags devem ser 0 ou 1",IF(AND(H1747=1,LEN(TRIM(I1747))=0),"Preencher nome do indicante",IF(AND(H1747&lt;&gt;1,I1747&lt;&gt;""),"Nome sem indicação interna",IF(AND(G1747=1,F1747=""),"Fechamento sem conversa",IF(OR(AND(E1747&lt;&gt;"",E1747&lt;B1747),AND(F1747&lt;&gt;"",F1747&lt;B1747)),"Evento anterior à entrada",IF(AND(F1747&lt;&gt;"",E1747=""),"Conversa sem agendamento",IF(OR(E1747&gt;TODAY(),F1747&gt;TODAY()),"Verificar evento futuro","OK"))))))))))</f>
        <v/>
      </c>
    </row>
    <row r="1748" spans="12:15">
      <c r="L1748" s="5">
        <f>IF(OR(A1748="",B1748=""),"",B1748-WEEKDAY(B1748,2)+1)</f>
        <v/>
      </c>
      <c r="M1748" s="5">
        <f>IF(L1748="","",L1748+6)</f>
        <v/>
      </c>
      <c r="N1748" s="6">
        <f>IF(OR(A1748="",B1748=""),"",DATE(YEAR(B1748),MONTH(B1748),1))</f>
        <v/>
      </c>
      <c r="O1748" s="7">
        <f>IF(COUNTA(A1748:K1748)=0,"",IF(OR(A1748="",B1748=""),"Preencher CPF e entrada",IF(COUNTIFS($A$12:$A$5011,A1748,$B$12:$B$5011,B1748)&gt;1,"CPF + dia duplicado",IF(OR(AND(G1748&lt;&gt;"",G1748&lt;&gt;0,G1748&lt;&gt;1),AND(H1748&lt;&gt;"",H1748&lt;&gt;0,H1748&lt;&gt;1)),"Flags devem ser 0 ou 1",IF(AND(H1748=1,LEN(TRIM(I1748))=0),"Preencher nome do indicante",IF(AND(H1748&lt;&gt;1,I1748&lt;&gt;""),"Nome sem indicação interna",IF(AND(G1748=1,F1748=""),"Fechamento sem conversa",IF(OR(AND(E1748&lt;&gt;"",E1748&lt;B1748),AND(F1748&lt;&gt;"",F1748&lt;B1748)),"Evento anterior à entrada",IF(AND(F1748&lt;&gt;"",E1748=""),"Conversa sem agendamento",IF(OR(E1748&gt;TODAY(),F1748&gt;TODAY()),"Verificar evento futuro","OK"))))))))))</f>
        <v/>
      </c>
    </row>
    <row r="1749" spans="12:15">
      <c r="L1749" s="5">
        <f>IF(OR(A1749="",B1749=""),"",B1749-WEEKDAY(B1749,2)+1)</f>
        <v/>
      </c>
      <c r="M1749" s="5">
        <f>IF(L1749="","",L1749+6)</f>
        <v/>
      </c>
      <c r="N1749" s="6">
        <f>IF(OR(A1749="",B1749=""),"",DATE(YEAR(B1749),MONTH(B1749),1))</f>
        <v/>
      </c>
      <c r="O1749" s="7">
        <f>IF(COUNTA(A1749:K1749)=0,"",IF(OR(A1749="",B1749=""),"Preencher CPF e entrada",IF(COUNTIFS($A$12:$A$5011,A1749,$B$12:$B$5011,B1749)&gt;1,"CPF + dia duplicado",IF(OR(AND(G1749&lt;&gt;"",G1749&lt;&gt;0,G1749&lt;&gt;1),AND(H1749&lt;&gt;"",H1749&lt;&gt;0,H1749&lt;&gt;1)),"Flags devem ser 0 ou 1",IF(AND(H1749=1,LEN(TRIM(I1749))=0),"Preencher nome do indicante",IF(AND(H1749&lt;&gt;1,I1749&lt;&gt;""),"Nome sem indicação interna",IF(AND(G1749=1,F1749=""),"Fechamento sem conversa",IF(OR(AND(E1749&lt;&gt;"",E1749&lt;B1749),AND(F1749&lt;&gt;"",F1749&lt;B1749)),"Evento anterior à entrada",IF(AND(F1749&lt;&gt;"",E1749=""),"Conversa sem agendamento",IF(OR(E1749&gt;TODAY(),F1749&gt;TODAY()),"Verificar evento futuro","OK"))))))))))</f>
        <v/>
      </c>
    </row>
    <row r="1750" spans="12:15">
      <c r="L1750" s="5">
        <f>IF(OR(A1750="",B1750=""),"",B1750-WEEKDAY(B1750,2)+1)</f>
        <v/>
      </c>
      <c r="M1750" s="5">
        <f>IF(L1750="","",L1750+6)</f>
        <v/>
      </c>
      <c r="N1750" s="6">
        <f>IF(OR(A1750="",B1750=""),"",DATE(YEAR(B1750),MONTH(B1750),1))</f>
        <v/>
      </c>
      <c r="O1750" s="7">
        <f>IF(COUNTA(A1750:K1750)=0,"",IF(OR(A1750="",B1750=""),"Preencher CPF e entrada",IF(COUNTIFS($A$12:$A$5011,A1750,$B$12:$B$5011,B1750)&gt;1,"CPF + dia duplicado",IF(OR(AND(G1750&lt;&gt;"",G1750&lt;&gt;0,G1750&lt;&gt;1),AND(H1750&lt;&gt;"",H1750&lt;&gt;0,H1750&lt;&gt;1)),"Flags devem ser 0 ou 1",IF(AND(H1750=1,LEN(TRIM(I1750))=0),"Preencher nome do indicante",IF(AND(H1750&lt;&gt;1,I1750&lt;&gt;""),"Nome sem indicação interna",IF(AND(G1750=1,F1750=""),"Fechamento sem conversa",IF(OR(AND(E1750&lt;&gt;"",E1750&lt;B1750),AND(F1750&lt;&gt;"",F1750&lt;B1750)),"Evento anterior à entrada",IF(AND(F1750&lt;&gt;"",E1750=""),"Conversa sem agendamento",IF(OR(E1750&gt;TODAY(),F1750&gt;TODAY()),"Verificar evento futuro","OK"))))))))))</f>
        <v/>
      </c>
    </row>
    <row r="1751" spans="12:15">
      <c r="L1751" s="5">
        <f>IF(OR(A1751="",B1751=""),"",B1751-WEEKDAY(B1751,2)+1)</f>
        <v/>
      </c>
      <c r="M1751" s="5">
        <f>IF(L1751="","",L1751+6)</f>
        <v/>
      </c>
      <c r="N1751" s="6">
        <f>IF(OR(A1751="",B1751=""),"",DATE(YEAR(B1751),MONTH(B1751),1))</f>
        <v/>
      </c>
      <c r="O1751" s="7">
        <f>IF(COUNTA(A1751:K1751)=0,"",IF(OR(A1751="",B1751=""),"Preencher CPF e entrada",IF(COUNTIFS($A$12:$A$5011,A1751,$B$12:$B$5011,B1751)&gt;1,"CPF + dia duplicado",IF(OR(AND(G1751&lt;&gt;"",G1751&lt;&gt;0,G1751&lt;&gt;1),AND(H1751&lt;&gt;"",H1751&lt;&gt;0,H1751&lt;&gt;1)),"Flags devem ser 0 ou 1",IF(AND(H1751=1,LEN(TRIM(I1751))=0),"Preencher nome do indicante",IF(AND(H1751&lt;&gt;1,I1751&lt;&gt;""),"Nome sem indicação interna",IF(AND(G1751=1,F1751=""),"Fechamento sem conversa",IF(OR(AND(E1751&lt;&gt;"",E1751&lt;B1751),AND(F1751&lt;&gt;"",F1751&lt;B1751)),"Evento anterior à entrada",IF(AND(F1751&lt;&gt;"",E1751=""),"Conversa sem agendamento",IF(OR(E1751&gt;TODAY(),F1751&gt;TODAY()),"Verificar evento futuro","OK"))))))))))</f>
        <v/>
      </c>
    </row>
    <row r="1752" spans="12:15">
      <c r="L1752" s="5">
        <f>IF(OR(A1752="",B1752=""),"",B1752-WEEKDAY(B1752,2)+1)</f>
        <v/>
      </c>
      <c r="M1752" s="5">
        <f>IF(L1752="","",L1752+6)</f>
        <v/>
      </c>
      <c r="N1752" s="6">
        <f>IF(OR(A1752="",B1752=""),"",DATE(YEAR(B1752),MONTH(B1752),1))</f>
        <v/>
      </c>
      <c r="O1752" s="7">
        <f>IF(COUNTA(A1752:K1752)=0,"",IF(OR(A1752="",B1752=""),"Preencher CPF e entrada",IF(COUNTIFS($A$12:$A$5011,A1752,$B$12:$B$5011,B1752)&gt;1,"CPF + dia duplicado",IF(OR(AND(G1752&lt;&gt;"",G1752&lt;&gt;0,G1752&lt;&gt;1),AND(H1752&lt;&gt;"",H1752&lt;&gt;0,H1752&lt;&gt;1)),"Flags devem ser 0 ou 1",IF(AND(H1752=1,LEN(TRIM(I1752))=0),"Preencher nome do indicante",IF(AND(H1752&lt;&gt;1,I1752&lt;&gt;""),"Nome sem indicação interna",IF(AND(G1752=1,F1752=""),"Fechamento sem conversa",IF(OR(AND(E1752&lt;&gt;"",E1752&lt;B1752),AND(F1752&lt;&gt;"",F1752&lt;B1752)),"Evento anterior à entrada",IF(AND(F1752&lt;&gt;"",E1752=""),"Conversa sem agendamento",IF(OR(E1752&gt;TODAY(),F1752&gt;TODAY()),"Verificar evento futuro","OK"))))))))))</f>
        <v/>
      </c>
    </row>
    <row r="1753" spans="12:15">
      <c r="L1753" s="5">
        <f>IF(OR(A1753="",B1753=""),"",B1753-WEEKDAY(B1753,2)+1)</f>
        <v/>
      </c>
      <c r="M1753" s="5">
        <f>IF(L1753="","",L1753+6)</f>
        <v/>
      </c>
      <c r="N1753" s="6">
        <f>IF(OR(A1753="",B1753=""),"",DATE(YEAR(B1753),MONTH(B1753),1))</f>
        <v/>
      </c>
      <c r="O1753" s="7">
        <f>IF(COUNTA(A1753:K1753)=0,"",IF(OR(A1753="",B1753=""),"Preencher CPF e entrada",IF(COUNTIFS($A$12:$A$5011,A1753,$B$12:$B$5011,B1753)&gt;1,"CPF + dia duplicado",IF(OR(AND(G1753&lt;&gt;"",G1753&lt;&gt;0,G1753&lt;&gt;1),AND(H1753&lt;&gt;"",H1753&lt;&gt;0,H1753&lt;&gt;1)),"Flags devem ser 0 ou 1",IF(AND(H1753=1,LEN(TRIM(I1753))=0),"Preencher nome do indicante",IF(AND(H1753&lt;&gt;1,I1753&lt;&gt;""),"Nome sem indicação interna",IF(AND(G1753=1,F1753=""),"Fechamento sem conversa",IF(OR(AND(E1753&lt;&gt;"",E1753&lt;B1753),AND(F1753&lt;&gt;"",F1753&lt;B1753)),"Evento anterior à entrada",IF(AND(F1753&lt;&gt;"",E1753=""),"Conversa sem agendamento",IF(OR(E1753&gt;TODAY(),F1753&gt;TODAY()),"Verificar evento futuro","OK"))))))))))</f>
        <v/>
      </c>
    </row>
    <row r="1754" spans="12:15">
      <c r="L1754" s="5">
        <f>IF(OR(A1754="",B1754=""),"",B1754-WEEKDAY(B1754,2)+1)</f>
        <v/>
      </c>
      <c r="M1754" s="5">
        <f>IF(L1754="","",L1754+6)</f>
        <v/>
      </c>
      <c r="N1754" s="6">
        <f>IF(OR(A1754="",B1754=""),"",DATE(YEAR(B1754),MONTH(B1754),1))</f>
        <v/>
      </c>
      <c r="O1754" s="7">
        <f>IF(COUNTA(A1754:K1754)=0,"",IF(OR(A1754="",B1754=""),"Preencher CPF e entrada",IF(COUNTIFS($A$12:$A$5011,A1754,$B$12:$B$5011,B1754)&gt;1,"CPF + dia duplicado",IF(OR(AND(G1754&lt;&gt;"",G1754&lt;&gt;0,G1754&lt;&gt;1),AND(H1754&lt;&gt;"",H1754&lt;&gt;0,H1754&lt;&gt;1)),"Flags devem ser 0 ou 1",IF(AND(H1754=1,LEN(TRIM(I1754))=0),"Preencher nome do indicante",IF(AND(H1754&lt;&gt;1,I1754&lt;&gt;""),"Nome sem indicação interna",IF(AND(G1754=1,F1754=""),"Fechamento sem conversa",IF(OR(AND(E1754&lt;&gt;"",E1754&lt;B1754),AND(F1754&lt;&gt;"",F1754&lt;B1754)),"Evento anterior à entrada",IF(AND(F1754&lt;&gt;"",E1754=""),"Conversa sem agendamento",IF(OR(E1754&gt;TODAY(),F1754&gt;TODAY()),"Verificar evento futuro","OK"))))))))))</f>
        <v/>
      </c>
    </row>
    <row r="1755" spans="12:15">
      <c r="L1755" s="5">
        <f>IF(OR(A1755="",B1755=""),"",B1755-WEEKDAY(B1755,2)+1)</f>
        <v/>
      </c>
      <c r="M1755" s="5">
        <f>IF(L1755="","",L1755+6)</f>
        <v/>
      </c>
      <c r="N1755" s="6">
        <f>IF(OR(A1755="",B1755=""),"",DATE(YEAR(B1755),MONTH(B1755),1))</f>
        <v/>
      </c>
      <c r="O1755" s="7">
        <f>IF(COUNTA(A1755:K1755)=0,"",IF(OR(A1755="",B1755=""),"Preencher CPF e entrada",IF(COUNTIFS($A$12:$A$5011,A1755,$B$12:$B$5011,B1755)&gt;1,"CPF + dia duplicado",IF(OR(AND(G1755&lt;&gt;"",G1755&lt;&gt;0,G1755&lt;&gt;1),AND(H1755&lt;&gt;"",H1755&lt;&gt;0,H1755&lt;&gt;1)),"Flags devem ser 0 ou 1",IF(AND(H1755=1,LEN(TRIM(I1755))=0),"Preencher nome do indicante",IF(AND(H1755&lt;&gt;1,I1755&lt;&gt;""),"Nome sem indicação interna",IF(AND(G1755=1,F1755=""),"Fechamento sem conversa",IF(OR(AND(E1755&lt;&gt;"",E1755&lt;B1755),AND(F1755&lt;&gt;"",F1755&lt;B1755)),"Evento anterior à entrada",IF(AND(F1755&lt;&gt;"",E1755=""),"Conversa sem agendamento",IF(OR(E1755&gt;TODAY(),F1755&gt;TODAY()),"Verificar evento futuro","OK"))))))))))</f>
        <v/>
      </c>
    </row>
    <row r="1756" spans="12:15">
      <c r="L1756" s="5">
        <f>IF(OR(A1756="",B1756=""),"",B1756-WEEKDAY(B1756,2)+1)</f>
        <v/>
      </c>
      <c r="M1756" s="5">
        <f>IF(L1756="","",L1756+6)</f>
        <v/>
      </c>
      <c r="N1756" s="6">
        <f>IF(OR(A1756="",B1756=""),"",DATE(YEAR(B1756),MONTH(B1756),1))</f>
        <v/>
      </c>
      <c r="O1756" s="7">
        <f>IF(COUNTA(A1756:K1756)=0,"",IF(OR(A1756="",B1756=""),"Preencher CPF e entrada",IF(COUNTIFS($A$12:$A$5011,A1756,$B$12:$B$5011,B1756)&gt;1,"CPF + dia duplicado",IF(OR(AND(G1756&lt;&gt;"",G1756&lt;&gt;0,G1756&lt;&gt;1),AND(H1756&lt;&gt;"",H1756&lt;&gt;0,H1756&lt;&gt;1)),"Flags devem ser 0 ou 1",IF(AND(H1756=1,LEN(TRIM(I1756))=0),"Preencher nome do indicante",IF(AND(H1756&lt;&gt;1,I1756&lt;&gt;""),"Nome sem indicação interna",IF(AND(G1756=1,F1756=""),"Fechamento sem conversa",IF(OR(AND(E1756&lt;&gt;"",E1756&lt;B1756),AND(F1756&lt;&gt;"",F1756&lt;B1756)),"Evento anterior à entrada",IF(AND(F1756&lt;&gt;"",E1756=""),"Conversa sem agendamento",IF(OR(E1756&gt;TODAY(),F1756&gt;TODAY()),"Verificar evento futuro","OK"))))))))))</f>
        <v/>
      </c>
    </row>
    <row r="1757" spans="12:15">
      <c r="L1757" s="5">
        <f>IF(OR(A1757="",B1757=""),"",B1757-WEEKDAY(B1757,2)+1)</f>
        <v/>
      </c>
      <c r="M1757" s="5">
        <f>IF(L1757="","",L1757+6)</f>
        <v/>
      </c>
      <c r="N1757" s="6">
        <f>IF(OR(A1757="",B1757=""),"",DATE(YEAR(B1757),MONTH(B1757),1))</f>
        <v/>
      </c>
      <c r="O1757" s="7">
        <f>IF(COUNTA(A1757:K1757)=0,"",IF(OR(A1757="",B1757=""),"Preencher CPF e entrada",IF(COUNTIFS($A$12:$A$5011,A1757,$B$12:$B$5011,B1757)&gt;1,"CPF + dia duplicado",IF(OR(AND(G1757&lt;&gt;"",G1757&lt;&gt;0,G1757&lt;&gt;1),AND(H1757&lt;&gt;"",H1757&lt;&gt;0,H1757&lt;&gt;1)),"Flags devem ser 0 ou 1",IF(AND(H1757=1,LEN(TRIM(I1757))=0),"Preencher nome do indicante",IF(AND(H1757&lt;&gt;1,I1757&lt;&gt;""),"Nome sem indicação interna",IF(AND(G1757=1,F1757=""),"Fechamento sem conversa",IF(OR(AND(E1757&lt;&gt;"",E1757&lt;B1757),AND(F1757&lt;&gt;"",F1757&lt;B1757)),"Evento anterior à entrada",IF(AND(F1757&lt;&gt;"",E1757=""),"Conversa sem agendamento",IF(OR(E1757&gt;TODAY(),F1757&gt;TODAY()),"Verificar evento futuro","OK"))))))))))</f>
        <v/>
      </c>
    </row>
    <row r="1758" spans="12:15">
      <c r="L1758" s="5">
        <f>IF(OR(A1758="",B1758=""),"",B1758-WEEKDAY(B1758,2)+1)</f>
        <v/>
      </c>
      <c r="M1758" s="5">
        <f>IF(L1758="","",L1758+6)</f>
        <v/>
      </c>
      <c r="N1758" s="6">
        <f>IF(OR(A1758="",B1758=""),"",DATE(YEAR(B1758),MONTH(B1758),1))</f>
        <v/>
      </c>
      <c r="O1758" s="7">
        <f>IF(COUNTA(A1758:K1758)=0,"",IF(OR(A1758="",B1758=""),"Preencher CPF e entrada",IF(COUNTIFS($A$12:$A$5011,A1758,$B$12:$B$5011,B1758)&gt;1,"CPF + dia duplicado",IF(OR(AND(G1758&lt;&gt;"",G1758&lt;&gt;0,G1758&lt;&gt;1),AND(H1758&lt;&gt;"",H1758&lt;&gt;0,H1758&lt;&gt;1)),"Flags devem ser 0 ou 1",IF(AND(H1758=1,LEN(TRIM(I1758))=0),"Preencher nome do indicante",IF(AND(H1758&lt;&gt;1,I1758&lt;&gt;""),"Nome sem indicação interna",IF(AND(G1758=1,F1758=""),"Fechamento sem conversa",IF(OR(AND(E1758&lt;&gt;"",E1758&lt;B1758),AND(F1758&lt;&gt;"",F1758&lt;B1758)),"Evento anterior à entrada",IF(AND(F1758&lt;&gt;"",E1758=""),"Conversa sem agendamento",IF(OR(E1758&gt;TODAY(),F1758&gt;TODAY()),"Verificar evento futuro","OK"))))))))))</f>
        <v/>
      </c>
    </row>
    <row r="1759" spans="12:15">
      <c r="L1759" s="5">
        <f>IF(OR(A1759="",B1759=""),"",B1759-WEEKDAY(B1759,2)+1)</f>
        <v/>
      </c>
      <c r="M1759" s="5">
        <f>IF(L1759="","",L1759+6)</f>
        <v/>
      </c>
      <c r="N1759" s="6">
        <f>IF(OR(A1759="",B1759=""),"",DATE(YEAR(B1759),MONTH(B1759),1))</f>
        <v/>
      </c>
      <c r="O1759" s="7">
        <f>IF(COUNTA(A1759:K1759)=0,"",IF(OR(A1759="",B1759=""),"Preencher CPF e entrada",IF(COUNTIFS($A$12:$A$5011,A1759,$B$12:$B$5011,B1759)&gt;1,"CPF + dia duplicado",IF(OR(AND(G1759&lt;&gt;"",G1759&lt;&gt;0,G1759&lt;&gt;1),AND(H1759&lt;&gt;"",H1759&lt;&gt;0,H1759&lt;&gt;1)),"Flags devem ser 0 ou 1",IF(AND(H1759=1,LEN(TRIM(I1759))=0),"Preencher nome do indicante",IF(AND(H1759&lt;&gt;1,I1759&lt;&gt;""),"Nome sem indicação interna",IF(AND(G1759=1,F1759=""),"Fechamento sem conversa",IF(OR(AND(E1759&lt;&gt;"",E1759&lt;B1759),AND(F1759&lt;&gt;"",F1759&lt;B1759)),"Evento anterior à entrada",IF(AND(F1759&lt;&gt;"",E1759=""),"Conversa sem agendamento",IF(OR(E1759&gt;TODAY(),F1759&gt;TODAY()),"Verificar evento futuro","OK"))))))))))</f>
        <v/>
      </c>
    </row>
    <row r="1760" spans="12:15">
      <c r="L1760" s="5">
        <f>IF(OR(A1760="",B1760=""),"",B1760-WEEKDAY(B1760,2)+1)</f>
        <v/>
      </c>
      <c r="M1760" s="5">
        <f>IF(L1760="","",L1760+6)</f>
        <v/>
      </c>
      <c r="N1760" s="6">
        <f>IF(OR(A1760="",B1760=""),"",DATE(YEAR(B1760),MONTH(B1760),1))</f>
        <v/>
      </c>
      <c r="O1760" s="7">
        <f>IF(COUNTA(A1760:K1760)=0,"",IF(OR(A1760="",B1760=""),"Preencher CPF e entrada",IF(COUNTIFS($A$12:$A$5011,A1760,$B$12:$B$5011,B1760)&gt;1,"CPF + dia duplicado",IF(OR(AND(G1760&lt;&gt;"",G1760&lt;&gt;0,G1760&lt;&gt;1),AND(H1760&lt;&gt;"",H1760&lt;&gt;0,H1760&lt;&gt;1)),"Flags devem ser 0 ou 1",IF(AND(H1760=1,LEN(TRIM(I1760))=0),"Preencher nome do indicante",IF(AND(H1760&lt;&gt;1,I1760&lt;&gt;""),"Nome sem indicação interna",IF(AND(G1760=1,F1760=""),"Fechamento sem conversa",IF(OR(AND(E1760&lt;&gt;"",E1760&lt;B1760),AND(F1760&lt;&gt;"",F1760&lt;B1760)),"Evento anterior à entrada",IF(AND(F1760&lt;&gt;"",E1760=""),"Conversa sem agendamento",IF(OR(E1760&gt;TODAY(),F1760&gt;TODAY()),"Verificar evento futuro","OK"))))))))))</f>
        <v/>
      </c>
    </row>
    <row r="1761" spans="12:15">
      <c r="L1761" s="5">
        <f>IF(OR(A1761="",B1761=""),"",B1761-WEEKDAY(B1761,2)+1)</f>
        <v/>
      </c>
      <c r="M1761" s="5">
        <f>IF(L1761="","",L1761+6)</f>
        <v/>
      </c>
      <c r="N1761" s="6">
        <f>IF(OR(A1761="",B1761=""),"",DATE(YEAR(B1761),MONTH(B1761),1))</f>
        <v/>
      </c>
      <c r="O1761" s="7">
        <f>IF(COUNTA(A1761:K1761)=0,"",IF(OR(A1761="",B1761=""),"Preencher CPF e entrada",IF(COUNTIFS($A$12:$A$5011,A1761,$B$12:$B$5011,B1761)&gt;1,"CPF + dia duplicado",IF(OR(AND(G1761&lt;&gt;"",G1761&lt;&gt;0,G1761&lt;&gt;1),AND(H1761&lt;&gt;"",H1761&lt;&gt;0,H1761&lt;&gt;1)),"Flags devem ser 0 ou 1",IF(AND(H1761=1,LEN(TRIM(I1761))=0),"Preencher nome do indicante",IF(AND(H1761&lt;&gt;1,I1761&lt;&gt;""),"Nome sem indicação interna",IF(AND(G1761=1,F1761=""),"Fechamento sem conversa",IF(OR(AND(E1761&lt;&gt;"",E1761&lt;B1761),AND(F1761&lt;&gt;"",F1761&lt;B1761)),"Evento anterior à entrada",IF(AND(F1761&lt;&gt;"",E1761=""),"Conversa sem agendamento",IF(OR(E1761&gt;TODAY(),F1761&gt;TODAY()),"Verificar evento futuro","OK"))))))))))</f>
        <v/>
      </c>
    </row>
    <row r="1762" spans="12:15">
      <c r="L1762" s="5">
        <f>IF(OR(A1762="",B1762=""),"",B1762-WEEKDAY(B1762,2)+1)</f>
        <v/>
      </c>
      <c r="M1762" s="5">
        <f>IF(L1762="","",L1762+6)</f>
        <v/>
      </c>
      <c r="N1762" s="6">
        <f>IF(OR(A1762="",B1762=""),"",DATE(YEAR(B1762),MONTH(B1762),1))</f>
        <v/>
      </c>
      <c r="O1762" s="7">
        <f>IF(COUNTA(A1762:K1762)=0,"",IF(OR(A1762="",B1762=""),"Preencher CPF e entrada",IF(COUNTIFS($A$12:$A$5011,A1762,$B$12:$B$5011,B1762)&gt;1,"CPF + dia duplicado",IF(OR(AND(G1762&lt;&gt;"",G1762&lt;&gt;0,G1762&lt;&gt;1),AND(H1762&lt;&gt;"",H1762&lt;&gt;0,H1762&lt;&gt;1)),"Flags devem ser 0 ou 1",IF(AND(H1762=1,LEN(TRIM(I1762))=0),"Preencher nome do indicante",IF(AND(H1762&lt;&gt;1,I1762&lt;&gt;""),"Nome sem indicação interna",IF(AND(G1762=1,F1762=""),"Fechamento sem conversa",IF(OR(AND(E1762&lt;&gt;"",E1762&lt;B1762),AND(F1762&lt;&gt;"",F1762&lt;B1762)),"Evento anterior à entrada",IF(AND(F1762&lt;&gt;"",E1762=""),"Conversa sem agendamento",IF(OR(E1762&gt;TODAY(),F1762&gt;TODAY()),"Verificar evento futuro","OK"))))))))))</f>
        <v/>
      </c>
    </row>
    <row r="1763" spans="12:15">
      <c r="L1763" s="5">
        <f>IF(OR(A1763="",B1763=""),"",B1763-WEEKDAY(B1763,2)+1)</f>
        <v/>
      </c>
      <c r="M1763" s="5">
        <f>IF(L1763="","",L1763+6)</f>
        <v/>
      </c>
      <c r="N1763" s="6">
        <f>IF(OR(A1763="",B1763=""),"",DATE(YEAR(B1763),MONTH(B1763),1))</f>
        <v/>
      </c>
      <c r="O1763" s="7">
        <f>IF(COUNTA(A1763:K1763)=0,"",IF(OR(A1763="",B1763=""),"Preencher CPF e entrada",IF(COUNTIFS($A$12:$A$5011,A1763,$B$12:$B$5011,B1763)&gt;1,"CPF + dia duplicado",IF(OR(AND(G1763&lt;&gt;"",G1763&lt;&gt;0,G1763&lt;&gt;1),AND(H1763&lt;&gt;"",H1763&lt;&gt;0,H1763&lt;&gt;1)),"Flags devem ser 0 ou 1",IF(AND(H1763=1,LEN(TRIM(I1763))=0),"Preencher nome do indicante",IF(AND(H1763&lt;&gt;1,I1763&lt;&gt;""),"Nome sem indicação interna",IF(AND(G1763=1,F1763=""),"Fechamento sem conversa",IF(OR(AND(E1763&lt;&gt;"",E1763&lt;B1763),AND(F1763&lt;&gt;"",F1763&lt;B1763)),"Evento anterior à entrada",IF(AND(F1763&lt;&gt;"",E1763=""),"Conversa sem agendamento",IF(OR(E1763&gt;TODAY(),F1763&gt;TODAY()),"Verificar evento futuro","OK"))))))))))</f>
        <v/>
      </c>
    </row>
    <row r="1764" spans="12:15">
      <c r="L1764" s="5">
        <f>IF(OR(A1764="",B1764=""),"",B1764-WEEKDAY(B1764,2)+1)</f>
        <v/>
      </c>
      <c r="M1764" s="5">
        <f>IF(L1764="","",L1764+6)</f>
        <v/>
      </c>
      <c r="N1764" s="6">
        <f>IF(OR(A1764="",B1764=""),"",DATE(YEAR(B1764),MONTH(B1764),1))</f>
        <v/>
      </c>
      <c r="O1764" s="7">
        <f>IF(COUNTA(A1764:K1764)=0,"",IF(OR(A1764="",B1764=""),"Preencher CPF e entrada",IF(COUNTIFS($A$12:$A$5011,A1764,$B$12:$B$5011,B1764)&gt;1,"CPF + dia duplicado",IF(OR(AND(G1764&lt;&gt;"",G1764&lt;&gt;0,G1764&lt;&gt;1),AND(H1764&lt;&gt;"",H1764&lt;&gt;0,H1764&lt;&gt;1)),"Flags devem ser 0 ou 1",IF(AND(H1764=1,LEN(TRIM(I1764))=0),"Preencher nome do indicante",IF(AND(H1764&lt;&gt;1,I1764&lt;&gt;""),"Nome sem indicação interna",IF(AND(G1764=1,F1764=""),"Fechamento sem conversa",IF(OR(AND(E1764&lt;&gt;"",E1764&lt;B1764),AND(F1764&lt;&gt;"",F1764&lt;B1764)),"Evento anterior à entrada",IF(AND(F1764&lt;&gt;"",E1764=""),"Conversa sem agendamento",IF(OR(E1764&gt;TODAY(),F1764&gt;TODAY()),"Verificar evento futuro","OK"))))))))))</f>
        <v/>
      </c>
    </row>
    <row r="1765" spans="12:15">
      <c r="L1765" s="5">
        <f>IF(OR(A1765="",B1765=""),"",B1765-WEEKDAY(B1765,2)+1)</f>
        <v/>
      </c>
      <c r="M1765" s="5">
        <f>IF(L1765="","",L1765+6)</f>
        <v/>
      </c>
      <c r="N1765" s="6">
        <f>IF(OR(A1765="",B1765=""),"",DATE(YEAR(B1765),MONTH(B1765),1))</f>
        <v/>
      </c>
      <c r="O1765" s="7">
        <f>IF(COUNTA(A1765:K1765)=0,"",IF(OR(A1765="",B1765=""),"Preencher CPF e entrada",IF(COUNTIFS($A$12:$A$5011,A1765,$B$12:$B$5011,B1765)&gt;1,"CPF + dia duplicado",IF(OR(AND(G1765&lt;&gt;"",G1765&lt;&gt;0,G1765&lt;&gt;1),AND(H1765&lt;&gt;"",H1765&lt;&gt;0,H1765&lt;&gt;1)),"Flags devem ser 0 ou 1",IF(AND(H1765=1,LEN(TRIM(I1765))=0),"Preencher nome do indicante",IF(AND(H1765&lt;&gt;1,I1765&lt;&gt;""),"Nome sem indicação interna",IF(AND(G1765=1,F1765=""),"Fechamento sem conversa",IF(OR(AND(E1765&lt;&gt;"",E1765&lt;B1765),AND(F1765&lt;&gt;"",F1765&lt;B1765)),"Evento anterior à entrada",IF(AND(F1765&lt;&gt;"",E1765=""),"Conversa sem agendamento",IF(OR(E1765&gt;TODAY(),F1765&gt;TODAY()),"Verificar evento futuro","OK"))))))))))</f>
        <v/>
      </c>
    </row>
    <row r="1766" spans="12:15">
      <c r="L1766" s="5">
        <f>IF(OR(A1766="",B1766=""),"",B1766-WEEKDAY(B1766,2)+1)</f>
        <v/>
      </c>
      <c r="M1766" s="5">
        <f>IF(L1766="","",L1766+6)</f>
        <v/>
      </c>
      <c r="N1766" s="6">
        <f>IF(OR(A1766="",B1766=""),"",DATE(YEAR(B1766),MONTH(B1766),1))</f>
        <v/>
      </c>
      <c r="O1766" s="7">
        <f>IF(COUNTA(A1766:K1766)=0,"",IF(OR(A1766="",B1766=""),"Preencher CPF e entrada",IF(COUNTIFS($A$12:$A$5011,A1766,$B$12:$B$5011,B1766)&gt;1,"CPF + dia duplicado",IF(OR(AND(G1766&lt;&gt;"",G1766&lt;&gt;0,G1766&lt;&gt;1),AND(H1766&lt;&gt;"",H1766&lt;&gt;0,H1766&lt;&gt;1)),"Flags devem ser 0 ou 1",IF(AND(H1766=1,LEN(TRIM(I1766))=0),"Preencher nome do indicante",IF(AND(H1766&lt;&gt;1,I1766&lt;&gt;""),"Nome sem indicação interna",IF(AND(G1766=1,F1766=""),"Fechamento sem conversa",IF(OR(AND(E1766&lt;&gt;"",E1766&lt;B1766),AND(F1766&lt;&gt;"",F1766&lt;B1766)),"Evento anterior à entrada",IF(AND(F1766&lt;&gt;"",E1766=""),"Conversa sem agendamento",IF(OR(E1766&gt;TODAY(),F1766&gt;TODAY()),"Verificar evento futuro","OK"))))))))))</f>
        <v/>
      </c>
    </row>
    <row r="1767" spans="12:15">
      <c r="L1767" s="5">
        <f>IF(OR(A1767="",B1767=""),"",B1767-WEEKDAY(B1767,2)+1)</f>
        <v/>
      </c>
      <c r="M1767" s="5">
        <f>IF(L1767="","",L1767+6)</f>
        <v/>
      </c>
      <c r="N1767" s="6">
        <f>IF(OR(A1767="",B1767=""),"",DATE(YEAR(B1767),MONTH(B1767),1))</f>
        <v/>
      </c>
      <c r="O1767" s="7">
        <f>IF(COUNTA(A1767:K1767)=0,"",IF(OR(A1767="",B1767=""),"Preencher CPF e entrada",IF(COUNTIFS($A$12:$A$5011,A1767,$B$12:$B$5011,B1767)&gt;1,"CPF + dia duplicado",IF(OR(AND(G1767&lt;&gt;"",G1767&lt;&gt;0,G1767&lt;&gt;1),AND(H1767&lt;&gt;"",H1767&lt;&gt;0,H1767&lt;&gt;1)),"Flags devem ser 0 ou 1",IF(AND(H1767=1,LEN(TRIM(I1767))=0),"Preencher nome do indicante",IF(AND(H1767&lt;&gt;1,I1767&lt;&gt;""),"Nome sem indicação interna",IF(AND(G1767=1,F1767=""),"Fechamento sem conversa",IF(OR(AND(E1767&lt;&gt;"",E1767&lt;B1767),AND(F1767&lt;&gt;"",F1767&lt;B1767)),"Evento anterior à entrada",IF(AND(F1767&lt;&gt;"",E1767=""),"Conversa sem agendamento",IF(OR(E1767&gt;TODAY(),F1767&gt;TODAY()),"Verificar evento futuro","OK"))))))))))</f>
        <v/>
      </c>
    </row>
    <row r="1768" spans="12:15">
      <c r="L1768" s="5">
        <f>IF(OR(A1768="",B1768=""),"",B1768-WEEKDAY(B1768,2)+1)</f>
        <v/>
      </c>
      <c r="M1768" s="5">
        <f>IF(L1768="","",L1768+6)</f>
        <v/>
      </c>
      <c r="N1768" s="6">
        <f>IF(OR(A1768="",B1768=""),"",DATE(YEAR(B1768),MONTH(B1768),1))</f>
        <v/>
      </c>
      <c r="O1768" s="7">
        <f>IF(COUNTA(A1768:K1768)=0,"",IF(OR(A1768="",B1768=""),"Preencher CPF e entrada",IF(COUNTIFS($A$12:$A$5011,A1768,$B$12:$B$5011,B1768)&gt;1,"CPF + dia duplicado",IF(OR(AND(G1768&lt;&gt;"",G1768&lt;&gt;0,G1768&lt;&gt;1),AND(H1768&lt;&gt;"",H1768&lt;&gt;0,H1768&lt;&gt;1)),"Flags devem ser 0 ou 1",IF(AND(H1768=1,LEN(TRIM(I1768))=0),"Preencher nome do indicante",IF(AND(H1768&lt;&gt;1,I1768&lt;&gt;""),"Nome sem indicação interna",IF(AND(G1768=1,F1768=""),"Fechamento sem conversa",IF(OR(AND(E1768&lt;&gt;"",E1768&lt;B1768),AND(F1768&lt;&gt;"",F1768&lt;B1768)),"Evento anterior à entrada",IF(AND(F1768&lt;&gt;"",E1768=""),"Conversa sem agendamento",IF(OR(E1768&gt;TODAY(),F1768&gt;TODAY()),"Verificar evento futuro","OK"))))))))))</f>
        <v/>
      </c>
    </row>
    <row r="1769" spans="12:15">
      <c r="L1769" s="5">
        <f>IF(OR(A1769="",B1769=""),"",B1769-WEEKDAY(B1769,2)+1)</f>
        <v/>
      </c>
      <c r="M1769" s="5">
        <f>IF(L1769="","",L1769+6)</f>
        <v/>
      </c>
      <c r="N1769" s="6">
        <f>IF(OR(A1769="",B1769=""),"",DATE(YEAR(B1769),MONTH(B1769),1))</f>
        <v/>
      </c>
      <c r="O1769" s="7">
        <f>IF(COUNTA(A1769:K1769)=0,"",IF(OR(A1769="",B1769=""),"Preencher CPF e entrada",IF(COUNTIFS($A$12:$A$5011,A1769,$B$12:$B$5011,B1769)&gt;1,"CPF + dia duplicado",IF(OR(AND(G1769&lt;&gt;"",G1769&lt;&gt;0,G1769&lt;&gt;1),AND(H1769&lt;&gt;"",H1769&lt;&gt;0,H1769&lt;&gt;1)),"Flags devem ser 0 ou 1",IF(AND(H1769=1,LEN(TRIM(I1769))=0),"Preencher nome do indicante",IF(AND(H1769&lt;&gt;1,I1769&lt;&gt;""),"Nome sem indicação interna",IF(AND(G1769=1,F1769=""),"Fechamento sem conversa",IF(OR(AND(E1769&lt;&gt;"",E1769&lt;B1769),AND(F1769&lt;&gt;"",F1769&lt;B1769)),"Evento anterior à entrada",IF(AND(F1769&lt;&gt;"",E1769=""),"Conversa sem agendamento",IF(OR(E1769&gt;TODAY(),F1769&gt;TODAY()),"Verificar evento futuro","OK"))))))))))</f>
        <v/>
      </c>
    </row>
    <row r="1770" spans="12:15">
      <c r="L1770" s="5">
        <f>IF(OR(A1770="",B1770=""),"",B1770-WEEKDAY(B1770,2)+1)</f>
        <v/>
      </c>
      <c r="M1770" s="5">
        <f>IF(L1770="","",L1770+6)</f>
        <v/>
      </c>
      <c r="N1770" s="6">
        <f>IF(OR(A1770="",B1770=""),"",DATE(YEAR(B1770),MONTH(B1770),1))</f>
        <v/>
      </c>
      <c r="O1770" s="7">
        <f>IF(COUNTA(A1770:K1770)=0,"",IF(OR(A1770="",B1770=""),"Preencher CPF e entrada",IF(COUNTIFS($A$12:$A$5011,A1770,$B$12:$B$5011,B1770)&gt;1,"CPF + dia duplicado",IF(OR(AND(G1770&lt;&gt;"",G1770&lt;&gt;0,G1770&lt;&gt;1),AND(H1770&lt;&gt;"",H1770&lt;&gt;0,H1770&lt;&gt;1)),"Flags devem ser 0 ou 1",IF(AND(H1770=1,LEN(TRIM(I1770))=0),"Preencher nome do indicante",IF(AND(H1770&lt;&gt;1,I1770&lt;&gt;""),"Nome sem indicação interna",IF(AND(G1770=1,F1770=""),"Fechamento sem conversa",IF(OR(AND(E1770&lt;&gt;"",E1770&lt;B1770),AND(F1770&lt;&gt;"",F1770&lt;B1770)),"Evento anterior à entrada",IF(AND(F1770&lt;&gt;"",E1770=""),"Conversa sem agendamento",IF(OR(E1770&gt;TODAY(),F1770&gt;TODAY()),"Verificar evento futuro","OK"))))))))))</f>
        <v/>
      </c>
    </row>
    <row r="1771" spans="12:15">
      <c r="L1771" s="5">
        <f>IF(OR(A1771="",B1771=""),"",B1771-WEEKDAY(B1771,2)+1)</f>
        <v/>
      </c>
      <c r="M1771" s="5">
        <f>IF(L1771="","",L1771+6)</f>
        <v/>
      </c>
      <c r="N1771" s="6">
        <f>IF(OR(A1771="",B1771=""),"",DATE(YEAR(B1771),MONTH(B1771),1))</f>
        <v/>
      </c>
      <c r="O1771" s="7">
        <f>IF(COUNTA(A1771:K1771)=0,"",IF(OR(A1771="",B1771=""),"Preencher CPF e entrada",IF(COUNTIFS($A$12:$A$5011,A1771,$B$12:$B$5011,B1771)&gt;1,"CPF + dia duplicado",IF(OR(AND(G1771&lt;&gt;"",G1771&lt;&gt;0,G1771&lt;&gt;1),AND(H1771&lt;&gt;"",H1771&lt;&gt;0,H1771&lt;&gt;1)),"Flags devem ser 0 ou 1",IF(AND(H1771=1,LEN(TRIM(I1771))=0),"Preencher nome do indicante",IF(AND(H1771&lt;&gt;1,I1771&lt;&gt;""),"Nome sem indicação interna",IF(AND(G1771=1,F1771=""),"Fechamento sem conversa",IF(OR(AND(E1771&lt;&gt;"",E1771&lt;B1771),AND(F1771&lt;&gt;"",F1771&lt;B1771)),"Evento anterior à entrada",IF(AND(F1771&lt;&gt;"",E1771=""),"Conversa sem agendamento",IF(OR(E1771&gt;TODAY(),F1771&gt;TODAY()),"Verificar evento futuro","OK"))))))))))</f>
        <v/>
      </c>
    </row>
    <row r="1772" spans="12:15">
      <c r="L1772" s="5">
        <f>IF(OR(A1772="",B1772=""),"",B1772-WEEKDAY(B1772,2)+1)</f>
        <v/>
      </c>
      <c r="M1772" s="5">
        <f>IF(L1772="","",L1772+6)</f>
        <v/>
      </c>
      <c r="N1772" s="6">
        <f>IF(OR(A1772="",B1772=""),"",DATE(YEAR(B1772),MONTH(B1772),1))</f>
        <v/>
      </c>
      <c r="O1772" s="7">
        <f>IF(COUNTA(A1772:K1772)=0,"",IF(OR(A1772="",B1772=""),"Preencher CPF e entrada",IF(COUNTIFS($A$12:$A$5011,A1772,$B$12:$B$5011,B1772)&gt;1,"CPF + dia duplicado",IF(OR(AND(G1772&lt;&gt;"",G1772&lt;&gt;0,G1772&lt;&gt;1),AND(H1772&lt;&gt;"",H1772&lt;&gt;0,H1772&lt;&gt;1)),"Flags devem ser 0 ou 1",IF(AND(H1772=1,LEN(TRIM(I1772))=0),"Preencher nome do indicante",IF(AND(H1772&lt;&gt;1,I1772&lt;&gt;""),"Nome sem indicação interna",IF(AND(G1772=1,F1772=""),"Fechamento sem conversa",IF(OR(AND(E1772&lt;&gt;"",E1772&lt;B1772),AND(F1772&lt;&gt;"",F1772&lt;B1772)),"Evento anterior à entrada",IF(AND(F1772&lt;&gt;"",E1772=""),"Conversa sem agendamento",IF(OR(E1772&gt;TODAY(),F1772&gt;TODAY()),"Verificar evento futuro","OK"))))))))))</f>
        <v/>
      </c>
    </row>
    <row r="1773" spans="12:15">
      <c r="L1773" s="5">
        <f>IF(OR(A1773="",B1773=""),"",B1773-WEEKDAY(B1773,2)+1)</f>
        <v/>
      </c>
      <c r="M1773" s="5">
        <f>IF(L1773="","",L1773+6)</f>
        <v/>
      </c>
      <c r="N1773" s="6">
        <f>IF(OR(A1773="",B1773=""),"",DATE(YEAR(B1773),MONTH(B1773),1))</f>
        <v/>
      </c>
      <c r="O1773" s="7">
        <f>IF(COUNTA(A1773:K1773)=0,"",IF(OR(A1773="",B1773=""),"Preencher CPF e entrada",IF(COUNTIFS($A$12:$A$5011,A1773,$B$12:$B$5011,B1773)&gt;1,"CPF + dia duplicado",IF(OR(AND(G1773&lt;&gt;"",G1773&lt;&gt;0,G1773&lt;&gt;1),AND(H1773&lt;&gt;"",H1773&lt;&gt;0,H1773&lt;&gt;1)),"Flags devem ser 0 ou 1",IF(AND(H1773=1,LEN(TRIM(I1773))=0),"Preencher nome do indicante",IF(AND(H1773&lt;&gt;1,I1773&lt;&gt;""),"Nome sem indicação interna",IF(AND(G1773=1,F1773=""),"Fechamento sem conversa",IF(OR(AND(E1773&lt;&gt;"",E1773&lt;B1773),AND(F1773&lt;&gt;"",F1773&lt;B1773)),"Evento anterior à entrada",IF(AND(F1773&lt;&gt;"",E1773=""),"Conversa sem agendamento",IF(OR(E1773&gt;TODAY(),F1773&gt;TODAY()),"Verificar evento futuro","OK"))))))))))</f>
        <v/>
      </c>
    </row>
    <row r="1774" spans="12:15">
      <c r="L1774" s="5">
        <f>IF(OR(A1774="",B1774=""),"",B1774-WEEKDAY(B1774,2)+1)</f>
        <v/>
      </c>
      <c r="M1774" s="5">
        <f>IF(L1774="","",L1774+6)</f>
        <v/>
      </c>
      <c r="N1774" s="6">
        <f>IF(OR(A1774="",B1774=""),"",DATE(YEAR(B1774),MONTH(B1774),1))</f>
        <v/>
      </c>
      <c r="O1774" s="7">
        <f>IF(COUNTA(A1774:K1774)=0,"",IF(OR(A1774="",B1774=""),"Preencher CPF e entrada",IF(COUNTIFS($A$12:$A$5011,A1774,$B$12:$B$5011,B1774)&gt;1,"CPF + dia duplicado",IF(OR(AND(G1774&lt;&gt;"",G1774&lt;&gt;0,G1774&lt;&gt;1),AND(H1774&lt;&gt;"",H1774&lt;&gt;0,H1774&lt;&gt;1)),"Flags devem ser 0 ou 1",IF(AND(H1774=1,LEN(TRIM(I1774))=0),"Preencher nome do indicante",IF(AND(H1774&lt;&gt;1,I1774&lt;&gt;""),"Nome sem indicação interna",IF(AND(G1774=1,F1774=""),"Fechamento sem conversa",IF(OR(AND(E1774&lt;&gt;"",E1774&lt;B1774),AND(F1774&lt;&gt;"",F1774&lt;B1774)),"Evento anterior à entrada",IF(AND(F1774&lt;&gt;"",E1774=""),"Conversa sem agendamento",IF(OR(E1774&gt;TODAY(),F1774&gt;TODAY()),"Verificar evento futuro","OK"))))))))))</f>
        <v/>
      </c>
    </row>
    <row r="1775" spans="12:15">
      <c r="L1775" s="5">
        <f>IF(OR(A1775="",B1775=""),"",B1775-WEEKDAY(B1775,2)+1)</f>
        <v/>
      </c>
      <c r="M1775" s="5">
        <f>IF(L1775="","",L1775+6)</f>
        <v/>
      </c>
      <c r="N1775" s="6">
        <f>IF(OR(A1775="",B1775=""),"",DATE(YEAR(B1775),MONTH(B1775),1))</f>
        <v/>
      </c>
      <c r="O1775" s="7">
        <f>IF(COUNTA(A1775:K1775)=0,"",IF(OR(A1775="",B1775=""),"Preencher CPF e entrada",IF(COUNTIFS($A$12:$A$5011,A1775,$B$12:$B$5011,B1775)&gt;1,"CPF + dia duplicado",IF(OR(AND(G1775&lt;&gt;"",G1775&lt;&gt;0,G1775&lt;&gt;1),AND(H1775&lt;&gt;"",H1775&lt;&gt;0,H1775&lt;&gt;1)),"Flags devem ser 0 ou 1",IF(AND(H1775=1,LEN(TRIM(I1775))=0),"Preencher nome do indicante",IF(AND(H1775&lt;&gt;1,I1775&lt;&gt;""),"Nome sem indicação interna",IF(AND(G1775=1,F1775=""),"Fechamento sem conversa",IF(OR(AND(E1775&lt;&gt;"",E1775&lt;B1775),AND(F1775&lt;&gt;"",F1775&lt;B1775)),"Evento anterior à entrada",IF(AND(F1775&lt;&gt;"",E1775=""),"Conversa sem agendamento",IF(OR(E1775&gt;TODAY(),F1775&gt;TODAY()),"Verificar evento futuro","OK"))))))))))</f>
        <v/>
      </c>
    </row>
    <row r="1776" spans="12:15">
      <c r="L1776" s="5">
        <f>IF(OR(A1776="",B1776=""),"",B1776-WEEKDAY(B1776,2)+1)</f>
        <v/>
      </c>
      <c r="M1776" s="5">
        <f>IF(L1776="","",L1776+6)</f>
        <v/>
      </c>
      <c r="N1776" s="6">
        <f>IF(OR(A1776="",B1776=""),"",DATE(YEAR(B1776),MONTH(B1776),1))</f>
        <v/>
      </c>
      <c r="O1776" s="7">
        <f>IF(COUNTA(A1776:K1776)=0,"",IF(OR(A1776="",B1776=""),"Preencher CPF e entrada",IF(COUNTIFS($A$12:$A$5011,A1776,$B$12:$B$5011,B1776)&gt;1,"CPF + dia duplicado",IF(OR(AND(G1776&lt;&gt;"",G1776&lt;&gt;0,G1776&lt;&gt;1),AND(H1776&lt;&gt;"",H1776&lt;&gt;0,H1776&lt;&gt;1)),"Flags devem ser 0 ou 1",IF(AND(H1776=1,LEN(TRIM(I1776))=0),"Preencher nome do indicante",IF(AND(H1776&lt;&gt;1,I1776&lt;&gt;""),"Nome sem indicação interna",IF(AND(G1776=1,F1776=""),"Fechamento sem conversa",IF(OR(AND(E1776&lt;&gt;"",E1776&lt;B1776),AND(F1776&lt;&gt;"",F1776&lt;B1776)),"Evento anterior à entrada",IF(AND(F1776&lt;&gt;"",E1776=""),"Conversa sem agendamento",IF(OR(E1776&gt;TODAY(),F1776&gt;TODAY()),"Verificar evento futuro","OK"))))))))))</f>
        <v/>
      </c>
    </row>
    <row r="1777" spans="12:15">
      <c r="L1777" s="5">
        <f>IF(OR(A1777="",B1777=""),"",B1777-WEEKDAY(B1777,2)+1)</f>
        <v/>
      </c>
      <c r="M1777" s="5">
        <f>IF(L1777="","",L1777+6)</f>
        <v/>
      </c>
      <c r="N1777" s="6">
        <f>IF(OR(A1777="",B1777=""),"",DATE(YEAR(B1777),MONTH(B1777),1))</f>
        <v/>
      </c>
      <c r="O1777" s="7">
        <f>IF(COUNTA(A1777:K1777)=0,"",IF(OR(A1777="",B1777=""),"Preencher CPF e entrada",IF(COUNTIFS($A$12:$A$5011,A1777,$B$12:$B$5011,B1777)&gt;1,"CPF + dia duplicado",IF(OR(AND(G1777&lt;&gt;"",G1777&lt;&gt;0,G1777&lt;&gt;1),AND(H1777&lt;&gt;"",H1777&lt;&gt;0,H1777&lt;&gt;1)),"Flags devem ser 0 ou 1",IF(AND(H1777=1,LEN(TRIM(I1777))=0),"Preencher nome do indicante",IF(AND(H1777&lt;&gt;1,I1777&lt;&gt;""),"Nome sem indicação interna",IF(AND(G1777=1,F1777=""),"Fechamento sem conversa",IF(OR(AND(E1777&lt;&gt;"",E1777&lt;B1777),AND(F1777&lt;&gt;"",F1777&lt;B1777)),"Evento anterior à entrada",IF(AND(F1777&lt;&gt;"",E1777=""),"Conversa sem agendamento",IF(OR(E1777&gt;TODAY(),F1777&gt;TODAY()),"Verificar evento futuro","OK"))))))))))</f>
        <v/>
      </c>
    </row>
    <row r="1778" spans="12:15">
      <c r="L1778" s="5">
        <f>IF(OR(A1778="",B1778=""),"",B1778-WEEKDAY(B1778,2)+1)</f>
        <v/>
      </c>
      <c r="M1778" s="5">
        <f>IF(L1778="","",L1778+6)</f>
        <v/>
      </c>
      <c r="N1778" s="6">
        <f>IF(OR(A1778="",B1778=""),"",DATE(YEAR(B1778),MONTH(B1778),1))</f>
        <v/>
      </c>
      <c r="O1778" s="7">
        <f>IF(COUNTA(A1778:K1778)=0,"",IF(OR(A1778="",B1778=""),"Preencher CPF e entrada",IF(COUNTIFS($A$12:$A$5011,A1778,$B$12:$B$5011,B1778)&gt;1,"CPF + dia duplicado",IF(OR(AND(G1778&lt;&gt;"",G1778&lt;&gt;0,G1778&lt;&gt;1),AND(H1778&lt;&gt;"",H1778&lt;&gt;0,H1778&lt;&gt;1)),"Flags devem ser 0 ou 1",IF(AND(H1778=1,LEN(TRIM(I1778))=0),"Preencher nome do indicante",IF(AND(H1778&lt;&gt;1,I1778&lt;&gt;""),"Nome sem indicação interna",IF(AND(G1778=1,F1778=""),"Fechamento sem conversa",IF(OR(AND(E1778&lt;&gt;"",E1778&lt;B1778),AND(F1778&lt;&gt;"",F1778&lt;B1778)),"Evento anterior à entrada",IF(AND(F1778&lt;&gt;"",E1778=""),"Conversa sem agendamento",IF(OR(E1778&gt;TODAY(),F1778&gt;TODAY()),"Verificar evento futuro","OK"))))))))))</f>
        <v/>
      </c>
    </row>
    <row r="1779" spans="12:15">
      <c r="L1779" s="5">
        <f>IF(OR(A1779="",B1779=""),"",B1779-WEEKDAY(B1779,2)+1)</f>
        <v/>
      </c>
      <c r="M1779" s="5">
        <f>IF(L1779="","",L1779+6)</f>
        <v/>
      </c>
      <c r="N1779" s="6">
        <f>IF(OR(A1779="",B1779=""),"",DATE(YEAR(B1779),MONTH(B1779),1))</f>
        <v/>
      </c>
      <c r="O1779" s="7">
        <f>IF(COUNTA(A1779:K1779)=0,"",IF(OR(A1779="",B1779=""),"Preencher CPF e entrada",IF(COUNTIFS($A$12:$A$5011,A1779,$B$12:$B$5011,B1779)&gt;1,"CPF + dia duplicado",IF(OR(AND(G1779&lt;&gt;"",G1779&lt;&gt;0,G1779&lt;&gt;1),AND(H1779&lt;&gt;"",H1779&lt;&gt;0,H1779&lt;&gt;1)),"Flags devem ser 0 ou 1",IF(AND(H1779=1,LEN(TRIM(I1779))=0),"Preencher nome do indicante",IF(AND(H1779&lt;&gt;1,I1779&lt;&gt;""),"Nome sem indicação interna",IF(AND(G1779=1,F1779=""),"Fechamento sem conversa",IF(OR(AND(E1779&lt;&gt;"",E1779&lt;B1779),AND(F1779&lt;&gt;"",F1779&lt;B1779)),"Evento anterior à entrada",IF(AND(F1779&lt;&gt;"",E1779=""),"Conversa sem agendamento",IF(OR(E1779&gt;TODAY(),F1779&gt;TODAY()),"Verificar evento futuro","OK"))))))))))</f>
        <v/>
      </c>
    </row>
    <row r="1780" spans="12:15">
      <c r="L1780" s="5">
        <f>IF(OR(A1780="",B1780=""),"",B1780-WEEKDAY(B1780,2)+1)</f>
        <v/>
      </c>
      <c r="M1780" s="5">
        <f>IF(L1780="","",L1780+6)</f>
        <v/>
      </c>
      <c r="N1780" s="6">
        <f>IF(OR(A1780="",B1780=""),"",DATE(YEAR(B1780),MONTH(B1780),1))</f>
        <v/>
      </c>
      <c r="O1780" s="7">
        <f>IF(COUNTA(A1780:K1780)=0,"",IF(OR(A1780="",B1780=""),"Preencher CPF e entrada",IF(COUNTIFS($A$12:$A$5011,A1780,$B$12:$B$5011,B1780)&gt;1,"CPF + dia duplicado",IF(OR(AND(G1780&lt;&gt;"",G1780&lt;&gt;0,G1780&lt;&gt;1),AND(H1780&lt;&gt;"",H1780&lt;&gt;0,H1780&lt;&gt;1)),"Flags devem ser 0 ou 1",IF(AND(H1780=1,LEN(TRIM(I1780))=0),"Preencher nome do indicante",IF(AND(H1780&lt;&gt;1,I1780&lt;&gt;""),"Nome sem indicação interna",IF(AND(G1780=1,F1780=""),"Fechamento sem conversa",IF(OR(AND(E1780&lt;&gt;"",E1780&lt;B1780),AND(F1780&lt;&gt;"",F1780&lt;B1780)),"Evento anterior à entrada",IF(AND(F1780&lt;&gt;"",E1780=""),"Conversa sem agendamento",IF(OR(E1780&gt;TODAY(),F1780&gt;TODAY()),"Verificar evento futuro","OK"))))))))))</f>
        <v/>
      </c>
    </row>
    <row r="1781" spans="12:15">
      <c r="L1781" s="5">
        <f>IF(OR(A1781="",B1781=""),"",B1781-WEEKDAY(B1781,2)+1)</f>
        <v/>
      </c>
      <c r="M1781" s="5">
        <f>IF(L1781="","",L1781+6)</f>
        <v/>
      </c>
      <c r="N1781" s="6">
        <f>IF(OR(A1781="",B1781=""),"",DATE(YEAR(B1781),MONTH(B1781),1))</f>
        <v/>
      </c>
      <c r="O1781" s="7">
        <f>IF(COUNTA(A1781:K1781)=0,"",IF(OR(A1781="",B1781=""),"Preencher CPF e entrada",IF(COUNTIFS($A$12:$A$5011,A1781,$B$12:$B$5011,B1781)&gt;1,"CPF + dia duplicado",IF(OR(AND(G1781&lt;&gt;"",G1781&lt;&gt;0,G1781&lt;&gt;1),AND(H1781&lt;&gt;"",H1781&lt;&gt;0,H1781&lt;&gt;1)),"Flags devem ser 0 ou 1",IF(AND(H1781=1,LEN(TRIM(I1781))=0),"Preencher nome do indicante",IF(AND(H1781&lt;&gt;1,I1781&lt;&gt;""),"Nome sem indicação interna",IF(AND(G1781=1,F1781=""),"Fechamento sem conversa",IF(OR(AND(E1781&lt;&gt;"",E1781&lt;B1781),AND(F1781&lt;&gt;"",F1781&lt;B1781)),"Evento anterior à entrada",IF(AND(F1781&lt;&gt;"",E1781=""),"Conversa sem agendamento",IF(OR(E1781&gt;TODAY(),F1781&gt;TODAY()),"Verificar evento futuro","OK"))))))))))</f>
        <v/>
      </c>
    </row>
    <row r="1782" spans="12:15">
      <c r="L1782" s="5">
        <f>IF(OR(A1782="",B1782=""),"",B1782-WEEKDAY(B1782,2)+1)</f>
        <v/>
      </c>
      <c r="M1782" s="5">
        <f>IF(L1782="","",L1782+6)</f>
        <v/>
      </c>
      <c r="N1782" s="6">
        <f>IF(OR(A1782="",B1782=""),"",DATE(YEAR(B1782),MONTH(B1782),1))</f>
        <v/>
      </c>
      <c r="O1782" s="7">
        <f>IF(COUNTA(A1782:K1782)=0,"",IF(OR(A1782="",B1782=""),"Preencher CPF e entrada",IF(COUNTIFS($A$12:$A$5011,A1782,$B$12:$B$5011,B1782)&gt;1,"CPF + dia duplicado",IF(OR(AND(G1782&lt;&gt;"",G1782&lt;&gt;0,G1782&lt;&gt;1),AND(H1782&lt;&gt;"",H1782&lt;&gt;0,H1782&lt;&gt;1)),"Flags devem ser 0 ou 1",IF(AND(H1782=1,LEN(TRIM(I1782))=0),"Preencher nome do indicante",IF(AND(H1782&lt;&gt;1,I1782&lt;&gt;""),"Nome sem indicação interna",IF(AND(G1782=1,F1782=""),"Fechamento sem conversa",IF(OR(AND(E1782&lt;&gt;"",E1782&lt;B1782),AND(F1782&lt;&gt;"",F1782&lt;B1782)),"Evento anterior à entrada",IF(AND(F1782&lt;&gt;"",E1782=""),"Conversa sem agendamento",IF(OR(E1782&gt;TODAY(),F1782&gt;TODAY()),"Verificar evento futuro","OK"))))))))))</f>
        <v/>
      </c>
    </row>
    <row r="1783" spans="12:15">
      <c r="L1783" s="5">
        <f>IF(OR(A1783="",B1783=""),"",B1783-WEEKDAY(B1783,2)+1)</f>
        <v/>
      </c>
      <c r="M1783" s="5">
        <f>IF(L1783="","",L1783+6)</f>
        <v/>
      </c>
      <c r="N1783" s="6">
        <f>IF(OR(A1783="",B1783=""),"",DATE(YEAR(B1783),MONTH(B1783),1))</f>
        <v/>
      </c>
      <c r="O1783" s="7">
        <f>IF(COUNTA(A1783:K1783)=0,"",IF(OR(A1783="",B1783=""),"Preencher CPF e entrada",IF(COUNTIFS($A$12:$A$5011,A1783,$B$12:$B$5011,B1783)&gt;1,"CPF + dia duplicado",IF(OR(AND(G1783&lt;&gt;"",G1783&lt;&gt;0,G1783&lt;&gt;1),AND(H1783&lt;&gt;"",H1783&lt;&gt;0,H1783&lt;&gt;1)),"Flags devem ser 0 ou 1",IF(AND(H1783=1,LEN(TRIM(I1783))=0),"Preencher nome do indicante",IF(AND(H1783&lt;&gt;1,I1783&lt;&gt;""),"Nome sem indicação interna",IF(AND(G1783=1,F1783=""),"Fechamento sem conversa",IF(OR(AND(E1783&lt;&gt;"",E1783&lt;B1783),AND(F1783&lt;&gt;"",F1783&lt;B1783)),"Evento anterior à entrada",IF(AND(F1783&lt;&gt;"",E1783=""),"Conversa sem agendamento",IF(OR(E1783&gt;TODAY(),F1783&gt;TODAY()),"Verificar evento futuro","OK"))))))))))</f>
        <v/>
      </c>
    </row>
    <row r="1784" spans="12:15">
      <c r="L1784" s="5">
        <f>IF(OR(A1784="",B1784=""),"",B1784-WEEKDAY(B1784,2)+1)</f>
        <v/>
      </c>
      <c r="M1784" s="5">
        <f>IF(L1784="","",L1784+6)</f>
        <v/>
      </c>
      <c r="N1784" s="6">
        <f>IF(OR(A1784="",B1784=""),"",DATE(YEAR(B1784),MONTH(B1784),1))</f>
        <v/>
      </c>
      <c r="O1784" s="7">
        <f>IF(COUNTA(A1784:K1784)=0,"",IF(OR(A1784="",B1784=""),"Preencher CPF e entrada",IF(COUNTIFS($A$12:$A$5011,A1784,$B$12:$B$5011,B1784)&gt;1,"CPF + dia duplicado",IF(OR(AND(G1784&lt;&gt;"",G1784&lt;&gt;0,G1784&lt;&gt;1),AND(H1784&lt;&gt;"",H1784&lt;&gt;0,H1784&lt;&gt;1)),"Flags devem ser 0 ou 1",IF(AND(H1784=1,LEN(TRIM(I1784))=0),"Preencher nome do indicante",IF(AND(H1784&lt;&gt;1,I1784&lt;&gt;""),"Nome sem indicação interna",IF(AND(G1784=1,F1784=""),"Fechamento sem conversa",IF(OR(AND(E1784&lt;&gt;"",E1784&lt;B1784),AND(F1784&lt;&gt;"",F1784&lt;B1784)),"Evento anterior à entrada",IF(AND(F1784&lt;&gt;"",E1784=""),"Conversa sem agendamento",IF(OR(E1784&gt;TODAY(),F1784&gt;TODAY()),"Verificar evento futuro","OK"))))))))))</f>
        <v/>
      </c>
    </row>
    <row r="1785" spans="12:15">
      <c r="L1785" s="5">
        <f>IF(OR(A1785="",B1785=""),"",B1785-WEEKDAY(B1785,2)+1)</f>
        <v/>
      </c>
      <c r="M1785" s="5">
        <f>IF(L1785="","",L1785+6)</f>
        <v/>
      </c>
      <c r="N1785" s="6">
        <f>IF(OR(A1785="",B1785=""),"",DATE(YEAR(B1785),MONTH(B1785),1))</f>
        <v/>
      </c>
      <c r="O1785" s="7">
        <f>IF(COUNTA(A1785:K1785)=0,"",IF(OR(A1785="",B1785=""),"Preencher CPF e entrada",IF(COUNTIFS($A$12:$A$5011,A1785,$B$12:$B$5011,B1785)&gt;1,"CPF + dia duplicado",IF(OR(AND(G1785&lt;&gt;"",G1785&lt;&gt;0,G1785&lt;&gt;1),AND(H1785&lt;&gt;"",H1785&lt;&gt;0,H1785&lt;&gt;1)),"Flags devem ser 0 ou 1",IF(AND(H1785=1,LEN(TRIM(I1785))=0),"Preencher nome do indicante",IF(AND(H1785&lt;&gt;1,I1785&lt;&gt;""),"Nome sem indicação interna",IF(AND(G1785=1,F1785=""),"Fechamento sem conversa",IF(OR(AND(E1785&lt;&gt;"",E1785&lt;B1785),AND(F1785&lt;&gt;"",F1785&lt;B1785)),"Evento anterior à entrada",IF(AND(F1785&lt;&gt;"",E1785=""),"Conversa sem agendamento",IF(OR(E1785&gt;TODAY(),F1785&gt;TODAY()),"Verificar evento futuro","OK"))))))))))</f>
        <v/>
      </c>
    </row>
    <row r="1786" spans="12:15">
      <c r="L1786" s="5">
        <f>IF(OR(A1786="",B1786=""),"",B1786-WEEKDAY(B1786,2)+1)</f>
        <v/>
      </c>
      <c r="M1786" s="5">
        <f>IF(L1786="","",L1786+6)</f>
        <v/>
      </c>
      <c r="N1786" s="6">
        <f>IF(OR(A1786="",B1786=""),"",DATE(YEAR(B1786),MONTH(B1786),1))</f>
        <v/>
      </c>
      <c r="O1786" s="7">
        <f>IF(COUNTA(A1786:K1786)=0,"",IF(OR(A1786="",B1786=""),"Preencher CPF e entrada",IF(COUNTIFS($A$12:$A$5011,A1786,$B$12:$B$5011,B1786)&gt;1,"CPF + dia duplicado",IF(OR(AND(G1786&lt;&gt;"",G1786&lt;&gt;0,G1786&lt;&gt;1),AND(H1786&lt;&gt;"",H1786&lt;&gt;0,H1786&lt;&gt;1)),"Flags devem ser 0 ou 1",IF(AND(H1786=1,LEN(TRIM(I1786))=0),"Preencher nome do indicante",IF(AND(H1786&lt;&gt;1,I1786&lt;&gt;""),"Nome sem indicação interna",IF(AND(G1786=1,F1786=""),"Fechamento sem conversa",IF(OR(AND(E1786&lt;&gt;"",E1786&lt;B1786),AND(F1786&lt;&gt;"",F1786&lt;B1786)),"Evento anterior à entrada",IF(AND(F1786&lt;&gt;"",E1786=""),"Conversa sem agendamento",IF(OR(E1786&gt;TODAY(),F1786&gt;TODAY()),"Verificar evento futuro","OK"))))))))))</f>
        <v/>
      </c>
    </row>
    <row r="1787" spans="12:15">
      <c r="L1787" s="5">
        <f>IF(OR(A1787="",B1787=""),"",B1787-WEEKDAY(B1787,2)+1)</f>
        <v/>
      </c>
      <c r="M1787" s="5">
        <f>IF(L1787="","",L1787+6)</f>
        <v/>
      </c>
      <c r="N1787" s="6">
        <f>IF(OR(A1787="",B1787=""),"",DATE(YEAR(B1787),MONTH(B1787),1))</f>
        <v/>
      </c>
      <c r="O1787" s="7">
        <f>IF(COUNTA(A1787:K1787)=0,"",IF(OR(A1787="",B1787=""),"Preencher CPF e entrada",IF(COUNTIFS($A$12:$A$5011,A1787,$B$12:$B$5011,B1787)&gt;1,"CPF + dia duplicado",IF(OR(AND(G1787&lt;&gt;"",G1787&lt;&gt;0,G1787&lt;&gt;1),AND(H1787&lt;&gt;"",H1787&lt;&gt;0,H1787&lt;&gt;1)),"Flags devem ser 0 ou 1",IF(AND(H1787=1,LEN(TRIM(I1787))=0),"Preencher nome do indicante",IF(AND(H1787&lt;&gt;1,I1787&lt;&gt;""),"Nome sem indicação interna",IF(AND(G1787=1,F1787=""),"Fechamento sem conversa",IF(OR(AND(E1787&lt;&gt;"",E1787&lt;B1787),AND(F1787&lt;&gt;"",F1787&lt;B1787)),"Evento anterior à entrada",IF(AND(F1787&lt;&gt;"",E1787=""),"Conversa sem agendamento",IF(OR(E1787&gt;TODAY(),F1787&gt;TODAY()),"Verificar evento futuro","OK"))))))))))</f>
        <v/>
      </c>
    </row>
    <row r="1788" spans="12:15">
      <c r="L1788" s="5">
        <f>IF(OR(A1788="",B1788=""),"",B1788-WEEKDAY(B1788,2)+1)</f>
        <v/>
      </c>
      <c r="M1788" s="5">
        <f>IF(L1788="","",L1788+6)</f>
        <v/>
      </c>
      <c r="N1788" s="6">
        <f>IF(OR(A1788="",B1788=""),"",DATE(YEAR(B1788),MONTH(B1788),1))</f>
        <v/>
      </c>
      <c r="O1788" s="7">
        <f>IF(COUNTA(A1788:K1788)=0,"",IF(OR(A1788="",B1788=""),"Preencher CPF e entrada",IF(COUNTIFS($A$12:$A$5011,A1788,$B$12:$B$5011,B1788)&gt;1,"CPF + dia duplicado",IF(OR(AND(G1788&lt;&gt;"",G1788&lt;&gt;0,G1788&lt;&gt;1),AND(H1788&lt;&gt;"",H1788&lt;&gt;0,H1788&lt;&gt;1)),"Flags devem ser 0 ou 1",IF(AND(H1788=1,LEN(TRIM(I1788))=0),"Preencher nome do indicante",IF(AND(H1788&lt;&gt;1,I1788&lt;&gt;""),"Nome sem indicação interna",IF(AND(G1788=1,F1788=""),"Fechamento sem conversa",IF(OR(AND(E1788&lt;&gt;"",E1788&lt;B1788),AND(F1788&lt;&gt;"",F1788&lt;B1788)),"Evento anterior à entrada",IF(AND(F1788&lt;&gt;"",E1788=""),"Conversa sem agendamento",IF(OR(E1788&gt;TODAY(),F1788&gt;TODAY()),"Verificar evento futuro","OK"))))))))))</f>
        <v/>
      </c>
    </row>
    <row r="1789" spans="12:15">
      <c r="L1789" s="5">
        <f>IF(OR(A1789="",B1789=""),"",B1789-WEEKDAY(B1789,2)+1)</f>
        <v/>
      </c>
      <c r="M1789" s="5">
        <f>IF(L1789="","",L1789+6)</f>
        <v/>
      </c>
      <c r="N1789" s="6">
        <f>IF(OR(A1789="",B1789=""),"",DATE(YEAR(B1789),MONTH(B1789),1))</f>
        <v/>
      </c>
      <c r="O1789" s="7">
        <f>IF(COUNTA(A1789:K1789)=0,"",IF(OR(A1789="",B1789=""),"Preencher CPF e entrada",IF(COUNTIFS($A$12:$A$5011,A1789,$B$12:$B$5011,B1789)&gt;1,"CPF + dia duplicado",IF(OR(AND(G1789&lt;&gt;"",G1789&lt;&gt;0,G1789&lt;&gt;1),AND(H1789&lt;&gt;"",H1789&lt;&gt;0,H1789&lt;&gt;1)),"Flags devem ser 0 ou 1",IF(AND(H1789=1,LEN(TRIM(I1789))=0),"Preencher nome do indicante",IF(AND(H1789&lt;&gt;1,I1789&lt;&gt;""),"Nome sem indicação interna",IF(AND(G1789=1,F1789=""),"Fechamento sem conversa",IF(OR(AND(E1789&lt;&gt;"",E1789&lt;B1789),AND(F1789&lt;&gt;"",F1789&lt;B1789)),"Evento anterior à entrada",IF(AND(F1789&lt;&gt;"",E1789=""),"Conversa sem agendamento",IF(OR(E1789&gt;TODAY(),F1789&gt;TODAY()),"Verificar evento futuro","OK"))))))))))</f>
        <v/>
      </c>
    </row>
    <row r="1790" spans="12:15">
      <c r="L1790" s="5">
        <f>IF(OR(A1790="",B1790=""),"",B1790-WEEKDAY(B1790,2)+1)</f>
        <v/>
      </c>
      <c r="M1790" s="5">
        <f>IF(L1790="","",L1790+6)</f>
        <v/>
      </c>
      <c r="N1790" s="6">
        <f>IF(OR(A1790="",B1790=""),"",DATE(YEAR(B1790),MONTH(B1790),1))</f>
        <v/>
      </c>
      <c r="O1790" s="7">
        <f>IF(COUNTA(A1790:K1790)=0,"",IF(OR(A1790="",B1790=""),"Preencher CPF e entrada",IF(COUNTIFS($A$12:$A$5011,A1790,$B$12:$B$5011,B1790)&gt;1,"CPF + dia duplicado",IF(OR(AND(G1790&lt;&gt;"",G1790&lt;&gt;0,G1790&lt;&gt;1),AND(H1790&lt;&gt;"",H1790&lt;&gt;0,H1790&lt;&gt;1)),"Flags devem ser 0 ou 1",IF(AND(H1790=1,LEN(TRIM(I1790))=0),"Preencher nome do indicante",IF(AND(H1790&lt;&gt;1,I1790&lt;&gt;""),"Nome sem indicação interna",IF(AND(G1790=1,F1790=""),"Fechamento sem conversa",IF(OR(AND(E1790&lt;&gt;"",E1790&lt;B1790),AND(F1790&lt;&gt;"",F1790&lt;B1790)),"Evento anterior à entrada",IF(AND(F1790&lt;&gt;"",E1790=""),"Conversa sem agendamento",IF(OR(E1790&gt;TODAY(),F1790&gt;TODAY()),"Verificar evento futuro","OK"))))))))))</f>
        <v/>
      </c>
    </row>
    <row r="1791" spans="12:15">
      <c r="L1791" s="5">
        <f>IF(OR(A1791="",B1791=""),"",B1791-WEEKDAY(B1791,2)+1)</f>
        <v/>
      </c>
      <c r="M1791" s="5">
        <f>IF(L1791="","",L1791+6)</f>
        <v/>
      </c>
      <c r="N1791" s="6">
        <f>IF(OR(A1791="",B1791=""),"",DATE(YEAR(B1791),MONTH(B1791),1))</f>
        <v/>
      </c>
      <c r="O1791" s="7">
        <f>IF(COUNTA(A1791:K1791)=0,"",IF(OR(A1791="",B1791=""),"Preencher CPF e entrada",IF(COUNTIFS($A$12:$A$5011,A1791,$B$12:$B$5011,B1791)&gt;1,"CPF + dia duplicado",IF(OR(AND(G1791&lt;&gt;"",G1791&lt;&gt;0,G1791&lt;&gt;1),AND(H1791&lt;&gt;"",H1791&lt;&gt;0,H1791&lt;&gt;1)),"Flags devem ser 0 ou 1",IF(AND(H1791=1,LEN(TRIM(I1791))=0),"Preencher nome do indicante",IF(AND(H1791&lt;&gt;1,I1791&lt;&gt;""),"Nome sem indicação interna",IF(AND(G1791=1,F1791=""),"Fechamento sem conversa",IF(OR(AND(E1791&lt;&gt;"",E1791&lt;B1791),AND(F1791&lt;&gt;"",F1791&lt;B1791)),"Evento anterior à entrada",IF(AND(F1791&lt;&gt;"",E1791=""),"Conversa sem agendamento",IF(OR(E1791&gt;TODAY(),F1791&gt;TODAY()),"Verificar evento futuro","OK"))))))))))</f>
        <v/>
      </c>
    </row>
    <row r="1792" spans="12:15">
      <c r="L1792" s="5">
        <f>IF(OR(A1792="",B1792=""),"",B1792-WEEKDAY(B1792,2)+1)</f>
        <v/>
      </c>
      <c r="M1792" s="5">
        <f>IF(L1792="","",L1792+6)</f>
        <v/>
      </c>
      <c r="N1792" s="6">
        <f>IF(OR(A1792="",B1792=""),"",DATE(YEAR(B1792),MONTH(B1792),1))</f>
        <v/>
      </c>
      <c r="O1792" s="7">
        <f>IF(COUNTA(A1792:K1792)=0,"",IF(OR(A1792="",B1792=""),"Preencher CPF e entrada",IF(COUNTIFS($A$12:$A$5011,A1792,$B$12:$B$5011,B1792)&gt;1,"CPF + dia duplicado",IF(OR(AND(G1792&lt;&gt;"",G1792&lt;&gt;0,G1792&lt;&gt;1),AND(H1792&lt;&gt;"",H1792&lt;&gt;0,H1792&lt;&gt;1)),"Flags devem ser 0 ou 1",IF(AND(H1792=1,LEN(TRIM(I1792))=0),"Preencher nome do indicante",IF(AND(H1792&lt;&gt;1,I1792&lt;&gt;""),"Nome sem indicação interna",IF(AND(G1792=1,F1792=""),"Fechamento sem conversa",IF(OR(AND(E1792&lt;&gt;"",E1792&lt;B1792),AND(F1792&lt;&gt;"",F1792&lt;B1792)),"Evento anterior à entrada",IF(AND(F1792&lt;&gt;"",E1792=""),"Conversa sem agendamento",IF(OR(E1792&gt;TODAY(),F1792&gt;TODAY()),"Verificar evento futuro","OK"))))))))))</f>
        <v/>
      </c>
    </row>
    <row r="1793" spans="12:15">
      <c r="L1793" s="5">
        <f>IF(OR(A1793="",B1793=""),"",B1793-WEEKDAY(B1793,2)+1)</f>
        <v/>
      </c>
      <c r="M1793" s="5">
        <f>IF(L1793="","",L1793+6)</f>
        <v/>
      </c>
      <c r="N1793" s="6">
        <f>IF(OR(A1793="",B1793=""),"",DATE(YEAR(B1793),MONTH(B1793),1))</f>
        <v/>
      </c>
      <c r="O1793" s="7">
        <f>IF(COUNTA(A1793:K1793)=0,"",IF(OR(A1793="",B1793=""),"Preencher CPF e entrada",IF(COUNTIFS($A$12:$A$5011,A1793,$B$12:$B$5011,B1793)&gt;1,"CPF + dia duplicado",IF(OR(AND(G1793&lt;&gt;"",G1793&lt;&gt;0,G1793&lt;&gt;1),AND(H1793&lt;&gt;"",H1793&lt;&gt;0,H1793&lt;&gt;1)),"Flags devem ser 0 ou 1",IF(AND(H1793=1,LEN(TRIM(I1793))=0),"Preencher nome do indicante",IF(AND(H1793&lt;&gt;1,I1793&lt;&gt;""),"Nome sem indicação interna",IF(AND(G1793=1,F1793=""),"Fechamento sem conversa",IF(OR(AND(E1793&lt;&gt;"",E1793&lt;B1793),AND(F1793&lt;&gt;"",F1793&lt;B1793)),"Evento anterior à entrada",IF(AND(F1793&lt;&gt;"",E1793=""),"Conversa sem agendamento",IF(OR(E1793&gt;TODAY(),F1793&gt;TODAY()),"Verificar evento futuro","OK"))))))))))</f>
        <v/>
      </c>
    </row>
    <row r="1794" spans="12:15">
      <c r="L1794" s="5">
        <f>IF(OR(A1794="",B1794=""),"",B1794-WEEKDAY(B1794,2)+1)</f>
        <v/>
      </c>
      <c r="M1794" s="5">
        <f>IF(L1794="","",L1794+6)</f>
        <v/>
      </c>
      <c r="N1794" s="6">
        <f>IF(OR(A1794="",B1794=""),"",DATE(YEAR(B1794),MONTH(B1794),1))</f>
        <v/>
      </c>
      <c r="O1794" s="7">
        <f>IF(COUNTA(A1794:K1794)=0,"",IF(OR(A1794="",B1794=""),"Preencher CPF e entrada",IF(COUNTIFS($A$12:$A$5011,A1794,$B$12:$B$5011,B1794)&gt;1,"CPF + dia duplicado",IF(OR(AND(G1794&lt;&gt;"",G1794&lt;&gt;0,G1794&lt;&gt;1),AND(H1794&lt;&gt;"",H1794&lt;&gt;0,H1794&lt;&gt;1)),"Flags devem ser 0 ou 1",IF(AND(H1794=1,LEN(TRIM(I1794))=0),"Preencher nome do indicante",IF(AND(H1794&lt;&gt;1,I1794&lt;&gt;""),"Nome sem indicação interna",IF(AND(G1794=1,F1794=""),"Fechamento sem conversa",IF(OR(AND(E1794&lt;&gt;"",E1794&lt;B1794),AND(F1794&lt;&gt;"",F1794&lt;B1794)),"Evento anterior à entrada",IF(AND(F1794&lt;&gt;"",E1794=""),"Conversa sem agendamento",IF(OR(E1794&gt;TODAY(),F1794&gt;TODAY()),"Verificar evento futuro","OK"))))))))))</f>
        <v/>
      </c>
    </row>
    <row r="1795" spans="12:15">
      <c r="L1795" s="5">
        <f>IF(OR(A1795="",B1795=""),"",B1795-WEEKDAY(B1795,2)+1)</f>
        <v/>
      </c>
      <c r="M1795" s="5">
        <f>IF(L1795="","",L1795+6)</f>
        <v/>
      </c>
      <c r="N1795" s="6">
        <f>IF(OR(A1795="",B1795=""),"",DATE(YEAR(B1795),MONTH(B1795),1))</f>
        <v/>
      </c>
      <c r="O1795" s="7">
        <f>IF(COUNTA(A1795:K1795)=0,"",IF(OR(A1795="",B1795=""),"Preencher CPF e entrada",IF(COUNTIFS($A$12:$A$5011,A1795,$B$12:$B$5011,B1795)&gt;1,"CPF + dia duplicado",IF(OR(AND(G1795&lt;&gt;"",G1795&lt;&gt;0,G1795&lt;&gt;1),AND(H1795&lt;&gt;"",H1795&lt;&gt;0,H1795&lt;&gt;1)),"Flags devem ser 0 ou 1",IF(AND(H1795=1,LEN(TRIM(I1795))=0),"Preencher nome do indicante",IF(AND(H1795&lt;&gt;1,I1795&lt;&gt;""),"Nome sem indicação interna",IF(AND(G1795=1,F1795=""),"Fechamento sem conversa",IF(OR(AND(E1795&lt;&gt;"",E1795&lt;B1795),AND(F1795&lt;&gt;"",F1795&lt;B1795)),"Evento anterior à entrada",IF(AND(F1795&lt;&gt;"",E1795=""),"Conversa sem agendamento",IF(OR(E1795&gt;TODAY(),F1795&gt;TODAY()),"Verificar evento futuro","OK"))))))))))</f>
        <v/>
      </c>
    </row>
    <row r="1796" spans="12:15">
      <c r="L1796" s="5">
        <f>IF(OR(A1796="",B1796=""),"",B1796-WEEKDAY(B1796,2)+1)</f>
        <v/>
      </c>
      <c r="M1796" s="5">
        <f>IF(L1796="","",L1796+6)</f>
        <v/>
      </c>
      <c r="N1796" s="6">
        <f>IF(OR(A1796="",B1796=""),"",DATE(YEAR(B1796),MONTH(B1796),1))</f>
        <v/>
      </c>
      <c r="O1796" s="7">
        <f>IF(COUNTA(A1796:K1796)=0,"",IF(OR(A1796="",B1796=""),"Preencher CPF e entrada",IF(COUNTIFS($A$12:$A$5011,A1796,$B$12:$B$5011,B1796)&gt;1,"CPF + dia duplicado",IF(OR(AND(G1796&lt;&gt;"",G1796&lt;&gt;0,G1796&lt;&gt;1),AND(H1796&lt;&gt;"",H1796&lt;&gt;0,H1796&lt;&gt;1)),"Flags devem ser 0 ou 1",IF(AND(H1796=1,LEN(TRIM(I1796))=0),"Preencher nome do indicante",IF(AND(H1796&lt;&gt;1,I1796&lt;&gt;""),"Nome sem indicação interna",IF(AND(G1796=1,F1796=""),"Fechamento sem conversa",IF(OR(AND(E1796&lt;&gt;"",E1796&lt;B1796),AND(F1796&lt;&gt;"",F1796&lt;B1796)),"Evento anterior à entrada",IF(AND(F1796&lt;&gt;"",E1796=""),"Conversa sem agendamento",IF(OR(E1796&gt;TODAY(),F1796&gt;TODAY()),"Verificar evento futuro","OK"))))))))))</f>
        <v/>
      </c>
    </row>
    <row r="1797" spans="12:15">
      <c r="L1797" s="5">
        <f>IF(OR(A1797="",B1797=""),"",B1797-WEEKDAY(B1797,2)+1)</f>
        <v/>
      </c>
      <c r="M1797" s="5">
        <f>IF(L1797="","",L1797+6)</f>
        <v/>
      </c>
      <c r="N1797" s="6">
        <f>IF(OR(A1797="",B1797=""),"",DATE(YEAR(B1797),MONTH(B1797),1))</f>
        <v/>
      </c>
      <c r="O1797" s="7">
        <f>IF(COUNTA(A1797:K1797)=0,"",IF(OR(A1797="",B1797=""),"Preencher CPF e entrada",IF(COUNTIFS($A$12:$A$5011,A1797,$B$12:$B$5011,B1797)&gt;1,"CPF + dia duplicado",IF(OR(AND(G1797&lt;&gt;"",G1797&lt;&gt;0,G1797&lt;&gt;1),AND(H1797&lt;&gt;"",H1797&lt;&gt;0,H1797&lt;&gt;1)),"Flags devem ser 0 ou 1",IF(AND(H1797=1,LEN(TRIM(I1797))=0),"Preencher nome do indicante",IF(AND(H1797&lt;&gt;1,I1797&lt;&gt;""),"Nome sem indicação interna",IF(AND(G1797=1,F1797=""),"Fechamento sem conversa",IF(OR(AND(E1797&lt;&gt;"",E1797&lt;B1797),AND(F1797&lt;&gt;"",F1797&lt;B1797)),"Evento anterior à entrada",IF(AND(F1797&lt;&gt;"",E1797=""),"Conversa sem agendamento",IF(OR(E1797&gt;TODAY(),F1797&gt;TODAY()),"Verificar evento futuro","OK"))))))))))</f>
        <v/>
      </c>
    </row>
    <row r="1798" spans="12:15">
      <c r="L1798" s="5">
        <f>IF(OR(A1798="",B1798=""),"",B1798-WEEKDAY(B1798,2)+1)</f>
        <v/>
      </c>
      <c r="M1798" s="5">
        <f>IF(L1798="","",L1798+6)</f>
        <v/>
      </c>
      <c r="N1798" s="6">
        <f>IF(OR(A1798="",B1798=""),"",DATE(YEAR(B1798),MONTH(B1798),1))</f>
        <v/>
      </c>
      <c r="O1798" s="7">
        <f>IF(COUNTA(A1798:K1798)=0,"",IF(OR(A1798="",B1798=""),"Preencher CPF e entrada",IF(COUNTIFS($A$12:$A$5011,A1798,$B$12:$B$5011,B1798)&gt;1,"CPF + dia duplicado",IF(OR(AND(G1798&lt;&gt;"",G1798&lt;&gt;0,G1798&lt;&gt;1),AND(H1798&lt;&gt;"",H1798&lt;&gt;0,H1798&lt;&gt;1)),"Flags devem ser 0 ou 1",IF(AND(H1798=1,LEN(TRIM(I1798))=0),"Preencher nome do indicante",IF(AND(H1798&lt;&gt;1,I1798&lt;&gt;""),"Nome sem indicação interna",IF(AND(G1798=1,F1798=""),"Fechamento sem conversa",IF(OR(AND(E1798&lt;&gt;"",E1798&lt;B1798),AND(F1798&lt;&gt;"",F1798&lt;B1798)),"Evento anterior à entrada",IF(AND(F1798&lt;&gt;"",E1798=""),"Conversa sem agendamento",IF(OR(E1798&gt;TODAY(),F1798&gt;TODAY()),"Verificar evento futuro","OK"))))))))))</f>
        <v/>
      </c>
    </row>
    <row r="1799" spans="12:15">
      <c r="L1799" s="5">
        <f>IF(OR(A1799="",B1799=""),"",B1799-WEEKDAY(B1799,2)+1)</f>
        <v/>
      </c>
      <c r="M1799" s="5">
        <f>IF(L1799="","",L1799+6)</f>
        <v/>
      </c>
      <c r="N1799" s="6">
        <f>IF(OR(A1799="",B1799=""),"",DATE(YEAR(B1799),MONTH(B1799),1))</f>
        <v/>
      </c>
      <c r="O1799" s="7">
        <f>IF(COUNTA(A1799:K1799)=0,"",IF(OR(A1799="",B1799=""),"Preencher CPF e entrada",IF(COUNTIFS($A$12:$A$5011,A1799,$B$12:$B$5011,B1799)&gt;1,"CPF + dia duplicado",IF(OR(AND(G1799&lt;&gt;"",G1799&lt;&gt;0,G1799&lt;&gt;1),AND(H1799&lt;&gt;"",H1799&lt;&gt;0,H1799&lt;&gt;1)),"Flags devem ser 0 ou 1",IF(AND(H1799=1,LEN(TRIM(I1799))=0),"Preencher nome do indicante",IF(AND(H1799&lt;&gt;1,I1799&lt;&gt;""),"Nome sem indicação interna",IF(AND(G1799=1,F1799=""),"Fechamento sem conversa",IF(OR(AND(E1799&lt;&gt;"",E1799&lt;B1799),AND(F1799&lt;&gt;"",F1799&lt;B1799)),"Evento anterior à entrada",IF(AND(F1799&lt;&gt;"",E1799=""),"Conversa sem agendamento",IF(OR(E1799&gt;TODAY(),F1799&gt;TODAY()),"Verificar evento futuro","OK"))))))))))</f>
        <v/>
      </c>
    </row>
    <row r="1800" spans="12:15">
      <c r="L1800" s="5">
        <f>IF(OR(A1800="",B1800=""),"",B1800-WEEKDAY(B1800,2)+1)</f>
        <v/>
      </c>
      <c r="M1800" s="5">
        <f>IF(L1800="","",L1800+6)</f>
        <v/>
      </c>
      <c r="N1800" s="6">
        <f>IF(OR(A1800="",B1800=""),"",DATE(YEAR(B1800),MONTH(B1800),1))</f>
        <v/>
      </c>
      <c r="O1800" s="7">
        <f>IF(COUNTA(A1800:K1800)=0,"",IF(OR(A1800="",B1800=""),"Preencher CPF e entrada",IF(COUNTIFS($A$12:$A$5011,A1800,$B$12:$B$5011,B1800)&gt;1,"CPF + dia duplicado",IF(OR(AND(G1800&lt;&gt;"",G1800&lt;&gt;0,G1800&lt;&gt;1),AND(H1800&lt;&gt;"",H1800&lt;&gt;0,H1800&lt;&gt;1)),"Flags devem ser 0 ou 1",IF(AND(H1800=1,LEN(TRIM(I1800))=0),"Preencher nome do indicante",IF(AND(H1800&lt;&gt;1,I1800&lt;&gt;""),"Nome sem indicação interna",IF(AND(G1800=1,F1800=""),"Fechamento sem conversa",IF(OR(AND(E1800&lt;&gt;"",E1800&lt;B1800),AND(F1800&lt;&gt;"",F1800&lt;B1800)),"Evento anterior à entrada",IF(AND(F1800&lt;&gt;"",E1800=""),"Conversa sem agendamento",IF(OR(E1800&gt;TODAY(),F1800&gt;TODAY()),"Verificar evento futuro","OK"))))))))))</f>
        <v/>
      </c>
    </row>
    <row r="1801" spans="12:15">
      <c r="L1801" s="5">
        <f>IF(OR(A1801="",B1801=""),"",B1801-WEEKDAY(B1801,2)+1)</f>
        <v/>
      </c>
      <c r="M1801" s="5">
        <f>IF(L1801="","",L1801+6)</f>
        <v/>
      </c>
      <c r="N1801" s="6">
        <f>IF(OR(A1801="",B1801=""),"",DATE(YEAR(B1801),MONTH(B1801),1))</f>
        <v/>
      </c>
      <c r="O1801" s="7">
        <f>IF(COUNTA(A1801:K1801)=0,"",IF(OR(A1801="",B1801=""),"Preencher CPF e entrada",IF(COUNTIFS($A$12:$A$5011,A1801,$B$12:$B$5011,B1801)&gt;1,"CPF + dia duplicado",IF(OR(AND(G1801&lt;&gt;"",G1801&lt;&gt;0,G1801&lt;&gt;1),AND(H1801&lt;&gt;"",H1801&lt;&gt;0,H1801&lt;&gt;1)),"Flags devem ser 0 ou 1",IF(AND(H1801=1,LEN(TRIM(I1801))=0),"Preencher nome do indicante",IF(AND(H1801&lt;&gt;1,I1801&lt;&gt;""),"Nome sem indicação interna",IF(AND(G1801=1,F1801=""),"Fechamento sem conversa",IF(OR(AND(E1801&lt;&gt;"",E1801&lt;B1801),AND(F1801&lt;&gt;"",F1801&lt;B1801)),"Evento anterior à entrada",IF(AND(F1801&lt;&gt;"",E1801=""),"Conversa sem agendamento",IF(OR(E1801&gt;TODAY(),F1801&gt;TODAY()),"Verificar evento futuro","OK"))))))))))</f>
        <v/>
      </c>
    </row>
    <row r="1802" spans="12:15">
      <c r="L1802" s="5">
        <f>IF(OR(A1802="",B1802=""),"",B1802-WEEKDAY(B1802,2)+1)</f>
        <v/>
      </c>
      <c r="M1802" s="5">
        <f>IF(L1802="","",L1802+6)</f>
        <v/>
      </c>
      <c r="N1802" s="6">
        <f>IF(OR(A1802="",B1802=""),"",DATE(YEAR(B1802),MONTH(B1802),1))</f>
        <v/>
      </c>
      <c r="O1802" s="7">
        <f>IF(COUNTA(A1802:K1802)=0,"",IF(OR(A1802="",B1802=""),"Preencher CPF e entrada",IF(COUNTIFS($A$12:$A$5011,A1802,$B$12:$B$5011,B1802)&gt;1,"CPF + dia duplicado",IF(OR(AND(G1802&lt;&gt;"",G1802&lt;&gt;0,G1802&lt;&gt;1),AND(H1802&lt;&gt;"",H1802&lt;&gt;0,H1802&lt;&gt;1)),"Flags devem ser 0 ou 1",IF(AND(H1802=1,LEN(TRIM(I1802))=0),"Preencher nome do indicante",IF(AND(H1802&lt;&gt;1,I1802&lt;&gt;""),"Nome sem indicação interna",IF(AND(G1802=1,F1802=""),"Fechamento sem conversa",IF(OR(AND(E1802&lt;&gt;"",E1802&lt;B1802),AND(F1802&lt;&gt;"",F1802&lt;B1802)),"Evento anterior à entrada",IF(AND(F1802&lt;&gt;"",E1802=""),"Conversa sem agendamento",IF(OR(E1802&gt;TODAY(),F1802&gt;TODAY()),"Verificar evento futuro","OK"))))))))))</f>
        <v/>
      </c>
    </row>
    <row r="1803" spans="12:15">
      <c r="L1803" s="5">
        <f>IF(OR(A1803="",B1803=""),"",B1803-WEEKDAY(B1803,2)+1)</f>
        <v/>
      </c>
      <c r="M1803" s="5">
        <f>IF(L1803="","",L1803+6)</f>
        <v/>
      </c>
      <c r="N1803" s="6">
        <f>IF(OR(A1803="",B1803=""),"",DATE(YEAR(B1803),MONTH(B1803),1))</f>
        <v/>
      </c>
      <c r="O1803" s="7">
        <f>IF(COUNTA(A1803:K1803)=0,"",IF(OR(A1803="",B1803=""),"Preencher CPF e entrada",IF(COUNTIFS($A$12:$A$5011,A1803,$B$12:$B$5011,B1803)&gt;1,"CPF + dia duplicado",IF(OR(AND(G1803&lt;&gt;"",G1803&lt;&gt;0,G1803&lt;&gt;1),AND(H1803&lt;&gt;"",H1803&lt;&gt;0,H1803&lt;&gt;1)),"Flags devem ser 0 ou 1",IF(AND(H1803=1,LEN(TRIM(I1803))=0),"Preencher nome do indicante",IF(AND(H1803&lt;&gt;1,I1803&lt;&gt;""),"Nome sem indicação interna",IF(AND(G1803=1,F1803=""),"Fechamento sem conversa",IF(OR(AND(E1803&lt;&gt;"",E1803&lt;B1803),AND(F1803&lt;&gt;"",F1803&lt;B1803)),"Evento anterior à entrada",IF(AND(F1803&lt;&gt;"",E1803=""),"Conversa sem agendamento",IF(OR(E1803&gt;TODAY(),F1803&gt;TODAY()),"Verificar evento futuro","OK"))))))))))</f>
        <v/>
      </c>
    </row>
    <row r="1804" spans="12:15">
      <c r="L1804" s="5">
        <f>IF(OR(A1804="",B1804=""),"",B1804-WEEKDAY(B1804,2)+1)</f>
        <v/>
      </c>
      <c r="M1804" s="5">
        <f>IF(L1804="","",L1804+6)</f>
        <v/>
      </c>
      <c r="N1804" s="6">
        <f>IF(OR(A1804="",B1804=""),"",DATE(YEAR(B1804),MONTH(B1804),1))</f>
        <v/>
      </c>
      <c r="O1804" s="7">
        <f>IF(COUNTA(A1804:K1804)=0,"",IF(OR(A1804="",B1804=""),"Preencher CPF e entrada",IF(COUNTIFS($A$12:$A$5011,A1804,$B$12:$B$5011,B1804)&gt;1,"CPF + dia duplicado",IF(OR(AND(G1804&lt;&gt;"",G1804&lt;&gt;0,G1804&lt;&gt;1),AND(H1804&lt;&gt;"",H1804&lt;&gt;0,H1804&lt;&gt;1)),"Flags devem ser 0 ou 1",IF(AND(H1804=1,LEN(TRIM(I1804))=0),"Preencher nome do indicante",IF(AND(H1804&lt;&gt;1,I1804&lt;&gt;""),"Nome sem indicação interna",IF(AND(G1804=1,F1804=""),"Fechamento sem conversa",IF(OR(AND(E1804&lt;&gt;"",E1804&lt;B1804),AND(F1804&lt;&gt;"",F1804&lt;B1804)),"Evento anterior à entrada",IF(AND(F1804&lt;&gt;"",E1804=""),"Conversa sem agendamento",IF(OR(E1804&gt;TODAY(),F1804&gt;TODAY()),"Verificar evento futuro","OK"))))))))))</f>
        <v/>
      </c>
    </row>
    <row r="1805" spans="12:15">
      <c r="L1805" s="5">
        <f>IF(OR(A1805="",B1805=""),"",B1805-WEEKDAY(B1805,2)+1)</f>
        <v/>
      </c>
      <c r="M1805" s="5">
        <f>IF(L1805="","",L1805+6)</f>
        <v/>
      </c>
      <c r="N1805" s="6">
        <f>IF(OR(A1805="",B1805=""),"",DATE(YEAR(B1805),MONTH(B1805),1))</f>
        <v/>
      </c>
      <c r="O1805" s="7">
        <f>IF(COUNTA(A1805:K1805)=0,"",IF(OR(A1805="",B1805=""),"Preencher CPF e entrada",IF(COUNTIFS($A$12:$A$5011,A1805,$B$12:$B$5011,B1805)&gt;1,"CPF + dia duplicado",IF(OR(AND(G1805&lt;&gt;"",G1805&lt;&gt;0,G1805&lt;&gt;1),AND(H1805&lt;&gt;"",H1805&lt;&gt;0,H1805&lt;&gt;1)),"Flags devem ser 0 ou 1",IF(AND(H1805=1,LEN(TRIM(I1805))=0),"Preencher nome do indicante",IF(AND(H1805&lt;&gt;1,I1805&lt;&gt;""),"Nome sem indicação interna",IF(AND(G1805=1,F1805=""),"Fechamento sem conversa",IF(OR(AND(E1805&lt;&gt;"",E1805&lt;B1805),AND(F1805&lt;&gt;"",F1805&lt;B1805)),"Evento anterior à entrada",IF(AND(F1805&lt;&gt;"",E1805=""),"Conversa sem agendamento",IF(OR(E1805&gt;TODAY(),F1805&gt;TODAY()),"Verificar evento futuro","OK"))))))))))</f>
        <v/>
      </c>
    </row>
    <row r="1806" spans="12:15">
      <c r="L1806" s="5">
        <f>IF(OR(A1806="",B1806=""),"",B1806-WEEKDAY(B1806,2)+1)</f>
        <v/>
      </c>
      <c r="M1806" s="5">
        <f>IF(L1806="","",L1806+6)</f>
        <v/>
      </c>
      <c r="N1806" s="6">
        <f>IF(OR(A1806="",B1806=""),"",DATE(YEAR(B1806),MONTH(B1806),1))</f>
        <v/>
      </c>
      <c r="O1806" s="7">
        <f>IF(COUNTA(A1806:K1806)=0,"",IF(OR(A1806="",B1806=""),"Preencher CPF e entrada",IF(COUNTIFS($A$12:$A$5011,A1806,$B$12:$B$5011,B1806)&gt;1,"CPF + dia duplicado",IF(OR(AND(G1806&lt;&gt;"",G1806&lt;&gt;0,G1806&lt;&gt;1),AND(H1806&lt;&gt;"",H1806&lt;&gt;0,H1806&lt;&gt;1)),"Flags devem ser 0 ou 1",IF(AND(H1806=1,LEN(TRIM(I1806))=0),"Preencher nome do indicante",IF(AND(H1806&lt;&gt;1,I1806&lt;&gt;""),"Nome sem indicação interna",IF(AND(G1806=1,F1806=""),"Fechamento sem conversa",IF(OR(AND(E1806&lt;&gt;"",E1806&lt;B1806),AND(F1806&lt;&gt;"",F1806&lt;B1806)),"Evento anterior à entrada",IF(AND(F1806&lt;&gt;"",E1806=""),"Conversa sem agendamento",IF(OR(E1806&gt;TODAY(),F1806&gt;TODAY()),"Verificar evento futuro","OK"))))))))))</f>
        <v/>
      </c>
    </row>
    <row r="1807" spans="12:15">
      <c r="L1807" s="5">
        <f>IF(OR(A1807="",B1807=""),"",B1807-WEEKDAY(B1807,2)+1)</f>
        <v/>
      </c>
      <c r="M1807" s="5">
        <f>IF(L1807="","",L1807+6)</f>
        <v/>
      </c>
      <c r="N1807" s="6">
        <f>IF(OR(A1807="",B1807=""),"",DATE(YEAR(B1807),MONTH(B1807),1))</f>
        <v/>
      </c>
      <c r="O1807" s="7">
        <f>IF(COUNTA(A1807:K1807)=0,"",IF(OR(A1807="",B1807=""),"Preencher CPF e entrada",IF(COUNTIFS($A$12:$A$5011,A1807,$B$12:$B$5011,B1807)&gt;1,"CPF + dia duplicado",IF(OR(AND(G1807&lt;&gt;"",G1807&lt;&gt;0,G1807&lt;&gt;1),AND(H1807&lt;&gt;"",H1807&lt;&gt;0,H1807&lt;&gt;1)),"Flags devem ser 0 ou 1",IF(AND(H1807=1,LEN(TRIM(I1807))=0),"Preencher nome do indicante",IF(AND(H1807&lt;&gt;1,I1807&lt;&gt;""),"Nome sem indicação interna",IF(AND(G1807=1,F1807=""),"Fechamento sem conversa",IF(OR(AND(E1807&lt;&gt;"",E1807&lt;B1807),AND(F1807&lt;&gt;"",F1807&lt;B1807)),"Evento anterior à entrada",IF(AND(F1807&lt;&gt;"",E1807=""),"Conversa sem agendamento",IF(OR(E1807&gt;TODAY(),F1807&gt;TODAY()),"Verificar evento futuro","OK"))))))))))</f>
        <v/>
      </c>
    </row>
    <row r="1808" spans="12:15">
      <c r="L1808" s="5">
        <f>IF(OR(A1808="",B1808=""),"",B1808-WEEKDAY(B1808,2)+1)</f>
        <v/>
      </c>
      <c r="M1808" s="5">
        <f>IF(L1808="","",L1808+6)</f>
        <v/>
      </c>
      <c r="N1808" s="6">
        <f>IF(OR(A1808="",B1808=""),"",DATE(YEAR(B1808),MONTH(B1808),1))</f>
        <v/>
      </c>
      <c r="O1808" s="7">
        <f>IF(COUNTA(A1808:K1808)=0,"",IF(OR(A1808="",B1808=""),"Preencher CPF e entrada",IF(COUNTIFS($A$12:$A$5011,A1808,$B$12:$B$5011,B1808)&gt;1,"CPF + dia duplicado",IF(OR(AND(G1808&lt;&gt;"",G1808&lt;&gt;0,G1808&lt;&gt;1),AND(H1808&lt;&gt;"",H1808&lt;&gt;0,H1808&lt;&gt;1)),"Flags devem ser 0 ou 1",IF(AND(H1808=1,LEN(TRIM(I1808))=0),"Preencher nome do indicante",IF(AND(H1808&lt;&gt;1,I1808&lt;&gt;""),"Nome sem indicação interna",IF(AND(G1808=1,F1808=""),"Fechamento sem conversa",IF(OR(AND(E1808&lt;&gt;"",E1808&lt;B1808),AND(F1808&lt;&gt;"",F1808&lt;B1808)),"Evento anterior à entrada",IF(AND(F1808&lt;&gt;"",E1808=""),"Conversa sem agendamento",IF(OR(E1808&gt;TODAY(),F1808&gt;TODAY()),"Verificar evento futuro","OK"))))))))))</f>
        <v/>
      </c>
    </row>
    <row r="1809" spans="12:15">
      <c r="L1809" s="5">
        <f>IF(OR(A1809="",B1809=""),"",B1809-WEEKDAY(B1809,2)+1)</f>
        <v/>
      </c>
      <c r="M1809" s="5">
        <f>IF(L1809="","",L1809+6)</f>
        <v/>
      </c>
      <c r="N1809" s="6">
        <f>IF(OR(A1809="",B1809=""),"",DATE(YEAR(B1809),MONTH(B1809),1))</f>
        <v/>
      </c>
      <c r="O1809" s="7">
        <f>IF(COUNTA(A1809:K1809)=0,"",IF(OR(A1809="",B1809=""),"Preencher CPF e entrada",IF(COUNTIFS($A$12:$A$5011,A1809,$B$12:$B$5011,B1809)&gt;1,"CPF + dia duplicado",IF(OR(AND(G1809&lt;&gt;"",G1809&lt;&gt;0,G1809&lt;&gt;1),AND(H1809&lt;&gt;"",H1809&lt;&gt;0,H1809&lt;&gt;1)),"Flags devem ser 0 ou 1",IF(AND(H1809=1,LEN(TRIM(I1809))=0),"Preencher nome do indicante",IF(AND(H1809&lt;&gt;1,I1809&lt;&gt;""),"Nome sem indicação interna",IF(AND(G1809=1,F1809=""),"Fechamento sem conversa",IF(OR(AND(E1809&lt;&gt;"",E1809&lt;B1809),AND(F1809&lt;&gt;"",F1809&lt;B1809)),"Evento anterior à entrada",IF(AND(F1809&lt;&gt;"",E1809=""),"Conversa sem agendamento",IF(OR(E1809&gt;TODAY(),F1809&gt;TODAY()),"Verificar evento futuro","OK"))))))))))</f>
        <v/>
      </c>
    </row>
    <row r="1810" spans="12:15">
      <c r="L1810" s="5">
        <f>IF(OR(A1810="",B1810=""),"",B1810-WEEKDAY(B1810,2)+1)</f>
        <v/>
      </c>
      <c r="M1810" s="5">
        <f>IF(L1810="","",L1810+6)</f>
        <v/>
      </c>
      <c r="N1810" s="6">
        <f>IF(OR(A1810="",B1810=""),"",DATE(YEAR(B1810),MONTH(B1810),1))</f>
        <v/>
      </c>
      <c r="O1810" s="7">
        <f>IF(COUNTA(A1810:K1810)=0,"",IF(OR(A1810="",B1810=""),"Preencher CPF e entrada",IF(COUNTIFS($A$12:$A$5011,A1810,$B$12:$B$5011,B1810)&gt;1,"CPF + dia duplicado",IF(OR(AND(G1810&lt;&gt;"",G1810&lt;&gt;0,G1810&lt;&gt;1),AND(H1810&lt;&gt;"",H1810&lt;&gt;0,H1810&lt;&gt;1)),"Flags devem ser 0 ou 1",IF(AND(H1810=1,LEN(TRIM(I1810))=0),"Preencher nome do indicante",IF(AND(H1810&lt;&gt;1,I1810&lt;&gt;""),"Nome sem indicação interna",IF(AND(G1810=1,F1810=""),"Fechamento sem conversa",IF(OR(AND(E1810&lt;&gt;"",E1810&lt;B1810),AND(F1810&lt;&gt;"",F1810&lt;B1810)),"Evento anterior à entrada",IF(AND(F1810&lt;&gt;"",E1810=""),"Conversa sem agendamento",IF(OR(E1810&gt;TODAY(),F1810&gt;TODAY()),"Verificar evento futuro","OK"))))))))))</f>
        <v/>
      </c>
    </row>
    <row r="1811" spans="12:15">
      <c r="L1811" s="5">
        <f>IF(OR(A1811="",B1811=""),"",B1811-WEEKDAY(B1811,2)+1)</f>
        <v/>
      </c>
      <c r="M1811" s="5">
        <f>IF(L1811="","",L1811+6)</f>
        <v/>
      </c>
      <c r="N1811" s="6">
        <f>IF(OR(A1811="",B1811=""),"",DATE(YEAR(B1811),MONTH(B1811),1))</f>
        <v/>
      </c>
      <c r="O1811" s="7">
        <f>IF(COUNTA(A1811:K1811)=0,"",IF(OR(A1811="",B1811=""),"Preencher CPF e entrada",IF(COUNTIFS($A$12:$A$5011,A1811,$B$12:$B$5011,B1811)&gt;1,"CPF + dia duplicado",IF(OR(AND(G1811&lt;&gt;"",G1811&lt;&gt;0,G1811&lt;&gt;1),AND(H1811&lt;&gt;"",H1811&lt;&gt;0,H1811&lt;&gt;1)),"Flags devem ser 0 ou 1",IF(AND(H1811=1,LEN(TRIM(I1811))=0),"Preencher nome do indicante",IF(AND(H1811&lt;&gt;1,I1811&lt;&gt;""),"Nome sem indicação interna",IF(AND(G1811=1,F1811=""),"Fechamento sem conversa",IF(OR(AND(E1811&lt;&gt;"",E1811&lt;B1811),AND(F1811&lt;&gt;"",F1811&lt;B1811)),"Evento anterior à entrada",IF(AND(F1811&lt;&gt;"",E1811=""),"Conversa sem agendamento",IF(OR(E1811&gt;TODAY(),F1811&gt;TODAY()),"Verificar evento futuro","OK"))))))))))</f>
        <v/>
      </c>
    </row>
    <row r="1812" spans="12:15">
      <c r="L1812" s="5">
        <f>IF(OR(A1812="",B1812=""),"",B1812-WEEKDAY(B1812,2)+1)</f>
        <v/>
      </c>
      <c r="M1812" s="5">
        <f>IF(L1812="","",L1812+6)</f>
        <v/>
      </c>
      <c r="N1812" s="6">
        <f>IF(OR(A1812="",B1812=""),"",DATE(YEAR(B1812),MONTH(B1812),1))</f>
        <v/>
      </c>
      <c r="O1812" s="7">
        <f>IF(COUNTA(A1812:K1812)=0,"",IF(OR(A1812="",B1812=""),"Preencher CPF e entrada",IF(COUNTIFS($A$12:$A$5011,A1812,$B$12:$B$5011,B1812)&gt;1,"CPF + dia duplicado",IF(OR(AND(G1812&lt;&gt;"",G1812&lt;&gt;0,G1812&lt;&gt;1),AND(H1812&lt;&gt;"",H1812&lt;&gt;0,H1812&lt;&gt;1)),"Flags devem ser 0 ou 1",IF(AND(H1812=1,LEN(TRIM(I1812))=0),"Preencher nome do indicante",IF(AND(H1812&lt;&gt;1,I1812&lt;&gt;""),"Nome sem indicação interna",IF(AND(G1812=1,F1812=""),"Fechamento sem conversa",IF(OR(AND(E1812&lt;&gt;"",E1812&lt;B1812),AND(F1812&lt;&gt;"",F1812&lt;B1812)),"Evento anterior à entrada",IF(AND(F1812&lt;&gt;"",E1812=""),"Conversa sem agendamento",IF(OR(E1812&gt;TODAY(),F1812&gt;TODAY()),"Verificar evento futuro","OK"))))))))))</f>
        <v/>
      </c>
    </row>
    <row r="1813" spans="12:15">
      <c r="L1813" s="5">
        <f>IF(OR(A1813="",B1813=""),"",B1813-WEEKDAY(B1813,2)+1)</f>
        <v/>
      </c>
      <c r="M1813" s="5">
        <f>IF(L1813="","",L1813+6)</f>
        <v/>
      </c>
      <c r="N1813" s="6">
        <f>IF(OR(A1813="",B1813=""),"",DATE(YEAR(B1813),MONTH(B1813),1))</f>
        <v/>
      </c>
      <c r="O1813" s="7">
        <f>IF(COUNTA(A1813:K1813)=0,"",IF(OR(A1813="",B1813=""),"Preencher CPF e entrada",IF(COUNTIFS($A$12:$A$5011,A1813,$B$12:$B$5011,B1813)&gt;1,"CPF + dia duplicado",IF(OR(AND(G1813&lt;&gt;"",G1813&lt;&gt;0,G1813&lt;&gt;1),AND(H1813&lt;&gt;"",H1813&lt;&gt;0,H1813&lt;&gt;1)),"Flags devem ser 0 ou 1",IF(AND(H1813=1,LEN(TRIM(I1813))=0),"Preencher nome do indicante",IF(AND(H1813&lt;&gt;1,I1813&lt;&gt;""),"Nome sem indicação interna",IF(AND(G1813=1,F1813=""),"Fechamento sem conversa",IF(OR(AND(E1813&lt;&gt;"",E1813&lt;B1813),AND(F1813&lt;&gt;"",F1813&lt;B1813)),"Evento anterior à entrada",IF(AND(F1813&lt;&gt;"",E1813=""),"Conversa sem agendamento",IF(OR(E1813&gt;TODAY(),F1813&gt;TODAY()),"Verificar evento futuro","OK"))))))))))</f>
        <v/>
      </c>
    </row>
    <row r="1814" spans="12:15">
      <c r="L1814" s="5">
        <f>IF(OR(A1814="",B1814=""),"",B1814-WEEKDAY(B1814,2)+1)</f>
        <v/>
      </c>
      <c r="M1814" s="5">
        <f>IF(L1814="","",L1814+6)</f>
        <v/>
      </c>
      <c r="N1814" s="6">
        <f>IF(OR(A1814="",B1814=""),"",DATE(YEAR(B1814),MONTH(B1814),1))</f>
        <v/>
      </c>
      <c r="O1814" s="7">
        <f>IF(COUNTA(A1814:K1814)=0,"",IF(OR(A1814="",B1814=""),"Preencher CPF e entrada",IF(COUNTIFS($A$12:$A$5011,A1814,$B$12:$B$5011,B1814)&gt;1,"CPF + dia duplicado",IF(OR(AND(G1814&lt;&gt;"",G1814&lt;&gt;0,G1814&lt;&gt;1),AND(H1814&lt;&gt;"",H1814&lt;&gt;0,H1814&lt;&gt;1)),"Flags devem ser 0 ou 1",IF(AND(H1814=1,LEN(TRIM(I1814))=0),"Preencher nome do indicante",IF(AND(H1814&lt;&gt;1,I1814&lt;&gt;""),"Nome sem indicação interna",IF(AND(G1814=1,F1814=""),"Fechamento sem conversa",IF(OR(AND(E1814&lt;&gt;"",E1814&lt;B1814),AND(F1814&lt;&gt;"",F1814&lt;B1814)),"Evento anterior à entrada",IF(AND(F1814&lt;&gt;"",E1814=""),"Conversa sem agendamento",IF(OR(E1814&gt;TODAY(),F1814&gt;TODAY()),"Verificar evento futuro","OK"))))))))))</f>
        <v/>
      </c>
    </row>
    <row r="1815" spans="12:15">
      <c r="L1815" s="5">
        <f>IF(OR(A1815="",B1815=""),"",B1815-WEEKDAY(B1815,2)+1)</f>
        <v/>
      </c>
      <c r="M1815" s="5">
        <f>IF(L1815="","",L1815+6)</f>
        <v/>
      </c>
      <c r="N1815" s="6">
        <f>IF(OR(A1815="",B1815=""),"",DATE(YEAR(B1815),MONTH(B1815),1))</f>
        <v/>
      </c>
      <c r="O1815" s="7">
        <f>IF(COUNTA(A1815:K1815)=0,"",IF(OR(A1815="",B1815=""),"Preencher CPF e entrada",IF(COUNTIFS($A$12:$A$5011,A1815,$B$12:$B$5011,B1815)&gt;1,"CPF + dia duplicado",IF(OR(AND(G1815&lt;&gt;"",G1815&lt;&gt;0,G1815&lt;&gt;1),AND(H1815&lt;&gt;"",H1815&lt;&gt;0,H1815&lt;&gt;1)),"Flags devem ser 0 ou 1",IF(AND(H1815=1,LEN(TRIM(I1815))=0),"Preencher nome do indicante",IF(AND(H1815&lt;&gt;1,I1815&lt;&gt;""),"Nome sem indicação interna",IF(AND(G1815=1,F1815=""),"Fechamento sem conversa",IF(OR(AND(E1815&lt;&gt;"",E1815&lt;B1815),AND(F1815&lt;&gt;"",F1815&lt;B1815)),"Evento anterior à entrada",IF(AND(F1815&lt;&gt;"",E1815=""),"Conversa sem agendamento",IF(OR(E1815&gt;TODAY(),F1815&gt;TODAY()),"Verificar evento futuro","OK"))))))))))</f>
        <v/>
      </c>
    </row>
    <row r="1816" spans="12:15">
      <c r="L1816" s="5">
        <f>IF(OR(A1816="",B1816=""),"",B1816-WEEKDAY(B1816,2)+1)</f>
        <v/>
      </c>
      <c r="M1816" s="5">
        <f>IF(L1816="","",L1816+6)</f>
        <v/>
      </c>
      <c r="N1816" s="6">
        <f>IF(OR(A1816="",B1816=""),"",DATE(YEAR(B1816),MONTH(B1816),1))</f>
        <v/>
      </c>
      <c r="O1816" s="7">
        <f>IF(COUNTA(A1816:K1816)=0,"",IF(OR(A1816="",B1816=""),"Preencher CPF e entrada",IF(COUNTIFS($A$12:$A$5011,A1816,$B$12:$B$5011,B1816)&gt;1,"CPF + dia duplicado",IF(OR(AND(G1816&lt;&gt;"",G1816&lt;&gt;0,G1816&lt;&gt;1),AND(H1816&lt;&gt;"",H1816&lt;&gt;0,H1816&lt;&gt;1)),"Flags devem ser 0 ou 1",IF(AND(H1816=1,LEN(TRIM(I1816))=0),"Preencher nome do indicante",IF(AND(H1816&lt;&gt;1,I1816&lt;&gt;""),"Nome sem indicação interna",IF(AND(G1816=1,F1816=""),"Fechamento sem conversa",IF(OR(AND(E1816&lt;&gt;"",E1816&lt;B1816),AND(F1816&lt;&gt;"",F1816&lt;B1816)),"Evento anterior à entrada",IF(AND(F1816&lt;&gt;"",E1816=""),"Conversa sem agendamento",IF(OR(E1816&gt;TODAY(),F1816&gt;TODAY()),"Verificar evento futuro","OK"))))))))))</f>
        <v/>
      </c>
    </row>
    <row r="1817" spans="12:15">
      <c r="L1817" s="5">
        <f>IF(OR(A1817="",B1817=""),"",B1817-WEEKDAY(B1817,2)+1)</f>
        <v/>
      </c>
      <c r="M1817" s="5">
        <f>IF(L1817="","",L1817+6)</f>
        <v/>
      </c>
      <c r="N1817" s="6">
        <f>IF(OR(A1817="",B1817=""),"",DATE(YEAR(B1817),MONTH(B1817),1))</f>
        <v/>
      </c>
      <c r="O1817" s="7">
        <f>IF(COUNTA(A1817:K1817)=0,"",IF(OR(A1817="",B1817=""),"Preencher CPF e entrada",IF(COUNTIFS($A$12:$A$5011,A1817,$B$12:$B$5011,B1817)&gt;1,"CPF + dia duplicado",IF(OR(AND(G1817&lt;&gt;"",G1817&lt;&gt;0,G1817&lt;&gt;1),AND(H1817&lt;&gt;"",H1817&lt;&gt;0,H1817&lt;&gt;1)),"Flags devem ser 0 ou 1",IF(AND(H1817=1,LEN(TRIM(I1817))=0),"Preencher nome do indicante",IF(AND(H1817&lt;&gt;1,I1817&lt;&gt;""),"Nome sem indicação interna",IF(AND(G1817=1,F1817=""),"Fechamento sem conversa",IF(OR(AND(E1817&lt;&gt;"",E1817&lt;B1817),AND(F1817&lt;&gt;"",F1817&lt;B1817)),"Evento anterior à entrada",IF(AND(F1817&lt;&gt;"",E1817=""),"Conversa sem agendamento",IF(OR(E1817&gt;TODAY(),F1817&gt;TODAY()),"Verificar evento futuro","OK"))))))))))</f>
        <v/>
      </c>
    </row>
    <row r="1818" spans="12:15">
      <c r="L1818" s="5">
        <f>IF(OR(A1818="",B1818=""),"",B1818-WEEKDAY(B1818,2)+1)</f>
        <v/>
      </c>
      <c r="M1818" s="5">
        <f>IF(L1818="","",L1818+6)</f>
        <v/>
      </c>
      <c r="N1818" s="6">
        <f>IF(OR(A1818="",B1818=""),"",DATE(YEAR(B1818),MONTH(B1818),1))</f>
        <v/>
      </c>
      <c r="O1818" s="7">
        <f>IF(COUNTA(A1818:K1818)=0,"",IF(OR(A1818="",B1818=""),"Preencher CPF e entrada",IF(COUNTIFS($A$12:$A$5011,A1818,$B$12:$B$5011,B1818)&gt;1,"CPF + dia duplicado",IF(OR(AND(G1818&lt;&gt;"",G1818&lt;&gt;0,G1818&lt;&gt;1),AND(H1818&lt;&gt;"",H1818&lt;&gt;0,H1818&lt;&gt;1)),"Flags devem ser 0 ou 1",IF(AND(H1818=1,LEN(TRIM(I1818))=0),"Preencher nome do indicante",IF(AND(H1818&lt;&gt;1,I1818&lt;&gt;""),"Nome sem indicação interna",IF(AND(G1818=1,F1818=""),"Fechamento sem conversa",IF(OR(AND(E1818&lt;&gt;"",E1818&lt;B1818),AND(F1818&lt;&gt;"",F1818&lt;B1818)),"Evento anterior à entrada",IF(AND(F1818&lt;&gt;"",E1818=""),"Conversa sem agendamento",IF(OR(E1818&gt;TODAY(),F1818&gt;TODAY()),"Verificar evento futuro","OK"))))))))))</f>
        <v/>
      </c>
    </row>
    <row r="1819" spans="12:15">
      <c r="L1819" s="5">
        <f>IF(OR(A1819="",B1819=""),"",B1819-WEEKDAY(B1819,2)+1)</f>
        <v/>
      </c>
      <c r="M1819" s="5">
        <f>IF(L1819="","",L1819+6)</f>
        <v/>
      </c>
      <c r="N1819" s="6">
        <f>IF(OR(A1819="",B1819=""),"",DATE(YEAR(B1819),MONTH(B1819),1))</f>
        <v/>
      </c>
      <c r="O1819" s="7">
        <f>IF(COUNTA(A1819:K1819)=0,"",IF(OR(A1819="",B1819=""),"Preencher CPF e entrada",IF(COUNTIFS($A$12:$A$5011,A1819,$B$12:$B$5011,B1819)&gt;1,"CPF + dia duplicado",IF(OR(AND(G1819&lt;&gt;"",G1819&lt;&gt;0,G1819&lt;&gt;1),AND(H1819&lt;&gt;"",H1819&lt;&gt;0,H1819&lt;&gt;1)),"Flags devem ser 0 ou 1",IF(AND(H1819=1,LEN(TRIM(I1819))=0),"Preencher nome do indicante",IF(AND(H1819&lt;&gt;1,I1819&lt;&gt;""),"Nome sem indicação interna",IF(AND(G1819=1,F1819=""),"Fechamento sem conversa",IF(OR(AND(E1819&lt;&gt;"",E1819&lt;B1819),AND(F1819&lt;&gt;"",F1819&lt;B1819)),"Evento anterior à entrada",IF(AND(F1819&lt;&gt;"",E1819=""),"Conversa sem agendamento",IF(OR(E1819&gt;TODAY(),F1819&gt;TODAY()),"Verificar evento futuro","OK"))))))))))</f>
        <v/>
      </c>
    </row>
    <row r="1820" spans="12:15">
      <c r="L1820" s="5">
        <f>IF(OR(A1820="",B1820=""),"",B1820-WEEKDAY(B1820,2)+1)</f>
        <v/>
      </c>
      <c r="M1820" s="5">
        <f>IF(L1820="","",L1820+6)</f>
        <v/>
      </c>
      <c r="N1820" s="6">
        <f>IF(OR(A1820="",B1820=""),"",DATE(YEAR(B1820),MONTH(B1820),1))</f>
        <v/>
      </c>
      <c r="O1820" s="7">
        <f>IF(COUNTA(A1820:K1820)=0,"",IF(OR(A1820="",B1820=""),"Preencher CPF e entrada",IF(COUNTIFS($A$12:$A$5011,A1820,$B$12:$B$5011,B1820)&gt;1,"CPF + dia duplicado",IF(OR(AND(G1820&lt;&gt;"",G1820&lt;&gt;0,G1820&lt;&gt;1),AND(H1820&lt;&gt;"",H1820&lt;&gt;0,H1820&lt;&gt;1)),"Flags devem ser 0 ou 1",IF(AND(H1820=1,LEN(TRIM(I1820))=0),"Preencher nome do indicante",IF(AND(H1820&lt;&gt;1,I1820&lt;&gt;""),"Nome sem indicação interna",IF(AND(G1820=1,F1820=""),"Fechamento sem conversa",IF(OR(AND(E1820&lt;&gt;"",E1820&lt;B1820),AND(F1820&lt;&gt;"",F1820&lt;B1820)),"Evento anterior à entrada",IF(AND(F1820&lt;&gt;"",E1820=""),"Conversa sem agendamento",IF(OR(E1820&gt;TODAY(),F1820&gt;TODAY()),"Verificar evento futuro","OK"))))))))))</f>
        <v/>
      </c>
    </row>
    <row r="1821" spans="12:15">
      <c r="L1821" s="5">
        <f>IF(OR(A1821="",B1821=""),"",B1821-WEEKDAY(B1821,2)+1)</f>
        <v/>
      </c>
      <c r="M1821" s="5">
        <f>IF(L1821="","",L1821+6)</f>
        <v/>
      </c>
      <c r="N1821" s="6">
        <f>IF(OR(A1821="",B1821=""),"",DATE(YEAR(B1821),MONTH(B1821),1))</f>
        <v/>
      </c>
      <c r="O1821" s="7">
        <f>IF(COUNTA(A1821:K1821)=0,"",IF(OR(A1821="",B1821=""),"Preencher CPF e entrada",IF(COUNTIFS($A$12:$A$5011,A1821,$B$12:$B$5011,B1821)&gt;1,"CPF + dia duplicado",IF(OR(AND(G1821&lt;&gt;"",G1821&lt;&gt;0,G1821&lt;&gt;1),AND(H1821&lt;&gt;"",H1821&lt;&gt;0,H1821&lt;&gt;1)),"Flags devem ser 0 ou 1",IF(AND(H1821=1,LEN(TRIM(I1821))=0),"Preencher nome do indicante",IF(AND(H1821&lt;&gt;1,I1821&lt;&gt;""),"Nome sem indicação interna",IF(AND(G1821=1,F1821=""),"Fechamento sem conversa",IF(OR(AND(E1821&lt;&gt;"",E1821&lt;B1821),AND(F1821&lt;&gt;"",F1821&lt;B1821)),"Evento anterior à entrada",IF(AND(F1821&lt;&gt;"",E1821=""),"Conversa sem agendamento",IF(OR(E1821&gt;TODAY(),F1821&gt;TODAY()),"Verificar evento futuro","OK"))))))))))</f>
        <v/>
      </c>
    </row>
    <row r="1822" spans="12:15">
      <c r="L1822" s="5">
        <f>IF(OR(A1822="",B1822=""),"",B1822-WEEKDAY(B1822,2)+1)</f>
        <v/>
      </c>
      <c r="M1822" s="5">
        <f>IF(L1822="","",L1822+6)</f>
        <v/>
      </c>
      <c r="N1822" s="6">
        <f>IF(OR(A1822="",B1822=""),"",DATE(YEAR(B1822),MONTH(B1822),1))</f>
        <v/>
      </c>
      <c r="O1822" s="7">
        <f>IF(COUNTA(A1822:K1822)=0,"",IF(OR(A1822="",B1822=""),"Preencher CPF e entrada",IF(COUNTIFS($A$12:$A$5011,A1822,$B$12:$B$5011,B1822)&gt;1,"CPF + dia duplicado",IF(OR(AND(G1822&lt;&gt;"",G1822&lt;&gt;0,G1822&lt;&gt;1),AND(H1822&lt;&gt;"",H1822&lt;&gt;0,H1822&lt;&gt;1)),"Flags devem ser 0 ou 1",IF(AND(H1822=1,LEN(TRIM(I1822))=0),"Preencher nome do indicante",IF(AND(H1822&lt;&gt;1,I1822&lt;&gt;""),"Nome sem indicação interna",IF(AND(G1822=1,F1822=""),"Fechamento sem conversa",IF(OR(AND(E1822&lt;&gt;"",E1822&lt;B1822),AND(F1822&lt;&gt;"",F1822&lt;B1822)),"Evento anterior à entrada",IF(AND(F1822&lt;&gt;"",E1822=""),"Conversa sem agendamento",IF(OR(E1822&gt;TODAY(),F1822&gt;TODAY()),"Verificar evento futuro","OK"))))))))))</f>
        <v/>
      </c>
    </row>
    <row r="1823" spans="12:15">
      <c r="L1823" s="5">
        <f>IF(OR(A1823="",B1823=""),"",B1823-WEEKDAY(B1823,2)+1)</f>
        <v/>
      </c>
      <c r="M1823" s="5">
        <f>IF(L1823="","",L1823+6)</f>
        <v/>
      </c>
      <c r="N1823" s="6">
        <f>IF(OR(A1823="",B1823=""),"",DATE(YEAR(B1823),MONTH(B1823),1))</f>
        <v/>
      </c>
      <c r="O1823" s="7">
        <f>IF(COUNTA(A1823:K1823)=0,"",IF(OR(A1823="",B1823=""),"Preencher CPF e entrada",IF(COUNTIFS($A$12:$A$5011,A1823,$B$12:$B$5011,B1823)&gt;1,"CPF + dia duplicado",IF(OR(AND(G1823&lt;&gt;"",G1823&lt;&gt;0,G1823&lt;&gt;1),AND(H1823&lt;&gt;"",H1823&lt;&gt;0,H1823&lt;&gt;1)),"Flags devem ser 0 ou 1",IF(AND(H1823=1,LEN(TRIM(I1823))=0),"Preencher nome do indicante",IF(AND(H1823&lt;&gt;1,I1823&lt;&gt;""),"Nome sem indicação interna",IF(AND(G1823=1,F1823=""),"Fechamento sem conversa",IF(OR(AND(E1823&lt;&gt;"",E1823&lt;B1823),AND(F1823&lt;&gt;"",F1823&lt;B1823)),"Evento anterior à entrada",IF(AND(F1823&lt;&gt;"",E1823=""),"Conversa sem agendamento",IF(OR(E1823&gt;TODAY(),F1823&gt;TODAY()),"Verificar evento futuro","OK"))))))))))</f>
        <v/>
      </c>
    </row>
    <row r="1824" spans="12:15">
      <c r="L1824" s="5">
        <f>IF(OR(A1824="",B1824=""),"",B1824-WEEKDAY(B1824,2)+1)</f>
        <v/>
      </c>
      <c r="M1824" s="5">
        <f>IF(L1824="","",L1824+6)</f>
        <v/>
      </c>
      <c r="N1824" s="6">
        <f>IF(OR(A1824="",B1824=""),"",DATE(YEAR(B1824),MONTH(B1824),1))</f>
        <v/>
      </c>
      <c r="O1824" s="7">
        <f>IF(COUNTA(A1824:K1824)=0,"",IF(OR(A1824="",B1824=""),"Preencher CPF e entrada",IF(COUNTIFS($A$12:$A$5011,A1824,$B$12:$B$5011,B1824)&gt;1,"CPF + dia duplicado",IF(OR(AND(G1824&lt;&gt;"",G1824&lt;&gt;0,G1824&lt;&gt;1),AND(H1824&lt;&gt;"",H1824&lt;&gt;0,H1824&lt;&gt;1)),"Flags devem ser 0 ou 1",IF(AND(H1824=1,LEN(TRIM(I1824))=0),"Preencher nome do indicante",IF(AND(H1824&lt;&gt;1,I1824&lt;&gt;""),"Nome sem indicação interna",IF(AND(G1824=1,F1824=""),"Fechamento sem conversa",IF(OR(AND(E1824&lt;&gt;"",E1824&lt;B1824),AND(F1824&lt;&gt;"",F1824&lt;B1824)),"Evento anterior à entrada",IF(AND(F1824&lt;&gt;"",E1824=""),"Conversa sem agendamento",IF(OR(E1824&gt;TODAY(),F1824&gt;TODAY()),"Verificar evento futuro","OK"))))))))))</f>
        <v/>
      </c>
    </row>
    <row r="1825" spans="12:15">
      <c r="L1825" s="5">
        <f>IF(OR(A1825="",B1825=""),"",B1825-WEEKDAY(B1825,2)+1)</f>
        <v/>
      </c>
      <c r="M1825" s="5">
        <f>IF(L1825="","",L1825+6)</f>
        <v/>
      </c>
      <c r="N1825" s="6">
        <f>IF(OR(A1825="",B1825=""),"",DATE(YEAR(B1825),MONTH(B1825),1))</f>
        <v/>
      </c>
      <c r="O1825" s="7">
        <f>IF(COUNTA(A1825:K1825)=0,"",IF(OR(A1825="",B1825=""),"Preencher CPF e entrada",IF(COUNTIFS($A$12:$A$5011,A1825,$B$12:$B$5011,B1825)&gt;1,"CPF + dia duplicado",IF(OR(AND(G1825&lt;&gt;"",G1825&lt;&gt;0,G1825&lt;&gt;1),AND(H1825&lt;&gt;"",H1825&lt;&gt;0,H1825&lt;&gt;1)),"Flags devem ser 0 ou 1",IF(AND(H1825=1,LEN(TRIM(I1825))=0),"Preencher nome do indicante",IF(AND(H1825&lt;&gt;1,I1825&lt;&gt;""),"Nome sem indicação interna",IF(AND(G1825=1,F1825=""),"Fechamento sem conversa",IF(OR(AND(E1825&lt;&gt;"",E1825&lt;B1825),AND(F1825&lt;&gt;"",F1825&lt;B1825)),"Evento anterior à entrada",IF(AND(F1825&lt;&gt;"",E1825=""),"Conversa sem agendamento",IF(OR(E1825&gt;TODAY(),F1825&gt;TODAY()),"Verificar evento futuro","OK"))))))))))</f>
        <v/>
      </c>
    </row>
    <row r="1826" spans="12:15">
      <c r="L1826" s="5">
        <f>IF(OR(A1826="",B1826=""),"",B1826-WEEKDAY(B1826,2)+1)</f>
        <v/>
      </c>
      <c r="M1826" s="5">
        <f>IF(L1826="","",L1826+6)</f>
        <v/>
      </c>
      <c r="N1826" s="6">
        <f>IF(OR(A1826="",B1826=""),"",DATE(YEAR(B1826),MONTH(B1826),1))</f>
        <v/>
      </c>
      <c r="O1826" s="7">
        <f>IF(COUNTA(A1826:K1826)=0,"",IF(OR(A1826="",B1826=""),"Preencher CPF e entrada",IF(COUNTIFS($A$12:$A$5011,A1826,$B$12:$B$5011,B1826)&gt;1,"CPF + dia duplicado",IF(OR(AND(G1826&lt;&gt;"",G1826&lt;&gt;0,G1826&lt;&gt;1),AND(H1826&lt;&gt;"",H1826&lt;&gt;0,H1826&lt;&gt;1)),"Flags devem ser 0 ou 1",IF(AND(H1826=1,LEN(TRIM(I1826))=0),"Preencher nome do indicante",IF(AND(H1826&lt;&gt;1,I1826&lt;&gt;""),"Nome sem indicação interna",IF(AND(G1826=1,F1826=""),"Fechamento sem conversa",IF(OR(AND(E1826&lt;&gt;"",E1826&lt;B1826),AND(F1826&lt;&gt;"",F1826&lt;B1826)),"Evento anterior à entrada",IF(AND(F1826&lt;&gt;"",E1826=""),"Conversa sem agendamento",IF(OR(E1826&gt;TODAY(),F1826&gt;TODAY()),"Verificar evento futuro","OK"))))))))))</f>
        <v/>
      </c>
    </row>
    <row r="1827" spans="12:15">
      <c r="L1827" s="5">
        <f>IF(OR(A1827="",B1827=""),"",B1827-WEEKDAY(B1827,2)+1)</f>
        <v/>
      </c>
      <c r="M1827" s="5">
        <f>IF(L1827="","",L1827+6)</f>
        <v/>
      </c>
      <c r="N1827" s="6">
        <f>IF(OR(A1827="",B1827=""),"",DATE(YEAR(B1827),MONTH(B1827),1))</f>
        <v/>
      </c>
      <c r="O1827" s="7">
        <f>IF(COUNTA(A1827:K1827)=0,"",IF(OR(A1827="",B1827=""),"Preencher CPF e entrada",IF(COUNTIFS($A$12:$A$5011,A1827,$B$12:$B$5011,B1827)&gt;1,"CPF + dia duplicado",IF(OR(AND(G1827&lt;&gt;"",G1827&lt;&gt;0,G1827&lt;&gt;1),AND(H1827&lt;&gt;"",H1827&lt;&gt;0,H1827&lt;&gt;1)),"Flags devem ser 0 ou 1",IF(AND(H1827=1,LEN(TRIM(I1827))=0),"Preencher nome do indicante",IF(AND(H1827&lt;&gt;1,I1827&lt;&gt;""),"Nome sem indicação interna",IF(AND(G1827=1,F1827=""),"Fechamento sem conversa",IF(OR(AND(E1827&lt;&gt;"",E1827&lt;B1827),AND(F1827&lt;&gt;"",F1827&lt;B1827)),"Evento anterior à entrada",IF(AND(F1827&lt;&gt;"",E1827=""),"Conversa sem agendamento",IF(OR(E1827&gt;TODAY(),F1827&gt;TODAY()),"Verificar evento futuro","OK"))))))))))</f>
        <v/>
      </c>
    </row>
    <row r="1828" spans="12:15">
      <c r="L1828" s="5">
        <f>IF(OR(A1828="",B1828=""),"",B1828-WEEKDAY(B1828,2)+1)</f>
        <v/>
      </c>
      <c r="M1828" s="5">
        <f>IF(L1828="","",L1828+6)</f>
        <v/>
      </c>
      <c r="N1828" s="6">
        <f>IF(OR(A1828="",B1828=""),"",DATE(YEAR(B1828),MONTH(B1828),1))</f>
        <v/>
      </c>
      <c r="O1828" s="7">
        <f>IF(COUNTA(A1828:K1828)=0,"",IF(OR(A1828="",B1828=""),"Preencher CPF e entrada",IF(COUNTIFS($A$12:$A$5011,A1828,$B$12:$B$5011,B1828)&gt;1,"CPF + dia duplicado",IF(OR(AND(G1828&lt;&gt;"",G1828&lt;&gt;0,G1828&lt;&gt;1),AND(H1828&lt;&gt;"",H1828&lt;&gt;0,H1828&lt;&gt;1)),"Flags devem ser 0 ou 1",IF(AND(H1828=1,LEN(TRIM(I1828))=0),"Preencher nome do indicante",IF(AND(H1828&lt;&gt;1,I1828&lt;&gt;""),"Nome sem indicação interna",IF(AND(G1828=1,F1828=""),"Fechamento sem conversa",IF(OR(AND(E1828&lt;&gt;"",E1828&lt;B1828),AND(F1828&lt;&gt;"",F1828&lt;B1828)),"Evento anterior à entrada",IF(AND(F1828&lt;&gt;"",E1828=""),"Conversa sem agendamento",IF(OR(E1828&gt;TODAY(),F1828&gt;TODAY()),"Verificar evento futuro","OK"))))))))))</f>
        <v/>
      </c>
    </row>
    <row r="1829" spans="12:15">
      <c r="L1829" s="5">
        <f>IF(OR(A1829="",B1829=""),"",B1829-WEEKDAY(B1829,2)+1)</f>
        <v/>
      </c>
      <c r="M1829" s="5">
        <f>IF(L1829="","",L1829+6)</f>
        <v/>
      </c>
      <c r="N1829" s="6">
        <f>IF(OR(A1829="",B1829=""),"",DATE(YEAR(B1829),MONTH(B1829),1))</f>
        <v/>
      </c>
      <c r="O1829" s="7">
        <f>IF(COUNTA(A1829:K1829)=0,"",IF(OR(A1829="",B1829=""),"Preencher CPF e entrada",IF(COUNTIFS($A$12:$A$5011,A1829,$B$12:$B$5011,B1829)&gt;1,"CPF + dia duplicado",IF(OR(AND(G1829&lt;&gt;"",G1829&lt;&gt;0,G1829&lt;&gt;1),AND(H1829&lt;&gt;"",H1829&lt;&gt;0,H1829&lt;&gt;1)),"Flags devem ser 0 ou 1",IF(AND(H1829=1,LEN(TRIM(I1829))=0),"Preencher nome do indicante",IF(AND(H1829&lt;&gt;1,I1829&lt;&gt;""),"Nome sem indicação interna",IF(AND(G1829=1,F1829=""),"Fechamento sem conversa",IF(OR(AND(E1829&lt;&gt;"",E1829&lt;B1829),AND(F1829&lt;&gt;"",F1829&lt;B1829)),"Evento anterior à entrada",IF(AND(F1829&lt;&gt;"",E1829=""),"Conversa sem agendamento",IF(OR(E1829&gt;TODAY(),F1829&gt;TODAY()),"Verificar evento futuro","OK"))))))))))</f>
        <v/>
      </c>
    </row>
    <row r="1830" spans="12:15">
      <c r="L1830" s="5">
        <f>IF(OR(A1830="",B1830=""),"",B1830-WEEKDAY(B1830,2)+1)</f>
        <v/>
      </c>
      <c r="M1830" s="5">
        <f>IF(L1830="","",L1830+6)</f>
        <v/>
      </c>
      <c r="N1830" s="6">
        <f>IF(OR(A1830="",B1830=""),"",DATE(YEAR(B1830),MONTH(B1830),1))</f>
        <v/>
      </c>
      <c r="O1830" s="7">
        <f>IF(COUNTA(A1830:K1830)=0,"",IF(OR(A1830="",B1830=""),"Preencher CPF e entrada",IF(COUNTIFS($A$12:$A$5011,A1830,$B$12:$B$5011,B1830)&gt;1,"CPF + dia duplicado",IF(OR(AND(G1830&lt;&gt;"",G1830&lt;&gt;0,G1830&lt;&gt;1),AND(H1830&lt;&gt;"",H1830&lt;&gt;0,H1830&lt;&gt;1)),"Flags devem ser 0 ou 1",IF(AND(H1830=1,LEN(TRIM(I1830))=0),"Preencher nome do indicante",IF(AND(H1830&lt;&gt;1,I1830&lt;&gt;""),"Nome sem indicação interna",IF(AND(G1830=1,F1830=""),"Fechamento sem conversa",IF(OR(AND(E1830&lt;&gt;"",E1830&lt;B1830),AND(F1830&lt;&gt;"",F1830&lt;B1830)),"Evento anterior à entrada",IF(AND(F1830&lt;&gt;"",E1830=""),"Conversa sem agendamento",IF(OR(E1830&gt;TODAY(),F1830&gt;TODAY()),"Verificar evento futuro","OK"))))))))))</f>
        <v/>
      </c>
    </row>
    <row r="1831" spans="12:15">
      <c r="L1831" s="5">
        <f>IF(OR(A1831="",B1831=""),"",B1831-WEEKDAY(B1831,2)+1)</f>
        <v/>
      </c>
      <c r="M1831" s="5">
        <f>IF(L1831="","",L1831+6)</f>
        <v/>
      </c>
      <c r="N1831" s="6">
        <f>IF(OR(A1831="",B1831=""),"",DATE(YEAR(B1831),MONTH(B1831),1))</f>
        <v/>
      </c>
      <c r="O1831" s="7">
        <f>IF(COUNTA(A1831:K1831)=0,"",IF(OR(A1831="",B1831=""),"Preencher CPF e entrada",IF(COUNTIFS($A$12:$A$5011,A1831,$B$12:$B$5011,B1831)&gt;1,"CPF + dia duplicado",IF(OR(AND(G1831&lt;&gt;"",G1831&lt;&gt;0,G1831&lt;&gt;1),AND(H1831&lt;&gt;"",H1831&lt;&gt;0,H1831&lt;&gt;1)),"Flags devem ser 0 ou 1",IF(AND(H1831=1,LEN(TRIM(I1831))=0),"Preencher nome do indicante",IF(AND(H1831&lt;&gt;1,I1831&lt;&gt;""),"Nome sem indicação interna",IF(AND(G1831=1,F1831=""),"Fechamento sem conversa",IF(OR(AND(E1831&lt;&gt;"",E1831&lt;B1831),AND(F1831&lt;&gt;"",F1831&lt;B1831)),"Evento anterior à entrada",IF(AND(F1831&lt;&gt;"",E1831=""),"Conversa sem agendamento",IF(OR(E1831&gt;TODAY(),F1831&gt;TODAY()),"Verificar evento futuro","OK"))))))))))</f>
        <v/>
      </c>
    </row>
    <row r="1832" spans="12:15">
      <c r="L1832" s="5">
        <f>IF(OR(A1832="",B1832=""),"",B1832-WEEKDAY(B1832,2)+1)</f>
        <v/>
      </c>
      <c r="M1832" s="5">
        <f>IF(L1832="","",L1832+6)</f>
        <v/>
      </c>
      <c r="N1832" s="6">
        <f>IF(OR(A1832="",B1832=""),"",DATE(YEAR(B1832),MONTH(B1832),1))</f>
        <v/>
      </c>
      <c r="O1832" s="7">
        <f>IF(COUNTA(A1832:K1832)=0,"",IF(OR(A1832="",B1832=""),"Preencher CPF e entrada",IF(COUNTIFS($A$12:$A$5011,A1832,$B$12:$B$5011,B1832)&gt;1,"CPF + dia duplicado",IF(OR(AND(G1832&lt;&gt;"",G1832&lt;&gt;0,G1832&lt;&gt;1),AND(H1832&lt;&gt;"",H1832&lt;&gt;0,H1832&lt;&gt;1)),"Flags devem ser 0 ou 1",IF(AND(H1832=1,LEN(TRIM(I1832))=0),"Preencher nome do indicante",IF(AND(H1832&lt;&gt;1,I1832&lt;&gt;""),"Nome sem indicação interna",IF(AND(G1832=1,F1832=""),"Fechamento sem conversa",IF(OR(AND(E1832&lt;&gt;"",E1832&lt;B1832),AND(F1832&lt;&gt;"",F1832&lt;B1832)),"Evento anterior à entrada",IF(AND(F1832&lt;&gt;"",E1832=""),"Conversa sem agendamento",IF(OR(E1832&gt;TODAY(),F1832&gt;TODAY()),"Verificar evento futuro","OK"))))))))))</f>
        <v/>
      </c>
    </row>
    <row r="1833" spans="12:15">
      <c r="L1833" s="5">
        <f>IF(OR(A1833="",B1833=""),"",B1833-WEEKDAY(B1833,2)+1)</f>
        <v/>
      </c>
      <c r="M1833" s="5">
        <f>IF(L1833="","",L1833+6)</f>
        <v/>
      </c>
      <c r="N1833" s="6">
        <f>IF(OR(A1833="",B1833=""),"",DATE(YEAR(B1833),MONTH(B1833),1))</f>
        <v/>
      </c>
      <c r="O1833" s="7">
        <f>IF(COUNTA(A1833:K1833)=0,"",IF(OR(A1833="",B1833=""),"Preencher CPF e entrada",IF(COUNTIFS($A$12:$A$5011,A1833,$B$12:$B$5011,B1833)&gt;1,"CPF + dia duplicado",IF(OR(AND(G1833&lt;&gt;"",G1833&lt;&gt;0,G1833&lt;&gt;1),AND(H1833&lt;&gt;"",H1833&lt;&gt;0,H1833&lt;&gt;1)),"Flags devem ser 0 ou 1",IF(AND(H1833=1,LEN(TRIM(I1833))=0),"Preencher nome do indicante",IF(AND(H1833&lt;&gt;1,I1833&lt;&gt;""),"Nome sem indicação interna",IF(AND(G1833=1,F1833=""),"Fechamento sem conversa",IF(OR(AND(E1833&lt;&gt;"",E1833&lt;B1833),AND(F1833&lt;&gt;"",F1833&lt;B1833)),"Evento anterior à entrada",IF(AND(F1833&lt;&gt;"",E1833=""),"Conversa sem agendamento",IF(OR(E1833&gt;TODAY(),F1833&gt;TODAY()),"Verificar evento futuro","OK"))))))))))</f>
        <v/>
      </c>
    </row>
    <row r="1834" spans="12:15">
      <c r="L1834" s="5">
        <f>IF(OR(A1834="",B1834=""),"",B1834-WEEKDAY(B1834,2)+1)</f>
        <v/>
      </c>
      <c r="M1834" s="5">
        <f>IF(L1834="","",L1834+6)</f>
        <v/>
      </c>
      <c r="N1834" s="6">
        <f>IF(OR(A1834="",B1834=""),"",DATE(YEAR(B1834),MONTH(B1834),1))</f>
        <v/>
      </c>
      <c r="O1834" s="7">
        <f>IF(COUNTA(A1834:K1834)=0,"",IF(OR(A1834="",B1834=""),"Preencher CPF e entrada",IF(COUNTIFS($A$12:$A$5011,A1834,$B$12:$B$5011,B1834)&gt;1,"CPF + dia duplicado",IF(OR(AND(G1834&lt;&gt;"",G1834&lt;&gt;0,G1834&lt;&gt;1),AND(H1834&lt;&gt;"",H1834&lt;&gt;0,H1834&lt;&gt;1)),"Flags devem ser 0 ou 1",IF(AND(H1834=1,LEN(TRIM(I1834))=0),"Preencher nome do indicante",IF(AND(H1834&lt;&gt;1,I1834&lt;&gt;""),"Nome sem indicação interna",IF(AND(G1834=1,F1834=""),"Fechamento sem conversa",IF(OR(AND(E1834&lt;&gt;"",E1834&lt;B1834),AND(F1834&lt;&gt;"",F1834&lt;B1834)),"Evento anterior à entrada",IF(AND(F1834&lt;&gt;"",E1834=""),"Conversa sem agendamento",IF(OR(E1834&gt;TODAY(),F1834&gt;TODAY()),"Verificar evento futuro","OK"))))))))))</f>
        <v/>
      </c>
    </row>
    <row r="1835" spans="12:15">
      <c r="L1835" s="5">
        <f>IF(OR(A1835="",B1835=""),"",B1835-WEEKDAY(B1835,2)+1)</f>
        <v/>
      </c>
      <c r="M1835" s="5">
        <f>IF(L1835="","",L1835+6)</f>
        <v/>
      </c>
      <c r="N1835" s="6">
        <f>IF(OR(A1835="",B1835=""),"",DATE(YEAR(B1835),MONTH(B1835),1))</f>
        <v/>
      </c>
      <c r="O1835" s="7">
        <f>IF(COUNTA(A1835:K1835)=0,"",IF(OR(A1835="",B1835=""),"Preencher CPF e entrada",IF(COUNTIFS($A$12:$A$5011,A1835,$B$12:$B$5011,B1835)&gt;1,"CPF + dia duplicado",IF(OR(AND(G1835&lt;&gt;"",G1835&lt;&gt;0,G1835&lt;&gt;1),AND(H1835&lt;&gt;"",H1835&lt;&gt;0,H1835&lt;&gt;1)),"Flags devem ser 0 ou 1",IF(AND(H1835=1,LEN(TRIM(I1835))=0),"Preencher nome do indicante",IF(AND(H1835&lt;&gt;1,I1835&lt;&gt;""),"Nome sem indicação interna",IF(AND(G1835=1,F1835=""),"Fechamento sem conversa",IF(OR(AND(E1835&lt;&gt;"",E1835&lt;B1835),AND(F1835&lt;&gt;"",F1835&lt;B1835)),"Evento anterior à entrada",IF(AND(F1835&lt;&gt;"",E1835=""),"Conversa sem agendamento",IF(OR(E1835&gt;TODAY(),F1835&gt;TODAY()),"Verificar evento futuro","OK"))))))))))</f>
        <v/>
      </c>
    </row>
    <row r="1836" spans="12:15">
      <c r="L1836" s="5">
        <f>IF(OR(A1836="",B1836=""),"",B1836-WEEKDAY(B1836,2)+1)</f>
        <v/>
      </c>
      <c r="M1836" s="5">
        <f>IF(L1836="","",L1836+6)</f>
        <v/>
      </c>
      <c r="N1836" s="6">
        <f>IF(OR(A1836="",B1836=""),"",DATE(YEAR(B1836),MONTH(B1836),1))</f>
        <v/>
      </c>
      <c r="O1836" s="7">
        <f>IF(COUNTA(A1836:K1836)=0,"",IF(OR(A1836="",B1836=""),"Preencher CPF e entrada",IF(COUNTIFS($A$12:$A$5011,A1836,$B$12:$B$5011,B1836)&gt;1,"CPF + dia duplicado",IF(OR(AND(G1836&lt;&gt;"",G1836&lt;&gt;0,G1836&lt;&gt;1),AND(H1836&lt;&gt;"",H1836&lt;&gt;0,H1836&lt;&gt;1)),"Flags devem ser 0 ou 1",IF(AND(H1836=1,LEN(TRIM(I1836))=0),"Preencher nome do indicante",IF(AND(H1836&lt;&gt;1,I1836&lt;&gt;""),"Nome sem indicação interna",IF(AND(G1836=1,F1836=""),"Fechamento sem conversa",IF(OR(AND(E1836&lt;&gt;"",E1836&lt;B1836),AND(F1836&lt;&gt;"",F1836&lt;B1836)),"Evento anterior à entrada",IF(AND(F1836&lt;&gt;"",E1836=""),"Conversa sem agendamento",IF(OR(E1836&gt;TODAY(),F1836&gt;TODAY()),"Verificar evento futuro","OK"))))))))))</f>
        <v/>
      </c>
    </row>
    <row r="1837" spans="12:15">
      <c r="L1837" s="5">
        <f>IF(OR(A1837="",B1837=""),"",B1837-WEEKDAY(B1837,2)+1)</f>
        <v/>
      </c>
      <c r="M1837" s="5">
        <f>IF(L1837="","",L1837+6)</f>
        <v/>
      </c>
      <c r="N1837" s="6">
        <f>IF(OR(A1837="",B1837=""),"",DATE(YEAR(B1837),MONTH(B1837),1))</f>
        <v/>
      </c>
      <c r="O1837" s="7">
        <f>IF(COUNTA(A1837:K1837)=0,"",IF(OR(A1837="",B1837=""),"Preencher CPF e entrada",IF(COUNTIFS($A$12:$A$5011,A1837,$B$12:$B$5011,B1837)&gt;1,"CPF + dia duplicado",IF(OR(AND(G1837&lt;&gt;"",G1837&lt;&gt;0,G1837&lt;&gt;1),AND(H1837&lt;&gt;"",H1837&lt;&gt;0,H1837&lt;&gt;1)),"Flags devem ser 0 ou 1",IF(AND(H1837=1,LEN(TRIM(I1837))=0),"Preencher nome do indicante",IF(AND(H1837&lt;&gt;1,I1837&lt;&gt;""),"Nome sem indicação interna",IF(AND(G1837=1,F1837=""),"Fechamento sem conversa",IF(OR(AND(E1837&lt;&gt;"",E1837&lt;B1837),AND(F1837&lt;&gt;"",F1837&lt;B1837)),"Evento anterior à entrada",IF(AND(F1837&lt;&gt;"",E1837=""),"Conversa sem agendamento",IF(OR(E1837&gt;TODAY(),F1837&gt;TODAY()),"Verificar evento futuro","OK"))))))))))</f>
        <v/>
      </c>
    </row>
    <row r="1838" spans="12:15">
      <c r="L1838" s="5">
        <f>IF(OR(A1838="",B1838=""),"",B1838-WEEKDAY(B1838,2)+1)</f>
        <v/>
      </c>
      <c r="M1838" s="5">
        <f>IF(L1838="","",L1838+6)</f>
        <v/>
      </c>
      <c r="N1838" s="6">
        <f>IF(OR(A1838="",B1838=""),"",DATE(YEAR(B1838),MONTH(B1838),1))</f>
        <v/>
      </c>
      <c r="O1838" s="7">
        <f>IF(COUNTA(A1838:K1838)=0,"",IF(OR(A1838="",B1838=""),"Preencher CPF e entrada",IF(COUNTIFS($A$12:$A$5011,A1838,$B$12:$B$5011,B1838)&gt;1,"CPF + dia duplicado",IF(OR(AND(G1838&lt;&gt;"",G1838&lt;&gt;0,G1838&lt;&gt;1),AND(H1838&lt;&gt;"",H1838&lt;&gt;0,H1838&lt;&gt;1)),"Flags devem ser 0 ou 1",IF(AND(H1838=1,LEN(TRIM(I1838))=0),"Preencher nome do indicante",IF(AND(H1838&lt;&gt;1,I1838&lt;&gt;""),"Nome sem indicação interna",IF(AND(G1838=1,F1838=""),"Fechamento sem conversa",IF(OR(AND(E1838&lt;&gt;"",E1838&lt;B1838),AND(F1838&lt;&gt;"",F1838&lt;B1838)),"Evento anterior à entrada",IF(AND(F1838&lt;&gt;"",E1838=""),"Conversa sem agendamento",IF(OR(E1838&gt;TODAY(),F1838&gt;TODAY()),"Verificar evento futuro","OK"))))))))))</f>
        <v/>
      </c>
    </row>
    <row r="1839" spans="12:15">
      <c r="L1839" s="5">
        <f>IF(OR(A1839="",B1839=""),"",B1839-WEEKDAY(B1839,2)+1)</f>
        <v/>
      </c>
      <c r="M1839" s="5">
        <f>IF(L1839="","",L1839+6)</f>
        <v/>
      </c>
      <c r="N1839" s="6">
        <f>IF(OR(A1839="",B1839=""),"",DATE(YEAR(B1839),MONTH(B1839),1))</f>
        <v/>
      </c>
      <c r="O1839" s="7">
        <f>IF(COUNTA(A1839:K1839)=0,"",IF(OR(A1839="",B1839=""),"Preencher CPF e entrada",IF(COUNTIFS($A$12:$A$5011,A1839,$B$12:$B$5011,B1839)&gt;1,"CPF + dia duplicado",IF(OR(AND(G1839&lt;&gt;"",G1839&lt;&gt;0,G1839&lt;&gt;1),AND(H1839&lt;&gt;"",H1839&lt;&gt;0,H1839&lt;&gt;1)),"Flags devem ser 0 ou 1",IF(AND(H1839=1,LEN(TRIM(I1839))=0),"Preencher nome do indicante",IF(AND(H1839&lt;&gt;1,I1839&lt;&gt;""),"Nome sem indicação interna",IF(AND(G1839=1,F1839=""),"Fechamento sem conversa",IF(OR(AND(E1839&lt;&gt;"",E1839&lt;B1839),AND(F1839&lt;&gt;"",F1839&lt;B1839)),"Evento anterior à entrada",IF(AND(F1839&lt;&gt;"",E1839=""),"Conversa sem agendamento",IF(OR(E1839&gt;TODAY(),F1839&gt;TODAY()),"Verificar evento futuro","OK"))))))))))</f>
        <v/>
      </c>
    </row>
    <row r="1840" spans="12:15">
      <c r="L1840" s="5">
        <f>IF(OR(A1840="",B1840=""),"",B1840-WEEKDAY(B1840,2)+1)</f>
        <v/>
      </c>
      <c r="M1840" s="5">
        <f>IF(L1840="","",L1840+6)</f>
        <v/>
      </c>
      <c r="N1840" s="6">
        <f>IF(OR(A1840="",B1840=""),"",DATE(YEAR(B1840),MONTH(B1840),1))</f>
        <v/>
      </c>
      <c r="O1840" s="7">
        <f>IF(COUNTA(A1840:K1840)=0,"",IF(OR(A1840="",B1840=""),"Preencher CPF e entrada",IF(COUNTIFS($A$12:$A$5011,A1840,$B$12:$B$5011,B1840)&gt;1,"CPF + dia duplicado",IF(OR(AND(G1840&lt;&gt;"",G1840&lt;&gt;0,G1840&lt;&gt;1),AND(H1840&lt;&gt;"",H1840&lt;&gt;0,H1840&lt;&gt;1)),"Flags devem ser 0 ou 1",IF(AND(H1840=1,LEN(TRIM(I1840))=0),"Preencher nome do indicante",IF(AND(H1840&lt;&gt;1,I1840&lt;&gt;""),"Nome sem indicação interna",IF(AND(G1840=1,F1840=""),"Fechamento sem conversa",IF(OR(AND(E1840&lt;&gt;"",E1840&lt;B1840),AND(F1840&lt;&gt;"",F1840&lt;B1840)),"Evento anterior à entrada",IF(AND(F1840&lt;&gt;"",E1840=""),"Conversa sem agendamento",IF(OR(E1840&gt;TODAY(),F1840&gt;TODAY()),"Verificar evento futuro","OK"))))))))))</f>
        <v/>
      </c>
    </row>
    <row r="1841" spans="12:15">
      <c r="L1841" s="5">
        <f>IF(OR(A1841="",B1841=""),"",B1841-WEEKDAY(B1841,2)+1)</f>
        <v/>
      </c>
      <c r="M1841" s="5">
        <f>IF(L1841="","",L1841+6)</f>
        <v/>
      </c>
      <c r="N1841" s="6">
        <f>IF(OR(A1841="",B1841=""),"",DATE(YEAR(B1841),MONTH(B1841),1))</f>
        <v/>
      </c>
      <c r="O1841" s="7">
        <f>IF(COUNTA(A1841:K1841)=0,"",IF(OR(A1841="",B1841=""),"Preencher CPF e entrada",IF(COUNTIFS($A$12:$A$5011,A1841,$B$12:$B$5011,B1841)&gt;1,"CPF + dia duplicado",IF(OR(AND(G1841&lt;&gt;"",G1841&lt;&gt;0,G1841&lt;&gt;1),AND(H1841&lt;&gt;"",H1841&lt;&gt;0,H1841&lt;&gt;1)),"Flags devem ser 0 ou 1",IF(AND(H1841=1,LEN(TRIM(I1841))=0),"Preencher nome do indicante",IF(AND(H1841&lt;&gt;1,I1841&lt;&gt;""),"Nome sem indicação interna",IF(AND(G1841=1,F1841=""),"Fechamento sem conversa",IF(OR(AND(E1841&lt;&gt;"",E1841&lt;B1841),AND(F1841&lt;&gt;"",F1841&lt;B1841)),"Evento anterior à entrada",IF(AND(F1841&lt;&gt;"",E1841=""),"Conversa sem agendamento",IF(OR(E1841&gt;TODAY(),F1841&gt;TODAY()),"Verificar evento futuro","OK"))))))))))</f>
        <v/>
      </c>
    </row>
    <row r="1842" spans="12:15">
      <c r="L1842" s="5">
        <f>IF(OR(A1842="",B1842=""),"",B1842-WEEKDAY(B1842,2)+1)</f>
        <v/>
      </c>
      <c r="M1842" s="5">
        <f>IF(L1842="","",L1842+6)</f>
        <v/>
      </c>
      <c r="N1842" s="6">
        <f>IF(OR(A1842="",B1842=""),"",DATE(YEAR(B1842),MONTH(B1842),1))</f>
        <v/>
      </c>
      <c r="O1842" s="7">
        <f>IF(COUNTA(A1842:K1842)=0,"",IF(OR(A1842="",B1842=""),"Preencher CPF e entrada",IF(COUNTIFS($A$12:$A$5011,A1842,$B$12:$B$5011,B1842)&gt;1,"CPF + dia duplicado",IF(OR(AND(G1842&lt;&gt;"",G1842&lt;&gt;0,G1842&lt;&gt;1),AND(H1842&lt;&gt;"",H1842&lt;&gt;0,H1842&lt;&gt;1)),"Flags devem ser 0 ou 1",IF(AND(H1842=1,LEN(TRIM(I1842))=0),"Preencher nome do indicante",IF(AND(H1842&lt;&gt;1,I1842&lt;&gt;""),"Nome sem indicação interna",IF(AND(G1842=1,F1842=""),"Fechamento sem conversa",IF(OR(AND(E1842&lt;&gt;"",E1842&lt;B1842),AND(F1842&lt;&gt;"",F1842&lt;B1842)),"Evento anterior à entrada",IF(AND(F1842&lt;&gt;"",E1842=""),"Conversa sem agendamento",IF(OR(E1842&gt;TODAY(),F1842&gt;TODAY()),"Verificar evento futuro","OK"))))))))))</f>
        <v/>
      </c>
    </row>
    <row r="1843" spans="12:15">
      <c r="L1843" s="5">
        <f>IF(OR(A1843="",B1843=""),"",B1843-WEEKDAY(B1843,2)+1)</f>
        <v/>
      </c>
      <c r="M1843" s="5">
        <f>IF(L1843="","",L1843+6)</f>
        <v/>
      </c>
      <c r="N1843" s="6">
        <f>IF(OR(A1843="",B1843=""),"",DATE(YEAR(B1843),MONTH(B1843),1))</f>
        <v/>
      </c>
      <c r="O1843" s="7">
        <f>IF(COUNTA(A1843:K1843)=0,"",IF(OR(A1843="",B1843=""),"Preencher CPF e entrada",IF(COUNTIFS($A$12:$A$5011,A1843,$B$12:$B$5011,B1843)&gt;1,"CPF + dia duplicado",IF(OR(AND(G1843&lt;&gt;"",G1843&lt;&gt;0,G1843&lt;&gt;1),AND(H1843&lt;&gt;"",H1843&lt;&gt;0,H1843&lt;&gt;1)),"Flags devem ser 0 ou 1",IF(AND(H1843=1,LEN(TRIM(I1843))=0),"Preencher nome do indicante",IF(AND(H1843&lt;&gt;1,I1843&lt;&gt;""),"Nome sem indicação interna",IF(AND(G1843=1,F1843=""),"Fechamento sem conversa",IF(OR(AND(E1843&lt;&gt;"",E1843&lt;B1843),AND(F1843&lt;&gt;"",F1843&lt;B1843)),"Evento anterior à entrada",IF(AND(F1843&lt;&gt;"",E1843=""),"Conversa sem agendamento",IF(OR(E1843&gt;TODAY(),F1843&gt;TODAY()),"Verificar evento futuro","OK"))))))))))</f>
        <v/>
      </c>
    </row>
    <row r="1844" spans="12:15">
      <c r="L1844" s="5">
        <f>IF(OR(A1844="",B1844=""),"",B1844-WEEKDAY(B1844,2)+1)</f>
        <v/>
      </c>
      <c r="M1844" s="5">
        <f>IF(L1844="","",L1844+6)</f>
        <v/>
      </c>
      <c r="N1844" s="6">
        <f>IF(OR(A1844="",B1844=""),"",DATE(YEAR(B1844),MONTH(B1844),1))</f>
        <v/>
      </c>
      <c r="O1844" s="7">
        <f>IF(COUNTA(A1844:K1844)=0,"",IF(OR(A1844="",B1844=""),"Preencher CPF e entrada",IF(COUNTIFS($A$12:$A$5011,A1844,$B$12:$B$5011,B1844)&gt;1,"CPF + dia duplicado",IF(OR(AND(G1844&lt;&gt;"",G1844&lt;&gt;0,G1844&lt;&gt;1),AND(H1844&lt;&gt;"",H1844&lt;&gt;0,H1844&lt;&gt;1)),"Flags devem ser 0 ou 1",IF(AND(H1844=1,LEN(TRIM(I1844))=0),"Preencher nome do indicante",IF(AND(H1844&lt;&gt;1,I1844&lt;&gt;""),"Nome sem indicação interna",IF(AND(G1844=1,F1844=""),"Fechamento sem conversa",IF(OR(AND(E1844&lt;&gt;"",E1844&lt;B1844),AND(F1844&lt;&gt;"",F1844&lt;B1844)),"Evento anterior à entrada",IF(AND(F1844&lt;&gt;"",E1844=""),"Conversa sem agendamento",IF(OR(E1844&gt;TODAY(),F1844&gt;TODAY()),"Verificar evento futuro","OK"))))))))))</f>
        <v/>
      </c>
    </row>
    <row r="1845" spans="12:15">
      <c r="L1845" s="5">
        <f>IF(OR(A1845="",B1845=""),"",B1845-WEEKDAY(B1845,2)+1)</f>
        <v/>
      </c>
      <c r="M1845" s="5">
        <f>IF(L1845="","",L1845+6)</f>
        <v/>
      </c>
      <c r="N1845" s="6">
        <f>IF(OR(A1845="",B1845=""),"",DATE(YEAR(B1845),MONTH(B1845),1))</f>
        <v/>
      </c>
      <c r="O1845" s="7">
        <f>IF(COUNTA(A1845:K1845)=0,"",IF(OR(A1845="",B1845=""),"Preencher CPF e entrada",IF(COUNTIFS($A$12:$A$5011,A1845,$B$12:$B$5011,B1845)&gt;1,"CPF + dia duplicado",IF(OR(AND(G1845&lt;&gt;"",G1845&lt;&gt;0,G1845&lt;&gt;1),AND(H1845&lt;&gt;"",H1845&lt;&gt;0,H1845&lt;&gt;1)),"Flags devem ser 0 ou 1",IF(AND(H1845=1,LEN(TRIM(I1845))=0),"Preencher nome do indicante",IF(AND(H1845&lt;&gt;1,I1845&lt;&gt;""),"Nome sem indicação interna",IF(AND(G1845=1,F1845=""),"Fechamento sem conversa",IF(OR(AND(E1845&lt;&gt;"",E1845&lt;B1845),AND(F1845&lt;&gt;"",F1845&lt;B1845)),"Evento anterior à entrada",IF(AND(F1845&lt;&gt;"",E1845=""),"Conversa sem agendamento",IF(OR(E1845&gt;TODAY(),F1845&gt;TODAY()),"Verificar evento futuro","OK"))))))))))</f>
        <v/>
      </c>
    </row>
    <row r="1846" spans="12:15">
      <c r="L1846" s="5">
        <f>IF(OR(A1846="",B1846=""),"",B1846-WEEKDAY(B1846,2)+1)</f>
        <v/>
      </c>
      <c r="M1846" s="5">
        <f>IF(L1846="","",L1846+6)</f>
        <v/>
      </c>
      <c r="N1846" s="6">
        <f>IF(OR(A1846="",B1846=""),"",DATE(YEAR(B1846),MONTH(B1846),1))</f>
        <v/>
      </c>
      <c r="O1846" s="7">
        <f>IF(COUNTA(A1846:K1846)=0,"",IF(OR(A1846="",B1846=""),"Preencher CPF e entrada",IF(COUNTIFS($A$12:$A$5011,A1846,$B$12:$B$5011,B1846)&gt;1,"CPF + dia duplicado",IF(OR(AND(G1846&lt;&gt;"",G1846&lt;&gt;0,G1846&lt;&gt;1),AND(H1846&lt;&gt;"",H1846&lt;&gt;0,H1846&lt;&gt;1)),"Flags devem ser 0 ou 1",IF(AND(H1846=1,LEN(TRIM(I1846))=0),"Preencher nome do indicante",IF(AND(H1846&lt;&gt;1,I1846&lt;&gt;""),"Nome sem indicação interna",IF(AND(G1846=1,F1846=""),"Fechamento sem conversa",IF(OR(AND(E1846&lt;&gt;"",E1846&lt;B1846),AND(F1846&lt;&gt;"",F1846&lt;B1846)),"Evento anterior à entrada",IF(AND(F1846&lt;&gt;"",E1846=""),"Conversa sem agendamento",IF(OR(E1846&gt;TODAY(),F1846&gt;TODAY()),"Verificar evento futuro","OK"))))))))))</f>
        <v/>
      </c>
    </row>
    <row r="1847" spans="12:15">
      <c r="L1847" s="5">
        <f>IF(OR(A1847="",B1847=""),"",B1847-WEEKDAY(B1847,2)+1)</f>
        <v/>
      </c>
      <c r="M1847" s="5">
        <f>IF(L1847="","",L1847+6)</f>
        <v/>
      </c>
      <c r="N1847" s="6">
        <f>IF(OR(A1847="",B1847=""),"",DATE(YEAR(B1847),MONTH(B1847),1))</f>
        <v/>
      </c>
      <c r="O1847" s="7">
        <f>IF(COUNTA(A1847:K1847)=0,"",IF(OR(A1847="",B1847=""),"Preencher CPF e entrada",IF(COUNTIFS($A$12:$A$5011,A1847,$B$12:$B$5011,B1847)&gt;1,"CPF + dia duplicado",IF(OR(AND(G1847&lt;&gt;"",G1847&lt;&gt;0,G1847&lt;&gt;1),AND(H1847&lt;&gt;"",H1847&lt;&gt;0,H1847&lt;&gt;1)),"Flags devem ser 0 ou 1",IF(AND(H1847=1,LEN(TRIM(I1847))=0),"Preencher nome do indicante",IF(AND(H1847&lt;&gt;1,I1847&lt;&gt;""),"Nome sem indicação interna",IF(AND(G1847=1,F1847=""),"Fechamento sem conversa",IF(OR(AND(E1847&lt;&gt;"",E1847&lt;B1847),AND(F1847&lt;&gt;"",F1847&lt;B1847)),"Evento anterior à entrada",IF(AND(F1847&lt;&gt;"",E1847=""),"Conversa sem agendamento",IF(OR(E1847&gt;TODAY(),F1847&gt;TODAY()),"Verificar evento futuro","OK"))))))))))</f>
        <v/>
      </c>
    </row>
    <row r="1848" spans="12:15">
      <c r="L1848" s="5">
        <f>IF(OR(A1848="",B1848=""),"",B1848-WEEKDAY(B1848,2)+1)</f>
        <v/>
      </c>
      <c r="M1848" s="5">
        <f>IF(L1848="","",L1848+6)</f>
        <v/>
      </c>
      <c r="N1848" s="6">
        <f>IF(OR(A1848="",B1848=""),"",DATE(YEAR(B1848),MONTH(B1848),1))</f>
        <v/>
      </c>
      <c r="O1848" s="7">
        <f>IF(COUNTA(A1848:K1848)=0,"",IF(OR(A1848="",B1848=""),"Preencher CPF e entrada",IF(COUNTIFS($A$12:$A$5011,A1848,$B$12:$B$5011,B1848)&gt;1,"CPF + dia duplicado",IF(OR(AND(G1848&lt;&gt;"",G1848&lt;&gt;0,G1848&lt;&gt;1),AND(H1848&lt;&gt;"",H1848&lt;&gt;0,H1848&lt;&gt;1)),"Flags devem ser 0 ou 1",IF(AND(H1848=1,LEN(TRIM(I1848))=0),"Preencher nome do indicante",IF(AND(H1848&lt;&gt;1,I1848&lt;&gt;""),"Nome sem indicação interna",IF(AND(G1848=1,F1848=""),"Fechamento sem conversa",IF(OR(AND(E1848&lt;&gt;"",E1848&lt;B1848),AND(F1848&lt;&gt;"",F1848&lt;B1848)),"Evento anterior à entrada",IF(AND(F1848&lt;&gt;"",E1848=""),"Conversa sem agendamento",IF(OR(E1848&gt;TODAY(),F1848&gt;TODAY()),"Verificar evento futuro","OK"))))))))))</f>
        <v/>
      </c>
    </row>
    <row r="1849" spans="12:15">
      <c r="L1849" s="5">
        <f>IF(OR(A1849="",B1849=""),"",B1849-WEEKDAY(B1849,2)+1)</f>
        <v/>
      </c>
      <c r="M1849" s="5">
        <f>IF(L1849="","",L1849+6)</f>
        <v/>
      </c>
      <c r="N1849" s="6">
        <f>IF(OR(A1849="",B1849=""),"",DATE(YEAR(B1849),MONTH(B1849),1))</f>
        <v/>
      </c>
      <c r="O1849" s="7">
        <f>IF(COUNTA(A1849:K1849)=0,"",IF(OR(A1849="",B1849=""),"Preencher CPF e entrada",IF(COUNTIFS($A$12:$A$5011,A1849,$B$12:$B$5011,B1849)&gt;1,"CPF + dia duplicado",IF(OR(AND(G1849&lt;&gt;"",G1849&lt;&gt;0,G1849&lt;&gt;1),AND(H1849&lt;&gt;"",H1849&lt;&gt;0,H1849&lt;&gt;1)),"Flags devem ser 0 ou 1",IF(AND(H1849=1,LEN(TRIM(I1849))=0),"Preencher nome do indicante",IF(AND(H1849&lt;&gt;1,I1849&lt;&gt;""),"Nome sem indicação interna",IF(AND(G1849=1,F1849=""),"Fechamento sem conversa",IF(OR(AND(E1849&lt;&gt;"",E1849&lt;B1849),AND(F1849&lt;&gt;"",F1849&lt;B1849)),"Evento anterior à entrada",IF(AND(F1849&lt;&gt;"",E1849=""),"Conversa sem agendamento",IF(OR(E1849&gt;TODAY(),F1849&gt;TODAY()),"Verificar evento futuro","OK"))))))))))</f>
        <v/>
      </c>
    </row>
    <row r="1850" spans="12:15">
      <c r="L1850" s="5">
        <f>IF(OR(A1850="",B1850=""),"",B1850-WEEKDAY(B1850,2)+1)</f>
        <v/>
      </c>
      <c r="M1850" s="5">
        <f>IF(L1850="","",L1850+6)</f>
        <v/>
      </c>
      <c r="N1850" s="6">
        <f>IF(OR(A1850="",B1850=""),"",DATE(YEAR(B1850),MONTH(B1850),1))</f>
        <v/>
      </c>
      <c r="O1850" s="7">
        <f>IF(COUNTA(A1850:K1850)=0,"",IF(OR(A1850="",B1850=""),"Preencher CPF e entrada",IF(COUNTIFS($A$12:$A$5011,A1850,$B$12:$B$5011,B1850)&gt;1,"CPF + dia duplicado",IF(OR(AND(G1850&lt;&gt;"",G1850&lt;&gt;0,G1850&lt;&gt;1),AND(H1850&lt;&gt;"",H1850&lt;&gt;0,H1850&lt;&gt;1)),"Flags devem ser 0 ou 1",IF(AND(H1850=1,LEN(TRIM(I1850))=0),"Preencher nome do indicante",IF(AND(H1850&lt;&gt;1,I1850&lt;&gt;""),"Nome sem indicação interna",IF(AND(G1850=1,F1850=""),"Fechamento sem conversa",IF(OR(AND(E1850&lt;&gt;"",E1850&lt;B1850),AND(F1850&lt;&gt;"",F1850&lt;B1850)),"Evento anterior à entrada",IF(AND(F1850&lt;&gt;"",E1850=""),"Conversa sem agendamento",IF(OR(E1850&gt;TODAY(),F1850&gt;TODAY()),"Verificar evento futuro","OK"))))))))))</f>
        <v/>
      </c>
    </row>
    <row r="1851" spans="12:15">
      <c r="L1851" s="5">
        <f>IF(OR(A1851="",B1851=""),"",B1851-WEEKDAY(B1851,2)+1)</f>
        <v/>
      </c>
      <c r="M1851" s="5">
        <f>IF(L1851="","",L1851+6)</f>
        <v/>
      </c>
      <c r="N1851" s="6">
        <f>IF(OR(A1851="",B1851=""),"",DATE(YEAR(B1851),MONTH(B1851),1))</f>
        <v/>
      </c>
      <c r="O1851" s="7">
        <f>IF(COUNTA(A1851:K1851)=0,"",IF(OR(A1851="",B1851=""),"Preencher CPF e entrada",IF(COUNTIFS($A$12:$A$5011,A1851,$B$12:$B$5011,B1851)&gt;1,"CPF + dia duplicado",IF(OR(AND(G1851&lt;&gt;"",G1851&lt;&gt;0,G1851&lt;&gt;1),AND(H1851&lt;&gt;"",H1851&lt;&gt;0,H1851&lt;&gt;1)),"Flags devem ser 0 ou 1",IF(AND(H1851=1,LEN(TRIM(I1851))=0),"Preencher nome do indicante",IF(AND(H1851&lt;&gt;1,I1851&lt;&gt;""),"Nome sem indicação interna",IF(AND(G1851=1,F1851=""),"Fechamento sem conversa",IF(OR(AND(E1851&lt;&gt;"",E1851&lt;B1851),AND(F1851&lt;&gt;"",F1851&lt;B1851)),"Evento anterior à entrada",IF(AND(F1851&lt;&gt;"",E1851=""),"Conversa sem agendamento",IF(OR(E1851&gt;TODAY(),F1851&gt;TODAY()),"Verificar evento futuro","OK"))))))))))</f>
        <v/>
      </c>
    </row>
    <row r="1852" spans="12:15">
      <c r="L1852" s="5">
        <f>IF(OR(A1852="",B1852=""),"",B1852-WEEKDAY(B1852,2)+1)</f>
        <v/>
      </c>
      <c r="M1852" s="5">
        <f>IF(L1852="","",L1852+6)</f>
        <v/>
      </c>
      <c r="N1852" s="6">
        <f>IF(OR(A1852="",B1852=""),"",DATE(YEAR(B1852),MONTH(B1852),1))</f>
        <v/>
      </c>
      <c r="O1852" s="7">
        <f>IF(COUNTA(A1852:K1852)=0,"",IF(OR(A1852="",B1852=""),"Preencher CPF e entrada",IF(COUNTIFS($A$12:$A$5011,A1852,$B$12:$B$5011,B1852)&gt;1,"CPF + dia duplicado",IF(OR(AND(G1852&lt;&gt;"",G1852&lt;&gt;0,G1852&lt;&gt;1),AND(H1852&lt;&gt;"",H1852&lt;&gt;0,H1852&lt;&gt;1)),"Flags devem ser 0 ou 1",IF(AND(H1852=1,LEN(TRIM(I1852))=0),"Preencher nome do indicante",IF(AND(H1852&lt;&gt;1,I1852&lt;&gt;""),"Nome sem indicação interna",IF(AND(G1852=1,F1852=""),"Fechamento sem conversa",IF(OR(AND(E1852&lt;&gt;"",E1852&lt;B1852),AND(F1852&lt;&gt;"",F1852&lt;B1852)),"Evento anterior à entrada",IF(AND(F1852&lt;&gt;"",E1852=""),"Conversa sem agendamento",IF(OR(E1852&gt;TODAY(),F1852&gt;TODAY()),"Verificar evento futuro","OK"))))))))))</f>
        <v/>
      </c>
    </row>
    <row r="1853" spans="12:15">
      <c r="L1853" s="5">
        <f>IF(OR(A1853="",B1853=""),"",B1853-WEEKDAY(B1853,2)+1)</f>
        <v/>
      </c>
      <c r="M1853" s="5">
        <f>IF(L1853="","",L1853+6)</f>
        <v/>
      </c>
      <c r="N1853" s="6">
        <f>IF(OR(A1853="",B1853=""),"",DATE(YEAR(B1853),MONTH(B1853),1))</f>
        <v/>
      </c>
      <c r="O1853" s="7">
        <f>IF(COUNTA(A1853:K1853)=0,"",IF(OR(A1853="",B1853=""),"Preencher CPF e entrada",IF(COUNTIFS($A$12:$A$5011,A1853,$B$12:$B$5011,B1853)&gt;1,"CPF + dia duplicado",IF(OR(AND(G1853&lt;&gt;"",G1853&lt;&gt;0,G1853&lt;&gt;1),AND(H1853&lt;&gt;"",H1853&lt;&gt;0,H1853&lt;&gt;1)),"Flags devem ser 0 ou 1",IF(AND(H1853=1,LEN(TRIM(I1853))=0),"Preencher nome do indicante",IF(AND(H1853&lt;&gt;1,I1853&lt;&gt;""),"Nome sem indicação interna",IF(AND(G1853=1,F1853=""),"Fechamento sem conversa",IF(OR(AND(E1853&lt;&gt;"",E1853&lt;B1853),AND(F1853&lt;&gt;"",F1853&lt;B1853)),"Evento anterior à entrada",IF(AND(F1853&lt;&gt;"",E1853=""),"Conversa sem agendamento",IF(OR(E1853&gt;TODAY(),F1853&gt;TODAY()),"Verificar evento futuro","OK"))))))))))</f>
        <v/>
      </c>
    </row>
    <row r="1854" spans="12:15">
      <c r="L1854" s="5">
        <f>IF(OR(A1854="",B1854=""),"",B1854-WEEKDAY(B1854,2)+1)</f>
        <v/>
      </c>
      <c r="M1854" s="5">
        <f>IF(L1854="","",L1854+6)</f>
        <v/>
      </c>
      <c r="N1854" s="6">
        <f>IF(OR(A1854="",B1854=""),"",DATE(YEAR(B1854),MONTH(B1854),1))</f>
        <v/>
      </c>
      <c r="O1854" s="7">
        <f>IF(COUNTA(A1854:K1854)=0,"",IF(OR(A1854="",B1854=""),"Preencher CPF e entrada",IF(COUNTIFS($A$12:$A$5011,A1854,$B$12:$B$5011,B1854)&gt;1,"CPF + dia duplicado",IF(OR(AND(G1854&lt;&gt;"",G1854&lt;&gt;0,G1854&lt;&gt;1),AND(H1854&lt;&gt;"",H1854&lt;&gt;0,H1854&lt;&gt;1)),"Flags devem ser 0 ou 1",IF(AND(H1854=1,LEN(TRIM(I1854))=0),"Preencher nome do indicante",IF(AND(H1854&lt;&gt;1,I1854&lt;&gt;""),"Nome sem indicação interna",IF(AND(G1854=1,F1854=""),"Fechamento sem conversa",IF(OR(AND(E1854&lt;&gt;"",E1854&lt;B1854),AND(F1854&lt;&gt;"",F1854&lt;B1854)),"Evento anterior à entrada",IF(AND(F1854&lt;&gt;"",E1854=""),"Conversa sem agendamento",IF(OR(E1854&gt;TODAY(),F1854&gt;TODAY()),"Verificar evento futuro","OK"))))))))))</f>
        <v/>
      </c>
    </row>
    <row r="1855" spans="12:15">
      <c r="L1855" s="5">
        <f>IF(OR(A1855="",B1855=""),"",B1855-WEEKDAY(B1855,2)+1)</f>
        <v/>
      </c>
      <c r="M1855" s="5">
        <f>IF(L1855="","",L1855+6)</f>
        <v/>
      </c>
      <c r="N1855" s="6">
        <f>IF(OR(A1855="",B1855=""),"",DATE(YEAR(B1855),MONTH(B1855),1))</f>
        <v/>
      </c>
      <c r="O1855" s="7">
        <f>IF(COUNTA(A1855:K1855)=0,"",IF(OR(A1855="",B1855=""),"Preencher CPF e entrada",IF(COUNTIFS($A$12:$A$5011,A1855,$B$12:$B$5011,B1855)&gt;1,"CPF + dia duplicado",IF(OR(AND(G1855&lt;&gt;"",G1855&lt;&gt;0,G1855&lt;&gt;1),AND(H1855&lt;&gt;"",H1855&lt;&gt;0,H1855&lt;&gt;1)),"Flags devem ser 0 ou 1",IF(AND(H1855=1,LEN(TRIM(I1855))=0),"Preencher nome do indicante",IF(AND(H1855&lt;&gt;1,I1855&lt;&gt;""),"Nome sem indicação interna",IF(AND(G1855=1,F1855=""),"Fechamento sem conversa",IF(OR(AND(E1855&lt;&gt;"",E1855&lt;B1855),AND(F1855&lt;&gt;"",F1855&lt;B1855)),"Evento anterior à entrada",IF(AND(F1855&lt;&gt;"",E1855=""),"Conversa sem agendamento",IF(OR(E1855&gt;TODAY(),F1855&gt;TODAY()),"Verificar evento futuro","OK"))))))))))</f>
        <v/>
      </c>
    </row>
    <row r="1856" spans="12:15">
      <c r="L1856" s="5">
        <f>IF(OR(A1856="",B1856=""),"",B1856-WEEKDAY(B1856,2)+1)</f>
        <v/>
      </c>
      <c r="M1856" s="5">
        <f>IF(L1856="","",L1856+6)</f>
        <v/>
      </c>
      <c r="N1856" s="6">
        <f>IF(OR(A1856="",B1856=""),"",DATE(YEAR(B1856),MONTH(B1856),1))</f>
        <v/>
      </c>
      <c r="O1856" s="7">
        <f>IF(COUNTA(A1856:K1856)=0,"",IF(OR(A1856="",B1856=""),"Preencher CPF e entrada",IF(COUNTIFS($A$12:$A$5011,A1856,$B$12:$B$5011,B1856)&gt;1,"CPF + dia duplicado",IF(OR(AND(G1856&lt;&gt;"",G1856&lt;&gt;0,G1856&lt;&gt;1),AND(H1856&lt;&gt;"",H1856&lt;&gt;0,H1856&lt;&gt;1)),"Flags devem ser 0 ou 1",IF(AND(H1856=1,LEN(TRIM(I1856))=0),"Preencher nome do indicante",IF(AND(H1856&lt;&gt;1,I1856&lt;&gt;""),"Nome sem indicação interna",IF(AND(G1856=1,F1856=""),"Fechamento sem conversa",IF(OR(AND(E1856&lt;&gt;"",E1856&lt;B1856),AND(F1856&lt;&gt;"",F1856&lt;B1856)),"Evento anterior à entrada",IF(AND(F1856&lt;&gt;"",E1856=""),"Conversa sem agendamento",IF(OR(E1856&gt;TODAY(),F1856&gt;TODAY()),"Verificar evento futuro","OK"))))))))))</f>
        <v/>
      </c>
    </row>
    <row r="1857" spans="12:15">
      <c r="L1857" s="5">
        <f>IF(OR(A1857="",B1857=""),"",B1857-WEEKDAY(B1857,2)+1)</f>
        <v/>
      </c>
      <c r="M1857" s="5">
        <f>IF(L1857="","",L1857+6)</f>
        <v/>
      </c>
      <c r="N1857" s="6">
        <f>IF(OR(A1857="",B1857=""),"",DATE(YEAR(B1857),MONTH(B1857),1))</f>
        <v/>
      </c>
      <c r="O1857" s="7">
        <f>IF(COUNTA(A1857:K1857)=0,"",IF(OR(A1857="",B1857=""),"Preencher CPF e entrada",IF(COUNTIFS($A$12:$A$5011,A1857,$B$12:$B$5011,B1857)&gt;1,"CPF + dia duplicado",IF(OR(AND(G1857&lt;&gt;"",G1857&lt;&gt;0,G1857&lt;&gt;1),AND(H1857&lt;&gt;"",H1857&lt;&gt;0,H1857&lt;&gt;1)),"Flags devem ser 0 ou 1",IF(AND(H1857=1,LEN(TRIM(I1857))=0),"Preencher nome do indicante",IF(AND(H1857&lt;&gt;1,I1857&lt;&gt;""),"Nome sem indicação interna",IF(AND(G1857=1,F1857=""),"Fechamento sem conversa",IF(OR(AND(E1857&lt;&gt;"",E1857&lt;B1857),AND(F1857&lt;&gt;"",F1857&lt;B1857)),"Evento anterior à entrada",IF(AND(F1857&lt;&gt;"",E1857=""),"Conversa sem agendamento",IF(OR(E1857&gt;TODAY(),F1857&gt;TODAY()),"Verificar evento futuro","OK"))))))))))</f>
        <v/>
      </c>
    </row>
    <row r="1858" spans="12:15">
      <c r="L1858" s="5">
        <f>IF(OR(A1858="",B1858=""),"",B1858-WEEKDAY(B1858,2)+1)</f>
        <v/>
      </c>
      <c r="M1858" s="5">
        <f>IF(L1858="","",L1858+6)</f>
        <v/>
      </c>
      <c r="N1858" s="6">
        <f>IF(OR(A1858="",B1858=""),"",DATE(YEAR(B1858),MONTH(B1858),1))</f>
        <v/>
      </c>
      <c r="O1858" s="7">
        <f>IF(COUNTA(A1858:K1858)=0,"",IF(OR(A1858="",B1858=""),"Preencher CPF e entrada",IF(COUNTIFS($A$12:$A$5011,A1858,$B$12:$B$5011,B1858)&gt;1,"CPF + dia duplicado",IF(OR(AND(G1858&lt;&gt;"",G1858&lt;&gt;0,G1858&lt;&gt;1),AND(H1858&lt;&gt;"",H1858&lt;&gt;0,H1858&lt;&gt;1)),"Flags devem ser 0 ou 1",IF(AND(H1858=1,LEN(TRIM(I1858))=0),"Preencher nome do indicante",IF(AND(H1858&lt;&gt;1,I1858&lt;&gt;""),"Nome sem indicação interna",IF(AND(G1858=1,F1858=""),"Fechamento sem conversa",IF(OR(AND(E1858&lt;&gt;"",E1858&lt;B1858),AND(F1858&lt;&gt;"",F1858&lt;B1858)),"Evento anterior à entrada",IF(AND(F1858&lt;&gt;"",E1858=""),"Conversa sem agendamento",IF(OR(E1858&gt;TODAY(),F1858&gt;TODAY()),"Verificar evento futuro","OK"))))))))))</f>
        <v/>
      </c>
    </row>
    <row r="1859" spans="12:15">
      <c r="L1859" s="5">
        <f>IF(OR(A1859="",B1859=""),"",B1859-WEEKDAY(B1859,2)+1)</f>
        <v/>
      </c>
      <c r="M1859" s="5">
        <f>IF(L1859="","",L1859+6)</f>
        <v/>
      </c>
      <c r="N1859" s="6">
        <f>IF(OR(A1859="",B1859=""),"",DATE(YEAR(B1859),MONTH(B1859),1))</f>
        <v/>
      </c>
      <c r="O1859" s="7">
        <f>IF(COUNTA(A1859:K1859)=0,"",IF(OR(A1859="",B1859=""),"Preencher CPF e entrada",IF(COUNTIFS($A$12:$A$5011,A1859,$B$12:$B$5011,B1859)&gt;1,"CPF + dia duplicado",IF(OR(AND(G1859&lt;&gt;"",G1859&lt;&gt;0,G1859&lt;&gt;1),AND(H1859&lt;&gt;"",H1859&lt;&gt;0,H1859&lt;&gt;1)),"Flags devem ser 0 ou 1",IF(AND(H1859=1,LEN(TRIM(I1859))=0),"Preencher nome do indicante",IF(AND(H1859&lt;&gt;1,I1859&lt;&gt;""),"Nome sem indicação interna",IF(AND(G1859=1,F1859=""),"Fechamento sem conversa",IF(OR(AND(E1859&lt;&gt;"",E1859&lt;B1859),AND(F1859&lt;&gt;"",F1859&lt;B1859)),"Evento anterior à entrada",IF(AND(F1859&lt;&gt;"",E1859=""),"Conversa sem agendamento",IF(OR(E1859&gt;TODAY(),F1859&gt;TODAY()),"Verificar evento futuro","OK"))))))))))</f>
        <v/>
      </c>
    </row>
    <row r="1860" spans="12:15">
      <c r="L1860" s="5">
        <f>IF(OR(A1860="",B1860=""),"",B1860-WEEKDAY(B1860,2)+1)</f>
        <v/>
      </c>
      <c r="M1860" s="5">
        <f>IF(L1860="","",L1860+6)</f>
        <v/>
      </c>
      <c r="N1860" s="6">
        <f>IF(OR(A1860="",B1860=""),"",DATE(YEAR(B1860),MONTH(B1860),1))</f>
        <v/>
      </c>
      <c r="O1860" s="7">
        <f>IF(COUNTA(A1860:K1860)=0,"",IF(OR(A1860="",B1860=""),"Preencher CPF e entrada",IF(COUNTIFS($A$12:$A$5011,A1860,$B$12:$B$5011,B1860)&gt;1,"CPF + dia duplicado",IF(OR(AND(G1860&lt;&gt;"",G1860&lt;&gt;0,G1860&lt;&gt;1),AND(H1860&lt;&gt;"",H1860&lt;&gt;0,H1860&lt;&gt;1)),"Flags devem ser 0 ou 1",IF(AND(H1860=1,LEN(TRIM(I1860))=0),"Preencher nome do indicante",IF(AND(H1860&lt;&gt;1,I1860&lt;&gt;""),"Nome sem indicação interna",IF(AND(G1860=1,F1860=""),"Fechamento sem conversa",IF(OR(AND(E1860&lt;&gt;"",E1860&lt;B1860),AND(F1860&lt;&gt;"",F1860&lt;B1860)),"Evento anterior à entrada",IF(AND(F1860&lt;&gt;"",E1860=""),"Conversa sem agendamento",IF(OR(E1860&gt;TODAY(),F1860&gt;TODAY()),"Verificar evento futuro","OK"))))))))))</f>
        <v/>
      </c>
    </row>
    <row r="1861" spans="12:15">
      <c r="L1861" s="5">
        <f>IF(OR(A1861="",B1861=""),"",B1861-WEEKDAY(B1861,2)+1)</f>
        <v/>
      </c>
      <c r="M1861" s="5">
        <f>IF(L1861="","",L1861+6)</f>
        <v/>
      </c>
      <c r="N1861" s="6">
        <f>IF(OR(A1861="",B1861=""),"",DATE(YEAR(B1861),MONTH(B1861),1))</f>
        <v/>
      </c>
      <c r="O1861" s="7">
        <f>IF(COUNTA(A1861:K1861)=0,"",IF(OR(A1861="",B1861=""),"Preencher CPF e entrada",IF(COUNTIFS($A$12:$A$5011,A1861,$B$12:$B$5011,B1861)&gt;1,"CPF + dia duplicado",IF(OR(AND(G1861&lt;&gt;"",G1861&lt;&gt;0,G1861&lt;&gt;1),AND(H1861&lt;&gt;"",H1861&lt;&gt;0,H1861&lt;&gt;1)),"Flags devem ser 0 ou 1",IF(AND(H1861=1,LEN(TRIM(I1861))=0),"Preencher nome do indicante",IF(AND(H1861&lt;&gt;1,I1861&lt;&gt;""),"Nome sem indicação interna",IF(AND(G1861=1,F1861=""),"Fechamento sem conversa",IF(OR(AND(E1861&lt;&gt;"",E1861&lt;B1861),AND(F1861&lt;&gt;"",F1861&lt;B1861)),"Evento anterior à entrada",IF(AND(F1861&lt;&gt;"",E1861=""),"Conversa sem agendamento",IF(OR(E1861&gt;TODAY(),F1861&gt;TODAY()),"Verificar evento futuro","OK"))))))))))</f>
        <v/>
      </c>
    </row>
    <row r="1862" spans="12:15">
      <c r="L1862" s="5">
        <f>IF(OR(A1862="",B1862=""),"",B1862-WEEKDAY(B1862,2)+1)</f>
        <v/>
      </c>
      <c r="M1862" s="5">
        <f>IF(L1862="","",L1862+6)</f>
        <v/>
      </c>
      <c r="N1862" s="6">
        <f>IF(OR(A1862="",B1862=""),"",DATE(YEAR(B1862),MONTH(B1862),1))</f>
        <v/>
      </c>
      <c r="O1862" s="7">
        <f>IF(COUNTA(A1862:K1862)=0,"",IF(OR(A1862="",B1862=""),"Preencher CPF e entrada",IF(COUNTIFS($A$12:$A$5011,A1862,$B$12:$B$5011,B1862)&gt;1,"CPF + dia duplicado",IF(OR(AND(G1862&lt;&gt;"",G1862&lt;&gt;0,G1862&lt;&gt;1),AND(H1862&lt;&gt;"",H1862&lt;&gt;0,H1862&lt;&gt;1)),"Flags devem ser 0 ou 1",IF(AND(H1862=1,LEN(TRIM(I1862))=0),"Preencher nome do indicante",IF(AND(H1862&lt;&gt;1,I1862&lt;&gt;""),"Nome sem indicação interna",IF(AND(G1862=1,F1862=""),"Fechamento sem conversa",IF(OR(AND(E1862&lt;&gt;"",E1862&lt;B1862),AND(F1862&lt;&gt;"",F1862&lt;B1862)),"Evento anterior à entrada",IF(AND(F1862&lt;&gt;"",E1862=""),"Conversa sem agendamento",IF(OR(E1862&gt;TODAY(),F1862&gt;TODAY()),"Verificar evento futuro","OK"))))))))))</f>
        <v/>
      </c>
    </row>
    <row r="1863" spans="12:15">
      <c r="L1863" s="5">
        <f>IF(OR(A1863="",B1863=""),"",B1863-WEEKDAY(B1863,2)+1)</f>
        <v/>
      </c>
      <c r="M1863" s="5">
        <f>IF(L1863="","",L1863+6)</f>
        <v/>
      </c>
      <c r="N1863" s="6">
        <f>IF(OR(A1863="",B1863=""),"",DATE(YEAR(B1863),MONTH(B1863),1))</f>
        <v/>
      </c>
      <c r="O1863" s="7">
        <f>IF(COUNTA(A1863:K1863)=0,"",IF(OR(A1863="",B1863=""),"Preencher CPF e entrada",IF(COUNTIFS($A$12:$A$5011,A1863,$B$12:$B$5011,B1863)&gt;1,"CPF + dia duplicado",IF(OR(AND(G1863&lt;&gt;"",G1863&lt;&gt;0,G1863&lt;&gt;1),AND(H1863&lt;&gt;"",H1863&lt;&gt;0,H1863&lt;&gt;1)),"Flags devem ser 0 ou 1",IF(AND(H1863=1,LEN(TRIM(I1863))=0),"Preencher nome do indicante",IF(AND(H1863&lt;&gt;1,I1863&lt;&gt;""),"Nome sem indicação interna",IF(AND(G1863=1,F1863=""),"Fechamento sem conversa",IF(OR(AND(E1863&lt;&gt;"",E1863&lt;B1863),AND(F1863&lt;&gt;"",F1863&lt;B1863)),"Evento anterior à entrada",IF(AND(F1863&lt;&gt;"",E1863=""),"Conversa sem agendamento",IF(OR(E1863&gt;TODAY(),F1863&gt;TODAY()),"Verificar evento futuro","OK"))))))))))</f>
        <v/>
      </c>
    </row>
    <row r="1864" spans="12:15">
      <c r="L1864" s="5">
        <f>IF(OR(A1864="",B1864=""),"",B1864-WEEKDAY(B1864,2)+1)</f>
        <v/>
      </c>
      <c r="M1864" s="5">
        <f>IF(L1864="","",L1864+6)</f>
        <v/>
      </c>
      <c r="N1864" s="6">
        <f>IF(OR(A1864="",B1864=""),"",DATE(YEAR(B1864),MONTH(B1864),1))</f>
        <v/>
      </c>
      <c r="O1864" s="7">
        <f>IF(COUNTA(A1864:K1864)=0,"",IF(OR(A1864="",B1864=""),"Preencher CPF e entrada",IF(COUNTIFS($A$12:$A$5011,A1864,$B$12:$B$5011,B1864)&gt;1,"CPF + dia duplicado",IF(OR(AND(G1864&lt;&gt;"",G1864&lt;&gt;0,G1864&lt;&gt;1),AND(H1864&lt;&gt;"",H1864&lt;&gt;0,H1864&lt;&gt;1)),"Flags devem ser 0 ou 1",IF(AND(H1864=1,LEN(TRIM(I1864))=0),"Preencher nome do indicante",IF(AND(H1864&lt;&gt;1,I1864&lt;&gt;""),"Nome sem indicação interna",IF(AND(G1864=1,F1864=""),"Fechamento sem conversa",IF(OR(AND(E1864&lt;&gt;"",E1864&lt;B1864),AND(F1864&lt;&gt;"",F1864&lt;B1864)),"Evento anterior à entrada",IF(AND(F1864&lt;&gt;"",E1864=""),"Conversa sem agendamento",IF(OR(E1864&gt;TODAY(),F1864&gt;TODAY()),"Verificar evento futuro","OK"))))))))))</f>
        <v/>
      </c>
    </row>
    <row r="1865" spans="12:15">
      <c r="L1865" s="5">
        <f>IF(OR(A1865="",B1865=""),"",B1865-WEEKDAY(B1865,2)+1)</f>
        <v/>
      </c>
      <c r="M1865" s="5">
        <f>IF(L1865="","",L1865+6)</f>
        <v/>
      </c>
      <c r="N1865" s="6">
        <f>IF(OR(A1865="",B1865=""),"",DATE(YEAR(B1865),MONTH(B1865),1))</f>
        <v/>
      </c>
      <c r="O1865" s="7">
        <f>IF(COUNTA(A1865:K1865)=0,"",IF(OR(A1865="",B1865=""),"Preencher CPF e entrada",IF(COUNTIFS($A$12:$A$5011,A1865,$B$12:$B$5011,B1865)&gt;1,"CPF + dia duplicado",IF(OR(AND(G1865&lt;&gt;"",G1865&lt;&gt;0,G1865&lt;&gt;1),AND(H1865&lt;&gt;"",H1865&lt;&gt;0,H1865&lt;&gt;1)),"Flags devem ser 0 ou 1",IF(AND(H1865=1,LEN(TRIM(I1865))=0),"Preencher nome do indicante",IF(AND(H1865&lt;&gt;1,I1865&lt;&gt;""),"Nome sem indicação interna",IF(AND(G1865=1,F1865=""),"Fechamento sem conversa",IF(OR(AND(E1865&lt;&gt;"",E1865&lt;B1865),AND(F1865&lt;&gt;"",F1865&lt;B1865)),"Evento anterior à entrada",IF(AND(F1865&lt;&gt;"",E1865=""),"Conversa sem agendamento",IF(OR(E1865&gt;TODAY(),F1865&gt;TODAY()),"Verificar evento futuro","OK"))))))))))</f>
        <v/>
      </c>
    </row>
    <row r="1866" spans="12:15">
      <c r="L1866" s="5">
        <f>IF(OR(A1866="",B1866=""),"",B1866-WEEKDAY(B1866,2)+1)</f>
        <v/>
      </c>
      <c r="M1866" s="5">
        <f>IF(L1866="","",L1866+6)</f>
        <v/>
      </c>
      <c r="N1866" s="6">
        <f>IF(OR(A1866="",B1866=""),"",DATE(YEAR(B1866),MONTH(B1866),1))</f>
        <v/>
      </c>
      <c r="O1866" s="7">
        <f>IF(COUNTA(A1866:K1866)=0,"",IF(OR(A1866="",B1866=""),"Preencher CPF e entrada",IF(COUNTIFS($A$12:$A$5011,A1866,$B$12:$B$5011,B1866)&gt;1,"CPF + dia duplicado",IF(OR(AND(G1866&lt;&gt;"",G1866&lt;&gt;0,G1866&lt;&gt;1),AND(H1866&lt;&gt;"",H1866&lt;&gt;0,H1866&lt;&gt;1)),"Flags devem ser 0 ou 1",IF(AND(H1866=1,LEN(TRIM(I1866))=0),"Preencher nome do indicante",IF(AND(H1866&lt;&gt;1,I1866&lt;&gt;""),"Nome sem indicação interna",IF(AND(G1866=1,F1866=""),"Fechamento sem conversa",IF(OR(AND(E1866&lt;&gt;"",E1866&lt;B1866),AND(F1866&lt;&gt;"",F1866&lt;B1866)),"Evento anterior à entrada",IF(AND(F1866&lt;&gt;"",E1866=""),"Conversa sem agendamento",IF(OR(E1866&gt;TODAY(),F1866&gt;TODAY()),"Verificar evento futuro","OK"))))))))))</f>
        <v/>
      </c>
    </row>
    <row r="1867" spans="12:15">
      <c r="L1867" s="5">
        <f>IF(OR(A1867="",B1867=""),"",B1867-WEEKDAY(B1867,2)+1)</f>
        <v/>
      </c>
      <c r="M1867" s="5">
        <f>IF(L1867="","",L1867+6)</f>
        <v/>
      </c>
      <c r="N1867" s="6">
        <f>IF(OR(A1867="",B1867=""),"",DATE(YEAR(B1867),MONTH(B1867),1))</f>
        <v/>
      </c>
      <c r="O1867" s="7">
        <f>IF(COUNTA(A1867:K1867)=0,"",IF(OR(A1867="",B1867=""),"Preencher CPF e entrada",IF(COUNTIFS($A$12:$A$5011,A1867,$B$12:$B$5011,B1867)&gt;1,"CPF + dia duplicado",IF(OR(AND(G1867&lt;&gt;"",G1867&lt;&gt;0,G1867&lt;&gt;1),AND(H1867&lt;&gt;"",H1867&lt;&gt;0,H1867&lt;&gt;1)),"Flags devem ser 0 ou 1",IF(AND(H1867=1,LEN(TRIM(I1867))=0),"Preencher nome do indicante",IF(AND(H1867&lt;&gt;1,I1867&lt;&gt;""),"Nome sem indicação interna",IF(AND(G1867=1,F1867=""),"Fechamento sem conversa",IF(OR(AND(E1867&lt;&gt;"",E1867&lt;B1867),AND(F1867&lt;&gt;"",F1867&lt;B1867)),"Evento anterior à entrada",IF(AND(F1867&lt;&gt;"",E1867=""),"Conversa sem agendamento",IF(OR(E1867&gt;TODAY(),F1867&gt;TODAY()),"Verificar evento futuro","OK"))))))))))</f>
        <v/>
      </c>
    </row>
    <row r="1868" spans="12:15">
      <c r="L1868" s="5">
        <f>IF(OR(A1868="",B1868=""),"",B1868-WEEKDAY(B1868,2)+1)</f>
        <v/>
      </c>
      <c r="M1868" s="5">
        <f>IF(L1868="","",L1868+6)</f>
        <v/>
      </c>
      <c r="N1868" s="6">
        <f>IF(OR(A1868="",B1868=""),"",DATE(YEAR(B1868),MONTH(B1868),1))</f>
        <v/>
      </c>
      <c r="O1868" s="7">
        <f>IF(COUNTA(A1868:K1868)=0,"",IF(OR(A1868="",B1868=""),"Preencher CPF e entrada",IF(COUNTIFS($A$12:$A$5011,A1868,$B$12:$B$5011,B1868)&gt;1,"CPF + dia duplicado",IF(OR(AND(G1868&lt;&gt;"",G1868&lt;&gt;0,G1868&lt;&gt;1),AND(H1868&lt;&gt;"",H1868&lt;&gt;0,H1868&lt;&gt;1)),"Flags devem ser 0 ou 1",IF(AND(H1868=1,LEN(TRIM(I1868))=0),"Preencher nome do indicante",IF(AND(H1868&lt;&gt;1,I1868&lt;&gt;""),"Nome sem indicação interna",IF(AND(G1868=1,F1868=""),"Fechamento sem conversa",IF(OR(AND(E1868&lt;&gt;"",E1868&lt;B1868),AND(F1868&lt;&gt;"",F1868&lt;B1868)),"Evento anterior à entrada",IF(AND(F1868&lt;&gt;"",E1868=""),"Conversa sem agendamento",IF(OR(E1868&gt;TODAY(),F1868&gt;TODAY()),"Verificar evento futuro","OK"))))))))))</f>
        <v/>
      </c>
    </row>
    <row r="1869" spans="12:15">
      <c r="L1869" s="5">
        <f>IF(OR(A1869="",B1869=""),"",B1869-WEEKDAY(B1869,2)+1)</f>
        <v/>
      </c>
      <c r="M1869" s="5">
        <f>IF(L1869="","",L1869+6)</f>
        <v/>
      </c>
      <c r="N1869" s="6">
        <f>IF(OR(A1869="",B1869=""),"",DATE(YEAR(B1869),MONTH(B1869),1))</f>
        <v/>
      </c>
      <c r="O1869" s="7">
        <f>IF(COUNTA(A1869:K1869)=0,"",IF(OR(A1869="",B1869=""),"Preencher CPF e entrada",IF(COUNTIFS($A$12:$A$5011,A1869,$B$12:$B$5011,B1869)&gt;1,"CPF + dia duplicado",IF(OR(AND(G1869&lt;&gt;"",G1869&lt;&gt;0,G1869&lt;&gt;1),AND(H1869&lt;&gt;"",H1869&lt;&gt;0,H1869&lt;&gt;1)),"Flags devem ser 0 ou 1",IF(AND(H1869=1,LEN(TRIM(I1869))=0),"Preencher nome do indicante",IF(AND(H1869&lt;&gt;1,I1869&lt;&gt;""),"Nome sem indicação interna",IF(AND(G1869=1,F1869=""),"Fechamento sem conversa",IF(OR(AND(E1869&lt;&gt;"",E1869&lt;B1869),AND(F1869&lt;&gt;"",F1869&lt;B1869)),"Evento anterior à entrada",IF(AND(F1869&lt;&gt;"",E1869=""),"Conversa sem agendamento",IF(OR(E1869&gt;TODAY(),F1869&gt;TODAY()),"Verificar evento futuro","OK"))))))))))</f>
        <v/>
      </c>
    </row>
    <row r="1870" spans="12:15">
      <c r="L1870" s="5">
        <f>IF(OR(A1870="",B1870=""),"",B1870-WEEKDAY(B1870,2)+1)</f>
        <v/>
      </c>
      <c r="M1870" s="5">
        <f>IF(L1870="","",L1870+6)</f>
        <v/>
      </c>
      <c r="N1870" s="6">
        <f>IF(OR(A1870="",B1870=""),"",DATE(YEAR(B1870),MONTH(B1870),1))</f>
        <v/>
      </c>
      <c r="O1870" s="7">
        <f>IF(COUNTA(A1870:K1870)=0,"",IF(OR(A1870="",B1870=""),"Preencher CPF e entrada",IF(COUNTIFS($A$12:$A$5011,A1870,$B$12:$B$5011,B1870)&gt;1,"CPF + dia duplicado",IF(OR(AND(G1870&lt;&gt;"",G1870&lt;&gt;0,G1870&lt;&gt;1),AND(H1870&lt;&gt;"",H1870&lt;&gt;0,H1870&lt;&gt;1)),"Flags devem ser 0 ou 1",IF(AND(H1870=1,LEN(TRIM(I1870))=0),"Preencher nome do indicante",IF(AND(H1870&lt;&gt;1,I1870&lt;&gt;""),"Nome sem indicação interna",IF(AND(G1870=1,F1870=""),"Fechamento sem conversa",IF(OR(AND(E1870&lt;&gt;"",E1870&lt;B1870),AND(F1870&lt;&gt;"",F1870&lt;B1870)),"Evento anterior à entrada",IF(AND(F1870&lt;&gt;"",E1870=""),"Conversa sem agendamento",IF(OR(E1870&gt;TODAY(),F1870&gt;TODAY()),"Verificar evento futuro","OK"))))))))))</f>
        <v/>
      </c>
    </row>
    <row r="1871" spans="12:15">
      <c r="L1871" s="5">
        <f>IF(OR(A1871="",B1871=""),"",B1871-WEEKDAY(B1871,2)+1)</f>
        <v/>
      </c>
      <c r="M1871" s="5">
        <f>IF(L1871="","",L1871+6)</f>
        <v/>
      </c>
      <c r="N1871" s="6">
        <f>IF(OR(A1871="",B1871=""),"",DATE(YEAR(B1871),MONTH(B1871),1))</f>
        <v/>
      </c>
      <c r="O1871" s="7">
        <f>IF(COUNTA(A1871:K1871)=0,"",IF(OR(A1871="",B1871=""),"Preencher CPF e entrada",IF(COUNTIFS($A$12:$A$5011,A1871,$B$12:$B$5011,B1871)&gt;1,"CPF + dia duplicado",IF(OR(AND(G1871&lt;&gt;"",G1871&lt;&gt;0,G1871&lt;&gt;1),AND(H1871&lt;&gt;"",H1871&lt;&gt;0,H1871&lt;&gt;1)),"Flags devem ser 0 ou 1",IF(AND(H1871=1,LEN(TRIM(I1871))=0),"Preencher nome do indicante",IF(AND(H1871&lt;&gt;1,I1871&lt;&gt;""),"Nome sem indicação interna",IF(AND(G1871=1,F1871=""),"Fechamento sem conversa",IF(OR(AND(E1871&lt;&gt;"",E1871&lt;B1871),AND(F1871&lt;&gt;"",F1871&lt;B1871)),"Evento anterior à entrada",IF(AND(F1871&lt;&gt;"",E1871=""),"Conversa sem agendamento",IF(OR(E1871&gt;TODAY(),F1871&gt;TODAY()),"Verificar evento futuro","OK"))))))))))</f>
        <v/>
      </c>
    </row>
    <row r="1872" spans="12:15">
      <c r="L1872" s="5">
        <f>IF(OR(A1872="",B1872=""),"",B1872-WEEKDAY(B1872,2)+1)</f>
        <v/>
      </c>
      <c r="M1872" s="5">
        <f>IF(L1872="","",L1872+6)</f>
        <v/>
      </c>
      <c r="N1872" s="6">
        <f>IF(OR(A1872="",B1872=""),"",DATE(YEAR(B1872),MONTH(B1872),1))</f>
        <v/>
      </c>
      <c r="O1872" s="7">
        <f>IF(COUNTA(A1872:K1872)=0,"",IF(OR(A1872="",B1872=""),"Preencher CPF e entrada",IF(COUNTIFS($A$12:$A$5011,A1872,$B$12:$B$5011,B1872)&gt;1,"CPF + dia duplicado",IF(OR(AND(G1872&lt;&gt;"",G1872&lt;&gt;0,G1872&lt;&gt;1),AND(H1872&lt;&gt;"",H1872&lt;&gt;0,H1872&lt;&gt;1)),"Flags devem ser 0 ou 1",IF(AND(H1872=1,LEN(TRIM(I1872))=0),"Preencher nome do indicante",IF(AND(H1872&lt;&gt;1,I1872&lt;&gt;""),"Nome sem indicação interna",IF(AND(G1872=1,F1872=""),"Fechamento sem conversa",IF(OR(AND(E1872&lt;&gt;"",E1872&lt;B1872),AND(F1872&lt;&gt;"",F1872&lt;B1872)),"Evento anterior à entrada",IF(AND(F1872&lt;&gt;"",E1872=""),"Conversa sem agendamento",IF(OR(E1872&gt;TODAY(),F1872&gt;TODAY()),"Verificar evento futuro","OK"))))))))))</f>
        <v/>
      </c>
    </row>
    <row r="1873" spans="12:15">
      <c r="L1873" s="5">
        <f>IF(OR(A1873="",B1873=""),"",B1873-WEEKDAY(B1873,2)+1)</f>
        <v/>
      </c>
      <c r="M1873" s="5">
        <f>IF(L1873="","",L1873+6)</f>
        <v/>
      </c>
      <c r="N1873" s="6">
        <f>IF(OR(A1873="",B1873=""),"",DATE(YEAR(B1873),MONTH(B1873),1))</f>
        <v/>
      </c>
      <c r="O1873" s="7">
        <f>IF(COUNTA(A1873:K1873)=0,"",IF(OR(A1873="",B1873=""),"Preencher CPF e entrada",IF(COUNTIFS($A$12:$A$5011,A1873,$B$12:$B$5011,B1873)&gt;1,"CPF + dia duplicado",IF(OR(AND(G1873&lt;&gt;"",G1873&lt;&gt;0,G1873&lt;&gt;1),AND(H1873&lt;&gt;"",H1873&lt;&gt;0,H1873&lt;&gt;1)),"Flags devem ser 0 ou 1",IF(AND(H1873=1,LEN(TRIM(I1873))=0),"Preencher nome do indicante",IF(AND(H1873&lt;&gt;1,I1873&lt;&gt;""),"Nome sem indicação interna",IF(AND(G1873=1,F1873=""),"Fechamento sem conversa",IF(OR(AND(E1873&lt;&gt;"",E1873&lt;B1873),AND(F1873&lt;&gt;"",F1873&lt;B1873)),"Evento anterior à entrada",IF(AND(F1873&lt;&gt;"",E1873=""),"Conversa sem agendamento",IF(OR(E1873&gt;TODAY(),F1873&gt;TODAY()),"Verificar evento futuro","OK"))))))))))</f>
        <v/>
      </c>
    </row>
    <row r="1874" spans="12:15">
      <c r="L1874" s="5">
        <f>IF(OR(A1874="",B1874=""),"",B1874-WEEKDAY(B1874,2)+1)</f>
        <v/>
      </c>
      <c r="M1874" s="5">
        <f>IF(L1874="","",L1874+6)</f>
        <v/>
      </c>
      <c r="N1874" s="6">
        <f>IF(OR(A1874="",B1874=""),"",DATE(YEAR(B1874),MONTH(B1874),1))</f>
        <v/>
      </c>
      <c r="O1874" s="7">
        <f>IF(COUNTA(A1874:K1874)=0,"",IF(OR(A1874="",B1874=""),"Preencher CPF e entrada",IF(COUNTIFS($A$12:$A$5011,A1874,$B$12:$B$5011,B1874)&gt;1,"CPF + dia duplicado",IF(OR(AND(G1874&lt;&gt;"",G1874&lt;&gt;0,G1874&lt;&gt;1),AND(H1874&lt;&gt;"",H1874&lt;&gt;0,H1874&lt;&gt;1)),"Flags devem ser 0 ou 1",IF(AND(H1874=1,LEN(TRIM(I1874))=0),"Preencher nome do indicante",IF(AND(H1874&lt;&gt;1,I1874&lt;&gt;""),"Nome sem indicação interna",IF(AND(G1874=1,F1874=""),"Fechamento sem conversa",IF(OR(AND(E1874&lt;&gt;"",E1874&lt;B1874),AND(F1874&lt;&gt;"",F1874&lt;B1874)),"Evento anterior à entrada",IF(AND(F1874&lt;&gt;"",E1874=""),"Conversa sem agendamento",IF(OR(E1874&gt;TODAY(),F1874&gt;TODAY()),"Verificar evento futuro","OK"))))))))))</f>
        <v/>
      </c>
    </row>
    <row r="1875" spans="12:15">
      <c r="L1875" s="5">
        <f>IF(OR(A1875="",B1875=""),"",B1875-WEEKDAY(B1875,2)+1)</f>
        <v/>
      </c>
      <c r="M1875" s="5">
        <f>IF(L1875="","",L1875+6)</f>
        <v/>
      </c>
      <c r="N1875" s="6">
        <f>IF(OR(A1875="",B1875=""),"",DATE(YEAR(B1875),MONTH(B1875),1))</f>
        <v/>
      </c>
      <c r="O1875" s="7">
        <f>IF(COUNTA(A1875:K1875)=0,"",IF(OR(A1875="",B1875=""),"Preencher CPF e entrada",IF(COUNTIFS($A$12:$A$5011,A1875,$B$12:$B$5011,B1875)&gt;1,"CPF + dia duplicado",IF(OR(AND(G1875&lt;&gt;"",G1875&lt;&gt;0,G1875&lt;&gt;1),AND(H1875&lt;&gt;"",H1875&lt;&gt;0,H1875&lt;&gt;1)),"Flags devem ser 0 ou 1",IF(AND(H1875=1,LEN(TRIM(I1875))=0),"Preencher nome do indicante",IF(AND(H1875&lt;&gt;1,I1875&lt;&gt;""),"Nome sem indicação interna",IF(AND(G1875=1,F1875=""),"Fechamento sem conversa",IF(OR(AND(E1875&lt;&gt;"",E1875&lt;B1875),AND(F1875&lt;&gt;"",F1875&lt;B1875)),"Evento anterior à entrada",IF(AND(F1875&lt;&gt;"",E1875=""),"Conversa sem agendamento",IF(OR(E1875&gt;TODAY(),F1875&gt;TODAY()),"Verificar evento futuro","OK"))))))))))</f>
        <v/>
      </c>
    </row>
    <row r="1876" spans="12:15">
      <c r="L1876" s="5">
        <f>IF(OR(A1876="",B1876=""),"",B1876-WEEKDAY(B1876,2)+1)</f>
        <v/>
      </c>
      <c r="M1876" s="5">
        <f>IF(L1876="","",L1876+6)</f>
        <v/>
      </c>
      <c r="N1876" s="6">
        <f>IF(OR(A1876="",B1876=""),"",DATE(YEAR(B1876),MONTH(B1876),1))</f>
        <v/>
      </c>
      <c r="O1876" s="7">
        <f>IF(COUNTA(A1876:K1876)=0,"",IF(OR(A1876="",B1876=""),"Preencher CPF e entrada",IF(COUNTIFS($A$12:$A$5011,A1876,$B$12:$B$5011,B1876)&gt;1,"CPF + dia duplicado",IF(OR(AND(G1876&lt;&gt;"",G1876&lt;&gt;0,G1876&lt;&gt;1),AND(H1876&lt;&gt;"",H1876&lt;&gt;0,H1876&lt;&gt;1)),"Flags devem ser 0 ou 1",IF(AND(H1876=1,LEN(TRIM(I1876))=0),"Preencher nome do indicante",IF(AND(H1876&lt;&gt;1,I1876&lt;&gt;""),"Nome sem indicação interna",IF(AND(G1876=1,F1876=""),"Fechamento sem conversa",IF(OR(AND(E1876&lt;&gt;"",E1876&lt;B1876),AND(F1876&lt;&gt;"",F1876&lt;B1876)),"Evento anterior à entrada",IF(AND(F1876&lt;&gt;"",E1876=""),"Conversa sem agendamento",IF(OR(E1876&gt;TODAY(),F1876&gt;TODAY()),"Verificar evento futuro","OK"))))))))))</f>
        <v/>
      </c>
    </row>
    <row r="1877" spans="12:15">
      <c r="L1877" s="5">
        <f>IF(OR(A1877="",B1877=""),"",B1877-WEEKDAY(B1877,2)+1)</f>
        <v/>
      </c>
      <c r="M1877" s="5">
        <f>IF(L1877="","",L1877+6)</f>
        <v/>
      </c>
      <c r="N1877" s="6">
        <f>IF(OR(A1877="",B1877=""),"",DATE(YEAR(B1877),MONTH(B1877),1))</f>
        <v/>
      </c>
      <c r="O1877" s="7">
        <f>IF(COUNTA(A1877:K1877)=0,"",IF(OR(A1877="",B1877=""),"Preencher CPF e entrada",IF(COUNTIFS($A$12:$A$5011,A1877,$B$12:$B$5011,B1877)&gt;1,"CPF + dia duplicado",IF(OR(AND(G1877&lt;&gt;"",G1877&lt;&gt;0,G1877&lt;&gt;1),AND(H1877&lt;&gt;"",H1877&lt;&gt;0,H1877&lt;&gt;1)),"Flags devem ser 0 ou 1",IF(AND(H1877=1,LEN(TRIM(I1877))=0),"Preencher nome do indicante",IF(AND(H1877&lt;&gt;1,I1877&lt;&gt;""),"Nome sem indicação interna",IF(AND(G1877=1,F1877=""),"Fechamento sem conversa",IF(OR(AND(E1877&lt;&gt;"",E1877&lt;B1877),AND(F1877&lt;&gt;"",F1877&lt;B1877)),"Evento anterior à entrada",IF(AND(F1877&lt;&gt;"",E1877=""),"Conversa sem agendamento",IF(OR(E1877&gt;TODAY(),F1877&gt;TODAY()),"Verificar evento futuro","OK"))))))))))</f>
        <v/>
      </c>
    </row>
    <row r="1878" spans="12:15">
      <c r="L1878" s="5">
        <f>IF(OR(A1878="",B1878=""),"",B1878-WEEKDAY(B1878,2)+1)</f>
        <v/>
      </c>
      <c r="M1878" s="5">
        <f>IF(L1878="","",L1878+6)</f>
        <v/>
      </c>
      <c r="N1878" s="6">
        <f>IF(OR(A1878="",B1878=""),"",DATE(YEAR(B1878),MONTH(B1878),1))</f>
        <v/>
      </c>
      <c r="O1878" s="7">
        <f>IF(COUNTA(A1878:K1878)=0,"",IF(OR(A1878="",B1878=""),"Preencher CPF e entrada",IF(COUNTIFS($A$12:$A$5011,A1878,$B$12:$B$5011,B1878)&gt;1,"CPF + dia duplicado",IF(OR(AND(G1878&lt;&gt;"",G1878&lt;&gt;0,G1878&lt;&gt;1),AND(H1878&lt;&gt;"",H1878&lt;&gt;0,H1878&lt;&gt;1)),"Flags devem ser 0 ou 1",IF(AND(H1878=1,LEN(TRIM(I1878))=0),"Preencher nome do indicante",IF(AND(H1878&lt;&gt;1,I1878&lt;&gt;""),"Nome sem indicação interna",IF(AND(G1878=1,F1878=""),"Fechamento sem conversa",IF(OR(AND(E1878&lt;&gt;"",E1878&lt;B1878),AND(F1878&lt;&gt;"",F1878&lt;B1878)),"Evento anterior à entrada",IF(AND(F1878&lt;&gt;"",E1878=""),"Conversa sem agendamento",IF(OR(E1878&gt;TODAY(),F1878&gt;TODAY()),"Verificar evento futuro","OK"))))))))))</f>
        <v/>
      </c>
    </row>
    <row r="1879" spans="12:15">
      <c r="L1879" s="5">
        <f>IF(OR(A1879="",B1879=""),"",B1879-WEEKDAY(B1879,2)+1)</f>
        <v/>
      </c>
      <c r="M1879" s="5">
        <f>IF(L1879="","",L1879+6)</f>
        <v/>
      </c>
      <c r="N1879" s="6">
        <f>IF(OR(A1879="",B1879=""),"",DATE(YEAR(B1879),MONTH(B1879),1))</f>
        <v/>
      </c>
      <c r="O1879" s="7">
        <f>IF(COUNTA(A1879:K1879)=0,"",IF(OR(A1879="",B1879=""),"Preencher CPF e entrada",IF(COUNTIFS($A$12:$A$5011,A1879,$B$12:$B$5011,B1879)&gt;1,"CPF + dia duplicado",IF(OR(AND(G1879&lt;&gt;"",G1879&lt;&gt;0,G1879&lt;&gt;1),AND(H1879&lt;&gt;"",H1879&lt;&gt;0,H1879&lt;&gt;1)),"Flags devem ser 0 ou 1",IF(AND(H1879=1,LEN(TRIM(I1879))=0),"Preencher nome do indicante",IF(AND(H1879&lt;&gt;1,I1879&lt;&gt;""),"Nome sem indicação interna",IF(AND(G1879=1,F1879=""),"Fechamento sem conversa",IF(OR(AND(E1879&lt;&gt;"",E1879&lt;B1879),AND(F1879&lt;&gt;"",F1879&lt;B1879)),"Evento anterior à entrada",IF(AND(F1879&lt;&gt;"",E1879=""),"Conversa sem agendamento",IF(OR(E1879&gt;TODAY(),F1879&gt;TODAY()),"Verificar evento futuro","OK"))))))))))</f>
        <v/>
      </c>
    </row>
    <row r="1880" spans="12:15">
      <c r="L1880" s="5">
        <f>IF(OR(A1880="",B1880=""),"",B1880-WEEKDAY(B1880,2)+1)</f>
        <v/>
      </c>
      <c r="M1880" s="5">
        <f>IF(L1880="","",L1880+6)</f>
        <v/>
      </c>
      <c r="N1880" s="6">
        <f>IF(OR(A1880="",B1880=""),"",DATE(YEAR(B1880),MONTH(B1880),1))</f>
        <v/>
      </c>
      <c r="O1880" s="7">
        <f>IF(COUNTA(A1880:K1880)=0,"",IF(OR(A1880="",B1880=""),"Preencher CPF e entrada",IF(COUNTIFS($A$12:$A$5011,A1880,$B$12:$B$5011,B1880)&gt;1,"CPF + dia duplicado",IF(OR(AND(G1880&lt;&gt;"",G1880&lt;&gt;0,G1880&lt;&gt;1),AND(H1880&lt;&gt;"",H1880&lt;&gt;0,H1880&lt;&gt;1)),"Flags devem ser 0 ou 1",IF(AND(H1880=1,LEN(TRIM(I1880))=0),"Preencher nome do indicante",IF(AND(H1880&lt;&gt;1,I1880&lt;&gt;""),"Nome sem indicação interna",IF(AND(G1880=1,F1880=""),"Fechamento sem conversa",IF(OR(AND(E1880&lt;&gt;"",E1880&lt;B1880),AND(F1880&lt;&gt;"",F1880&lt;B1880)),"Evento anterior à entrada",IF(AND(F1880&lt;&gt;"",E1880=""),"Conversa sem agendamento",IF(OR(E1880&gt;TODAY(),F1880&gt;TODAY()),"Verificar evento futuro","OK"))))))))))</f>
        <v/>
      </c>
    </row>
    <row r="1881" spans="12:15">
      <c r="L1881" s="5">
        <f>IF(OR(A1881="",B1881=""),"",B1881-WEEKDAY(B1881,2)+1)</f>
        <v/>
      </c>
      <c r="M1881" s="5">
        <f>IF(L1881="","",L1881+6)</f>
        <v/>
      </c>
      <c r="N1881" s="6">
        <f>IF(OR(A1881="",B1881=""),"",DATE(YEAR(B1881),MONTH(B1881),1))</f>
        <v/>
      </c>
      <c r="O1881" s="7">
        <f>IF(COUNTA(A1881:K1881)=0,"",IF(OR(A1881="",B1881=""),"Preencher CPF e entrada",IF(COUNTIFS($A$12:$A$5011,A1881,$B$12:$B$5011,B1881)&gt;1,"CPF + dia duplicado",IF(OR(AND(G1881&lt;&gt;"",G1881&lt;&gt;0,G1881&lt;&gt;1),AND(H1881&lt;&gt;"",H1881&lt;&gt;0,H1881&lt;&gt;1)),"Flags devem ser 0 ou 1",IF(AND(H1881=1,LEN(TRIM(I1881))=0),"Preencher nome do indicante",IF(AND(H1881&lt;&gt;1,I1881&lt;&gt;""),"Nome sem indicação interna",IF(AND(G1881=1,F1881=""),"Fechamento sem conversa",IF(OR(AND(E1881&lt;&gt;"",E1881&lt;B1881),AND(F1881&lt;&gt;"",F1881&lt;B1881)),"Evento anterior à entrada",IF(AND(F1881&lt;&gt;"",E1881=""),"Conversa sem agendamento",IF(OR(E1881&gt;TODAY(),F1881&gt;TODAY()),"Verificar evento futuro","OK"))))))))))</f>
        <v/>
      </c>
    </row>
    <row r="1882" spans="12:15">
      <c r="L1882" s="5">
        <f>IF(OR(A1882="",B1882=""),"",B1882-WEEKDAY(B1882,2)+1)</f>
        <v/>
      </c>
      <c r="M1882" s="5">
        <f>IF(L1882="","",L1882+6)</f>
        <v/>
      </c>
      <c r="N1882" s="6">
        <f>IF(OR(A1882="",B1882=""),"",DATE(YEAR(B1882),MONTH(B1882),1))</f>
        <v/>
      </c>
      <c r="O1882" s="7">
        <f>IF(COUNTA(A1882:K1882)=0,"",IF(OR(A1882="",B1882=""),"Preencher CPF e entrada",IF(COUNTIFS($A$12:$A$5011,A1882,$B$12:$B$5011,B1882)&gt;1,"CPF + dia duplicado",IF(OR(AND(G1882&lt;&gt;"",G1882&lt;&gt;0,G1882&lt;&gt;1),AND(H1882&lt;&gt;"",H1882&lt;&gt;0,H1882&lt;&gt;1)),"Flags devem ser 0 ou 1",IF(AND(H1882=1,LEN(TRIM(I1882))=0),"Preencher nome do indicante",IF(AND(H1882&lt;&gt;1,I1882&lt;&gt;""),"Nome sem indicação interna",IF(AND(G1882=1,F1882=""),"Fechamento sem conversa",IF(OR(AND(E1882&lt;&gt;"",E1882&lt;B1882),AND(F1882&lt;&gt;"",F1882&lt;B1882)),"Evento anterior à entrada",IF(AND(F1882&lt;&gt;"",E1882=""),"Conversa sem agendamento",IF(OR(E1882&gt;TODAY(),F1882&gt;TODAY()),"Verificar evento futuro","OK"))))))))))</f>
        <v/>
      </c>
    </row>
    <row r="1883" spans="12:15">
      <c r="L1883" s="5">
        <f>IF(OR(A1883="",B1883=""),"",B1883-WEEKDAY(B1883,2)+1)</f>
        <v/>
      </c>
      <c r="M1883" s="5">
        <f>IF(L1883="","",L1883+6)</f>
        <v/>
      </c>
      <c r="N1883" s="6">
        <f>IF(OR(A1883="",B1883=""),"",DATE(YEAR(B1883),MONTH(B1883),1))</f>
        <v/>
      </c>
      <c r="O1883" s="7">
        <f>IF(COUNTA(A1883:K1883)=0,"",IF(OR(A1883="",B1883=""),"Preencher CPF e entrada",IF(COUNTIFS($A$12:$A$5011,A1883,$B$12:$B$5011,B1883)&gt;1,"CPF + dia duplicado",IF(OR(AND(G1883&lt;&gt;"",G1883&lt;&gt;0,G1883&lt;&gt;1),AND(H1883&lt;&gt;"",H1883&lt;&gt;0,H1883&lt;&gt;1)),"Flags devem ser 0 ou 1",IF(AND(H1883=1,LEN(TRIM(I1883))=0),"Preencher nome do indicante",IF(AND(H1883&lt;&gt;1,I1883&lt;&gt;""),"Nome sem indicação interna",IF(AND(G1883=1,F1883=""),"Fechamento sem conversa",IF(OR(AND(E1883&lt;&gt;"",E1883&lt;B1883),AND(F1883&lt;&gt;"",F1883&lt;B1883)),"Evento anterior à entrada",IF(AND(F1883&lt;&gt;"",E1883=""),"Conversa sem agendamento",IF(OR(E1883&gt;TODAY(),F1883&gt;TODAY()),"Verificar evento futuro","OK"))))))))))</f>
        <v/>
      </c>
    </row>
    <row r="1884" spans="12:15">
      <c r="L1884" s="5">
        <f>IF(OR(A1884="",B1884=""),"",B1884-WEEKDAY(B1884,2)+1)</f>
        <v/>
      </c>
      <c r="M1884" s="5">
        <f>IF(L1884="","",L1884+6)</f>
        <v/>
      </c>
      <c r="N1884" s="6">
        <f>IF(OR(A1884="",B1884=""),"",DATE(YEAR(B1884),MONTH(B1884),1))</f>
        <v/>
      </c>
      <c r="O1884" s="7">
        <f>IF(COUNTA(A1884:K1884)=0,"",IF(OR(A1884="",B1884=""),"Preencher CPF e entrada",IF(COUNTIFS($A$12:$A$5011,A1884,$B$12:$B$5011,B1884)&gt;1,"CPF + dia duplicado",IF(OR(AND(G1884&lt;&gt;"",G1884&lt;&gt;0,G1884&lt;&gt;1),AND(H1884&lt;&gt;"",H1884&lt;&gt;0,H1884&lt;&gt;1)),"Flags devem ser 0 ou 1",IF(AND(H1884=1,LEN(TRIM(I1884))=0),"Preencher nome do indicante",IF(AND(H1884&lt;&gt;1,I1884&lt;&gt;""),"Nome sem indicação interna",IF(AND(G1884=1,F1884=""),"Fechamento sem conversa",IF(OR(AND(E1884&lt;&gt;"",E1884&lt;B1884),AND(F1884&lt;&gt;"",F1884&lt;B1884)),"Evento anterior à entrada",IF(AND(F1884&lt;&gt;"",E1884=""),"Conversa sem agendamento",IF(OR(E1884&gt;TODAY(),F1884&gt;TODAY()),"Verificar evento futuro","OK"))))))))))</f>
        <v/>
      </c>
    </row>
    <row r="1885" spans="12:15">
      <c r="L1885" s="5">
        <f>IF(OR(A1885="",B1885=""),"",B1885-WEEKDAY(B1885,2)+1)</f>
        <v/>
      </c>
      <c r="M1885" s="5">
        <f>IF(L1885="","",L1885+6)</f>
        <v/>
      </c>
      <c r="N1885" s="6">
        <f>IF(OR(A1885="",B1885=""),"",DATE(YEAR(B1885),MONTH(B1885),1))</f>
        <v/>
      </c>
      <c r="O1885" s="7">
        <f>IF(COUNTA(A1885:K1885)=0,"",IF(OR(A1885="",B1885=""),"Preencher CPF e entrada",IF(COUNTIFS($A$12:$A$5011,A1885,$B$12:$B$5011,B1885)&gt;1,"CPF + dia duplicado",IF(OR(AND(G1885&lt;&gt;"",G1885&lt;&gt;0,G1885&lt;&gt;1),AND(H1885&lt;&gt;"",H1885&lt;&gt;0,H1885&lt;&gt;1)),"Flags devem ser 0 ou 1",IF(AND(H1885=1,LEN(TRIM(I1885))=0),"Preencher nome do indicante",IF(AND(H1885&lt;&gt;1,I1885&lt;&gt;""),"Nome sem indicação interna",IF(AND(G1885=1,F1885=""),"Fechamento sem conversa",IF(OR(AND(E1885&lt;&gt;"",E1885&lt;B1885),AND(F1885&lt;&gt;"",F1885&lt;B1885)),"Evento anterior à entrada",IF(AND(F1885&lt;&gt;"",E1885=""),"Conversa sem agendamento",IF(OR(E1885&gt;TODAY(),F1885&gt;TODAY()),"Verificar evento futuro","OK"))))))))))</f>
        <v/>
      </c>
    </row>
    <row r="1886" spans="12:15">
      <c r="L1886" s="5">
        <f>IF(OR(A1886="",B1886=""),"",B1886-WEEKDAY(B1886,2)+1)</f>
        <v/>
      </c>
      <c r="M1886" s="5">
        <f>IF(L1886="","",L1886+6)</f>
        <v/>
      </c>
      <c r="N1886" s="6">
        <f>IF(OR(A1886="",B1886=""),"",DATE(YEAR(B1886),MONTH(B1886),1))</f>
        <v/>
      </c>
      <c r="O1886" s="7">
        <f>IF(COUNTA(A1886:K1886)=0,"",IF(OR(A1886="",B1886=""),"Preencher CPF e entrada",IF(COUNTIFS($A$12:$A$5011,A1886,$B$12:$B$5011,B1886)&gt;1,"CPF + dia duplicado",IF(OR(AND(G1886&lt;&gt;"",G1886&lt;&gt;0,G1886&lt;&gt;1),AND(H1886&lt;&gt;"",H1886&lt;&gt;0,H1886&lt;&gt;1)),"Flags devem ser 0 ou 1",IF(AND(H1886=1,LEN(TRIM(I1886))=0),"Preencher nome do indicante",IF(AND(H1886&lt;&gt;1,I1886&lt;&gt;""),"Nome sem indicação interna",IF(AND(G1886=1,F1886=""),"Fechamento sem conversa",IF(OR(AND(E1886&lt;&gt;"",E1886&lt;B1886),AND(F1886&lt;&gt;"",F1886&lt;B1886)),"Evento anterior à entrada",IF(AND(F1886&lt;&gt;"",E1886=""),"Conversa sem agendamento",IF(OR(E1886&gt;TODAY(),F1886&gt;TODAY()),"Verificar evento futuro","OK"))))))))))</f>
        <v/>
      </c>
    </row>
    <row r="1887" spans="12:15">
      <c r="L1887" s="5">
        <f>IF(OR(A1887="",B1887=""),"",B1887-WEEKDAY(B1887,2)+1)</f>
        <v/>
      </c>
      <c r="M1887" s="5">
        <f>IF(L1887="","",L1887+6)</f>
        <v/>
      </c>
      <c r="N1887" s="6">
        <f>IF(OR(A1887="",B1887=""),"",DATE(YEAR(B1887),MONTH(B1887),1))</f>
        <v/>
      </c>
      <c r="O1887" s="7">
        <f>IF(COUNTA(A1887:K1887)=0,"",IF(OR(A1887="",B1887=""),"Preencher CPF e entrada",IF(COUNTIFS($A$12:$A$5011,A1887,$B$12:$B$5011,B1887)&gt;1,"CPF + dia duplicado",IF(OR(AND(G1887&lt;&gt;"",G1887&lt;&gt;0,G1887&lt;&gt;1),AND(H1887&lt;&gt;"",H1887&lt;&gt;0,H1887&lt;&gt;1)),"Flags devem ser 0 ou 1",IF(AND(H1887=1,LEN(TRIM(I1887))=0),"Preencher nome do indicante",IF(AND(H1887&lt;&gt;1,I1887&lt;&gt;""),"Nome sem indicação interna",IF(AND(G1887=1,F1887=""),"Fechamento sem conversa",IF(OR(AND(E1887&lt;&gt;"",E1887&lt;B1887),AND(F1887&lt;&gt;"",F1887&lt;B1887)),"Evento anterior à entrada",IF(AND(F1887&lt;&gt;"",E1887=""),"Conversa sem agendamento",IF(OR(E1887&gt;TODAY(),F1887&gt;TODAY()),"Verificar evento futuro","OK"))))))))))</f>
        <v/>
      </c>
    </row>
    <row r="1888" spans="12:15">
      <c r="L1888" s="5">
        <f>IF(OR(A1888="",B1888=""),"",B1888-WEEKDAY(B1888,2)+1)</f>
        <v/>
      </c>
      <c r="M1888" s="5">
        <f>IF(L1888="","",L1888+6)</f>
        <v/>
      </c>
      <c r="N1888" s="6">
        <f>IF(OR(A1888="",B1888=""),"",DATE(YEAR(B1888),MONTH(B1888),1))</f>
        <v/>
      </c>
      <c r="O1888" s="7">
        <f>IF(COUNTA(A1888:K1888)=0,"",IF(OR(A1888="",B1888=""),"Preencher CPF e entrada",IF(COUNTIFS($A$12:$A$5011,A1888,$B$12:$B$5011,B1888)&gt;1,"CPF + dia duplicado",IF(OR(AND(G1888&lt;&gt;"",G1888&lt;&gt;0,G1888&lt;&gt;1),AND(H1888&lt;&gt;"",H1888&lt;&gt;0,H1888&lt;&gt;1)),"Flags devem ser 0 ou 1",IF(AND(H1888=1,LEN(TRIM(I1888))=0),"Preencher nome do indicante",IF(AND(H1888&lt;&gt;1,I1888&lt;&gt;""),"Nome sem indicação interna",IF(AND(G1888=1,F1888=""),"Fechamento sem conversa",IF(OR(AND(E1888&lt;&gt;"",E1888&lt;B1888),AND(F1888&lt;&gt;"",F1888&lt;B1888)),"Evento anterior à entrada",IF(AND(F1888&lt;&gt;"",E1888=""),"Conversa sem agendamento",IF(OR(E1888&gt;TODAY(),F1888&gt;TODAY()),"Verificar evento futuro","OK"))))))))))</f>
        <v/>
      </c>
    </row>
    <row r="1889" spans="12:15">
      <c r="L1889" s="5">
        <f>IF(OR(A1889="",B1889=""),"",B1889-WEEKDAY(B1889,2)+1)</f>
        <v/>
      </c>
      <c r="M1889" s="5">
        <f>IF(L1889="","",L1889+6)</f>
        <v/>
      </c>
      <c r="N1889" s="6">
        <f>IF(OR(A1889="",B1889=""),"",DATE(YEAR(B1889),MONTH(B1889),1))</f>
        <v/>
      </c>
      <c r="O1889" s="7">
        <f>IF(COUNTA(A1889:K1889)=0,"",IF(OR(A1889="",B1889=""),"Preencher CPF e entrada",IF(COUNTIFS($A$12:$A$5011,A1889,$B$12:$B$5011,B1889)&gt;1,"CPF + dia duplicado",IF(OR(AND(G1889&lt;&gt;"",G1889&lt;&gt;0,G1889&lt;&gt;1),AND(H1889&lt;&gt;"",H1889&lt;&gt;0,H1889&lt;&gt;1)),"Flags devem ser 0 ou 1",IF(AND(H1889=1,LEN(TRIM(I1889))=0),"Preencher nome do indicante",IF(AND(H1889&lt;&gt;1,I1889&lt;&gt;""),"Nome sem indicação interna",IF(AND(G1889=1,F1889=""),"Fechamento sem conversa",IF(OR(AND(E1889&lt;&gt;"",E1889&lt;B1889),AND(F1889&lt;&gt;"",F1889&lt;B1889)),"Evento anterior à entrada",IF(AND(F1889&lt;&gt;"",E1889=""),"Conversa sem agendamento",IF(OR(E1889&gt;TODAY(),F1889&gt;TODAY()),"Verificar evento futuro","OK"))))))))))</f>
        <v/>
      </c>
    </row>
    <row r="1890" spans="12:15">
      <c r="L1890" s="5">
        <f>IF(OR(A1890="",B1890=""),"",B1890-WEEKDAY(B1890,2)+1)</f>
        <v/>
      </c>
      <c r="M1890" s="5">
        <f>IF(L1890="","",L1890+6)</f>
        <v/>
      </c>
      <c r="N1890" s="6">
        <f>IF(OR(A1890="",B1890=""),"",DATE(YEAR(B1890),MONTH(B1890),1))</f>
        <v/>
      </c>
      <c r="O1890" s="7">
        <f>IF(COUNTA(A1890:K1890)=0,"",IF(OR(A1890="",B1890=""),"Preencher CPF e entrada",IF(COUNTIFS($A$12:$A$5011,A1890,$B$12:$B$5011,B1890)&gt;1,"CPF + dia duplicado",IF(OR(AND(G1890&lt;&gt;"",G1890&lt;&gt;0,G1890&lt;&gt;1),AND(H1890&lt;&gt;"",H1890&lt;&gt;0,H1890&lt;&gt;1)),"Flags devem ser 0 ou 1",IF(AND(H1890=1,LEN(TRIM(I1890))=0),"Preencher nome do indicante",IF(AND(H1890&lt;&gt;1,I1890&lt;&gt;""),"Nome sem indicação interna",IF(AND(G1890=1,F1890=""),"Fechamento sem conversa",IF(OR(AND(E1890&lt;&gt;"",E1890&lt;B1890),AND(F1890&lt;&gt;"",F1890&lt;B1890)),"Evento anterior à entrada",IF(AND(F1890&lt;&gt;"",E1890=""),"Conversa sem agendamento",IF(OR(E1890&gt;TODAY(),F1890&gt;TODAY()),"Verificar evento futuro","OK"))))))))))</f>
        <v/>
      </c>
    </row>
    <row r="1891" spans="12:15">
      <c r="L1891" s="5">
        <f>IF(OR(A1891="",B1891=""),"",B1891-WEEKDAY(B1891,2)+1)</f>
        <v/>
      </c>
      <c r="M1891" s="5">
        <f>IF(L1891="","",L1891+6)</f>
        <v/>
      </c>
      <c r="N1891" s="6">
        <f>IF(OR(A1891="",B1891=""),"",DATE(YEAR(B1891),MONTH(B1891),1))</f>
        <v/>
      </c>
      <c r="O1891" s="7">
        <f>IF(COUNTA(A1891:K1891)=0,"",IF(OR(A1891="",B1891=""),"Preencher CPF e entrada",IF(COUNTIFS($A$12:$A$5011,A1891,$B$12:$B$5011,B1891)&gt;1,"CPF + dia duplicado",IF(OR(AND(G1891&lt;&gt;"",G1891&lt;&gt;0,G1891&lt;&gt;1),AND(H1891&lt;&gt;"",H1891&lt;&gt;0,H1891&lt;&gt;1)),"Flags devem ser 0 ou 1",IF(AND(H1891=1,LEN(TRIM(I1891))=0),"Preencher nome do indicante",IF(AND(H1891&lt;&gt;1,I1891&lt;&gt;""),"Nome sem indicação interna",IF(AND(G1891=1,F1891=""),"Fechamento sem conversa",IF(OR(AND(E1891&lt;&gt;"",E1891&lt;B1891),AND(F1891&lt;&gt;"",F1891&lt;B1891)),"Evento anterior à entrada",IF(AND(F1891&lt;&gt;"",E1891=""),"Conversa sem agendamento",IF(OR(E1891&gt;TODAY(),F1891&gt;TODAY()),"Verificar evento futuro","OK"))))))))))</f>
        <v/>
      </c>
    </row>
    <row r="1892" spans="12:15">
      <c r="L1892" s="5">
        <f>IF(OR(A1892="",B1892=""),"",B1892-WEEKDAY(B1892,2)+1)</f>
        <v/>
      </c>
      <c r="M1892" s="5">
        <f>IF(L1892="","",L1892+6)</f>
        <v/>
      </c>
      <c r="N1892" s="6">
        <f>IF(OR(A1892="",B1892=""),"",DATE(YEAR(B1892),MONTH(B1892),1))</f>
        <v/>
      </c>
      <c r="O1892" s="7">
        <f>IF(COUNTA(A1892:K1892)=0,"",IF(OR(A1892="",B1892=""),"Preencher CPF e entrada",IF(COUNTIFS($A$12:$A$5011,A1892,$B$12:$B$5011,B1892)&gt;1,"CPF + dia duplicado",IF(OR(AND(G1892&lt;&gt;"",G1892&lt;&gt;0,G1892&lt;&gt;1),AND(H1892&lt;&gt;"",H1892&lt;&gt;0,H1892&lt;&gt;1)),"Flags devem ser 0 ou 1",IF(AND(H1892=1,LEN(TRIM(I1892))=0),"Preencher nome do indicante",IF(AND(H1892&lt;&gt;1,I1892&lt;&gt;""),"Nome sem indicação interna",IF(AND(G1892=1,F1892=""),"Fechamento sem conversa",IF(OR(AND(E1892&lt;&gt;"",E1892&lt;B1892),AND(F1892&lt;&gt;"",F1892&lt;B1892)),"Evento anterior à entrada",IF(AND(F1892&lt;&gt;"",E1892=""),"Conversa sem agendamento",IF(OR(E1892&gt;TODAY(),F1892&gt;TODAY()),"Verificar evento futuro","OK"))))))))))</f>
        <v/>
      </c>
    </row>
    <row r="1893" spans="12:15">
      <c r="L1893" s="5">
        <f>IF(OR(A1893="",B1893=""),"",B1893-WEEKDAY(B1893,2)+1)</f>
        <v/>
      </c>
      <c r="M1893" s="5">
        <f>IF(L1893="","",L1893+6)</f>
        <v/>
      </c>
      <c r="N1893" s="6">
        <f>IF(OR(A1893="",B1893=""),"",DATE(YEAR(B1893),MONTH(B1893),1))</f>
        <v/>
      </c>
      <c r="O1893" s="7">
        <f>IF(COUNTA(A1893:K1893)=0,"",IF(OR(A1893="",B1893=""),"Preencher CPF e entrada",IF(COUNTIFS($A$12:$A$5011,A1893,$B$12:$B$5011,B1893)&gt;1,"CPF + dia duplicado",IF(OR(AND(G1893&lt;&gt;"",G1893&lt;&gt;0,G1893&lt;&gt;1),AND(H1893&lt;&gt;"",H1893&lt;&gt;0,H1893&lt;&gt;1)),"Flags devem ser 0 ou 1",IF(AND(H1893=1,LEN(TRIM(I1893))=0),"Preencher nome do indicante",IF(AND(H1893&lt;&gt;1,I1893&lt;&gt;""),"Nome sem indicação interna",IF(AND(G1893=1,F1893=""),"Fechamento sem conversa",IF(OR(AND(E1893&lt;&gt;"",E1893&lt;B1893),AND(F1893&lt;&gt;"",F1893&lt;B1893)),"Evento anterior à entrada",IF(AND(F1893&lt;&gt;"",E1893=""),"Conversa sem agendamento",IF(OR(E1893&gt;TODAY(),F1893&gt;TODAY()),"Verificar evento futuro","OK"))))))))))</f>
        <v/>
      </c>
    </row>
    <row r="1894" spans="12:15">
      <c r="L1894" s="5">
        <f>IF(OR(A1894="",B1894=""),"",B1894-WEEKDAY(B1894,2)+1)</f>
        <v/>
      </c>
      <c r="M1894" s="5">
        <f>IF(L1894="","",L1894+6)</f>
        <v/>
      </c>
      <c r="N1894" s="6">
        <f>IF(OR(A1894="",B1894=""),"",DATE(YEAR(B1894),MONTH(B1894),1))</f>
        <v/>
      </c>
      <c r="O1894" s="7">
        <f>IF(COUNTA(A1894:K1894)=0,"",IF(OR(A1894="",B1894=""),"Preencher CPF e entrada",IF(COUNTIFS($A$12:$A$5011,A1894,$B$12:$B$5011,B1894)&gt;1,"CPF + dia duplicado",IF(OR(AND(G1894&lt;&gt;"",G1894&lt;&gt;0,G1894&lt;&gt;1),AND(H1894&lt;&gt;"",H1894&lt;&gt;0,H1894&lt;&gt;1)),"Flags devem ser 0 ou 1",IF(AND(H1894=1,LEN(TRIM(I1894))=0),"Preencher nome do indicante",IF(AND(H1894&lt;&gt;1,I1894&lt;&gt;""),"Nome sem indicação interna",IF(AND(G1894=1,F1894=""),"Fechamento sem conversa",IF(OR(AND(E1894&lt;&gt;"",E1894&lt;B1894),AND(F1894&lt;&gt;"",F1894&lt;B1894)),"Evento anterior à entrada",IF(AND(F1894&lt;&gt;"",E1894=""),"Conversa sem agendamento",IF(OR(E1894&gt;TODAY(),F1894&gt;TODAY()),"Verificar evento futuro","OK"))))))))))</f>
        <v/>
      </c>
    </row>
    <row r="1895" spans="12:15">
      <c r="L1895" s="5">
        <f>IF(OR(A1895="",B1895=""),"",B1895-WEEKDAY(B1895,2)+1)</f>
        <v/>
      </c>
      <c r="M1895" s="5">
        <f>IF(L1895="","",L1895+6)</f>
        <v/>
      </c>
      <c r="N1895" s="6">
        <f>IF(OR(A1895="",B1895=""),"",DATE(YEAR(B1895),MONTH(B1895),1))</f>
        <v/>
      </c>
      <c r="O1895" s="7">
        <f>IF(COUNTA(A1895:K1895)=0,"",IF(OR(A1895="",B1895=""),"Preencher CPF e entrada",IF(COUNTIFS($A$12:$A$5011,A1895,$B$12:$B$5011,B1895)&gt;1,"CPF + dia duplicado",IF(OR(AND(G1895&lt;&gt;"",G1895&lt;&gt;0,G1895&lt;&gt;1),AND(H1895&lt;&gt;"",H1895&lt;&gt;0,H1895&lt;&gt;1)),"Flags devem ser 0 ou 1",IF(AND(H1895=1,LEN(TRIM(I1895))=0),"Preencher nome do indicante",IF(AND(H1895&lt;&gt;1,I1895&lt;&gt;""),"Nome sem indicação interna",IF(AND(G1895=1,F1895=""),"Fechamento sem conversa",IF(OR(AND(E1895&lt;&gt;"",E1895&lt;B1895),AND(F1895&lt;&gt;"",F1895&lt;B1895)),"Evento anterior à entrada",IF(AND(F1895&lt;&gt;"",E1895=""),"Conversa sem agendamento",IF(OR(E1895&gt;TODAY(),F1895&gt;TODAY()),"Verificar evento futuro","OK"))))))))))</f>
        <v/>
      </c>
    </row>
    <row r="1896" spans="12:15">
      <c r="L1896" s="5">
        <f>IF(OR(A1896="",B1896=""),"",B1896-WEEKDAY(B1896,2)+1)</f>
        <v/>
      </c>
      <c r="M1896" s="5">
        <f>IF(L1896="","",L1896+6)</f>
        <v/>
      </c>
      <c r="N1896" s="6">
        <f>IF(OR(A1896="",B1896=""),"",DATE(YEAR(B1896),MONTH(B1896),1))</f>
        <v/>
      </c>
      <c r="O1896" s="7">
        <f>IF(COUNTA(A1896:K1896)=0,"",IF(OR(A1896="",B1896=""),"Preencher CPF e entrada",IF(COUNTIFS($A$12:$A$5011,A1896,$B$12:$B$5011,B1896)&gt;1,"CPF + dia duplicado",IF(OR(AND(G1896&lt;&gt;"",G1896&lt;&gt;0,G1896&lt;&gt;1),AND(H1896&lt;&gt;"",H1896&lt;&gt;0,H1896&lt;&gt;1)),"Flags devem ser 0 ou 1",IF(AND(H1896=1,LEN(TRIM(I1896))=0),"Preencher nome do indicante",IF(AND(H1896&lt;&gt;1,I1896&lt;&gt;""),"Nome sem indicação interna",IF(AND(G1896=1,F1896=""),"Fechamento sem conversa",IF(OR(AND(E1896&lt;&gt;"",E1896&lt;B1896),AND(F1896&lt;&gt;"",F1896&lt;B1896)),"Evento anterior à entrada",IF(AND(F1896&lt;&gt;"",E1896=""),"Conversa sem agendamento",IF(OR(E1896&gt;TODAY(),F1896&gt;TODAY()),"Verificar evento futuro","OK"))))))))))</f>
        <v/>
      </c>
    </row>
    <row r="1897" spans="12:15">
      <c r="L1897" s="5">
        <f>IF(OR(A1897="",B1897=""),"",B1897-WEEKDAY(B1897,2)+1)</f>
        <v/>
      </c>
      <c r="M1897" s="5">
        <f>IF(L1897="","",L1897+6)</f>
        <v/>
      </c>
      <c r="N1897" s="6">
        <f>IF(OR(A1897="",B1897=""),"",DATE(YEAR(B1897),MONTH(B1897),1))</f>
        <v/>
      </c>
      <c r="O1897" s="7">
        <f>IF(COUNTA(A1897:K1897)=0,"",IF(OR(A1897="",B1897=""),"Preencher CPF e entrada",IF(COUNTIFS($A$12:$A$5011,A1897,$B$12:$B$5011,B1897)&gt;1,"CPF + dia duplicado",IF(OR(AND(G1897&lt;&gt;"",G1897&lt;&gt;0,G1897&lt;&gt;1),AND(H1897&lt;&gt;"",H1897&lt;&gt;0,H1897&lt;&gt;1)),"Flags devem ser 0 ou 1",IF(AND(H1897=1,LEN(TRIM(I1897))=0),"Preencher nome do indicante",IF(AND(H1897&lt;&gt;1,I1897&lt;&gt;""),"Nome sem indicação interna",IF(AND(G1897=1,F1897=""),"Fechamento sem conversa",IF(OR(AND(E1897&lt;&gt;"",E1897&lt;B1897),AND(F1897&lt;&gt;"",F1897&lt;B1897)),"Evento anterior à entrada",IF(AND(F1897&lt;&gt;"",E1897=""),"Conversa sem agendamento",IF(OR(E1897&gt;TODAY(),F1897&gt;TODAY()),"Verificar evento futuro","OK"))))))))))</f>
        <v/>
      </c>
    </row>
    <row r="1898" spans="12:15">
      <c r="L1898" s="5">
        <f>IF(OR(A1898="",B1898=""),"",B1898-WEEKDAY(B1898,2)+1)</f>
        <v/>
      </c>
      <c r="M1898" s="5">
        <f>IF(L1898="","",L1898+6)</f>
        <v/>
      </c>
      <c r="N1898" s="6">
        <f>IF(OR(A1898="",B1898=""),"",DATE(YEAR(B1898),MONTH(B1898),1))</f>
        <v/>
      </c>
      <c r="O1898" s="7">
        <f>IF(COUNTA(A1898:K1898)=0,"",IF(OR(A1898="",B1898=""),"Preencher CPF e entrada",IF(COUNTIFS($A$12:$A$5011,A1898,$B$12:$B$5011,B1898)&gt;1,"CPF + dia duplicado",IF(OR(AND(G1898&lt;&gt;"",G1898&lt;&gt;0,G1898&lt;&gt;1),AND(H1898&lt;&gt;"",H1898&lt;&gt;0,H1898&lt;&gt;1)),"Flags devem ser 0 ou 1",IF(AND(H1898=1,LEN(TRIM(I1898))=0),"Preencher nome do indicante",IF(AND(H1898&lt;&gt;1,I1898&lt;&gt;""),"Nome sem indicação interna",IF(AND(G1898=1,F1898=""),"Fechamento sem conversa",IF(OR(AND(E1898&lt;&gt;"",E1898&lt;B1898),AND(F1898&lt;&gt;"",F1898&lt;B1898)),"Evento anterior à entrada",IF(AND(F1898&lt;&gt;"",E1898=""),"Conversa sem agendamento",IF(OR(E1898&gt;TODAY(),F1898&gt;TODAY()),"Verificar evento futuro","OK"))))))))))</f>
        <v/>
      </c>
    </row>
    <row r="1899" spans="12:15">
      <c r="L1899" s="5">
        <f>IF(OR(A1899="",B1899=""),"",B1899-WEEKDAY(B1899,2)+1)</f>
        <v/>
      </c>
      <c r="M1899" s="5">
        <f>IF(L1899="","",L1899+6)</f>
        <v/>
      </c>
      <c r="N1899" s="6">
        <f>IF(OR(A1899="",B1899=""),"",DATE(YEAR(B1899),MONTH(B1899),1))</f>
        <v/>
      </c>
      <c r="O1899" s="7">
        <f>IF(COUNTA(A1899:K1899)=0,"",IF(OR(A1899="",B1899=""),"Preencher CPF e entrada",IF(COUNTIFS($A$12:$A$5011,A1899,$B$12:$B$5011,B1899)&gt;1,"CPF + dia duplicado",IF(OR(AND(G1899&lt;&gt;"",G1899&lt;&gt;0,G1899&lt;&gt;1),AND(H1899&lt;&gt;"",H1899&lt;&gt;0,H1899&lt;&gt;1)),"Flags devem ser 0 ou 1",IF(AND(H1899=1,LEN(TRIM(I1899))=0),"Preencher nome do indicante",IF(AND(H1899&lt;&gt;1,I1899&lt;&gt;""),"Nome sem indicação interna",IF(AND(G1899=1,F1899=""),"Fechamento sem conversa",IF(OR(AND(E1899&lt;&gt;"",E1899&lt;B1899),AND(F1899&lt;&gt;"",F1899&lt;B1899)),"Evento anterior à entrada",IF(AND(F1899&lt;&gt;"",E1899=""),"Conversa sem agendamento",IF(OR(E1899&gt;TODAY(),F1899&gt;TODAY()),"Verificar evento futuro","OK"))))))))))</f>
        <v/>
      </c>
    </row>
    <row r="1900" spans="12:15">
      <c r="L1900" s="5">
        <f>IF(OR(A1900="",B1900=""),"",B1900-WEEKDAY(B1900,2)+1)</f>
        <v/>
      </c>
      <c r="M1900" s="5">
        <f>IF(L1900="","",L1900+6)</f>
        <v/>
      </c>
      <c r="N1900" s="6">
        <f>IF(OR(A1900="",B1900=""),"",DATE(YEAR(B1900),MONTH(B1900),1))</f>
        <v/>
      </c>
      <c r="O1900" s="7">
        <f>IF(COUNTA(A1900:K1900)=0,"",IF(OR(A1900="",B1900=""),"Preencher CPF e entrada",IF(COUNTIFS($A$12:$A$5011,A1900,$B$12:$B$5011,B1900)&gt;1,"CPF + dia duplicado",IF(OR(AND(G1900&lt;&gt;"",G1900&lt;&gt;0,G1900&lt;&gt;1),AND(H1900&lt;&gt;"",H1900&lt;&gt;0,H1900&lt;&gt;1)),"Flags devem ser 0 ou 1",IF(AND(H1900=1,LEN(TRIM(I1900))=0),"Preencher nome do indicante",IF(AND(H1900&lt;&gt;1,I1900&lt;&gt;""),"Nome sem indicação interna",IF(AND(G1900=1,F1900=""),"Fechamento sem conversa",IF(OR(AND(E1900&lt;&gt;"",E1900&lt;B1900),AND(F1900&lt;&gt;"",F1900&lt;B1900)),"Evento anterior à entrada",IF(AND(F1900&lt;&gt;"",E1900=""),"Conversa sem agendamento",IF(OR(E1900&gt;TODAY(),F1900&gt;TODAY()),"Verificar evento futuro","OK"))))))))))</f>
        <v/>
      </c>
    </row>
    <row r="1901" spans="12:15">
      <c r="L1901" s="5">
        <f>IF(OR(A1901="",B1901=""),"",B1901-WEEKDAY(B1901,2)+1)</f>
        <v/>
      </c>
      <c r="M1901" s="5">
        <f>IF(L1901="","",L1901+6)</f>
        <v/>
      </c>
      <c r="N1901" s="6">
        <f>IF(OR(A1901="",B1901=""),"",DATE(YEAR(B1901),MONTH(B1901),1))</f>
        <v/>
      </c>
      <c r="O1901" s="7">
        <f>IF(COUNTA(A1901:K1901)=0,"",IF(OR(A1901="",B1901=""),"Preencher CPF e entrada",IF(COUNTIFS($A$12:$A$5011,A1901,$B$12:$B$5011,B1901)&gt;1,"CPF + dia duplicado",IF(OR(AND(G1901&lt;&gt;"",G1901&lt;&gt;0,G1901&lt;&gt;1),AND(H1901&lt;&gt;"",H1901&lt;&gt;0,H1901&lt;&gt;1)),"Flags devem ser 0 ou 1",IF(AND(H1901=1,LEN(TRIM(I1901))=0),"Preencher nome do indicante",IF(AND(H1901&lt;&gt;1,I1901&lt;&gt;""),"Nome sem indicação interna",IF(AND(G1901=1,F1901=""),"Fechamento sem conversa",IF(OR(AND(E1901&lt;&gt;"",E1901&lt;B1901),AND(F1901&lt;&gt;"",F1901&lt;B1901)),"Evento anterior à entrada",IF(AND(F1901&lt;&gt;"",E1901=""),"Conversa sem agendamento",IF(OR(E1901&gt;TODAY(),F1901&gt;TODAY()),"Verificar evento futuro","OK"))))))))))</f>
        <v/>
      </c>
    </row>
    <row r="1902" spans="12:15">
      <c r="L1902" s="5">
        <f>IF(OR(A1902="",B1902=""),"",B1902-WEEKDAY(B1902,2)+1)</f>
        <v/>
      </c>
      <c r="M1902" s="5">
        <f>IF(L1902="","",L1902+6)</f>
        <v/>
      </c>
      <c r="N1902" s="6">
        <f>IF(OR(A1902="",B1902=""),"",DATE(YEAR(B1902),MONTH(B1902),1))</f>
        <v/>
      </c>
      <c r="O1902" s="7">
        <f>IF(COUNTA(A1902:K1902)=0,"",IF(OR(A1902="",B1902=""),"Preencher CPF e entrada",IF(COUNTIFS($A$12:$A$5011,A1902,$B$12:$B$5011,B1902)&gt;1,"CPF + dia duplicado",IF(OR(AND(G1902&lt;&gt;"",G1902&lt;&gt;0,G1902&lt;&gt;1),AND(H1902&lt;&gt;"",H1902&lt;&gt;0,H1902&lt;&gt;1)),"Flags devem ser 0 ou 1",IF(AND(H1902=1,LEN(TRIM(I1902))=0),"Preencher nome do indicante",IF(AND(H1902&lt;&gt;1,I1902&lt;&gt;""),"Nome sem indicação interna",IF(AND(G1902=1,F1902=""),"Fechamento sem conversa",IF(OR(AND(E1902&lt;&gt;"",E1902&lt;B1902),AND(F1902&lt;&gt;"",F1902&lt;B1902)),"Evento anterior à entrada",IF(AND(F1902&lt;&gt;"",E1902=""),"Conversa sem agendamento",IF(OR(E1902&gt;TODAY(),F1902&gt;TODAY()),"Verificar evento futuro","OK"))))))))))</f>
        <v/>
      </c>
    </row>
    <row r="1903" spans="12:15">
      <c r="L1903" s="5">
        <f>IF(OR(A1903="",B1903=""),"",B1903-WEEKDAY(B1903,2)+1)</f>
        <v/>
      </c>
      <c r="M1903" s="5">
        <f>IF(L1903="","",L1903+6)</f>
        <v/>
      </c>
      <c r="N1903" s="6">
        <f>IF(OR(A1903="",B1903=""),"",DATE(YEAR(B1903),MONTH(B1903),1))</f>
        <v/>
      </c>
      <c r="O1903" s="7">
        <f>IF(COUNTA(A1903:K1903)=0,"",IF(OR(A1903="",B1903=""),"Preencher CPF e entrada",IF(COUNTIFS($A$12:$A$5011,A1903,$B$12:$B$5011,B1903)&gt;1,"CPF + dia duplicado",IF(OR(AND(G1903&lt;&gt;"",G1903&lt;&gt;0,G1903&lt;&gt;1),AND(H1903&lt;&gt;"",H1903&lt;&gt;0,H1903&lt;&gt;1)),"Flags devem ser 0 ou 1",IF(AND(H1903=1,LEN(TRIM(I1903))=0),"Preencher nome do indicante",IF(AND(H1903&lt;&gt;1,I1903&lt;&gt;""),"Nome sem indicação interna",IF(AND(G1903=1,F1903=""),"Fechamento sem conversa",IF(OR(AND(E1903&lt;&gt;"",E1903&lt;B1903),AND(F1903&lt;&gt;"",F1903&lt;B1903)),"Evento anterior à entrada",IF(AND(F1903&lt;&gt;"",E1903=""),"Conversa sem agendamento",IF(OR(E1903&gt;TODAY(),F1903&gt;TODAY()),"Verificar evento futuro","OK"))))))))))</f>
        <v/>
      </c>
    </row>
    <row r="1904" spans="12:15">
      <c r="L1904" s="5">
        <f>IF(OR(A1904="",B1904=""),"",B1904-WEEKDAY(B1904,2)+1)</f>
        <v/>
      </c>
      <c r="M1904" s="5">
        <f>IF(L1904="","",L1904+6)</f>
        <v/>
      </c>
      <c r="N1904" s="6">
        <f>IF(OR(A1904="",B1904=""),"",DATE(YEAR(B1904),MONTH(B1904),1))</f>
        <v/>
      </c>
      <c r="O1904" s="7">
        <f>IF(COUNTA(A1904:K1904)=0,"",IF(OR(A1904="",B1904=""),"Preencher CPF e entrada",IF(COUNTIFS($A$12:$A$5011,A1904,$B$12:$B$5011,B1904)&gt;1,"CPF + dia duplicado",IF(OR(AND(G1904&lt;&gt;"",G1904&lt;&gt;0,G1904&lt;&gt;1),AND(H1904&lt;&gt;"",H1904&lt;&gt;0,H1904&lt;&gt;1)),"Flags devem ser 0 ou 1",IF(AND(H1904=1,LEN(TRIM(I1904))=0),"Preencher nome do indicante",IF(AND(H1904&lt;&gt;1,I1904&lt;&gt;""),"Nome sem indicação interna",IF(AND(G1904=1,F1904=""),"Fechamento sem conversa",IF(OR(AND(E1904&lt;&gt;"",E1904&lt;B1904),AND(F1904&lt;&gt;"",F1904&lt;B1904)),"Evento anterior à entrada",IF(AND(F1904&lt;&gt;"",E1904=""),"Conversa sem agendamento",IF(OR(E1904&gt;TODAY(),F1904&gt;TODAY()),"Verificar evento futuro","OK"))))))))))</f>
        <v/>
      </c>
    </row>
    <row r="1905" spans="12:15">
      <c r="L1905" s="5">
        <f>IF(OR(A1905="",B1905=""),"",B1905-WEEKDAY(B1905,2)+1)</f>
        <v/>
      </c>
      <c r="M1905" s="5">
        <f>IF(L1905="","",L1905+6)</f>
        <v/>
      </c>
      <c r="N1905" s="6">
        <f>IF(OR(A1905="",B1905=""),"",DATE(YEAR(B1905),MONTH(B1905),1))</f>
        <v/>
      </c>
      <c r="O1905" s="7">
        <f>IF(COUNTA(A1905:K1905)=0,"",IF(OR(A1905="",B1905=""),"Preencher CPF e entrada",IF(COUNTIFS($A$12:$A$5011,A1905,$B$12:$B$5011,B1905)&gt;1,"CPF + dia duplicado",IF(OR(AND(G1905&lt;&gt;"",G1905&lt;&gt;0,G1905&lt;&gt;1),AND(H1905&lt;&gt;"",H1905&lt;&gt;0,H1905&lt;&gt;1)),"Flags devem ser 0 ou 1",IF(AND(H1905=1,LEN(TRIM(I1905))=0),"Preencher nome do indicante",IF(AND(H1905&lt;&gt;1,I1905&lt;&gt;""),"Nome sem indicação interna",IF(AND(G1905=1,F1905=""),"Fechamento sem conversa",IF(OR(AND(E1905&lt;&gt;"",E1905&lt;B1905),AND(F1905&lt;&gt;"",F1905&lt;B1905)),"Evento anterior à entrada",IF(AND(F1905&lt;&gt;"",E1905=""),"Conversa sem agendamento",IF(OR(E1905&gt;TODAY(),F1905&gt;TODAY()),"Verificar evento futuro","OK"))))))))))</f>
        <v/>
      </c>
    </row>
    <row r="1906" spans="12:15">
      <c r="L1906" s="5">
        <f>IF(OR(A1906="",B1906=""),"",B1906-WEEKDAY(B1906,2)+1)</f>
        <v/>
      </c>
      <c r="M1906" s="5">
        <f>IF(L1906="","",L1906+6)</f>
        <v/>
      </c>
      <c r="N1906" s="6">
        <f>IF(OR(A1906="",B1906=""),"",DATE(YEAR(B1906),MONTH(B1906),1))</f>
        <v/>
      </c>
      <c r="O1906" s="7">
        <f>IF(COUNTA(A1906:K1906)=0,"",IF(OR(A1906="",B1906=""),"Preencher CPF e entrada",IF(COUNTIFS($A$12:$A$5011,A1906,$B$12:$B$5011,B1906)&gt;1,"CPF + dia duplicado",IF(OR(AND(G1906&lt;&gt;"",G1906&lt;&gt;0,G1906&lt;&gt;1),AND(H1906&lt;&gt;"",H1906&lt;&gt;0,H1906&lt;&gt;1)),"Flags devem ser 0 ou 1",IF(AND(H1906=1,LEN(TRIM(I1906))=0),"Preencher nome do indicante",IF(AND(H1906&lt;&gt;1,I1906&lt;&gt;""),"Nome sem indicação interna",IF(AND(G1906=1,F1906=""),"Fechamento sem conversa",IF(OR(AND(E1906&lt;&gt;"",E1906&lt;B1906),AND(F1906&lt;&gt;"",F1906&lt;B1906)),"Evento anterior à entrada",IF(AND(F1906&lt;&gt;"",E1906=""),"Conversa sem agendamento",IF(OR(E1906&gt;TODAY(),F1906&gt;TODAY()),"Verificar evento futuro","OK"))))))))))</f>
        <v/>
      </c>
    </row>
    <row r="1907" spans="12:15">
      <c r="L1907" s="5">
        <f>IF(OR(A1907="",B1907=""),"",B1907-WEEKDAY(B1907,2)+1)</f>
        <v/>
      </c>
      <c r="M1907" s="5">
        <f>IF(L1907="","",L1907+6)</f>
        <v/>
      </c>
      <c r="N1907" s="6">
        <f>IF(OR(A1907="",B1907=""),"",DATE(YEAR(B1907),MONTH(B1907),1))</f>
        <v/>
      </c>
      <c r="O1907" s="7">
        <f>IF(COUNTA(A1907:K1907)=0,"",IF(OR(A1907="",B1907=""),"Preencher CPF e entrada",IF(COUNTIFS($A$12:$A$5011,A1907,$B$12:$B$5011,B1907)&gt;1,"CPF + dia duplicado",IF(OR(AND(G1907&lt;&gt;"",G1907&lt;&gt;0,G1907&lt;&gt;1),AND(H1907&lt;&gt;"",H1907&lt;&gt;0,H1907&lt;&gt;1)),"Flags devem ser 0 ou 1",IF(AND(H1907=1,LEN(TRIM(I1907))=0),"Preencher nome do indicante",IF(AND(H1907&lt;&gt;1,I1907&lt;&gt;""),"Nome sem indicação interna",IF(AND(G1907=1,F1907=""),"Fechamento sem conversa",IF(OR(AND(E1907&lt;&gt;"",E1907&lt;B1907),AND(F1907&lt;&gt;"",F1907&lt;B1907)),"Evento anterior à entrada",IF(AND(F1907&lt;&gt;"",E1907=""),"Conversa sem agendamento",IF(OR(E1907&gt;TODAY(),F1907&gt;TODAY()),"Verificar evento futuro","OK"))))))))))</f>
        <v/>
      </c>
    </row>
    <row r="1908" spans="12:15">
      <c r="L1908" s="5">
        <f>IF(OR(A1908="",B1908=""),"",B1908-WEEKDAY(B1908,2)+1)</f>
        <v/>
      </c>
      <c r="M1908" s="5">
        <f>IF(L1908="","",L1908+6)</f>
        <v/>
      </c>
      <c r="N1908" s="6">
        <f>IF(OR(A1908="",B1908=""),"",DATE(YEAR(B1908),MONTH(B1908),1))</f>
        <v/>
      </c>
      <c r="O1908" s="7">
        <f>IF(COUNTA(A1908:K1908)=0,"",IF(OR(A1908="",B1908=""),"Preencher CPF e entrada",IF(COUNTIFS($A$12:$A$5011,A1908,$B$12:$B$5011,B1908)&gt;1,"CPF + dia duplicado",IF(OR(AND(G1908&lt;&gt;"",G1908&lt;&gt;0,G1908&lt;&gt;1),AND(H1908&lt;&gt;"",H1908&lt;&gt;0,H1908&lt;&gt;1)),"Flags devem ser 0 ou 1",IF(AND(H1908=1,LEN(TRIM(I1908))=0),"Preencher nome do indicante",IF(AND(H1908&lt;&gt;1,I1908&lt;&gt;""),"Nome sem indicação interna",IF(AND(G1908=1,F1908=""),"Fechamento sem conversa",IF(OR(AND(E1908&lt;&gt;"",E1908&lt;B1908),AND(F1908&lt;&gt;"",F1908&lt;B1908)),"Evento anterior à entrada",IF(AND(F1908&lt;&gt;"",E1908=""),"Conversa sem agendamento",IF(OR(E1908&gt;TODAY(),F1908&gt;TODAY()),"Verificar evento futuro","OK"))))))))))</f>
        <v/>
      </c>
    </row>
    <row r="1909" spans="12:15">
      <c r="L1909" s="5">
        <f>IF(OR(A1909="",B1909=""),"",B1909-WEEKDAY(B1909,2)+1)</f>
        <v/>
      </c>
      <c r="M1909" s="5">
        <f>IF(L1909="","",L1909+6)</f>
        <v/>
      </c>
      <c r="N1909" s="6">
        <f>IF(OR(A1909="",B1909=""),"",DATE(YEAR(B1909),MONTH(B1909),1))</f>
        <v/>
      </c>
      <c r="O1909" s="7">
        <f>IF(COUNTA(A1909:K1909)=0,"",IF(OR(A1909="",B1909=""),"Preencher CPF e entrada",IF(COUNTIFS($A$12:$A$5011,A1909,$B$12:$B$5011,B1909)&gt;1,"CPF + dia duplicado",IF(OR(AND(G1909&lt;&gt;"",G1909&lt;&gt;0,G1909&lt;&gt;1),AND(H1909&lt;&gt;"",H1909&lt;&gt;0,H1909&lt;&gt;1)),"Flags devem ser 0 ou 1",IF(AND(H1909=1,LEN(TRIM(I1909))=0),"Preencher nome do indicante",IF(AND(H1909&lt;&gt;1,I1909&lt;&gt;""),"Nome sem indicação interna",IF(AND(G1909=1,F1909=""),"Fechamento sem conversa",IF(OR(AND(E1909&lt;&gt;"",E1909&lt;B1909),AND(F1909&lt;&gt;"",F1909&lt;B1909)),"Evento anterior à entrada",IF(AND(F1909&lt;&gt;"",E1909=""),"Conversa sem agendamento",IF(OR(E1909&gt;TODAY(),F1909&gt;TODAY()),"Verificar evento futuro","OK"))))))))))</f>
        <v/>
      </c>
    </row>
    <row r="1910" spans="12:15">
      <c r="L1910" s="5">
        <f>IF(OR(A1910="",B1910=""),"",B1910-WEEKDAY(B1910,2)+1)</f>
        <v/>
      </c>
      <c r="M1910" s="5">
        <f>IF(L1910="","",L1910+6)</f>
        <v/>
      </c>
      <c r="N1910" s="6">
        <f>IF(OR(A1910="",B1910=""),"",DATE(YEAR(B1910),MONTH(B1910),1))</f>
        <v/>
      </c>
      <c r="O1910" s="7">
        <f>IF(COUNTA(A1910:K1910)=0,"",IF(OR(A1910="",B1910=""),"Preencher CPF e entrada",IF(COUNTIFS($A$12:$A$5011,A1910,$B$12:$B$5011,B1910)&gt;1,"CPF + dia duplicado",IF(OR(AND(G1910&lt;&gt;"",G1910&lt;&gt;0,G1910&lt;&gt;1),AND(H1910&lt;&gt;"",H1910&lt;&gt;0,H1910&lt;&gt;1)),"Flags devem ser 0 ou 1",IF(AND(H1910=1,LEN(TRIM(I1910))=0),"Preencher nome do indicante",IF(AND(H1910&lt;&gt;1,I1910&lt;&gt;""),"Nome sem indicação interna",IF(AND(G1910=1,F1910=""),"Fechamento sem conversa",IF(OR(AND(E1910&lt;&gt;"",E1910&lt;B1910),AND(F1910&lt;&gt;"",F1910&lt;B1910)),"Evento anterior à entrada",IF(AND(F1910&lt;&gt;"",E1910=""),"Conversa sem agendamento",IF(OR(E1910&gt;TODAY(),F1910&gt;TODAY()),"Verificar evento futuro","OK"))))))))))</f>
        <v/>
      </c>
    </row>
    <row r="1911" spans="12:15">
      <c r="L1911" s="5">
        <f>IF(OR(A1911="",B1911=""),"",B1911-WEEKDAY(B1911,2)+1)</f>
        <v/>
      </c>
      <c r="M1911" s="5">
        <f>IF(L1911="","",L1911+6)</f>
        <v/>
      </c>
      <c r="N1911" s="6">
        <f>IF(OR(A1911="",B1911=""),"",DATE(YEAR(B1911),MONTH(B1911),1))</f>
        <v/>
      </c>
      <c r="O1911" s="7">
        <f>IF(COUNTA(A1911:K1911)=0,"",IF(OR(A1911="",B1911=""),"Preencher CPF e entrada",IF(COUNTIFS($A$12:$A$5011,A1911,$B$12:$B$5011,B1911)&gt;1,"CPF + dia duplicado",IF(OR(AND(G1911&lt;&gt;"",G1911&lt;&gt;0,G1911&lt;&gt;1),AND(H1911&lt;&gt;"",H1911&lt;&gt;0,H1911&lt;&gt;1)),"Flags devem ser 0 ou 1",IF(AND(H1911=1,LEN(TRIM(I1911))=0),"Preencher nome do indicante",IF(AND(H1911&lt;&gt;1,I1911&lt;&gt;""),"Nome sem indicação interna",IF(AND(G1911=1,F1911=""),"Fechamento sem conversa",IF(OR(AND(E1911&lt;&gt;"",E1911&lt;B1911),AND(F1911&lt;&gt;"",F1911&lt;B1911)),"Evento anterior à entrada",IF(AND(F1911&lt;&gt;"",E1911=""),"Conversa sem agendamento",IF(OR(E1911&gt;TODAY(),F1911&gt;TODAY()),"Verificar evento futuro","OK"))))))))))</f>
        <v/>
      </c>
    </row>
    <row r="1912" spans="12:15">
      <c r="L1912" s="5">
        <f>IF(OR(A1912="",B1912=""),"",B1912-WEEKDAY(B1912,2)+1)</f>
        <v/>
      </c>
      <c r="M1912" s="5">
        <f>IF(L1912="","",L1912+6)</f>
        <v/>
      </c>
      <c r="N1912" s="6">
        <f>IF(OR(A1912="",B1912=""),"",DATE(YEAR(B1912),MONTH(B1912),1))</f>
        <v/>
      </c>
      <c r="O1912" s="7">
        <f>IF(COUNTA(A1912:K1912)=0,"",IF(OR(A1912="",B1912=""),"Preencher CPF e entrada",IF(COUNTIFS($A$12:$A$5011,A1912,$B$12:$B$5011,B1912)&gt;1,"CPF + dia duplicado",IF(OR(AND(G1912&lt;&gt;"",G1912&lt;&gt;0,G1912&lt;&gt;1),AND(H1912&lt;&gt;"",H1912&lt;&gt;0,H1912&lt;&gt;1)),"Flags devem ser 0 ou 1",IF(AND(H1912=1,LEN(TRIM(I1912))=0),"Preencher nome do indicante",IF(AND(H1912&lt;&gt;1,I1912&lt;&gt;""),"Nome sem indicação interna",IF(AND(G1912=1,F1912=""),"Fechamento sem conversa",IF(OR(AND(E1912&lt;&gt;"",E1912&lt;B1912),AND(F1912&lt;&gt;"",F1912&lt;B1912)),"Evento anterior à entrada",IF(AND(F1912&lt;&gt;"",E1912=""),"Conversa sem agendamento",IF(OR(E1912&gt;TODAY(),F1912&gt;TODAY()),"Verificar evento futuro","OK"))))))))))</f>
        <v/>
      </c>
    </row>
    <row r="1913" spans="12:15">
      <c r="L1913" s="5">
        <f>IF(OR(A1913="",B1913=""),"",B1913-WEEKDAY(B1913,2)+1)</f>
        <v/>
      </c>
      <c r="M1913" s="5">
        <f>IF(L1913="","",L1913+6)</f>
        <v/>
      </c>
      <c r="N1913" s="6">
        <f>IF(OR(A1913="",B1913=""),"",DATE(YEAR(B1913),MONTH(B1913),1))</f>
        <v/>
      </c>
      <c r="O1913" s="7">
        <f>IF(COUNTA(A1913:K1913)=0,"",IF(OR(A1913="",B1913=""),"Preencher CPF e entrada",IF(COUNTIFS($A$12:$A$5011,A1913,$B$12:$B$5011,B1913)&gt;1,"CPF + dia duplicado",IF(OR(AND(G1913&lt;&gt;"",G1913&lt;&gt;0,G1913&lt;&gt;1),AND(H1913&lt;&gt;"",H1913&lt;&gt;0,H1913&lt;&gt;1)),"Flags devem ser 0 ou 1",IF(AND(H1913=1,LEN(TRIM(I1913))=0),"Preencher nome do indicante",IF(AND(H1913&lt;&gt;1,I1913&lt;&gt;""),"Nome sem indicação interna",IF(AND(G1913=1,F1913=""),"Fechamento sem conversa",IF(OR(AND(E1913&lt;&gt;"",E1913&lt;B1913),AND(F1913&lt;&gt;"",F1913&lt;B1913)),"Evento anterior à entrada",IF(AND(F1913&lt;&gt;"",E1913=""),"Conversa sem agendamento",IF(OR(E1913&gt;TODAY(),F1913&gt;TODAY()),"Verificar evento futuro","OK"))))))))))</f>
        <v/>
      </c>
    </row>
    <row r="1914" spans="12:15">
      <c r="L1914" s="5">
        <f>IF(OR(A1914="",B1914=""),"",B1914-WEEKDAY(B1914,2)+1)</f>
        <v/>
      </c>
      <c r="M1914" s="5">
        <f>IF(L1914="","",L1914+6)</f>
        <v/>
      </c>
      <c r="N1914" s="6">
        <f>IF(OR(A1914="",B1914=""),"",DATE(YEAR(B1914),MONTH(B1914),1))</f>
        <v/>
      </c>
      <c r="O1914" s="7">
        <f>IF(COUNTA(A1914:K1914)=0,"",IF(OR(A1914="",B1914=""),"Preencher CPF e entrada",IF(COUNTIFS($A$12:$A$5011,A1914,$B$12:$B$5011,B1914)&gt;1,"CPF + dia duplicado",IF(OR(AND(G1914&lt;&gt;"",G1914&lt;&gt;0,G1914&lt;&gt;1),AND(H1914&lt;&gt;"",H1914&lt;&gt;0,H1914&lt;&gt;1)),"Flags devem ser 0 ou 1",IF(AND(H1914=1,LEN(TRIM(I1914))=0),"Preencher nome do indicante",IF(AND(H1914&lt;&gt;1,I1914&lt;&gt;""),"Nome sem indicação interna",IF(AND(G1914=1,F1914=""),"Fechamento sem conversa",IF(OR(AND(E1914&lt;&gt;"",E1914&lt;B1914),AND(F1914&lt;&gt;"",F1914&lt;B1914)),"Evento anterior à entrada",IF(AND(F1914&lt;&gt;"",E1914=""),"Conversa sem agendamento",IF(OR(E1914&gt;TODAY(),F1914&gt;TODAY()),"Verificar evento futuro","OK"))))))))))</f>
        <v/>
      </c>
    </row>
    <row r="1915" spans="12:15">
      <c r="L1915" s="5">
        <f>IF(OR(A1915="",B1915=""),"",B1915-WEEKDAY(B1915,2)+1)</f>
        <v/>
      </c>
      <c r="M1915" s="5">
        <f>IF(L1915="","",L1915+6)</f>
        <v/>
      </c>
      <c r="N1915" s="6">
        <f>IF(OR(A1915="",B1915=""),"",DATE(YEAR(B1915),MONTH(B1915),1))</f>
        <v/>
      </c>
      <c r="O1915" s="7">
        <f>IF(COUNTA(A1915:K1915)=0,"",IF(OR(A1915="",B1915=""),"Preencher CPF e entrada",IF(COUNTIFS($A$12:$A$5011,A1915,$B$12:$B$5011,B1915)&gt;1,"CPF + dia duplicado",IF(OR(AND(G1915&lt;&gt;"",G1915&lt;&gt;0,G1915&lt;&gt;1),AND(H1915&lt;&gt;"",H1915&lt;&gt;0,H1915&lt;&gt;1)),"Flags devem ser 0 ou 1",IF(AND(H1915=1,LEN(TRIM(I1915))=0),"Preencher nome do indicante",IF(AND(H1915&lt;&gt;1,I1915&lt;&gt;""),"Nome sem indicação interna",IF(AND(G1915=1,F1915=""),"Fechamento sem conversa",IF(OR(AND(E1915&lt;&gt;"",E1915&lt;B1915),AND(F1915&lt;&gt;"",F1915&lt;B1915)),"Evento anterior à entrada",IF(AND(F1915&lt;&gt;"",E1915=""),"Conversa sem agendamento",IF(OR(E1915&gt;TODAY(),F1915&gt;TODAY()),"Verificar evento futuro","OK"))))))))))</f>
        <v/>
      </c>
    </row>
    <row r="1916" spans="12:15">
      <c r="L1916" s="5">
        <f>IF(OR(A1916="",B1916=""),"",B1916-WEEKDAY(B1916,2)+1)</f>
        <v/>
      </c>
      <c r="M1916" s="5">
        <f>IF(L1916="","",L1916+6)</f>
        <v/>
      </c>
      <c r="N1916" s="6">
        <f>IF(OR(A1916="",B1916=""),"",DATE(YEAR(B1916),MONTH(B1916),1))</f>
        <v/>
      </c>
      <c r="O1916" s="7">
        <f>IF(COUNTA(A1916:K1916)=0,"",IF(OR(A1916="",B1916=""),"Preencher CPF e entrada",IF(COUNTIFS($A$12:$A$5011,A1916,$B$12:$B$5011,B1916)&gt;1,"CPF + dia duplicado",IF(OR(AND(G1916&lt;&gt;"",G1916&lt;&gt;0,G1916&lt;&gt;1),AND(H1916&lt;&gt;"",H1916&lt;&gt;0,H1916&lt;&gt;1)),"Flags devem ser 0 ou 1",IF(AND(H1916=1,LEN(TRIM(I1916))=0),"Preencher nome do indicante",IF(AND(H1916&lt;&gt;1,I1916&lt;&gt;""),"Nome sem indicação interna",IF(AND(G1916=1,F1916=""),"Fechamento sem conversa",IF(OR(AND(E1916&lt;&gt;"",E1916&lt;B1916),AND(F1916&lt;&gt;"",F1916&lt;B1916)),"Evento anterior à entrada",IF(AND(F1916&lt;&gt;"",E1916=""),"Conversa sem agendamento",IF(OR(E1916&gt;TODAY(),F1916&gt;TODAY()),"Verificar evento futuro","OK"))))))))))</f>
        <v/>
      </c>
    </row>
    <row r="1917" spans="12:15">
      <c r="L1917" s="5">
        <f>IF(OR(A1917="",B1917=""),"",B1917-WEEKDAY(B1917,2)+1)</f>
        <v/>
      </c>
      <c r="M1917" s="5">
        <f>IF(L1917="","",L1917+6)</f>
        <v/>
      </c>
      <c r="N1917" s="6">
        <f>IF(OR(A1917="",B1917=""),"",DATE(YEAR(B1917),MONTH(B1917),1))</f>
        <v/>
      </c>
      <c r="O1917" s="7">
        <f>IF(COUNTA(A1917:K1917)=0,"",IF(OR(A1917="",B1917=""),"Preencher CPF e entrada",IF(COUNTIFS($A$12:$A$5011,A1917,$B$12:$B$5011,B1917)&gt;1,"CPF + dia duplicado",IF(OR(AND(G1917&lt;&gt;"",G1917&lt;&gt;0,G1917&lt;&gt;1),AND(H1917&lt;&gt;"",H1917&lt;&gt;0,H1917&lt;&gt;1)),"Flags devem ser 0 ou 1",IF(AND(H1917=1,LEN(TRIM(I1917))=0),"Preencher nome do indicante",IF(AND(H1917&lt;&gt;1,I1917&lt;&gt;""),"Nome sem indicação interna",IF(AND(G1917=1,F1917=""),"Fechamento sem conversa",IF(OR(AND(E1917&lt;&gt;"",E1917&lt;B1917),AND(F1917&lt;&gt;"",F1917&lt;B1917)),"Evento anterior à entrada",IF(AND(F1917&lt;&gt;"",E1917=""),"Conversa sem agendamento",IF(OR(E1917&gt;TODAY(),F1917&gt;TODAY()),"Verificar evento futuro","OK"))))))))))</f>
        <v/>
      </c>
    </row>
    <row r="1918" spans="12:15">
      <c r="L1918" s="5">
        <f>IF(OR(A1918="",B1918=""),"",B1918-WEEKDAY(B1918,2)+1)</f>
        <v/>
      </c>
      <c r="M1918" s="5">
        <f>IF(L1918="","",L1918+6)</f>
        <v/>
      </c>
      <c r="N1918" s="6">
        <f>IF(OR(A1918="",B1918=""),"",DATE(YEAR(B1918),MONTH(B1918),1))</f>
        <v/>
      </c>
      <c r="O1918" s="7">
        <f>IF(COUNTA(A1918:K1918)=0,"",IF(OR(A1918="",B1918=""),"Preencher CPF e entrada",IF(COUNTIFS($A$12:$A$5011,A1918,$B$12:$B$5011,B1918)&gt;1,"CPF + dia duplicado",IF(OR(AND(G1918&lt;&gt;"",G1918&lt;&gt;0,G1918&lt;&gt;1),AND(H1918&lt;&gt;"",H1918&lt;&gt;0,H1918&lt;&gt;1)),"Flags devem ser 0 ou 1",IF(AND(H1918=1,LEN(TRIM(I1918))=0),"Preencher nome do indicante",IF(AND(H1918&lt;&gt;1,I1918&lt;&gt;""),"Nome sem indicação interna",IF(AND(G1918=1,F1918=""),"Fechamento sem conversa",IF(OR(AND(E1918&lt;&gt;"",E1918&lt;B1918),AND(F1918&lt;&gt;"",F1918&lt;B1918)),"Evento anterior à entrada",IF(AND(F1918&lt;&gt;"",E1918=""),"Conversa sem agendamento",IF(OR(E1918&gt;TODAY(),F1918&gt;TODAY()),"Verificar evento futuro","OK"))))))))))</f>
        <v/>
      </c>
    </row>
    <row r="1919" spans="12:15">
      <c r="L1919" s="5">
        <f>IF(OR(A1919="",B1919=""),"",B1919-WEEKDAY(B1919,2)+1)</f>
        <v/>
      </c>
      <c r="M1919" s="5">
        <f>IF(L1919="","",L1919+6)</f>
        <v/>
      </c>
      <c r="N1919" s="6">
        <f>IF(OR(A1919="",B1919=""),"",DATE(YEAR(B1919),MONTH(B1919),1))</f>
        <v/>
      </c>
      <c r="O1919" s="7">
        <f>IF(COUNTA(A1919:K1919)=0,"",IF(OR(A1919="",B1919=""),"Preencher CPF e entrada",IF(COUNTIFS($A$12:$A$5011,A1919,$B$12:$B$5011,B1919)&gt;1,"CPF + dia duplicado",IF(OR(AND(G1919&lt;&gt;"",G1919&lt;&gt;0,G1919&lt;&gt;1),AND(H1919&lt;&gt;"",H1919&lt;&gt;0,H1919&lt;&gt;1)),"Flags devem ser 0 ou 1",IF(AND(H1919=1,LEN(TRIM(I1919))=0),"Preencher nome do indicante",IF(AND(H1919&lt;&gt;1,I1919&lt;&gt;""),"Nome sem indicação interna",IF(AND(G1919=1,F1919=""),"Fechamento sem conversa",IF(OR(AND(E1919&lt;&gt;"",E1919&lt;B1919),AND(F1919&lt;&gt;"",F1919&lt;B1919)),"Evento anterior à entrada",IF(AND(F1919&lt;&gt;"",E1919=""),"Conversa sem agendamento",IF(OR(E1919&gt;TODAY(),F1919&gt;TODAY()),"Verificar evento futuro","OK"))))))))))</f>
        <v/>
      </c>
    </row>
    <row r="1920" spans="12:15">
      <c r="L1920" s="5">
        <f>IF(OR(A1920="",B1920=""),"",B1920-WEEKDAY(B1920,2)+1)</f>
        <v/>
      </c>
      <c r="M1920" s="5">
        <f>IF(L1920="","",L1920+6)</f>
        <v/>
      </c>
      <c r="N1920" s="6">
        <f>IF(OR(A1920="",B1920=""),"",DATE(YEAR(B1920),MONTH(B1920),1))</f>
        <v/>
      </c>
      <c r="O1920" s="7">
        <f>IF(COUNTA(A1920:K1920)=0,"",IF(OR(A1920="",B1920=""),"Preencher CPF e entrada",IF(COUNTIFS($A$12:$A$5011,A1920,$B$12:$B$5011,B1920)&gt;1,"CPF + dia duplicado",IF(OR(AND(G1920&lt;&gt;"",G1920&lt;&gt;0,G1920&lt;&gt;1),AND(H1920&lt;&gt;"",H1920&lt;&gt;0,H1920&lt;&gt;1)),"Flags devem ser 0 ou 1",IF(AND(H1920=1,LEN(TRIM(I1920))=0),"Preencher nome do indicante",IF(AND(H1920&lt;&gt;1,I1920&lt;&gt;""),"Nome sem indicação interna",IF(AND(G1920=1,F1920=""),"Fechamento sem conversa",IF(OR(AND(E1920&lt;&gt;"",E1920&lt;B1920),AND(F1920&lt;&gt;"",F1920&lt;B1920)),"Evento anterior à entrada",IF(AND(F1920&lt;&gt;"",E1920=""),"Conversa sem agendamento",IF(OR(E1920&gt;TODAY(),F1920&gt;TODAY()),"Verificar evento futuro","OK"))))))))))</f>
        <v/>
      </c>
    </row>
    <row r="1921" spans="12:15">
      <c r="L1921" s="5">
        <f>IF(OR(A1921="",B1921=""),"",B1921-WEEKDAY(B1921,2)+1)</f>
        <v/>
      </c>
      <c r="M1921" s="5">
        <f>IF(L1921="","",L1921+6)</f>
        <v/>
      </c>
      <c r="N1921" s="6">
        <f>IF(OR(A1921="",B1921=""),"",DATE(YEAR(B1921),MONTH(B1921),1))</f>
        <v/>
      </c>
      <c r="O1921" s="7">
        <f>IF(COUNTA(A1921:K1921)=0,"",IF(OR(A1921="",B1921=""),"Preencher CPF e entrada",IF(COUNTIFS($A$12:$A$5011,A1921,$B$12:$B$5011,B1921)&gt;1,"CPF + dia duplicado",IF(OR(AND(G1921&lt;&gt;"",G1921&lt;&gt;0,G1921&lt;&gt;1),AND(H1921&lt;&gt;"",H1921&lt;&gt;0,H1921&lt;&gt;1)),"Flags devem ser 0 ou 1",IF(AND(H1921=1,LEN(TRIM(I1921))=0),"Preencher nome do indicante",IF(AND(H1921&lt;&gt;1,I1921&lt;&gt;""),"Nome sem indicação interna",IF(AND(G1921=1,F1921=""),"Fechamento sem conversa",IF(OR(AND(E1921&lt;&gt;"",E1921&lt;B1921),AND(F1921&lt;&gt;"",F1921&lt;B1921)),"Evento anterior à entrada",IF(AND(F1921&lt;&gt;"",E1921=""),"Conversa sem agendamento",IF(OR(E1921&gt;TODAY(),F1921&gt;TODAY()),"Verificar evento futuro","OK"))))))))))</f>
        <v/>
      </c>
    </row>
    <row r="1922" spans="12:15">
      <c r="L1922" s="5">
        <f>IF(OR(A1922="",B1922=""),"",B1922-WEEKDAY(B1922,2)+1)</f>
        <v/>
      </c>
      <c r="M1922" s="5">
        <f>IF(L1922="","",L1922+6)</f>
        <v/>
      </c>
      <c r="N1922" s="6">
        <f>IF(OR(A1922="",B1922=""),"",DATE(YEAR(B1922),MONTH(B1922),1))</f>
        <v/>
      </c>
      <c r="O1922" s="7">
        <f>IF(COUNTA(A1922:K1922)=0,"",IF(OR(A1922="",B1922=""),"Preencher CPF e entrada",IF(COUNTIFS($A$12:$A$5011,A1922,$B$12:$B$5011,B1922)&gt;1,"CPF + dia duplicado",IF(OR(AND(G1922&lt;&gt;"",G1922&lt;&gt;0,G1922&lt;&gt;1),AND(H1922&lt;&gt;"",H1922&lt;&gt;0,H1922&lt;&gt;1)),"Flags devem ser 0 ou 1",IF(AND(H1922=1,LEN(TRIM(I1922))=0),"Preencher nome do indicante",IF(AND(H1922&lt;&gt;1,I1922&lt;&gt;""),"Nome sem indicação interna",IF(AND(G1922=1,F1922=""),"Fechamento sem conversa",IF(OR(AND(E1922&lt;&gt;"",E1922&lt;B1922),AND(F1922&lt;&gt;"",F1922&lt;B1922)),"Evento anterior à entrada",IF(AND(F1922&lt;&gt;"",E1922=""),"Conversa sem agendamento",IF(OR(E1922&gt;TODAY(),F1922&gt;TODAY()),"Verificar evento futuro","OK"))))))))))</f>
        <v/>
      </c>
    </row>
    <row r="1923" spans="12:15">
      <c r="L1923" s="5">
        <f>IF(OR(A1923="",B1923=""),"",B1923-WEEKDAY(B1923,2)+1)</f>
        <v/>
      </c>
      <c r="M1923" s="5">
        <f>IF(L1923="","",L1923+6)</f>
        <v/>
      </c>
      <c r="N1923" s="6">
        <f>IF(OR(A1923="",B1923=""),"",DATE(YEAR(B1923),MONTH(B1923),1))</f>
        <v/>
      </c>
      <c r="O1923" s="7">
        <f>IF(COUNTA(A1923:K1923)=0,"",IF(OR(A1923="",B1923=""),"Preencher CPF e entrada",IF(COUNTIFS($A$12:$A$5011,A1923,$B$12:$B$5011,B1923)&gt;1,"CPF + dia duplicado",IF(OR(AND(G1923&lt;&gt;"",G1923&lt;&gt;0,G1923&lt;&gt;1),AND(H1923&lt;&gt;"",H1923&lt;&gt;0,H1923&lt;&gt;1)),"Flags devem ser 0 ou 1",IF(AND(H1923=1,LEN(TRIM(I1923))=0),"Preencher nome do indicante",IF(AND(H1923&lt;&gt;1,I1923&lt;&gt;""),"Nome sem indicação interna",IF(AND(G1923=1,F1923=""),"Fechamento sem conversa",IF(OR(AND(E1923&lt;&gt;"",E1923&lt;B1923),AND(F1923&lt;&gt;"",F1923&lt;B1923)),"Evento anterior à entrada",IF(AND(F1923&lt;&gt;"",E1923=""),"Conversa sem agendamento",IF(OR(E1923&gt;TODAY(),F1923&gt;TODAY()),"Verificar evento futuro","OK"))))))))))</f>
        <v/>
      </c>
    </row>
    <row r="1924" spans="12:15">
      <c r="L1924" s="5">
        <f>IF(OR(A1924="",B1924=""),"",B1924-WEEKDAY(B1924,2)+1)</f>
        <v/>
      </c>
      <c r="M1924" s="5">
        <f>IF(L1924="","",L1924+6)</f>
        <v/>
      </c>
      <c r="N1924" s="6">
        <f>IF(OR(A1924="",B1924=""),"",DATE(YEAR(B1924),MONTH(B1924),1))</f>
        <v/>
      </c>
      <c r="O1924" s="7">
        <f>IF(COUNTA(A1924:K1924)=0,"",IF(OR(A1924="",B1924=""),"Preencher CPF e entrada",IF(COUNTIFS($A$12:$A$5011,A1924,$B$12:$B$5011,B1924)&gt;1,"CPF + dia duplicado",IF(OR(AND(G1924&lt;&gt;"",G1924&lt;&gt;0,G1924&lt;&gt;1),AND(H1924&lt;&gt;"",H1924&lt;&gt;0,H1924&lt;&gt;1)),"Flags devem ser 0 ou 1",IF(AND(H1924=1,LEN(TRIM(I1924))=0),"Preencher nome do indicante",IF(AND(H1924&lt;&gt;1,I1924&lt;&gt;""),"Nome sem indicação interna",IF(AND(G1924=1,F1924=""),"Fechamento sem conversa",IF(OR(AND(E1924&lt;&gt;"",E1924&lt;B1924),AND(F1924&lt;&gt;"",F1924&lt;B1924)),"Evento anterior à entrada",IF(AND(F1924&lt;&gt;"",E1924=""),"Conversa sem agendamento",IF(OR(E1924&gt;TODAY(),F1924&gt;TODAY()),"Verificar evento futuro","OK"))))))))))</f>
        <v/>
      </c>
    </row>
    <row r="1925" spans="12:15">
      <c r="L1925" s="5">
        <f>IF(OR(A1925="",B1925=""),"",B1925-WEEKDAY(B1925,2)+1)</f>
        <v/>
      </c>
      <c r="M1925" s="5">
        <f>IF(L1925="","",L1925+6)</f>
        <v/>
      </c>
      <c r="N1925" s="6">
        <f>IF(OR(A1925="",B1925=""),"",DATE(YEAR(B1925),MONTH(B1925),1))</f>
        <v/>
      </c>
      <c r="O1925" s="7">
        <f>IF(COUNTA(A1925:K1925)=0,"",IF(OR(A1925="",B1925=""),"Preencher CPF e entrada",IF(COUNTIFS($A$12:$A$5011,A1925,$B$12:$B$5011,B1925)&gt;1,"CPF + dia duplicado",IF(OR(AND(G1925&lt;&gt;"",G1925&lt;&gt;0,G1925&lt;&gt;1),AND(H1925&lt;&gt;"",H1925&lt;&gt;0,H1925&lt;&gt;1)),"Flags devem ser 0 ou 1",IF(AND(H1925=1,LEN(TRIM(I1925))=0),"Preencher nome do indicante",IF(AND(H1925&lt;&gt;1,I1925&lt;&gt;""),"Nome sem indicação interna",IF(AND(G1925=1,F1925=""),"Fechamento sem conversa",IF(OR(AND(E1925&lt;&gt;"",E1925&lt;B1925),AND(F1925&lt;&gt;"",F1925&lt;B1925)),"Evento anterior à entrada",IF(AND(F1925&lt;&gt;"",E1925=""),"Conversa sem agendamento",IF(OR(E1925&gt;TODAY(),F1925&gt;TODAY()),"Verificar evento futuro","OK"))))))))))</f>
        <v/>
      </c>
    </row>
    <row r="1926" spans="12:15">
      <c r="L1926" s="5">
        <f>IF(OR(A1926="",B1926=""),"",B1926-WEEKDAY(B1926,2)+1)</f>
        <v/>
      </c>
      <c r="M1926" s="5">
        <f>IF(L1926="","",L1926+6)</f>
        <v/>
      </c>
      <c r="N1926" s="6">
        <f>IF(OR(A1926="",B1926=""),"",DATE(YEAR(B1926),MONTH(B1926),1))</f>
        <v/>
      </c>
      <c r="O1926" s="7">
        <f>IF(COUNTA(A1926:K1926)=0,"",IF(OR(A1926="",B1926=""),"Preencher CPF e entrada",IF(COUNTIFS($A$12:$A$5011,A1926,$B$12:$B$5011,B1926)&gt;1,"CPF + dia duplicado",IF(OR(AND(G1926&lt;&gt;"",G1926&lt;&gt;0,G1926&lt;&gt;1),AND(H1926&lt;&gt;"",H1926&lt;&gt;0,H1926&lt;&gt;1)),"Flags devem ser 0 ou 1",IF(AND(H1926=1,LEN(TRIM(I1926))=0),"Preencher nome do indicante",IF(AND(H1926&lt;&gt;1,I1926&lt;&gt;""),"Nome sem indicação interna",IF(AND(G1926=1,F1926=""),"Fechamento sem conversa",IF(OR(AND(E1926&lt;&gt;"",E1926&lt;B1926),AND(F1926&lt;&gt;"",F1926&lt;B1926)),"Evento anterior à entrada",IF(AND(F1926&lt;&gt;"",E1926=""),"Conversa sem agendamento",IF(OR(E1926&gt;TODAY(),F1926&gt;TODAY()),"Verificar evento futuro","OK"))))))))))</f>
        <v/>
      </c>
    </row>
    <row r="1927" spans="12:15">
      <c r="L1927" s="5">
        <f>IF(OR(A1927="",B1927=""),"",B1927-WEEKDAY(B1927,2)+1)</f>
        <v/>
      </c>
      <c r="M1927" s="5">
        <f>IF(L1927="","",L1927+6)</f>
        <v/>
      </c>
      <c r="N1927" s="6">
        <f>IF(OR(A1927="",B1927=""),"",DATE(YEAR(B1927),MONTH(B1927),1))</f>
        <v/>
      </c>
      <c r="O1927" s="7">
        <f>IF(COUNTA(A1927:K1927)=0,"",IF(OR(A1927="",B1927=""),"Preencher CPF e entrada",IF(COUNTIFS($A$12:$A$5011,A1927,$B$12:$B$5011,B1927)&gt;1,"CPF + dia duplicado",IF(OR(AND(G1927&lt;&gt;"",G1927&lt;&gt;0,G1927&lt;&gt;1),AND(H1927&lt;&gt;"",H1927&lt;&gt;0,H1927&lt;&gt;1)),"Flags devem ser 0 ou 1",IF(AND(H1927=1,LEN(TRIM(I1927))=0),"Preencher nome do indicante",IF(AND(H1927&lt;&gt;1,I1927&lt;&gt;""),"Nome sem indicação interna",IF(AND(G1927=1,F1927=""),"Fechamento sem conversa",IF(OR(AND(E1927&lt;&gt;"",E1927&lt;B1927),AND(F1927&lt;&gt;"",F1927&lt;B1927)),"Evento anterior à entrada",IF(AND(F1927&lt;&gt;"",E1927=""),"Conversa sem agendamento",IF(OR(E1927&gt;TODAY(),F1927&gt;TODAY()),"Verificar evento futuro","OK"))))))))))</f>
        <v/>
      </c>
    </row>
    <row r="1928" spans="12:15">
      <c r="L1928" s="5">
        <f>IF(OR(A1928="",B1928=""),"",B1928-WEEKDAY(B1928,2)+1)</f>
        <v/>
      </c>
      <c r="M1928" s="5">
        <f>IF(L1928="","",L1928+6)</f>
        <v/>
      </c>
      <c r="N1928" s="6">
        <f>IF(OR(A1928="",B1928=""),"",DATE(YEAR(B1928),MONTH(B1928),1))</f>
        <v/>
      </c>
      <c r="O1928" s="7">
        <f>IF(COUNTA(A1928:K1928)=0,"",IF(OR(A1928="",B1928=""),"Preencher CPF e entrada",IF(COUNTIFS($A$12:$A$5011,A1928,$B$12:$B$5011,B1928)&gt;1,"CPF + dia duplicado",IF(OR(AND(G1928&lt;&gt;"",G1928&lt;&gt;0,G1928&lt;&gt;1),AND(H1928&lt;&gt;"",H1928&lt;&gt;0,H1928&lt;&gt;1)),"Flags devem ser 0 ou 1",IF(AND(H1928=1,LEN(TRIM(I1928))=0),"Preencher nome do indicante",IF(AND(H1928&lt;&gt;1,I1928&lt;&gt;""),"Nome sem indicação interna",IF(AND(G1928=1,F1928=""),"Fechamento sem conversa",IF(OR(AND(E1928&lt;&gt;"",E1928&lt;B1928),AND(F1928&lt;&gt;"",F1928&lt;B1928)),"Evento anterior à entrada",IF(AND(F1928&lt;&gt;"",E1928=""),"Conversa sem agendamento",IF(OR(E1928&gt;TODAY(),F1928&gt;TODAY()),"Verificar evento futuro","OK"))))))))))</f>
        <v/>
      </c>
    </row>
    <row r="1929" spans="12:15">
      <c r="L1929" s="5">
        <f>IF(OR(A1929="",B1929=""),"",B1929-WEEKDAY(B1929,2)+1)</f>
        <v/>
      </c>
      <c r="M1929" s="5">
        <f>IF(L1929="","",L1929+6)</f>
        <v/>
      </c>
      <c r="N1929" s="6">
        <f>IF(OR(A1929="",B1929=""),"",DATE(YEAR(B1929),MONTH(B1929),1))</f>
        <v/>
      </c>
      <c r="O1929" s="7">
        <f>IF(COUNTA(A1929:K1929)=0,"",IF(OR(A1929="",B1929=""),"Preencher CPF e entrada",IF(COUNTIFS($A$12:$A$5011,A1929,$B$12:$B$5011,B1929)&gt;1,"CPF + dia duplicado",IF(OR(AND(G1929&lt;&gt;"",G1929&lt;&gt;0,G1929&lt;&gt;1),AND(H1929&lt;&gt;"",H1929&lt;&gt;0,H1929&lt;&gt;1)),"Flags devem ser 0 ou 1",IF(AND(H1929=1,LEN(TRIM(I1929))=0),"Preencher nome do indicante",IF(AND(H1929&lt;&gt;1,I1929&lt;&gt;""),"Nome sem indicação interna",IF(AND(G1929=1,F1929=""),"Fechamento sem conversa",IF(OR(AND(E1929&lt;&gt;"",E1929&lt;B1929),AND(F1929&lt;&gt;"",F1929&lt;B1929)),"Evento anterior à entrada",IF(AND(F1929&lt;&gt;"",E1929=""),"Conversa sem agendamento",IF(OR(E1929&gt;TODAY(),F1929&gt;TODAY()),"Verificar evento futuro","OK"))))))))))</f>
        <v/>
      </c>
    </row>
    <row r="1930" spans="12:15">
      <c r="L1930" s="5">
        <f>IF(OR(A1930="",B1930=""),"",B1930-WEEKDAY(B1930,2)+1)</f>
        <v/>
      </c>
      <c r="M1930" s="5">
        <f>IF(L1930="","",L1930+6)</f>
        <v/>
      </c>
      <c r="N1930" s="6">
        <f>IF(OR(A1930="",B1930=""),"",DATE(YEAR(B1930),MONTH(B1930),1))</f>
        <v/>
      </c>
      <c r="O1930" s="7">
        <f>IF(COUNTA(A1930:K1930)=0,"",IF(OR(A1930="",B1930=""),"Preencher CPF e entrada",IF(COUNTIFS($A$12:$A$5011,A1930,$B$12:$B$5011,B1930)&gt;1,"CPF + dia duplicado",IF(OR(AND(G1930&lt;&gt;"",G1930&lt;&gt;0,G1930&lt;&gt;1),AND(H1930&lt;&gt;"",H1930&lt;&gt;0,H1930&lt;&gt;1)),"Flags devem ser 0 ou 1",IF(AND(H1930=1,LEN(TRIM(I1930))=0),"Preencher nome do indicante",IF(AND(H1930&lt;&gt;1,I1930&lt;&gt;""),"Nome sem indicação interna",IF(AND(G1930=1,F1930=""),"Fechamento sem conversa",IF(OR(AND(E1930&lt;&gt;"",E1930&lt;B1930),AND(F1930&lt;&gt;"",F1930&lt;B1930)),"Evento anterior à entrada",IF(AND(F1930&lt;&gt;"",E1930=""),"Conversa sem agendamento",IF(OR(E1930&gt;TODAY(),F1930&gt;TODAY()),"Verificar evento futuro","OK"))))))))))</f>
        <v/>
      </c>
    </row>
    <row r="1931" spans="12:15">
      <c r="L1931" s="5">
        <f>IF(OR(A1931="",B1931=""),"",B1931-WEEKDAY(B1931,2)+1)</f>
        <v/>
      </c>
      <c r="M1931" s="5">
        <f>IF(L1931="","",L1931+6)</f>
        <v/>
      </c>
      <c r="N1931" s="6">
        <f>IF(OR(A1931="",B1931=""),"",DATE(YEAR(B1931),MONTH(B1931),1))</f>
        <v/>
      </c>
      <c r="O1931" s="7">
        <f>IF(COUNTA(A1931:K1931)=0,"",IF(OR(A1931="",B1931=""),"Preencher CPF e entrada",IF(COUNTIFS($A$12:$A$5011,A1931,$B$12:$B$5011,B1931)&gt;1,"CPF + dia duplicado",IF(OR(AND(G1931&lt;&gt;"",G1931&lt;&gt;0,G1931&lt;&gt;1),AND(H1931&lt;&gt;"",H1931&lt;&gt;0,H1931&lt;&gt;1)),"Flags devem ser 0 ou 1",IF(AND(H1931=1,LEN(TRIM(I1931))=0),"Preencher nome do indicante",IF(AND(H1931&lt;&gt;1,I1931&lt;&gt;""),"Nome sem indicação interna",IF(AND(G1931=1,F1931=""),"Fechamento sem conversa",IF(OR(AND(E1931&lt;&gt;"",E1931&lt;B1931),AND(F1931&lt;&gt;"",F1931&lt;B1931)),"Evento anterior à entrada",IF(AND(F1931&lt;&gt;"",E1931=""),"Conversa sem agendamento",IF(OR(E1931&gt;TODAY(),F1931&gt;TODAY()),"Verificar evento futuro","OK"))))))))))</f>
        <v/>
      </c>
    </row>
    <row r="1932" spans="12:15">
      <c r="L1932" s="5">
        <f>IF(OR(A1932="",B1932=""),"",B1932-WEEKDAY(B1932,2)+1)</f>
        <v/>
      </c>
      <c r="M1932" s="5">
        <f>IF(L1932="","",L1932+6)</f>
        <v/>
      </c>
      <c r="N1932" s="6">
        <f>IF(OR(A1932="",B1932=""),"",DATE(YEAR(B1932),MONTH(B1932),1))</f>
        <v/>
      </c>
      <c r="O1932" s="7">
        <f>IF(COUNTA(A1932:K1932)=0,"",IF(OR(A1932="",B1932=""),"Preencher CPF e entrada",IF(COUNTIFS($A$12:$A$5011,A1932,$B$12:$B$5011,B1932)&gt;1,"CPF + dia duplicado",IF(OR(AND(G1932&lt;&gt;"",G1932&lt;&gt;0,G1932&lt;&gt;1),AND(H1932&lt;&gt;"",H1932&lt;&gt;0,H1932&lt;&gt;1)),"Flags devem ser 0 ou 1",IF(AND(H1932=1,LEN(TRIM(I1932))=0),"Preencher nome do indicante",IF(AND(H1932&lt;&gt;1,I1932&lt;&gt;""),"Nome sem indicação interna",IF(AND(G1932=1,F1932=""),"Fechamento sem conversa",IF(OR(AND(E1932&lt;&gt;"",E1932&lt;B1932),AND(F1932&lt;&gt;"",F1932&lt;B1932)),"Evento anterior à entrada",IF(AND(F1932&lt;&gt;"",E1932=""),"Conversa sem agendamento",IF(OR(E1932&gt;TODAY(),F1932&gt;TODAY()),"Verificar evento futuro","OK"))))))))))</f>
        <v/>
      </c>
    </row>
    <row r="1933" spans="12:15">
      <c r="L1933" s="5">
        <f>IF(OR(A1933="",B1933=""),"",B1933-WEEKDAY(B1933,2)+1)</f>
        <v/>
      </c>
      <c r="M1933" s="5">
        <f>IF(L1933="","",L1933+6)</f>
        <v/>
      </c>
      <c r="N1933" s="6">
        <f>IF(OR(A1933="",B1933=""),"",DATE(YEAR(B1933),MONTH(B1933),1))</f>
        <v/>
      </c>
      <c r="O1933" s="7">
        <f>IF(COUNTA(A1933:K1933)=0,"",IF(OR(A1933="",B1933=""),"Preencher CPF e entrada",IF(COUNTIFS($A$12:$A$5011,A1933,$B$12:$B$5011,B1933)&gt;1,"CPF + dia duplicado",IF(OR(AND(G1933&lt;&gt;"",G1933&lt;&gt;0,G1933&lt;&gt;1),AND(H1933&lt;&gt;"",H1933&lt;&gt;0,H1933&lt;&gt;1)),"Flags devem ser 0 ou 1",IF(AND(H1933=1,LEN(TRIM(I1933))=0),"Preencher nome do indicante",IF(AND(H1933&lt;&gt;1,I1933&lt;&gt;""),"Nome sem indicação interna",IF(AND(G1933=1,F1933=""),"Fechamento sem conversa",IF(OR(AND(E1933&lt;&gt;"",E1933&lt;B1933),AND(F1933&lt;&gt;"",F1933&lt;B1933)),"Evento anterior à entrada",IF(AND(F1933&lt;&gt;"",E1933=""),"Conversa sem agendamento",IF(OR(E1933&gt;TODAY(),F1933&gt;TODAY()),"Verificar evento futuro","OK"))))))))))</f>
        <v/>
      </c>
    </row>
    <row r="1934" spans="12:15">
      <c r="L1934" s="5">
        <f>IF(OR(A1934="",B1934=""),"",B1934-WEEKDAY(B1934,2)+1)</f>
        <v/>
      </c>
      <c r="M1934" s="5">
        <f>IF(L1934="","",L1934+6)</f>
        <v/>
      </c>
      <c r="N1934" s="6">
        <f>IF(OR(A1934="",B1934=""),"",DATE(YEAR(B1934),MONTH(B1934),1))</f>
        <v/>
      </c>
      <c r="O1934" s="7">
        <f>IF(COUNTA(A1934:K1934)=0,"",IF(OR(A1934="",B1934=""),"Preencher CPF e entrada",IF(COUNTIFS($A$12:$A$5011,A1934,$B$12:$B$5011,B1934)&gt;1,"CPF + dia duplicado",IF(OR(AND(G1934&lt;&gt;"",G1934&lt;&gt;0,G1934&lt;&gt;1),AND(H1934&lt;&gt;"",H1934&lt;&gt;0,H1934&lt;&gt;1)),"Flags devem ser 0 ou 1",IF(AND(H1934=1,LEN(TRIM(I1934))=0),"Preencher nome do indicante",IF(AND(H1934&lt;&gt;1,I1934&lt;&gt;""),"Nome sem indicação interna",IF(AND(G1934=1,F1934=""),"Fechamento sem conversa",IF(OR(AND(E1934&lt;&gt;"",E1934&lt;B1934),AND(F1934&lt;&gt;"",F1934&lt;B1934)),"Evento anterior à entrada",IF(AND(F1934&lt;&gt;"",E1934=""),"Conversa sem agendamento",IF(OR(E1934&gt;TODAY(),F1934&gt;TODAY()),"Verificar evento futuro","OK"))))))))))</f>
        <v/>
      </c>
    </row>
    <row r="1935" spans="12:15">
      <c r="L1935" s="5">
        <f>IF(OR(A1935="",B1935=""),"",B1935-WEEKDAY(B1935,2)+1)</f>
        <v/>
      </c>
      <c r="M1935" s="5">
        <f>IF(L1935="","",L1935+6)</f>
        <v/>
      </c>
      <c r="N1935" s="6">
        <f>IF(OR(A1935="",B1935=""),"",DATE(YEAR(B1935),MONTH(B1935),1))</f>
        <v/>
      </c>
      <c r="O1935" s="7">
        <f>IF(COUNTA(A1935:K1935)=0,"",IF(OR(A1935="",B1935=""),"Preencher CPF e entrada",IF(COUNTIFS($A$12:$A$5011,A1935,$B$12:$B$5011,B1935)&gt;1,"CPF + dia duplicado",IF(OR(AND(G1935&lt;&gt;"",G1935&lt;&gt;0,G1935&lt;&gt;1),AND(H1935&lt;&gt;"",H1935&lt;&gt;0,H1935&lt;&gt;1)),"Flags devem ser 0 ou 1",IF(AND(H1935=1,LEN(TRIM(I1935))=0),"Preencher nome do indicante",IF(AND(H1935&lt;&gt;1,I1935&lt;&gt;""),"Nome sem indicação interna",IF(AND(G1935=1,F1935=""),"Fechamento sem conversa",IF(OR(AND(E1935&lt;&gt;"",E1935&lt;B1935),AND(F1935&lt;&gt;"",F1935&lt;B1935)),"Evento anterior à entrada",IF(AND(F1935&lt;&gt;"",E1935=""),"Conversa sem agendamento",IF(OR(E1935&gt;TODAY(),F1935&gt;TODAY()),"Verificar evento futuro","OK"))))))))))</f>
        <v/>
      </c>
    </row>
    <row r="1936" spans="12:15">
      <c r="L1936" s="5">
        <f>IF(OR(A1936="",B1936=""),"",B1936-WEEKDAY(B1936,2)+1)</f>
        <v/>
      </c>
      <c r="M1936" s="5">
        <f>IF(L1936="","",L1936+6)</f>
        <v/>
      </c>
      <c r="N1936" s="6">
        <f>IF(OR(A1936="",B1936=""),"",DATE(YEAR(B1936),MONTH(B1936),1))</f>
        <v/>
      </c>
      <c r="O1936" s="7">
        <f>IF(COUNTA(A1936:K1936)=0,"",IF(OR(A1936="",B1936=""),"Preencher CPF e entrada",IF(COUNTIFS($A$12:$A$5011,A1936,$B$12:$B$5011,B1936)&gt;1,"CPF + dia duplicado",IF(OR(AND(G1936&lt;&gt;"",G1936&lt;&gt;0,G1936&lt;&gt;1),AND(H1936&lt;&gt;"",H1936&lt;&gt;0,H1936&lt;&gt;1)),"Flags devem ser 0 ou 1",IF(AND(H1936=1,LEN(TRIM(I1936))=0),"Preencher nome do indicante",IF(AND(H1936&lt;&gt;1,I1936&lt;&gt;""),"Nome sem indicação interna",IF(AND(G1936=1,F1936=""),"Fechamento sem conversa",IF(OR(AND(E1936&lt;&gt;"",E1936&lt;B1936),AND(F1936&lt;&gt;"",F1936&lt;B1936)),"Evento anterior à entrada",IF(AND(F1936&lt;&gt;"",E1936=""),"Conversa sem agendamento",IF(OR(E1936&gt;TODAY(),F1936&gt;TODAY()),"Verificar evento futuro","OK"))))))))))</f>
        <v/>
      </c>
    </row>
    <row r="1937" spans="12:15">
      <c r="L1937" s="5">
        <f>IF(OR(A1937="",B1937=""),"",B1937-WEEKDAY(B1937,2)+1)</f>
        <v/>
      </c>
      <c r="M1937" s="5">
        <f>IF(L1937="","",L1937+6)</f>
        <v/>
      </c>
      <c r="N1937" s="6">
        <f>IF(OR(A1937="",B1937=""),"",DATE(YEAR(B1937),MONTH(B1937),1))</f>
        <v/>
      </c>
      <c r="O1937" s="7">
        <f>IF(COUNTA(A1937:K1937)=0,"",IF(OR(A1937="",B1937=""),"Preencher CPF e entrada",IF(COUNTIFS($A$12:$A$5011,A1937,$B$12:$B$5011,B1937)&gt;1,"CPF + dia duplicado",IF(OR(AND(G1937&lt;&gt;"",G1937&lt;&gt;0,G1937&lt;&gt;1),AND(H1937&lt;&gt;"",H1937&lt;&gt;0,H1937&lt;&gt;1)),"Flags devem ser 0 ou 1",IF(AND(H1937=1,LEN(TRIM(I1937))=0),"Preencher nome do indicante",IF(AND(H1937&lt;&gt;1,I1937&lt;&gt;""),"Nome sem indicação interna",IF(AND(G1937=1,F1937=""),"Fechamento sem conversa",IF(OR(AND(E1937&lt;&gt;"",E1937&lt;B1937),AND(F1937&lt;&gt;"",F1937&lt;B1937)),"Evento anterior à entrada",IF(AND(F1937&lt;&gt;"",E1937=""),"Conversa sem agendamento",IF(OR(E1937&gt;TODAY(),F1937&gt;TODAY()),"Verificar evento futuro","OK"))))))))))</f>
        <v/>
      </c>
    </row>
    <row r="1938" spans="12:15">
      <c r="L1938" s="5">
        <f>IF(OR(A1938="",B1938=""),"",B1938-WEEKDAY(B1938,2)+1)</f>
        <v/>
      </c>
      <c r="M1938" s="5">
        <f>IF(L1938="","",L1938+6)</f>
        <v/>
      </c>
      <c r="N1938" s="6">
        <f>IF(OR(A1938="",B1938=""),"",DATE(YEAR(B1938),MONTH(B1938),1))</f>
        <v/>
      </c>
      <c r="O1938" s="7">
        <f>IF(COUNTA(A1938:K1938)=0,"",IF(OR(A1938="",B1938=""),"Preencher CPF e entrada",IF(COUNTIFS($A$12:$A$5011,A1938,$B$12:$B$5011,B1938)&gt;1,"CPF + dia duplicado",IF(OR(AND(G1938&lt;&gt;"",G1938&lt;&gt;0,G1938&lt;&gt;1),AND(H1938&lt;&gt;"",H1938&lt;&gt;0,H1938&lt;&gt;1)),"Flags devem ser 0 ou 1",IF(AND(H1938=1,LEN(TRIM(I1938))=0),"Preencher nome do indicante",IF(AND(H1938&lt;&gt;1,I1938&lt;&gt;""),"Nome sem indicação interna",IF(AND(G1938=1,F1938=""),"Fechamento sem conversa",IF(OR(AND(E1938&lt;&gt;"",E1938&lt;B1938),AND(F1938&lt;&gt;"",F1938&lt;B1938)),"Evento anterior à entrada",IF(AND(F1938&lt;&gt;"",E1938=""),"Conversa sem agendamento",IF(OR(E1938&gt;TODAY(),F1938&gt;TODAY()),"Verificar evento futuro","OK"))))))))))</f>
        <v/>
      </c>
    </row>
    <row r="1939" spans="12:15">
      <c r="L1939" s="5">
        <f>IF(OR(A1939="",B1939=""),"",B1939-WEEKDAY(B1939,2)+1)</f>
        <v/>
      </c>
      <c r="M1939" s="5">
        <f>IF(L1939="","",L1939+6)</f>
        <v/>
      </c>
      <c r="N1939" s="6">
        <f>IF(OR(A1939="",B1939=""),"",DATE(YEAR(B1939),MONTH(B1939),1))</f>
        <v/>
      </c>
      <c r="O1939" s="7">
        <f>IF(COUNTA(A1939:K1939)=0,"",IF(OR(A1939="",B1939=""),"Preencher CPF e entrada",IF(COUNTIFS($A$12:$A$5011,A1939,$B$12:$B$5011,B1939)&gt;1,"CPF + dia duplicado",IF(OR(AND(G1939&lt;&gt;"",G1939&lt;&gt;0,G1939&lt;&gt;1),AND(H1939&lt;&gt;"",H1939&lt;&gt;0,H1939&lt;&gt;1)),"Flags devem ser 0 ou 1",IF(AND(H1939=1,LEN(TRIM(I1939))=0),"Preencher nome do indicante",IF(AND(H1939&lt;&gt;1,I1939&lt;&gt;""),"Nome sem indicação interna",IF(AND(G1939=1,F1939=""),"Fechamento sem conversa",IF(OR(AND(E1939&lt;&gt;"",E1939&lt;B1939),AND(F1939&lt;&gt;"",F1939&lt;B1939)),"Evento anterior à entrada",IF(AND(F1939&lt;&gt;"",E1939=""),"Conversa sem agendamento",IF(OR(E1939&gt;TODAY(),F1939&gt;TODAY()),"Verificar evento futuro","OK"))))))))))</f>
        <v/>
      </c>
    </row>
    <row r="1940" spans="12:15">
      <c r="L1940" s="5">
        <f>IF(OR(A1940="",B1940=""),"",B1940-WEEKDAY(B1940,2)+1)</f>
        <v/>
      </c>
      <c r="M1940" s="5">
        <f>IF(L1940="","",L1940+6)</f>
        <v/>
      </c>
      <c r="N1940" s="6">
        <f>IF(OR(A1940="",B1940=""),"",DATE(YEAR(B1940),MONTH(B1940),1))</f>
        <v/>
      </c>
      <c r="O1940" s="7">
        <f>IF(COUNTA(A1940:K1940)=0,"",IF(OR(A1940="",B1940=""),"Preencher CPF e entrada",IF(COUNTIFS($A$12:$A$5011,A1940,$B$12:$B$5011,B1940)&gt;1,"CPF + dia duplicado",IF(OR(AND(G1940&lt;&gt;"",G1940&lt;&gt;0,G1940&lt;&gt;1),AND(H1940&lt;&gt;"",H1940&lt;&gt;0,H1940&lt;&gt;1)),"Flags devem ser 0 ou 1",IF(AND(H1940=1,LEN(TRIM(I1940))=0),"Preencher nome do indicante",IF(AND(H1940&lt;&gt;1,I1940&lt;&gt;""),"Nome sem indicação interna",IF(AND(G1940=1,F1940=""),"Fechamento sem conversa",IF(OR(AND(E1940&lt;&gt;"",E1940&lt;B1940),AND(F1940&lt;&gt;"",F1940&lt;B1940)),"Evento anterior à entrada",IF(AND(F1940&lt;&gt;"",E1940=""),"Conversa sem agendamento",IF(OR(E1940&gt;TODAY(),F1940&gt;TODAY()),"Verificar evento futuro","OK"))))))))))</f>
        <v/>
      </c>
    </row>
    <row r="1941" spans="12:15">
      <c r="L1941" s="5">
        <f>IF(OR(A1941="",B1941=""),"",B1941-WEEKDAY(B1941,2)+1)</f>
        <v/>
      </c>
      <c r="M1941" s="5">
        <f>IF(L1941="","",L1941+6)</f>
        <v/>
      </c>
      <c r="N1941" s="6">
        <f>IF(OR(A1941="",B1941=""),"",DATE(YEAR(B1941),MONTH(B1941),1))</f>
        <v/>
      </c>
      <c r="O1941" s="7">
        <f>IF(COUNTA(A1941:K1941)=0,"",IF(OR(A1941="",B1941=""),"Preencher CPF e entrada",IF(COUNTIFS($A$12:$A$5011,A1941,$B$12:$B$5011,B1941)&gt;1,"CPF + dia duplicado",IF(OR(AND(G1941&lt;&gt;"",G1941&lt;&gt;0,G1941&lt;&gt;1),AND(H1941&lt;&gt;"",H1941&lt;&gt;0,H1941&lt;&gt;1)),"Flags devem ser 0 ou 1",IF(AND(H1941=1,LEN(TRIM(I1941))=0),"Preencher nome do indicante",IF(AND(H1941&lt;&gt;1,I1941&lt;&gt;""),"Nome sem indicação interna",IF(AND(G1941=1,F1941=""),"Fechamento sem conversa",IF(OR(AND(E1941&lt;&gt;"",E1941&lt;B1941),AND(F1941&lt;&gt;"",F1941&lt;B1941)),"Evento anterior à entrada",IF(AND(F1941&lt;&gt;"",E1941=""),"Conversa sem agendamento",IF(OR(E1941&gt;TODAY(),F1941&gt;TODAY()),"Verificar evento futuro","OK"))))))))))</f>
        <v/>
      </c>
    </row>
    <row r="1942" spans="12:15">
      <c r="L1942" s="5">
        <f>IF(OR(A1942="",B1942=""),"",B1942-WEEKDAY(B1942,2)+1)</f>
        <v/>
      </c>
      <c r="M1942" s="5">
        <f>IF(L1942="","",L1942+6)</f>
        <v/>
      </c>
      <c r="N1942" s="6">
        <f>IF(OR(A1942="",B1942=""),"",DATE(YEAR(B1942),MONTH(B1942),1))</f>
        <v/>
      </c>
      <c r="O1942" s="7">
        <f>IF(COUNTA(A1942:K1942)=0,"",IF(OR(A1942="",B1942=""),"Preencher CPF e entrada",IF(COUNTIFS($A$12:$A$5011,A1942,$B$12:$B$5011,B1942)&gt;1,"CPF + dia duplicado",IF(OR(AND(G1942&lt;&gt;"",G1942&lt;&gt;0,G1942&lt;&gt;1),AND(H1942&lt;&gt;"",H1942&lt;&gt;0,H1942&lt;&gt;1)),"Flags devem ser 0 ou 1",IF(AND(H1942=1,LEN(TRIM(I1942))=0),"Preencher nome do indicante",IF(AND(H1942&lt;&gt;1,I1942&lt;&gt;""),"Nome sem indicação interna",IF(AND(G1942=1,F1942=""),"Fechamento sem conversa",IF(OR(AND(E1942&lt;&gt;"",E1942&lt;B1942),AND(F1942&lt;&gt;"",F1942&lt;B1942)),"Evento anterior à entrada",IF(AND(F1942&lt;&gt;"",E1942=""),"Conversa sem agendamento",IF(OR(E1942&gt;TODAY(),F1942&gt;TODAY()),"Verificar evento futuro","OK"))))))))))</f>
        <v/>
      </c>
    </row>
    <row r="1943" spans="12:15">
      <c r="L1943" s="5">
        <f>IF(OR(A1943="",B1943=""),"",B1943-WEEKDAY(B1943,2)+1)</f>
        <v/>
      </c>
      <c r="M1943" s="5">
        <f>IF(L1943="","",L1943+6)</f>
        <v/>
      </c>
      <c r="N1943" s="6">
        <f>IF(OR(A1943="",B1943=""),"",DATE(YEAR(B1943),MONTH(B1943),1))</f>
        <v/>
      </c>
      <c r="O1943" s="7">
        <f>IF(COUNTA(A1943:K1943)=0,"",IF(OR(A1943="",B1943=""),"Preencher CPF e entrada",IF(COUNTIFS($A$12:$A$5011,A1943,$B$12:$B$5011,B1943)&gt;1,"CPF + dia duplicado",IF(OR(AND(G1943&lt;&gt;"",G1943&lt;&gt;0,G1943&lt;&gt;1),AND(H1943&lt;&gt;"",H1943&lt;&gt;0,H1943&lt;&gt;1)),"Flags devem ser 0 ou 1",IF(AND(H1943=1,LEN(TRIM(I1943))=0),"Preencher nome do indicante",IF(AND(H1943&lt;&gt;1,I1943&lt;&gt;""),"Nome sem indicação interna",IF(AND(G1943=1,F1943=""),"Fechamento sem conversa",IF(OR(AND(E1943&lt;&gt;"",E1943&lt;B1943),AND(F1943&lt;&gt;"",F1943&lt;B1943)),"Evento anterior à entrada",IF(AND(F1943&lt;&gt;"",E1943=""),"Conversa sem agendamento",IF(OR(E1943&gt;TODAY(),F1943&gt;TODAY()),"Verificar evento futuro","OK"))))))))))</f>
        <v/>
      </c>
    </row>
    <row r="1944" spans="12:15">
      <c r="L1944" s="5">
        <f>IF(OR(A1944="",B1944=""),"",B1944-WEEKDAY(B1944,2)+1)</f>
        <v/>
      </c>
      <c r="M1944" s="5">
        <f>IF(L1944="","",L1944+6)</f>
        <v/>
      </c>
      <c r="N1944" s="6">
        <f>IF(OR(A1944="",B1944=""),"",DATE(YEAR(B1944),MONTH(B1944),1))</f>
        <v/>
      </c>
      <c r="O1944" s="7">
        <f>IF(COUNTA(A1944:K1944)=0,"",IF(OR(A1944="",B1944=""),"Preencher CPF e entrada",IF(COUNTIFS($A$12:$A$5011,A1944,$B$12:$B$5011,B1944)&gt;1,"CPF + dia duplicado",IF(OR(AND(G1944&lt;&gt;"",G1944&lt;&gt;0,G1944&lt;&gt;1),AND(H1944&lt;&gt;"",H1944&lt;&gt;0,H1944&lt;&gt;1)),"Flags devem ser 0 ou 1",IF(AND(H1944=1,LEN(TRIM(I1944))=0),"Preencher nome do indicante",IF(AND(H1944&lt;&gt;1,I1944&lt;&gt;""),"Nome sem indicação interna",IF(AND(G1944=1,F1944=""),"Fechamento sem conversa",IF(OR(AND(E1944&lt;&gt;"",E1944&lt;B1944),AND(F1944&lt;&gt;"",F1944&lt;B1944)),"Evento anterior à entrada",IF(AND(F1944&lt;&gt;"",E1944=""),"Conversa sem agendamento",IF(OR(E1944&gt;TODAY(),F1944&gt;TODAY()),"Verificar evento futuro","OK"))))))))))</f>
        <v/>
      </c>
    </row>
    <row r="1945" spans="12:15">
      <c r="L1945" s="5">
        <f>IF(OR(A1945="",B1945=""),"",B1945-WEEKDAY(B1945,2)+1)</f>
        <v/>
      </c>
      <c r="M1945" s="5">
        <f>IF(L1945="","",L1945+6)</f>
        <v/>
      </c>
      <c r="N1945" s="6">
        <f>IF(OR(A1945="",B1945=""),"",DATE(YEAR(B1945),MONTH(B1945),1))</f>
        <v/>
      </c>
      <c r="O1945" s="7">
        <f>IF(COUNTA(A1945:K1945)=0,"",IF(OR(A1945="",B1945=""),"Preencher CPF e entrada",IF(COUNTIFS($A$12:$A$5011,A1945,$B$12:$B$5011,B1945)&gt;1,"CPF + dia duplicado",IF(OR(AND(G1945&lt;&gt;"",G1945&lt;&gt;0,G1945&lt;&gt;1),AND(H1945&lt;&gt;"",H1945&lt;&gt;0,H1945&lt;&gt;1)),"Flags devem ser 0 ou 1",IF(AND(H1945=1,LEN(TRIM(I1945))=0),"Preencher nome do indicante",IF(AND(H1945&lt;&gt;1,I1945&lt;&gt;""),"Nome sem indicação interna",IF(AND(G1945=1,F1945=""),"Fechamento sem conversa",IF(OR(AND(E1945&lt;&gt;"",E1945&lt;B1945),AND(F1945&lt;&gt;"",F1945&lt;B1945)),"Evento anterior à entrada",IF(AND(F1945&lt;&gt;"",E1945=""),"Conversa sem agendamento",IF(OR(E1945&gt;TODAY(),F1945&gt;TODAY()),"Verificar evento futuro","OK"))))))))))</f>
        <v/>
      </c>
    </row>
    <row r="1946" spans="12:15">
      <c r="L1946" s="5">
        <f>IF(OR(A1946="",B1946=""),"",B1946-WEEKDAY(B1946,2)+1)</f>
        <v/>
      </c>
      <c r="M1946" s="5">
        <f>IF(L1946="","",L1946+6)</f>
        <v/>
      </c>
      <c r="N1946" s="6">
        <f>IF(OR(A1946="",B1946=""),"",DATE(YEAR(B1946),MONTH(B1946),1))</f>
        <v/>
      </c>
      <c r="O1946" s="7">
        <f>IF(COUNTA(A1946:K1946)=0,"",IF(OR(A1946="",B1946=""),"Preencher CPF e entrada",IF(COUNTIFS($A$12:$A$5011,A1946,$B$12:$B$5011,B1946)&gt;1,"CPF + dia duplicado",IF(OR(AND(G1946&lt;&gt;"",G1946&lt;&gt;0,G1946&lt;&gt;1),AND(H1946&lt;&gt;"",H1946&lt;&gt;0,H1946&lt;&gt;1)),"Flags devem ser 0 ou 1",IF(AND(H1946=1,LEN(TRIM(I1946))=0),"Preencher nome do indicante",IF(AND(H1946&lt;&gt;1,I1946&lt;&gt;""),"Nome sem indicação interna",IF(AND(G1946=1,F1946=""),"Fechamento sem conversa",IF(OR(AND(E1946&lt;&gt;"",E1946&lt;B1946),AND(F1946&lt;&gt;"",F1946&lt;B1946)),"Evento anterior à entrada",IF(AND(F1946&lt;&gt;"",E1946=""),"Conversa sem agendamento",IF(OR(E1946&gt;TODAY(),F1946&gt;TODAY()),"Verificar evento futuro","OK"))))))))))</f>
        <v/>
      </c>
    </row>
    <row r="1947" spans="12:15">
      <c r="L1947" s="5">
        <f>IF(OR(A1947="",B1947=""),"",B1947-WEEKDAY(B1947,2)+1)</f>
        <v/>
      </c>
      <c r="M1947" s="5">
        <f>IF(L1947="","",L1947+6)</f>
        <v/>
      </c>
      <c r="N1947" s="6">
        <f>IF(OR(A1947="",B1947=""),"",DATE(YEAR(B1947),MONTH(B1947),1))</f>
        <v/>
      </c>
      <c r="O1947" s="7">
        <f>IF(COUNTA(A1947:K1947)=0,"",IF(OR(A1947="",B1947=""),"Preencher CPF e entrada",IF(COUNTIFS($A$12:$A$5011,A1947,$B$12:$B$5011,B1947)&gt;1,"CPF + dia duplicado",IF(OR(AND(G1947&lt;&gt;"",G1947&lt;&gt;0,G1947&lt;&gt;1),AND(H1947&lt;&gt;"",H1947&lt;&gt;0,H1947&lt;&gt;1)),"Flags devem ser 0 ou 1",IF(AND(H1947=1,LEN(TRIM(I1947))=0),"Preencher nome do indicante",IF(AND(H1947&lt;&gt;1,I1947&lt;&gt;""),"Nome sem indicação interna",IF(AND(G1947=1,F1947=""),"Fechamento sem conversa",IF(OR(AND(E1947&lt;&gt;"",E1947&lt;B1947),AND(F1947&lt;&gt;"",F1947&lt;B1947)),"Evento anterior à entrada",IF(AND(F1947&lt;&gt;"",E1947=""),"Conversa sem agendamento",IF(OR(E1947&gt;TODAY(),F1947&gt;TODAY()),"Verificar evento futuro","OK"))))))))))</f>
        <v/>
      </c>
    </row>
    <row r="1948" spans="12:15">
      <c r="L1948" s="5">
        <f>IF(OR(A1948="",B1948=""),"",B1948-WEEKDAY(B1948,2)+1)</f>
        <v/>
      </c>
      <c r="M1948" s="5">
        <f>IF(L1948="","",L1948+6)</f>
        <v/>
      </c>
      <c r="N1948" s="6">
        <f>IF(OR(A1948="",B1948=""),"",DATE(YEAR(B1948),MONTH(B1948),1))</f>
        <v/>
      </c>
      <c r="O1948" s="7">
        <f>IF(COUNTA(A1948:K1948)=0,"",IF(OR(A1948="",B1948=""),"Preencher CPF e entrada",IF(COUNTIFS($A$12:$A$5011,A1948,$B$12:$B$5011,B1948)&gt;1,"CPF + dia duplicado",IF(OR(AND(G1948&lt;&gt;"",G1948&lt;&gt;0,G1948&lt;&gt;1),AND(H1948&lt;&gt;"",H1948&lt;&gt;0,H1948&lt;&gt;1)),"Flags devem ser 0 ou 1",IF(AND(H1948=1,LEN(TRIM(I1948))=0),"Preencher nome do indicante",IF(AND(H1948&lt;&gt;1,I1948&lt;&gt;""),"Nome sem indicação interna",IF(AND(G1948=1,F1948=""),"Fechamento sem conversa",IF(OR(AND(E1948&lt;&gt;"",E1948&lt;B1948),AND(F1948&lt;&gt;"",F1948&lt;B1948)),"Evento anterior à entrada",IF(AND(F1948&lt;&gt;"",E1948=""),"Conversa sem agendamento",IF(OR(E1948&gt;TODAY(),F1948&gt;TODAY()),"Verificar evento futuro","OK"))))))))))</f>
        <v/>
      </c>
    </row>
    <row r="1949" spans="12:15">
      <c r="L1949" s="5">
        <f>IF(OR(A1949="",B1949=""),"",B1949-WEEKDAY(B1949,2)+1)</f>
        <v/>
      </c>
      <c r="M1949" s="5">
        <f>IF(L1949="","",L1949+6)</f>
        <v/>
      </c>
      <c r="N1949" s="6">
        <f>IF(OR(A1949="",B1949=""),"",DATE(YEAR(B1949),MONTH(B1949),1))</f>
        <v/>
      </c>
      <c r="O1949" s="7">
        <f>IF(COUNTA(A1949:K1949)=0,"",IF(OR(A1949="",B1949=""),"Preencher CPF e entrada",IF(COUNTIFS($A$12:$A$5011,A1949,$B$12:$B$5011,B1949)&gt;1,"CPF + dia duplicado",IF(OR(AND(G1949&lt;&gt;"",G1949&lt;&gt;0,G1949&lt;&gt;1),AND(H1949&lt;&gt;"",H1949&lt;&gt;0,H1949&lt;&gt;1)),"Flags devem ser 0 ou 1",IF(AND(H1949=1,LEN(TRIM(I1949))=0),"Preencher nome do indicante",IF(AND(H1949&lt;&gt;1,I1949&lt;&gt;""),"Nome sem indicação interna",IF(AND(G1949=1,F1949=""),"Fechamento sem conversa",IF(OR(AND(E1949&lt;&gt;"",E1949&lt;B1949),AND(F1949&lt;&gt;"",F1949&lt;B1949)),"Evento anterior à entrada",IF(AND(F1949&lt;&gt;"",E1949=""),"Conversa sem agendamento",IF(OR(E1949&gt;TODAY(),F1949&gt;TODAY()),"Verificar evento futuro","OK"))))))))))</f>
        <v/>
      </c>
    </row>
    <row r="1950" spans="12:15">
      <c r="L1950" s="5">
        <f>IF(OR(A1950="",B1950=""),"",B1950-WEEKDAY(B1950,2)+1)</f>
        <v/>
      </c>
      <c r="M1950" s="5">
        <f>IF(L1950="","",L1950+6)</f>
        <v/>
      </c>
      <c r="N1950" s="6">
        <f>IF(OR(A1950="",B1950=""),"",DATE(YEAR(B1950),MONTH(B1950),1))</f>
        <v/>
      </c>
      <c r="O1950" s="7">
        <f>IF(COUNTA(A1950:K1950)=0,"",IF(OR(A1950="",B1950=""),"Preencher CPF e entrada",IF(COUNTIFS($A$12:$A$5011,A1950,$B$12:$B$5011,B1950)&gt;1,"CPF + dia duplicado",IF(OR(AND(G1950&lt;&gt;"",G1950&lt;&gt;0,G1950&lt;&gt;1),AND(H1950&lt;&gt;"",H1950&lt;&gt;0,H1950&lt;&gt;1)),"Flags devem ser 0 ou 1",IF(AND(H1950=1,LEN(TRIM(I1950))=0),"Preencher nome do indicante",IF(AND(H1950&lt;&gt;1,I1950&lt;&gt;""),"Nome sem indicação interna",IF(AND(G1950=1,F1950=""),"Fechamento sem conversa",IF(OR(AND(E1950&lt;&gt;"",E1950&lt;B1950),AND(F1950&lt;&gt;"",F1950&lt;B1950)),"Evento anterior à entrada",IF(AND(F1950&lt;&gt;"",E1950=""),"Conversa sem agendamento",IF(OR(E1950&gt;TODAY(),F1950&gt;TODAY()),"Verificar evento futuro","OK"))))))))))</f>
        <v/>
      </c>
    </row>
    <row r="1951" spans="12:15">
      <c r="L1951" s="5">
        <f>IF(OR(A1951="",B1951=""),"",B1951-WEEKDAY(B1951,2)+1)</f>
        <v/>
      </c>
      <c r="M1951" s="5">
        <f>IF(L1951="","",L1951+6)</f>
        <v/>
      </c>
      <c r="N1951" s="6">
        <f>IF(OR(A1951="",B1951=""),"",DATE(YEAR(B1951),MONTH(B1951),1))</f>
        <v/>
      </c>
      <c r="O1951" s="7">
        <f>IF(COUNTA(A1951:K1951)=0,"",IF(OR(A1951="",B1951=""),"Preencher CPF e entrada",IF(COUNTIFS($A$12:$A$5011,A1951,$B$12:$B$5011,B1951)&gt;1,"CPF + dia duplicado",IF(OR(AND(G1951&lt;&gt;"",G1951&lt;&gt;0,G1951&lt;&gt;1),AND(H1951&lt;&gt;"",H1951&lt;&gt;0,H1951&lt;&gt;1)),"Flags devem ser 0 ou 1",IF(AND(H1951=1,LEN(TRIM(I1951))=0),"Preencher nome do indicante",IF(AND(H1951&lt;&gt;1,I1951&lt;&gt;""),"Nome sem indicação interna",IF(AND(G1951=1,F1951=""),"Fechamento sem conversa",IF(OR(AND(E1951&lt;&gt;"",E1951&lt;B1951),AND(F1951&lt;&gt;"",F1951&lt;B1951)),"Evento anterior à entrada",IF(AND(F1951&lt;&gt;"",E1951=""),"Conversa sem agendamento",IF(OR(E1951&gt;TODAY(),F1951&gt;TODAY()),"Verificar evento futuro","OK"))))))))))</f>
        <v/>
      </c>
    </row>
    <row r="1952" spans="12:15">
      <c r="L1952" s="5">
        <f>IF(OR(A1952="",B1952=""),"",B1952-WEEKDAY(B1952,2)+1)</f>
        <v/>
      </c>
      <c r="M1952" s="5">
        <f>IF(L1952="","",L1952+6)</f>
        <v/>
      </c>
      <c r="N1952" s="6">
        <f>IF(OR(A1952="",B1952=""),"",DATE(YEAR(B1952),MONTH(B1952),1))</f>
        <v/>
      </c>
      <c r="O1952" s="7">
        <f>IF(COUNTA(A1952:K1952)=0,"",IF(OR(A1952="",B1952=""),"Preencher CPF e entrada",IF(COUNTIFS($A$12:$A$5011,A1952,$B$12:$B$5011,B1952)&gt;1,"CPF + dia duplicado",IF(OR(AND(G1952&lt;&gt;"",G1952&lt;&gt;0,G1952&lt;&gt;1),AND(H1952&lt;&gt;"",H1952&lt;&gt;0,H1952&lt;&gt;1)),"Flags devem ser 0 ou 1",IF(AND(H1952=1,LEN(TRIM(I1952))=0),"Preencher nome do indicante",IF(AND(H1952&lt;&gt;1,I1952&lt;&gt;""),"Nome sem indicação interna",IF(AND(G1952=1,F1952=""),"Fechamento sem conversa",IF(OR(AND(E1952&lt;&gt;"",E1952&lt;B1952),AND(F1952&lt;&gt;"",F1952&lt;B1952)),"Evento anterior à entrada",IF(AND(F1952&lt;&gt;"",E1952=""),"Conversa sem agendamento",IF(OR(E1952&gt;TODAY(),F1952&gt;TODAY()),"Verificar evento futuro","OK"))))))))))</f>
        <v/>
      </c>
    </row>
    <row r="1953" spans="12:15">
      <c r="L1953" s="5">
        <f>IF(OR(A1953="",B1953=""),"",B1953-WEEKDAY(B1953,2)+1)</f>
        <v/>
      </c>
      <c r="M1953" s="5">
        <f>IF(L1953="","",L1953+6)</f>
        <v/>
      </c>
      <c r="N1953" s="6">
        <f>IF(OR(A1953="",B1953=""),"",DATE(YEAR(B1953),MONTH(B1953),1))</f>
        <v/>
      </c>
      <c r="O1953" s="7">
        <f>IF(COUNTA(A1953:K1953)=0,"",IF(OR(A1953="",B1953=""),"Preencher CPF e entrada",IF(COUNTIFS($A$12:$A$5011,A1953,$B$12:$B$5011,B1953)&gt;1,"CPF + dia duplicado",IF(OR(AND(G1953&lt;&gt;"",G1953&lt;&gt;0,G1953&lt;&gt;1),AND(H1953&lt;&gt;"",H1953&lt;&gt;0,H1953&lt;&gt;1)),"Flags devem ser 0 ou 1",IF(AND(H1953=1,LEN(TRIM(I1953))=0),"Preencher nome do indicante",IF(AND(H1953&lt;&gt;1,I1953&lt;&gt;""),"Nome sem indicação interna",IF(AND(G1953=1,F1953=""),"Fechamento sem conversa",IF(OR(AND(E1953&lt;&gt;"",E1953&lt;B1953),AND(F1953&lt;&gt;"",F1953&lt;B1953)),"Evento anterior à entrada",IF(AND(F1953&lt;&gt;"",E1953=""),"Conversa sem agendamento",IF(OR(E1953&gt;TODAY(),F1953&gt;TODAY()),"Verificar evento futuro","OK"))))))))))</f>
        <v/>
      </c>
    </row>
    <row r="1954" spans="12:15">
      <c r="L1954" s="5">
        <f>IF(OR(A1954="",B1954=""),"",B1954-WEEKDAY(B1954,2)+1)</f>
        <v/>
      </c>
      <c r="M1954" s="5">
        <f>IF(L1954="","",L1954+6)</f>
        <v/>
      </c>
      <c r="N1954" s="6">
        <f>IF(OR(A1954="",B1954=""),"",DATE(YEAR(B1954),MONTH(B1954),1))</f>
        <v/>
      </c>
      <c r="O1954" s="7">
        <f>IF(COUNTA(A1954:K1954)=0,"",IF(OR(A1954="",B1954=""),"Preencher CPF e entrada",IF(COUNTIFS($A$12:$A$5011,A1954,$B$12:$B$5011,B1954)&gt;1,"CPF + dia duplicado",IF(OR(AND(G1954&lt;&gt;"",G1954&lt;&gt;0,G1954&lt;&gt;1),AND(H1954&lt;&gt;"",H1954&lt;&gt;0,H1954&lt;&gt;1)),"Flags devem ser 0 ou 1",IF(AND(H1954=1,LEN(TRIM(I1954))=0),"Preencher nome do indicante",IF(AND(H1954&lt;&gt;1,I1954&lt;&gt;""),"Nome sem indicação interna",IF(AND(G1954=1,F1954=""),"Fechamento sem conversa",IF(OR(AND(E1954&lt;&gt;"",E1954&lt;B1954),AND(F1954&lt;&gt;"",F1954&lt;B1954)),"Evento anterior à entrada",IF(AND(F1954&lt;&gt;"",E1954=""),"Conversa sem agendamento",IF(OR(E1954&gt;TODAY(),F1954&gt;TODAY()),"Verificar evento futuro","OK"))))))))))</f>
        <v/>
      </c>
    </row>
    <row r="1955" spans="12:15">
      <c r="L1955" s="5">
        <f>IF(OR(A1955="",B1955=""),"",B1955-WEEKDAY(B1955,2)+1)</f>
        <v/>
      </c>
      <c r="M1955" s="5">
        <f>IF(L1955="","",L1955+6)</f>
        <v/>
      </c>
      <c r="N1955" s="6">
        <f>IF(OR(A1955="",B1955=""),"",DATE(YEAR(B1955),MONTH(B1955),1))</f>
        <v/>
      </c>
      <c r="O1955" s="7">
        <f>IF(COUNTA(A1955:K1955)=0,"",IF(OR(A1955="",B1955=""),"Preencher CPF e entrada",IF(COUNTIFS($A$12:$A$5011,A1955,$B$12:$B$5011,B1955)&gt;1,"CPF + dia duplicado",IF(OR(AND(G1955&lt;&gt;"",G1955&lt;&gt;0,G1955&lt;&gt;1),AND(H1955&lt;&gt;"",H1955&lt;&gt;0,H1955&lt;&gt;1)),"Flags devem ser 0 ou 1",IF(AND(H1955=1,LEN(TRIM(I1955))=0),"Preencher nome do indicante",IF(AND(H1955&lt;&gt;1,I1955&lt;&gt;""),"Nome sem indicação interna",IF(AND(G1955=1,F1955=""),"Fechamento sem conversa",IF(OR(AND(E1955&lt;&gt;"",E1955&lt;B1955),AND(F1955&lt;&gt;"",F1955&lt;B1955)),"Evento anterior à entrada",IF(AND(F1955&lt;&gt;"",E1955=""),"Conversa sem agendamento",IF(OR(E1955&gt;TODAY(),F1955&gt;TODAY()),"Verificar evento futuro","OK"))))))))))</f>
        <v/>
      </c>
    </row>
    <row r="1956" spans="12:15">
      <c r="L1956" s="5">
        <f>IF(OR(A1956="",B1956=""),"",B1956-WEEKDAY(B1956,2)+1)</f>
        <v/>
      </c>
      <c r="M1956" s="5">
        <f>IF(L1956="","",L1956+6)</f>
        <v/>
      </c>
      <c r="N1956" s="6">
        <f>IF(OR(A1956="",B1956=""),"",DATE(YEAR(B1956),MONTH(B1956),1))</f>
        <v/>
      </c>
      <c r="O1956" s="7">
        <f>IF(COUNTA(A1956:K1956)=0,"",IF(OR(A1956="",B1956=""),"Preencher CPF e entrada",IF(COUNTIFS($A$12:$A$5011,A1956,$B$12:$B$5011,B1956)&gt;1,"CPF + dia duplicado",IF(OR(AND(G1956&lt;&gt;"",G1956&lt;&gt;0,G1956&lt;&gt;1),AND(H1956&lt;&gt;"",H1956&lt;&gt;0,H1956&lt;&gt;1)),"Flags devem ser 0 ou 1",IF(AND(H1956=1,LEN(TRIM(I1956))=0),"Preencher nome do indicante",IF(AND(H1956&lt;&gt;1,I1956&lt;&gt;""),"Nome sem indicação interna",IF(AND(G1956=1,F1956=""),"Fechamento sem conversa",IF(OR(AND(E1956&lt;&gt;"",E1956&lt;B1956),AND(F1956&lt;&gt;"",F1956&lt;B1956)),"Evento anterior à entrada",IF(AND(F1956&lt;&gt;"",E1956=""),"Conversa sem agendamento",IF(OR(E1956&gt;TODAY(),F1956&gt;TODAY()),"Verificar evento futuro","OK"))))))))))</f>
        <v/>
      </c>
    </row>
    <row r="1957" spans="12:15">
      <c r="L1957" s="5">
        <f>IF(OR(A1957="",B1957=""),"",B1957-WEEKDAY(B1957,2)+1)</f>
        <v/>
      </c>
      <c r="M1957" s="5">
        <f>IF(L1957="","",L1957+6)</f>
        <v/>
      </c>
      <c r="N1957" s="6">
        <f>IF(OR(A1957="",B1957=""),"",DATE(YEAR(B1957),MONTH(B1957),1))</f>
        <v/>
      </c>
      <c r="O1957" s="7">
        <f>IF(COUNTA(A1957:K1957)=0,"",IF(OR(A1957="",B1957=""),"Preencher CPF e entrada",IF(COUNTIFS($A$12:$A$5011,A1957,$B$12:$B$5011,B1957)&gt;1,"CPF + dia duplicado",IF(OR(AND(G1957&lt;&gt;"",G1957&lt;&gt;0,G1957&lt;&gt;1),AND(H1957&lt;&gt;"",H1957&lt;&gt;0,H1957&lt;&gt;1)),"Flags devem ser 0 ou 1",IF(AND(H1957=1,LEN(TRIM(I1957))=0),"Preencher nome do indicante",IF(AND(H1957&lt;&gt;1,I1957&lt;&gt;""),"Nome sem indicação interna",IF(AND(G1957=1,F1957=""),"Fechamento sem conversa",IF(OR(AND(E1957&lt;&gt;"",E1957&lt;B1957),AND(F1957&lt;&gt;"",F1957&lt;B1957)),"Evento anterior à entrada",IF(AND(F1957&lt;&gt;"",E1957=""),"Conversa sem agendamento",IF(OR(E1957&gt;TODAY(),F1957&gt;TODAY()),"Verificar evento futuro","OK"))))))))))</f>
        <v/>
      </c>
    </row>
    <row r="1958" spans="12:15">
      <c r="L1958" s="5">
        <f>IF(OR(A1958="",B1958=""),"",B1958-WEEKDAY(B1958,2)+1)</f>
        <v/>
      </c>
      <c r="M1958" s="5">
        <f>IF(L1958="","",L1958+6)</f>
        <v/>
      </c>
      <c r="N1958" s="6">
        <f>IF(OR(A1958="",B1958=""),"",DATE(YEAR(B1958),MONTH(B1958),1))</f>
        <v/>
      </c>
      <c r="O1958" s="7">
        <f>IF(COUNTA(A1958:K1958)=0,"",IF(OR(A1958="",B1958=""),"Preencher CPF e entrada",IF(COUNTIFS($A$12:$A$5011,A1958,$B$12:$B$5011,B1958)&gt;1,"CPF + dia duplicado",IF(OR(AND(G1958&lt;&gt;"",G1958&lt;&gt;0,G1958&lt;&gt;1),AND(H1958&lt;&gt;"",H1958&lt;&gt;0,H1958&lt;&gt;1)),"Flags devem ser 0 ou 1",IF(AND(H1958=1,LEN(TRIM(I1958))=0),"Preencher nome do indicante",IF(AND(H1958&lt;&gt;1,I1958&lt;&gt;""),"Nome sem indicação interna",IF(AND(G1958=1,F1958=""),"Fechamento sem conversa",IF(OR(AND(E1958&lt;&gt;"",E1958&lt;B1958),AND(F1958&lt;&gt;"",F1958&lt;B1958)),"Evento anterior à entrada",IF(AND(F1958&lt;&gt;"",E1958=""),"Conversa sem agendamento",IF(OR(E1958&gt;TODAY(),F1958&gt;TODAY()),"Verificar evento futuro","OK"))))))))))</f>
        <v/>
      </c>
    </row>
    <row r="1959" spans="12:15">
      <c r="L1959" s="5">
        <f>IF(OR(A1959="",B1959=""),"",B1959-WEEKDAY(B1959,2)+1)</f>
        <v/>
      </c>
      <c r="M1959" s="5">
        <f>IF(L1959="","",L1959+6)</f>
        <v/>
      </c>
      <c r="N1959" s="6">
        <f>IF(OR(A1959="",B1959=""),"",DATE(YEAR(B1959),MONTH(B1959),1))</f>
        <v/>
      </c>
      <c r="O1959" s="7">
        <f>IF(COUNTA(A1959:K1959)=0,"",IF(OR(A1959="",B1959=""),"Preencher CPF e entrada",IF(COUNTIFS($A$12:$A$5011,A1959,$B$12:$B$5011,B1959)&gt;1,"CPF + dia duplicado",IF(OR(AND(G1959&lt;&gt;"",G1959&lt;&gt;0,G1959&lt;&gt;1),AND(H1959&lt;&gt;"",H1959&lt;&gt;0,H1959&lt;&gt;1)),"Flags devem ser 0 ou 1",IF(AND(H1959=1,LEN(TRIM(I1959))=0),"Preencher nome do indicante",IF(AND(H1959&lt;&gt;1,I1959&lt;&gt;""),"Nome sem indicação interna",IF(AND(G1959=1,F1959=""),"Fechamento sem conversa",IF(OR(AND(E1959&lt;&gt;"",E1959&lt;B1959),AND(F1959&lt;&gt;"",F1959&lt;B1959)),"Evento anterior à entrada",IF(AND(F1959&lt;&gt;"",E1959=""),"Conversa sem agendamento",IF(OR(E1959&gt;TODAY(),F1959&gt;TODAY()),"Verificar evento futuro","OK"))))))))))</f>
        <v/>
      </c>
    </row>
    <row r="1960" spans="12:15">
      <c r="L1960" s="5">
        <f>IF(OR(A1960="",B1960=""),"",B1960-WEEKDAY(B1960,2)+1)</f>
        <v/>
      </c>
      <c r="M1960" s="5">
        <f>IF(L1960="","",L1960+6)</f>
        <v/>
      </c>
      <c r="N1960" s="6">
        <f>IF(OR(A1960="",B1960=""),"",DATE(YEAR(B1960),MONTH(B1960),1))</f>
        <v/>
      </c>
      <c r="O1960" s="7">
        <f>IF(COUNTA(A1960:K1960)=0,"",IF(OR(A1960="",B1960=""),"Preencher CPF e entrada",IF(COUNTIFS($A$12:$A$5011,A1960,$B$12:$B$5011,B1960)&gt;1,"CPF + dia duplicado",IF(OR(AND(G1960&lt;&gt;"",G1960&lt;&gt;0,G1960&lt;&gt;1),AND(H1960&lt;&gt;"",H1960&lt;&gt;0,H1960&lt;&gt;1)),"Flags devem ser 0 ou 1",IF(AND(H1960=1,LEN(TRIM(I1960))=0),"Preencher nome do indicante",IF(AND(H1960&lt;&gt;1,I1960&lt;&gt;""),"Nome sem indicação interna",IF(AND(G1960=1,F1960=""),"Fechamento sem conversa",IF(OR(AND(E1960&lt;&gt;"",E1960&lt;B1960),AND(F1960&lt;&gt;"",F1960&lt;B1960)),"Evento anterior à entrada",IF(AND(F1960&lt;&gt;"",E1960=""),"Conversa sem agendamento",IF(OR(E1960&gt;TODAY(),F1960&gt;TODAY()),"Verificar evento futuro","OK"))))))))))</f>
        <v/>
      </c>
    </row>
    <row r="1961" spans="12:15">
      <c r="L1961" s="5">
        <f>IF(OR(A1961="",B1961=""),"",B1961-WEEKDAY(B1961,2)+1)</f>
        <v/>
      </c>
      <c r="M1961" s="5">
        <f>IF(L1961="","",L1961+6)</f>
        <v/>
      </c>
      <c r="N1961" s="6">
        <f>IF(OR(A1961="",B1961=""),"",DATE(YEAR(B1961),MONTH(B1961),1))</f>
        <v/>
      </c>
      <c r="O1961" s="7">
        <f>IF(COUNTA(A1961:K1961)=0,"",IF(OR(A1961="",B1961=""),"Preencher CPF e entrada",IF(COUNTIFS($A$12:$A$5011,A1961,$B$12:$B$5011,B1961)&gt;1,"CPF + dia duplicado",IF(OR(AND(G1961&lt;&gt;"",G1961&lt;&gt;0,G1961&lt;&gt;1),AND(H1961&lt;&gt;"",H1961&lt;&gt;0,H1961&lt;&gt;1)),"Flags devem ser 0 ou 1",IF(AND(H1961=1,LEN(TRIM(I1961))=0),"Preencher nome do indicante",IF(AND(H1961&lt;&gt;1,I1961&lt;&gt;""),"Nome sem indicação interna",IF(AND(G1961=1,F1961=""),"Fechamento sem conversa",IF(OR(AND(E1961&lt;&gt;"",E1961&lt;B1961),AND(F1961&lt;&gt;"",F1961&lt;B1961)),"Evento anterior à entrada",IF(AND(F1961&lt;&gt;"",E1961=""),"Conversa sem agendamento",IF(OR(E1961&gt;TODAY(),F1961&gt;TODAY()),"Verificar evento futuro","OK"))))))))))</f>
        <v/>
      </c>
    </row>
    <row r="1962" spans="12:15">
      <c r="L1962" s="5">
        <f>IF(OR(A1962="",B1962=""),"",B1962-WEEKDAY(B1962,2)+1)</f>
        <v/>
      </c>
      <c r="M1962" s="5">
        <f>IF(L1962="","",L1962+6)</f>
        <v/>
      </c>
      <c r="N1962" s="6">
        <f>IF(OR(A1962="",B1962=""),"",DATE(YEAR(B1962),MONTH(B1962),1))</f>
        <v/>
      </c>
      <c r="O1962" s="7">
        <f>IF(COUNTA(A1962:K1962)=0,"",IF(OR(A1962="",B1962=""),"Preencher CPF e entrada",IF(COUNTIFS($A$12:$A$5011,A1962,$B$12:$B$5011,B1962)&gt;1,"CPF + dia duplicado",IF(OR(AND(G1962&lt;&gt;"",G1962&lt;&gt;0,G1962&lt;&gt;1),AND(H1962&lt;&gt;"",H1962&lt;&gt;0,H1962&lt;&gt;1)),"Flags devem ser 0 ou 1",IF(AND(H1962=1,LEN(TRIM(I1962))=0),"Preencher nome do indicante",IF(AND(H1962&lt;&gt;1,I1962&lt;&gt;""),"Nome sem indicação interna",IF(AND(G1962=1,F1962=""),"Fechamento sem conversa",IF(OR(AND(E1962&lt;&gt;"",E1962&lt;B1962),AND(F1962&lt;&gt;"",F1962&lt;B1962)),"Evento anterior à entrada",IF(AND(F1962&lt;&gt;"",E1962=""),"Conversa sem agendamento",IF(OR(E1962&gt;TODAY(),F1962&gt;TODAY()),"Verificar evento futuro","OK"))))))))))</f>
        <v/>
      </c>
    </row>
    <row r="1963" spans="12:15">
      <c r="L1963" s="5">
        <f>IF(OR(A1963="",B1963=""),"",B1963-WEEKDAY(B1963,2)+1)</f>
        <v/>
      </c>
      <c r="M1963" s="5">
        <f>IF(L1963="","",L1963+6)</f>
        <v/>
      </c>
      <c r="N1963" s="6">
        <f>IF(OR(A1963="",B1963=""),"",DATE(YEAR(B1963),MONTH(B1963),1))</f>
        <v/>
      </c>
      <c r="O1963" s="7">
        <f>IF(COUNTA(A1963:K1963)=0,"",IF(OR(A1963="",B1963=""),"Preencher CPF e entrada",IF(COUNTIFS($A$12:$A$5011,A1963,$B$12:$B$5011,B1963)&gt;1,"CPF + dia duplicado",IF(OR(AND(G1963&lt;&gt;"",G1963&lt;&gt;0,G1963&lt;&gt;1),AND(H1963&lt;&gt;"",H1963&lt;&gt;0,H1963&lt;&gt;1)),"Flags devem ser 0 ou 1",IF(AND(H1963=1,LEN(TRIM(I1963))=0),"Preencher nome do indicante",IF(AND(H1963&lt;&gt;1,I1963&lt;&gt;""),"Nome sem indicação interna",IF(AND(G1963=1,F1963=""),"Fechamento sem conversa",IF(OR(AND(E1963&lt;&gt;"",E1963&lt;B1963),AND(F1963&lt;&gt;"",F1963&lt;B1963)),"Evento anterior à entrada",IF(AND(F1963&lt;&gt;"",E1963=""),"Conversa sem agendamento",IF(OR(E1963&gt;TODAY(),F1963&gt;TODAY()),"Verificar evento futuro","OK"))))))))))</f>
        <v/>
      </c>
    </row>
    <row r="1964" spans="12:15">
      <c r="L1964" s="5">
        <f>IF(OR(A1964="",B1964=""),"",B1964-WEEKDAY(B1964,2)+1)</f>
        <v/>
      </c>
      <c r="M1964" s="5">
        <f>IF(L1964="","",L1964+6)</f>
        <v/>
      </c>
      <c r="N1964" s="6">
        <f>IF(OR(A1964="",B1964=""),"",DATE(YEAR(B1964),MONTH(B1964),1))</f>
        <v/>
      </c>
      <c r="O1964" s="7">
        <f>IF(COUNTA(A1964:K1964)=0,"",IF(OR(A1964="",B1964=""),"Preencher CPF e entrada",IF(COUNTIFS($A$12:$A$5011,A1964,$B$12:$B$5011,B1964)&gt;1,"CPF + dia duplicado",IF(OR(AND(G1964&lt;&gt;"",G1964&lt;&gt;0,G1964&lt;&gt;1),AND(H1964&lt;&gt;"",H1964&lt;&gt;0,H1964&lt;&gt;1)),"Flags devem ser 0 ou 1",IF(AND(H1964=1,LEN(TRIM(I1964))=0),"Preencher nome do indicante",IF(AND(H1964&lt;&gt;1,I1964&lt;&gt;""),"Nome sem indicação interna",IF(AND(G1964=1,F1964=""),"Fechamento sem conversa",IF(OR(AND(E1964&lt;&gt;"",E1964&lt;B1964),AND(F1964&lt;&gt;"",F1964&lt;B1964)),"Evento anterior à entrada",IF(AND(F1964&lt;&gt;"",E1964=""),"Conversa sem agendamento",IF(OR(E1964&gt;TODAY(),F1964&gt;TODAY()),"Verificar evento futuro","OK"))))))))))</f>
        <v/>
      </c>
    </row>
    <row r="1965" spans="12:15">
      <c r="L1965" s="5">
        <f>IF(OR(A1965="",B1965=""),"",B1965-WEEKDAY(B1965,2)+1)</f>
        <v/>
      </c>
      <c r="M1965" s="5">
        <f>IF(L1965="","",L1965+6)</f>
        <v/>
      </c>
      <c r="N1965" s="6">
        <f>IF(OR(A1965="",B1965=""),"",DATE(YEAR(B1965),MONTH(B1965),1))</f>
        <v/>
      </c>
      <c r="O1965" s="7">
        <f>IF(COUNTA(A1965:K1965)=0,"",IF(OR(A1965="",B1965=""),"Preencher CPF e entrada",IF(COUNTIFS($A$12:$A$5011,A1965,$B$12:$B$5011,B1965)&gt;1,"CPF + dia duplicado",IF(OR(AND(G1965&lt;&gt;"",G1965&lt;&gt;0,G1965&lt;&gt;1),AND(H1965&lt;&gt;"",H1965&lt;&gt;0,H1965&lt;&gt;1)),"Flags devem ser 0 ou 1",IF(AND(H1965=1,LEN(TRIM(I1965))=0),"Preencher nome do indicante",IF(AND(H1965&lt;&gt;1,I1965&lt;&gt;""),"Nome sem indicação interna",IF(AND(G1965=1,F1965=""),"Fechamento sem conversa",IF(OR(AND(E1965&lt;&gt;"",E1965&lt;B1965),AND(F1965&lt;&gt;"",F1965&lt;B1965)),"Evento anterior à entrada",IF(AND(F1965&lt;&gt;"",E1965=""),"Conversa sem agendamento",IF(OR(E1965&gt;TODAY(),F1965&gt;TODAY()),"Verificar evento futuro","OK"))))))))))</f>
        <v/>
      </c>
    </row>
    <row r="1966" spans="12:15">
      <c r="L1966" s="5">
        <f>IF(OR(A1966="",B1966=""),"",B1966-WEEKDAY(B1966,2)+1)</f>
        <v/>
      </c>
      <c r="M1966" s="5">
        <f>IF(L1966="","",L1966+6)</f>
        <v/>
      </c>
      <c r="N1966" s="6">
        <f>IF(OR(A1966="",B1966=""),"",DATE(YEAR(B1966),MONTH(B1966),1))</f>
        <v/>
      </c>
      <c r="O1966" s="7">
        <f>IF(COUNTA(A1966:K1966)=0,"",IF(OR(A1966="",B1966=""),"Preencher CPF e entrada",IF(COUNTIFS($A$12:$A$5011,A1966,$B$12:$B$5011,B1966)&gt;1,"CPF + dia duplicado",IF(OR(AND(G1966&lt;&gt;"",G1966&lt;&gt;0,G1966&lt;&gt;1),AND(H1966&lt;&gt;"",H1966&lt;&gt;0,H1966&lt;&gt;1)),"Flags devem ser 0 ou 1",IF(AND(H1966=1,LEN(TRIM(I1966))=0),"Preencher nome do indicante",IF(AND(H1966&lt;&gt;1,I1966&lt;&gt;""),"Nome sem indicação interna",IF(AND(G1966=1,F1966=""),"Fechamento sem conversa",IF(OR(AND(E1966&lt;&gt;"",E1966&lt;B1966),AND(F1966&lt;&gt;"",F1966&lt;B1966)),"Evento anterior à entrada",IF(AND(F1966&lt;&gt;"",E1966=""),"Conversa sem agendamento",IF(OR(E1966&gt;TODAY(),F1966&gt;TODAY()),"Verificar evento futuro","OK"))))))))))</f>
        <v/>
      </c>
    </row>
    <row r="1967" spans="12:15">
      <c r="L1967" s="5">
        <f>IF(OR(A1967="",B1967=""),"",B1967-WEEKDAY(B1967,2)+1)</f>
        <v/>
      </c>
      <c r="M1967" s="5">
        <f>IF(L1967="","",L1967+6)</f>
        <v/>
      </c>
      <c r="N1967" s="6">
        <f>IF(OR(A1967="",B1967=""),"",DATE(YEAR(B1967),MONTH(B1967),1))</f>
        <v/>
      </c>
      <c r="O1967" s="7">
        <f>IF(COUNTA(A1967:K1967)=0,"",IF(OR(A1967="",B1967=""),"Preencher CPF e entrada",IF(COUNTIFS($A$12:$A$5011,A1967,$B$12:$B$5011,B1967)&gt;1,"CPF + dia duplicado",IF(OR(AND(G1967&lt;&gt;"",G1967&lt;&gt;0,G1967&lt;&gt;1),AND(H1967&lt;&gt;"",H1967&lt;&gt;0,H1967&lt;&gt;1)),"Flags devem ser 0 ou 1",IF(AND(H1967=1,LEN(TRIM(I1967))=0),"Preencher nome do indicante",IF(AND(H1967&lt;&gt;1,I1967&lt;&gt;""),"Nome sem indicação interna",IF(AND(G1967=1,F1967=""),"Fechamento sem conversa",IF(OR(AND(E1967&lt;&gt;"",E1967&lt;B1967),AND(F1967&lt;&gt;"",F1967&lt;B1967)),"Evento anterior à entrada",IF(AND(F1967&lt;&gt;"",E1967=""),"Conversa sem agendamento",IF(OR(E1967&gt;TODAY(),F1967&gt;TODAY()),"Verificar evento futuro","OK"))))))))))</f>
        <v/>
      </c>
    </row>
    <row r="1968" spans="12:15">
      <c r="L1968" s="5">
        <f>IF(OR(A1968="",B1968=""),"",B1968-WEEKDAY(B1968,2)+1)</f>
        <v/>
      </c>
      <c r="M1968" s="5">
        <f>IF(L1968="","",L1968+6)</f>
        <v/>
      </c>
      <c r="N1968" s="6">
        <f>IF(OR(A1968="",B1968=""),"",DATE(YEAR(B1968),MONTH(B1968),1))</f>
        <v/>
      </c>
      <c r="O1968" s="7">
        <f>IF(COUNTA(A1968:K1968)=0,"",IF(OR(A1968="",B1968=""),"Preencher CPF e entrada",IF(COUNTIFS($A$12:$A$5011,A1968,$B$12:$B$5011,B1968)&gt;1,"CPF + dia duplicado",IF(OR(AND(G1968&lt;&gt;"",G1968&lt;&gt;0,G1968&lt;&gt;1),AND(H1968&lt;&gt;"",H1968&lt;&gt;0,H1968&lt;&gt;1)),"Flags devem ser 0 ou 1",IF(AND(H1968=1,LEN(TRIM(I1968))=0),"Preencher nome do indicante",IF(AND(H1968&lt;&gt;1,I1968&lt;&gt;""),"Nome sem indicação interna",IF(AND(G1968=1,F1968=""),"Fechamento sem conversa",IF(OR(AND(E1968&lt;&gt;"",E1968&lt;B1968),AND(F1968&lt;&gt;"",F1968&lt;B1968)),"Evento anterior à entrada",IF(AND(F1968&lt;&gt;"",E1968=""),"Conversa sem agendamento",IF(OR(E1968&gt;TODAY(),F1968&gt;TODAY()),"Verificar evento futuro","OK"))))))))))</f>
        <v/>
      </c>
    </row>
    <row r="1969" spans="12:15">
      <c r="L1969" s="5">
        <f>IF(OR(A1969="",B1969=""),"",B1969-WEEKDAY(B1969,2)+1)</f>
        <v/>
      </c>
      <c r="M1969" s="5">
        <f>IF(L1969="","",L1969+6)</f>
        <v/>
      </c>
      <c r="N1969" s="6">
        <f>IF(OR(A1969="",B1969=""),"",DATE(YEAR(B1969),MONTH(B1969),1))</f>
        <v/>
      </c>
      <c r="O1969" s="7">
        <f>IF(COUNTA(A1969:K1969)=0,"",IF(OR(A1969="",B1969=""),"Preencher CPF e entrada",IF(COUNTIFS($A$12:$A$5011,A1969,$B$12:$B$5011,B1969)&gt;1,"CPF + dia duplicado",IF(OR(AND(G1969&lt;&gt;"",G1969&lt;&gt;0,G1969&lt;&gt;1),AND(H1969&lt;&gt;"",H1969&lt;&gt;0,H1969&lt;&gt;1)),"Flags devem ser 0 ou 1",IF(AND(H1969=1,LEN(TRIM(I1969))=0),"Preencher nome do indicante",IF(AND(H1969&lt;&gt;1,I1969&lt;&gt;""),"Nome sem indicação interna",IF(AND(G1969=1,F1969=""),"Fechamento sem conversa",IF(OR(AND(E1969&lt;&gt;"",E1969&lt;B1969),AND(F1969&lt;&gt;"",F1969&lt;B1969)),"Evento anterior à entrada",IF(AND(F1969&lt;&gt;"",E1969=""),"Conversa sem agendamento",IF(OR(E1969&gt;TODAY(),F1969&gt;TODAY()),"Verificar evento futuro","OK"))))))))))</f>
        <v/>
      </c>
    </row>
    <row r="1970" spans="12:15">
      <c r="L1970" s="5">
        <f>IF(OR(A1970="",B1970=""),"",B1970-WEEKDAY(B1970,2)+1)</f>
        <v/>
      </c>
      <c r="M1970" s="5">
        <f>IF(L1970="","",L1970+6)</f>
        <v/>
      </c>
      <c r="N1970" s="6">
        <f>IF(OR(A1970="",B1970=""),"",DATE(YEAR(B1970),MONTH(B1970),1))</f>
        <v/>
      </c>
      <c r="O1970" s="7">
        <f>IF(COUNTA(A1970:K1970)=0,"",IF(OR(A1970="",B1970=""),"Preencher CPF e entrada",IF(COUNTIFS($A$12:$A$5011,A1970,$B$12:$B$5011,B1970)&gt;1,"CPF + dia duplicado",IF(OR(AND(G1970&lt;&gt;"",G1970&lt;&gt;0,G1970&lt;&gt;1),AND(H1970&lt;&gt;"",H1970&lt;&gt;0,H1970&lt;&gt;1)),"Flags devem ser 0 ou 1",IF(AND(H1970=1,LEN(TRIM(I1970))=0),"Preencher nome do indicante",IF(AND(H1970&lt;&gt;1,I1970&lt;&gt;""),"Nome sem indicação interna",IF(AND(G1970=1,F1970=""),"Fechamento sem conversa",IF(OR(AND(E1970&lt;&gt;"",E1970&lt;B1970),AND(F1970&lt;&gt;"",F1970&lt;B1970)),"Evento anterior à entrada",IF(AND(F1970&lt;&gt;"",E1970=""),"Conversa sem agendamento",IF(OR(E1970&gt;TODAY(),F1970&gt;TODAY()),"Verificar evento futuro","OK"))))))))))</f>
        <v/>
      </c>
    </row>
    <row r="1971" spans="12:15">
      <c r="L1971" s="5">
        <f>IF(OR(A1971="",B1971=""),"",B1971-WEEKDAY(B1971,2)+1)</f>
        <v/>
      </c>
      <c r="M1971" s="5">
        <f>IF(L1971="","",L1971+6)</f>
        <v/>
      </c>
      <c r="N1971" s="6">
        <f>IF(OR(A1971="",B1971=""),"",DATE(YEAR(B1971),MONTH(B1971),1))</f>
        <v/>
      </c>
      <c r="O1971" s="7">
        <f>IF(COUNTA(A1971:K1971)=0,"",IF(OR(A1971="",B1971=""),"Preencher CPF e entrada",IF(COUNTIFS($A$12:$A$5011,A1971,$B$12:$B$5011,B1971)&gt;1,"CPF + dia duplicado",IF(OR(AND(G1971&lt;&gt;"",G1971&lt;&gt;0,G1971&lt;&gt;1),AND(H1971&lt;&gt;"",H1971&lt;&gt;0,H1971&lt;&gt;1)),"Flags devem ser 0 ou 1",IF(AND(H1971=1,LEN(TRIM(I1971))=0),"Preencher nome do indicante",IF(AND(H1971&lt;&gt;1,I1971&lt;&gt;""),"Nome sem indicação interna",IF(AND(G1971=1,F1971=""),"Fechamento sem conversa",IF(OR(AND(E1971&lt;&gt;"",E1971&lt;B1971),AND(F1971&lt;&gt;"",F1971&lt;B1971)),"Evento anterior à entrada",IF(AND(F1971&lt;&gt;"",E1971=""),"Conversa sem agendamento",IF(OR(E1971&gt;TODAY(),F1971&gt;TODAY()),"Verificar evento futuro","OK"))))))))))</f>
        <v/>
      </c>
    </row>
    <row r="1972" spans="12:15">
      <c r="L1972" s="5">
        <f>IF(OR(A1972="",B1972=""),"",B1972-WEEKDAY(B1972,2)+1)</f>
        <v/>
      </c>
      <c r="M1972" s="5">
        <f>IF(L1972="","",L1972+6)</f>
        <v/>
      </c>
      <c r="N1972" s="6">
        <f>IF(OR(A1972="",B1972=""),"",DATE(YEAR(B1972),MONTH(B1972),1))</f>
        <v/>
      </c>
      <c r="O1972" s="7">
        <f>IF(COUNTA(A1972:K1972)=0,"",IF(OR(A1972="",B1972=""),"Preencher CPF e entrada",IF(COUNTIFS($A$12:$A$5011,A1972,$B$12:$B$5011,B1972)&gt;1,"CPF + dia duplicado",IF(OR(AND(G1972&lt;&gt;"",G1972&lt;&gt;0,G1972&lt;&gt;1),AND(H1972&lt;&gt;"",H1972&lt;&gt;0,H1972&lt;&gt;1)),"Flags devem ser 0 ou 1",IF(AND(H1972=1,LEN(TRIM(I1972))=0),"Preencher nome do indicante",IF(AND(H1972&lt;&gt;1,I1972&lt;&gt;""),"Nome sem indicação interna",IF(AND(G1972=1,F1972=""),"Fechamento sem conversa",IF(OR(AND(E1972&lt;&gt;"",E1972&lt;B1972),AND(F1972&lt;&gt;"",F1972&lt;B1972)),"Evento anterior à entrada",IF(AND(F1972&lt;&gt;"",E1972=""),"Conversa sem agendamento",IF(OR(E1972&gt;TODAY(),F1972&gt;TODAY()),"Verificar evento futuro","OK"))))))))))</f>
        <v/>
      </c>
    </row>
    <row r="1973" spans="12:15">
      <c r="L1973" s="5">
        <f>IF(OR(A1973="",B1973=""),"",B1973-WEEKDAY(B1973,2)+1)</f>
        <v/>
      </c>
      <c r="M1973" s="5">
        <f>IF(L1973="","",L1973+6)</f>
        <v/>
      </c>
      <c r="N1973" s="6">
        <f>IF(OR(A1973="",B1973=""),"",DATE(YEAR(B1973),MONTH(B1973),1))</f>
        <v/>
      </c>
      <c r="O1973" s="7">
        <f>IF(COUNTA(A1973:K1973)=0,"",IF(OR(A1973="",B1973=""),"Preencher CPF e entrada",IF(COUNTIFS($A$12:$A$5011,A1973,$B$12:$B$5011,B1973)&gt;1,"CPF + dia duplicado",IF(OR(AND(G1973&lt;&gt;"",G1973&lt;&gt;0,G1973&lt;&gt;1),AND(H1973&lt;&gt;"",H1973&lt;&gt;0,H1973&lt;&gt;1)),"Flags devem ser 0 ou 1",IF(AND(H1973=1,LEN(TRIM(I1973))=0),"Preencher nome do indicante",IF(AND(H1973&lt;&gt;1,I1973&lt;&gt;""),"Nome sem indicação interna",IF(AND(G1973=1,F1973=""),"Fechamento sem conversa",IF(OR(AND(E1973&lt;&gt;"",E1973&lt;B1973),AND(F1973&lt;&gt;"",F1973&lt;B1973)),"Evento anterior à entrada",IF(AND(F1973&lt;&gt;"",E1973=""),"Conversa sem agendamento",IF(OR(E1973&gt;TODAY(),F1973&gt;TODAY()),"Verificar evento futuro","OK"))))))))))</f>
        <v/>
      </c>
    </row>
    <row r="1974" spans="12:15">
      <c r="L1974" s="5">
        <f>IF(OR(A1974="",B1974=""),"",B1974-WEEKDAY(B1974,2)+1)</f>
        <v/>
      </c>
      <c r="M1974" s="5">
        <f>IF(L1974="","",L1974+6)</f>
        <v/>
      </c>
      <c r="N1974" s="6">
        <f>IF(OR(A1974="",B1974=""),"",DATE(YEAR(B1974),MONTH(B1974),1))</f>
        <v/>
      </c>
      <c r="O1974" s="7">
        <f>IF(COUNTA(A1974:K1974)=0,"",IF(OR(A1974="",B1974=""),"Preencher CPF e entrada",IF(COUNTIFS($A$12:$A$5011,A1974,$B$12:$B$5011,B1974)&gt;1,"CPF + dia duplicado",IF(OR(AND(G1974&lt;&gt;"",G1974&lt;&gt;0,G1974&lt;&gt;1),AND(H1974&lt;&gt;"",H1974&lt;&gt;0,H1974&lt;&gt;1)),"Flags devem ser 0 ou 1",IF(AND(H1974=1,LEN(TRIM(I1974))=0),"Preencher nome do indicante",IF(AND(H1974&lt;&gt;1,I1974&lt;&gt;""),"Nome sem indicação interna",IF(AND(G1974=1,F1974=""),"Fechamento sem conversa",IF(OR(AND(E1974&lt;&gt;"",E1974&lt;B1974),AND(F1974&lt;&gt;"",F1974&lt;B1974)),"Evento anterior à entrada",IF(AND(F1974&lt;&gt;"",E1974=""),"Conversa sem agendamento",IF(OR(E1974&gt;TODAY(),F1974&gt;TODAY()),"Verificar evento futuro","OK"))))))))))</f>
        <v/>
      </c>
    </row>
    <row r="1975" spans="12:15">
      <c r="L1975" s="5">
        <f>IF(OR(A1975="",B1975=""),"",B1975-WEEKDAY(B1975,2)+1)</f>
        <v/>
      </c>
      <c r="M1975" s="5">
        <f>IF(L1975="","",L1975+6)</f>
        <v/>
      </c>
      <c r="N1975" s="6">
        <f>IF(OR(A1975="",B1975=""),"",DATE(YEAR(B1975),MONTH(B1975),1))</f>
        <v/>
      </c>
      <c r="O1975" s="7">
        <f>IF(COUNTA(A1975:K1975)=0,"",IF(OR(A1975="",B1975=""),"Preencher CPF e entrada",IF(COUNTIFS($A$12:$A$5011,A1975,$B$12:$B$5011,B1975)&gt;1,"CPF + dia duplicado",IF(OR(AND(G1975&lt;&gt;"",G1975&lt;&gt;0,G1975&lt;&gt;1),AND(H1975&lt;&gt;"",H1975&lt;&gt;0,H1975&lt;&gt;1)),"Flags devem ser 0 ou 1",IF(AND(H1975=1,LEN(TRIM(I1975))=0),"Preencher nome do indicante",IF(AND(H1975&lt;&gt;1,I1975&lt;&gt;""),"Nome sem indicação interna",IF(AND(G1975=1,F1975=""),"Fechamento sem conversa",IF(OR(AND(E1975&lt;&gt;"",E1975&lt;B1975),AND(F1975&lt;&gt;"",F1975&lt;B1975)),"Evento anterior à entrada",IF(AND(F1975&lt;&gt;"",E1975=""),"Conversa sem agendamento",IF(OR(E1975&gt;TODAY(),F1975&gt;TODAY()),"Verificar evento futuro","OK"))))))))))</f>
        <v/>
      </c>
    </row>
    <row r="1976" spans="12:15">
      <c r="L1976" s="5">
        <f>IF(OR(A1976="",B1976=""),"",B1976-WEEKDAY(B1976,2)+1)</f>
        <v/>
      </c>
      <c r="M1976" s="5">
        <f>IF(L1976="","",L1976+6)</f>
        <v/>
      </c>
      <c r="N1976" s="6">
        <f>IF(OR(A1976="",B1976=""),"",DATE(YEAR(B1976),MONTH(B1976),1))</f>
        <v/>
      </c>
      <c r="O1976" s="7">
        <f>IF(COUNTA(A1976:K1976)=0,"",IF(OR(A1976="",B1976=""),"Preencher CPF e entrada",IF(COUNTIFS($A$12:$A$5011,A1976,$B$12:$B$5011,B1976)&gt;1,"CPF + dia duplicado",IF(OR(AND(G1976&lt;&gt;"",G1976&lt;&gt;0,G1976&lt;&gt;1),AND(H1976&lt;&gt;"",H1976&lt;&gt;0,H1976&lt;&gt;1)),"Flags devem ser 0 ou 1",IF(AND(H1976=1,LEN(TRIM(I1976))=0),"Preencher nome do indicante",IF(AND(H1976&lt;&gt;1,I1976&lt;&gt;""),"Nome sem indicação interna",IF(AND(G1976=1,F1976=""),"Fechamento sem conversa",IF(OR(AND(E1976&lt;&gt;"",E1976&lt;B1976),AND(F1976&lt;&gt;"",F1976&lt;B1976)),"Evento anterior à entrada",IF(AND(F1976&lt;&gt;"",E1976=""),"Conversa sem agendamento",IF(OR(E1976&gt;TODAY(),F1976&gt;TODAY()),"Verificar evento futuro","OK"))))))))))</f>
        <v/>
      </c>
    </row>
    <row r="1977" spans="12:15">
      <c r="L1977" s="5">
        <f>IF(OR(A1977="",B1977=""),"",B1977-WEEKDAY(B1977,2)+1)</f>
        <v/>
      </c>
      <c r="M1977" s="5">
        <f>IF(L1977="","",L1977+6)</f>
        <v/>
      </c>
      <c r="N1977" s="6">
        <f>IF(OR(A1977="",B1977=""),"",DATE(YEAR(B1977),MONTH(B1977),1))</f>
        <v/>
      </c>
      <c r="O1977" s="7">
        <f>IF(COUNTA(A1977:K1977)=0,"",IF(OR(A1977="",B1977=""),"Preencher CPF e entrada",IF(COUNTIFS($A$12:$A$5011,A1977,$B$12:$B$5011,B1977)&gt;1,"CPF + dia duplicado",IF(OR(AND(G1977&lt;&gt;"",G1977&lt;&gt;0,G1977&lt;&gt;1),AND(H1977&lt;&gt;"",H1977&lt;&gt;0,H1977&lt;&gt;1)),"Flags devem ser 0 ou 1",IF(AND(H1977=1,LEN(TRIM(I1977))=0),"Preencher nome do indicante",IF(AND(H1977&lt;&gt;1,I1977&lt;&gt;""),"Nome sem indicação interna",IF(AND(G1977=1,F1977=""),"Fechamento sem conversa",IF(OR(AND(E1977&lt;&gt;"",E1977&lt;B1977),AND(F1977&lt;&gt;"",F1977&lt;B1977)),"Evento anterior à entrada",IF(AND(F1977&lt;&gt;"",E1977=""),"Conversa sem agendamento",IF(OR(E1977&gt;TODAY(),F1977&gt;TODAY()),"Verificar evento futuro","OK"))))))))))</f>
        <v/>
      </c>
    </row>
    <row r="1978" spans="12:15">
      <c r="L1978" s="5">
        <f>IF(OR(A1978="",B1978=""),"",B1978-WEEKDAY(B1978,2)+1)</f>
        <v/>
      </c>
      <c r="M1978" s="5">
        <f>IF(L1978="","",L1978+6)</f>
        <v/>
      </c>
      <c r="N1978" s="6">
        <f>IF(OR(A1978="",B1978=""),"",DATE(YEAR(B1978),MONTH(B1978),1))</f>
        <v/>
      </c>
      <c r="O1978" s="7">
        <f>IF(COUNTA(A1978:K1978)=0,"",IF(OR(A1978="",B1978=""),"Preencher CPF e entrada",IF(COUNTIFS($A$12:$A$5011,A1978,$B$12:$B$5011,B1978)&gt;1,"CPF + dia duplicado",IF(OR(AND(G1978&lt;&gt;"",G1978&lt;&gt;0,G1978&lt;&gt;1),AND(H1978&lt;&gt;"",H1978&lt;&gt;0,H1978&lt;&gt;1)),"Flags devem ser 0 ou 1",IF(AND(H1978=1,LEN(TRIM(I1978))=0),"Preencher nome do indicante",IF(AND(H1978&lt;&gt;1,I1978&lt;&gt;""),"Nome sem indicação interna",IF(AND(G1978=1,F1978=""),"Fechamento sem conversa",IF(OR(AND(E1978&lt;&gt;"",E1978&lt;B1978),AND(F1978&lt;&gt;"",F1978&lt;B1978)),"Evento anterior à entrada",IF(AND(F1978&lt;&gt;"",E1978=""),"Conversa sem agendamento",IF(OR(E1978&gt;TODAY(),F1978&gt;TODAY()),"Verificar evento futuro","OK"))))))))))</f>
        <v/>
      </c>
    </row>
    <row r="1979" spans="12:15">
      <c r="L1979" s="5">
        <f>IF(OR(A1979="",B1979=""),"",B1979-WEEKDAY(B1979,2)+1)</f>
        <v/>
      </c>
      <c r="M1979" s="5">
        <f>IF(L1979="","",L1979+6)</f>
        <v/>
      </c>
      <c r="N1979" s="6">
        <f>IF(OR(A1979="",B1979=""),"",DATE(YEAR(B1979),MONTH(B1979),1))</f>
        <v/>
      </c>
      <c r="O1979" s="7">
        <f>IF(COUNTA(A1979:K1979)=0,"",IF(OR(A1979="",B1979=""),"Preencher CPF e entrada",IF(COUNTIFS($A$12:$A$5011,A1979,$B$12:$B$5011,B1979)&gt;1,"CPF + dia duplicado",IF(OR(AND(G1979&lt;&gt;"",G1979&lt;&gt;0,G1979&lt;&gt;1),AND(H1979&lt;&gt;"",H1979&lt;&gt;0,H1979&lt;&gt;1)),"Flags devem ser 0 ou 1",IF(AND(H1979=1,LEN(TRIM(I1979))=0),"Preencher nome do indicante",IF(AND(H1979&lt;&gt;1,I1979&lt;&gt;""),"Nome sem indicação interna",IF(AND(G1979=1,F1979=""),"Fechamento sem conversa",IF(OR(AND(E1979&lt;&gt;"",E1979&lt;B1979),AND(F1979&lt;&gt;"",F1979&lt;B1979)),"Evento anterior à entrada",IF(AND(F1979&lt;&gt;"",E1979=""),"Conversa sem agendamento",IF(OR(E1979&gt;TODAY(),F1979&gt;TODAY()),"Verificar evento futuro","OK"))))))))))</f>
        <v/>
      </c>
    </row>
    <row r="1980" spans="12:15">
      <c r="L1980" s="5">
        <f>IF(OR(A1980="",B1980=""),"",B1980-WEEKDAY(B1980,2)+1)</f>
        <v/>
      </c>
      <c r="M1980" s="5">
        <f>IF(L1980="","",L1980+6)</f>
        <v/>
      </c>
      <c r="N1980" s="6">
        <f>IF(OR(A1980="",B1980=""),"",DATE(YEAR(B1980),MONTH(B1980),1))</f>
        <v/>
      </c>
      <c r="O1980" s="7">
        <f>IF(COUNTA(A1980:K1980)=0,"",IF(OR(A1980="",B1980=""),"Preencher CPF e entrada",IF(COUNTIFS($A$12:$A$5011,A1980,$B$12:$B$5011,B1980)&gt;1,"CPF + dia duplicado",IF(OR(AND(G1980&lt;&gt;"",G1980&lt;&gt;0,G1980&lt;&gt;1),AND(H1980&lt;&gt;"",H1980&lt;&gt;0,H1980&lt;&gt;1)),"Flags devem ser 0 ou 1",IF(AND(H1980=1,LEN(TRIM(I1980))=0),"Preencher nome do indicante",IF(AND(H1980&lt;&gt;1,I1980&lt;&gt;""),"Nome sem indicação interna",IF(AND(G1980=1,F1980=""),"Fechamento sem conversa",IF(OR(AND(E1980&lt;&gt;"",E1980&lt;B1980),AND(F1980&lt;&gt;"",F1980&lt;B1980)),"Evento anterior à entrada",IF(AND(F1980&lt;&gt;"",E1980=""),"Conversa sem agendamento",IF(OR(E1980&gt;TODAY(),F1980&gt;TODAY()),"Verificar evento futuro","OK"))))))))))</f>
        <v/>
      </c>
    </row>
    <row r="1981" spans="12:15">
      <c r="L1981" s="5">
        <f>IF(OR(A1981="",B1981=""),"",B1981-WEEKDAY(B1981,2)+1)</f>
        <v/>
      </c>
      <c r="M1981" s="5">
        <f>IF(L1981="","",L1981+6)</f>
        <v/>
      </c>
      <c r="N1981" s="6">
        <f>IF(OR(A1981="",B1981=""),"",DATE(YEAR(B1981),MONTH(B1981),1))</f>
        <v/>
      </c>
      <c r="O1981" s="7">
        <f>IF(COUNTA(A1981:K1981)=0,"",IF(OR(A1981="",B1981=""),"Preencher CPF e entrada",IF(COUNTIFS($A$12:$A$5011,A1981,$B$12:$B$5011,B1981)&gt;1,"CPF + dia duplicado",IF(OR(AND(G1981&lt;&gt;"",G1981&lt;&gt;0,G1981&lt;&gt;1),AND(H1981&lt;&gt;"",H1981&lt;&gt;0,H1981&lt;&gt;1)),"Flags devem ser 0 ou 1",IF(AND(H1981=1,LEN(TRIM(I1981))=0),"Preencher nome do indicante",IF(AND(H1981&lt;&gt;1,I1981&lt;&gt;""),"Nome sem indicação interna",IF(AND(G1981=1,F1981=""),"Fechamento sem conversa",IF(OR(AND(E1981&lt;&gt;"",E1981&lt;B1981),AND(F1981&lt;&gt;"",F1981&lt;B1981)),"Evento anterior à entrada",IF(AND(F1981&lt;&gt;"",E1981=""),"Conversa sem agendamento",IF(OR(E1981&gt;TODAY(),F1981&gt;TODAY()),"Verificar evento futuro","OK"))))))))))</f>
        <v/>
      </c>
    </row>
    <row r="1982" spans="12:15">
      <c r="L1982" s="5">
        <f>IF(OR(A1982="",B1982=""),"",B1982-WEEKDAY(B1982,2)+1)</f>
        <v/>
      </c>
      <c r="M1982" s="5">
        <f>IF(L1982="","",L1982+6)</f>
        <v/>
      </c>
      <c r="N1982" s="6">
        <f>IF(OR(A1982="",B1982=""),"",DATE(YEAR(B1982),MONTH(B1982),1))</f>
        <v/>
      </c>
      <c r="O1982" s="7">
        <f>IF(COUNTA(A1982:K1982)=0,"",IF(OR(A1982="",B1982=""),"Preencher CPF e entrada",IF(COUNTIFS($A$12:$A$5011,A1982,$B$12:$B$5011,B1982)&gt;1,"CPF + dia duplicado",IF(OR(AND(G1982&lt;&gt;"",G1982&lt;&gt;0,G1982&lt;&gt;1),AND(H1982&lt;&gt;"",H1982&lt;&gt;0,H1982&lt;&gt;1)),"Flags devem ser 0 ou 1",IF(AND(H1982=1,LEN(TRIM(I1982))=0),"Preencher nome do indicante",IF(AND(H1982&lt;&gt;1,I1982&lt;&gt;""),"Nome sem indicação interna",IF(AND(G1982=1,F1982=""),"Fechamento sem conversa",IF(OR(AND(E1982&lt;&gt;"",E1982&lt;B1982),AND(F1982&lt;&gt;"",F1982&lt;B1982)),"Evento anterior à entrada",IF(AND(F1982&lt;&gt;"",E1982=""),"Conversa sem agendamento",IF(OR(E1982&gt;TODAY(),F1982&gt;TODAY()),"Verificar evento futuro","OK"))))))))))</f>
        <v/>
      </c>
    </row>
    <row r="1983" spans="12:15">
      <c r="L1983" s="5">
        <f>IF(OR(A1983="",B1983=""),"",B1983-WEEKDAY(B1983,2)+1)</f>
        <v/>
      </c>
      <c r="M1983" s="5">
        <f>IF(L1983="","",L1983+6)</f>
        <v/>
      </c>
      <c r="N1983" s="6">
        <f>IF(OR(A1983="",B1983=""),"",DATE(YEAR(B1983),MONTH(B1983),1))</f>
        <v/>
      </c>
      <c r="O1983" s="7">
        <f>IF(COUNTA(A1983:K1983)=0,"",IF(OR(A1983="",B1983=""),"Preencher CPF e entrada",IF(COUNTIFS($A$12:$A$5011,A1983,$B$12:$B$5011,B1983)&gt;1,"CPF + dia duplicado",IF(OR(AND(G1983&lt;&gt;"",G1983&lt;&gt;0,G1983&lt;&gt;1),AND(H1983&lt;&gt;"",H1983&lt;&gt;0,H1983&lt;&gt;1)),"Flags devem ser 0 ou 1",IF(AND(H1983=1,LEN(TRIM(I1983))=0),"Preencher nome do indicante",IF(AND(H1983&lt;&gt;1,I1983&lt;&gt;""),"Nome sem indicação interna",IF(AND(G1983=1,F1983=""),"Fechamento sem conversa",IF(OR(AND(E1983&lt;&gt;"",E1983&lt;B1983),AND(F1983&lt;&gt;"",F1983&lt;B1983)),"Evento anterior à entrada",IF(AND(F1983&lt;&gt;"",E1983=""),"Conversa sem agendamento",IF(OR(E1983&gt;TODAY(),F1983&gt;TODAY()),"Verificar evento futuro","OK"))))))))))</f>
        <v/>
      </c>
    </row>
    <row r="1984" spans="12:15">
      <c r="L1984" s="5">
        <f>IF(OR(A1984="",B1984=""),"",B1984-WEEKDAY(B1984,2)+1)</f>
        <v/>
      </c>
      <c r="M1984" s="5">
        <f>IF(L1984="","",L1984+6)</f>
        <v/>
      </c>
      <c r="N1984" s="6">
        <f>IF(OR(A1984="",B1984=""),"",DATE(YEAR(B1984),MONTH(B1984),1))</f>
        <v/>
      </c>
      <c r="O1984" s="7">
        <f>IF(COUNTA(A1984:K1984)=0,"",IF(OR(A1984="",B1984=""),"Preencher CPF e entrada",IF(COUNTIFS($A$12:$A$5011,A1984,$B$12:$B$5011,B1984)&gt;1,"CPF + dia duplicado",IF(OR(AND(G1984&lt;&gt;"",G1984&lt;&gt;0,G1984&lt;&gt;1),AND(H1984&lt;&gt;"",H1984&lt;&gt;0,H1984&lt;&gt;1)),"Flags devem ser 0 ou 1",IF(AND(H1984=1,LEN(TRIM(I1984))=0),"Preencher nome do indicante",IF(AND(H1984&lt;&gt;1,I1984&lt;&gt;""),"Nome sem indicação interna",IF(AND(G1984=1,F1984=""),"Fechamento sem conversa",IF(OR(AND(E1984&lt;&gt;"",E1984&lt;B1984),AND(F1984&lt;&gt;"",F1984&lt;B1984)),"Evento anterior à entrada",IF(AND(F1984&lt;&gt;"",E1984=""),"Conversa sem agendamento",IF(OR(E1984&gt;TODAY(),F1984&gt;TODAY()),"Verificar evento futuro","OK"))))))))))</f>
        <v/>
      </c>
    </row>
    <row r="1985" spans="12:15">
      <c r="L1985" s="5">
        <f>IF(OR(A1985="",B1985=""),"",B1985-WEEKDAY(B1985,2)+1)</f>
        <v/>
      </c>
      <c r="M1985" s="5">
        <f>IF(L1985="","",L1985+6)</f>
        <v/>
      </c>
      <c r="N1985" s="6">
        <f>IF(OR(A1985="",B1985=""),"",DATE(YEAR(B1985),MONTH(B1985),1))</f>
        <v/>
      </c>
      <c r="O1985" s="7">
        <f>IF(COUNTA(A1985:K1985)=0,"",IF(OR(A1985="",B1985=""),"Preencher CPF e entrada",IF(COUNTIFS($A$12:$A$5011,A1985,$B$12:$B$5011,B1985)&gt;1,"CPF + dia duplicado",IF(OR(AND(G1985&lt;&gt;"",G1985&lt;&gt;0,G1985&lt;&gt;1),AND(H1985&lt;&gt;"",H1985&lt;&gt;0,H1985&lt;&gt;1)),"Flags devem ser 0 ou 1",IF(AND(H1985=1,LEN(TRIM(I1985))=0),"Preencher nome do indicante",IF(AND(H1985&lt;&gt;1,I1985&lt;&gt;""),"Nome sem indicação interna",IF(AND(G1985=1,F1985=""),"Fechamento sem conversa",IF(OR(AND(E1985&lt;&gt;"",E1985&lt;B1985),AND(F1985&lt;&gt;"",F1985&lt;B1985)),"Evento anterior à entrada",IF(AND(F1985&lt;&gt;"",E1985=""),"Conversa sem agendamento",IF(OR(E1985&gt;TODAY(),F1985&gt;TODAY()),"Verificar evento futuro","OK"))))))))))</f>
        <v/>
      </c>
    </row>
    <row r="1986" spans="12:15">
      <c r="L1986" s="5">
        <f>IF(OR(A1986="",B1986=""),"",B1986-WEEKDAY(B1986,2)+1)</f>
        <v/>
      </c>
      <c r="M1986" s="5">
        <f>IF(L1986="","",L1986+6)</f>
        <v/>
      </c>
      <c r="N1986" s="6">
        <f>IF(OR(A1986="",B1986=""),"",DATE(YEAR(B1986),MONTH(B1986),1))</f>
        <v/>
      </c>
      <c r="O1986" s="7">
        <f>IF(COUNTA(A1986:K1986)=0,"",IF(OR(A1986="",B1986=""),"Preencher CPF e entrada",IF(COUNTIFS($A$12:$A$5011,A1986,$B$12:$B$5011,B1986)&gt;1,"CPF + dia duplicado",IF(OR(AND(G1986&lt;&gt;"",G1986&lt;&gt;0,G1986&lt;&gt;1),AND(H1986&lt;&gt;"",H1986&lt;&gt;0,H1986&lt;&gt;1)),"Flags devem ser 0 ou 1",IF(AND(H1986=1,LEN(TRIM(I1986))=0),"Preencher nome do indicante",IF(AND(H1986&lt;&gt;1,I1986&lt;&gt;""),"Nome sem indicação interna",IF(AND(G1986=1,F1986=""),"Fechamento sem conversa",IF(OR(AND(E1986&lt;&gt;"",E1986&lt;B1986),AND(F1986&lt;&gt;"",F1986&lt;B1986)),"Evento anterior à entrada",IF(AND(F1986&lt;&gt;"",E1986=""),"Conversa sem agendamento",IF(OR(E1986&gt;TODAY(),F1986&gt;TODAY()),"Verificar evento futuro","OK"))))))))))</f>
        <v/>
      </c>
    </row>
    <row r="1987" spans="12:15">
      <c r="L1987" s="5">
        <f>IF(OR(A1987="",B1987=""),"",B1987-WEEKDAY(B1987,2)+1)</f>
        <v/>
      </c>
      <c r="M1987" s="5">
        <f>IF(L1987="","",L1987+6)</f>
        <v/>
      </c>
      <c r="N1987" s="6">
        <f>IF(OR(A1987="",B1987=""),"",DATE(YEAR(B1987),MONTH(B1987),1))</f>
        <v/>
      </c>
      <c r="O1987" s="7">
        <f>IF(COUNTA(A1987:K1987)=0,"",IF(OR(A1987="",B1987=""),"Preencher CPF e entrada",IF(COUNTIFS($A$12:$A$5011,A1987,$B$12:$B$5011,B1987)&gt;1,"CPF + dia duplicado",IF(OR(AND(G1987&lt;&gt;"",G1987&lt;&gt;0,G1987&lt;&gt;1),AND(H1987&lt;&gt;"",H1987&lt;&gt;0,H1987&lt;&gt;1)),"Flags devem ser 0 ou 1",IF(AND(H1987=1,LEN(TRIM(I1987))=0),"Preencher nome do indicante",IF(AND(H1987&lt;&gt;1,I1987&lt;&gt;""),"Nome sem indicação interna",IF(AND(G1987=1,F1987=""),"Fechamento sem conversa",IF(OR(AND(E1987&lt;&gt;"",E1987&lt;B1987),AND(F1987&lt;&gt;"",F1987&lt;B1987)),"Evento anterior à entrada",IF(AND(F1987&lt;&gt;"",E1987=""),"Conversa sem agendamento",IF(OR(E1987&gt;TODAY(),F1987&gt;TODAY()),"Verificar evento futuro","OK"))))))))))</f>
        <v/>
      </c>
    </row>
    <row r="1988" spans="12:15">
      <c r="L1988" s="5">
        <f>IF(OR(A1988="",B1988=""),"",B1988-WEEKDAY(B1988,2)+1)</f>
        <v/>
      </c>
      <c r="M1988" s="5">
        <f>IF(L1988="","",L1988+6)</f>
        <v/>
      </c>
      <c r="N1988" s="6">
        <f>IF(OR(A1988="",B1988=""),"",DATE(YEAR(B1988),MONTH(B1988),1))</f>
        <v/>
      </c>
      <c r="O1988" s="7">
        <f>IF(COUNTA(A1988:K1988)=0,"",IF(OR(A1988="",B1988=""),"Preencher CPF e entrada",IF(COUNTIFS($A$12:$A$5011,A1988,$B$12:$B$5011,B1988)&gt;1,"CPF + dia duplicado",IF(OR(AND(G1988&lt;&gt;"",G1988&lt;&gt;0,G1988&lt;&gt;1),AND(H1988&lt;&gt;"",H1988&lt;&gt;0,H1988&lt;&gt;1)),"Flags devem ser 0 ou 1",IF(AND(H1988=1,LEN(TRIM(I1988))=0),"Preencher nome do indicante",IF(AND(H1988&lt;&gt;1,I1988&lt;&gt;""),"Nome sem indicação interna",IF(AND(G1988=1,F1988=""),"Fechamento sem conversa",IF(OR(AND(E1988&lt;&gt;"",E1988&lt;B1988),AND(F1988&lt;&gt;"",F1988&lt;B1988)),"Evento anterior à entrada",IF(AND(F1988&lt;&gt;"",E1988=""),"Conversa sem agendamento",IF(OR(E1988&gt;TODAY(),F1988&gt;TODAY()),"Verificar evento futuro","OK"))))))))))</f>
        <v/>
      </c>
    </row>
    <row r="1989" spans="12:15">
      <c r="L1989" s="5">
        <f>IF(OR(A1989="",B1989=""),"",B1989-WEEKDAY(B1989,2)+1)</f>
        <v/>
      </c>
      <c r="M1989" s="5">
        <f>IF(L1989="","",L1989+6)</f>
        <v/>
      </c>
      <c r="N1989" s="6">
        <f>IF(OR(A1989="",B1989=""),"",DATE(YEAR(B1989),MONTH(B1989),1))</f>
        <v/>
      </c>
      <c r="O1989" s="7">
        <f>IF(COUNTA(A1989:K1989)=0,"",IF(OR(A1989="",B1989=""),"Preencher CPF e entrada",IF(COUNTIFS($A$12:$A$5011,A1989,$B$12:$B$5011,B1989)&gt;1,"CPF + dia duplicado",IF(OR(AND(G1989&lt;&gt;"",G1989&lt;&gt;0,G1989&lt;&gt;1),AND(H1989&lt;&gt;"",H1989&lt;&gt;0,H1989&lt;&gt;1)),"Flags devem ser 0 ou 1",IF(AND(H1989=1,LEN(TRIM(I1989))=0),"Preencher nome do indicante",IF(AND(H1989&lt;&gt;1,I1989&lt;&gt;""),"Nome sem indicação interna",IF(AND(G1989=1,F1989=""),"Fechamento sem conversa",IF(OR(AND(E1989&lt;&gt;"",E1989&lt;B1989),AND(F1989&lt;&gt;"",F1989&lt;B1989)),"Evento anterior à entrada",IF(AND(F1989&lt;&gt;"",E1989=""),"Conversa sem agendamento",IF(OR(E1989&gt;TODAY(),F1989&gt;TODAY()),"Verificar evento futuro","OK"))))))))))</f>
        <v/>
      </c>
    </row>
    <row r="1990" spans="12:15">
      <c r="L1990" s="5">
        <f>IF(OR(A1990="",B1990=""),"",B1990-WEEKDAY(B1990,2)+1)</f>
        <v/>
      </c>
      <c r="M1990" s="5">
        <f>IF(L1990="","",L1990+6)</f>
        <v/>
      </c>
      <c r="N1990" s="6">
        <f>IF(OR(A1990="",B1990=""),"",DATE(YEAR(B1990),MONTH(B1990),1))</f>
        <v/>
      </c>
      <c r="O1990" s="7">
        <f>IF(COUNTA(A1990:K1990)=0,"",IF(OR(A1990="",B1990=""),"Preencher CPF e entrada",IF(COUNTIFS($A$12:$A$5011,A1990,$B$12:$B$5011,B1990)&gt;1,"CPF + dia duplicado",IF(OR(AND(G1990&lt;&gt;"",G1990&lt;&gt;0,G1990&lt;&gt;1),AND(H1990&lt;&gt;"",H1990&lt;&gt;0,H1990&lt;&gt;1)),"Flags devem ser 0 ou 1",IF(AND(H1990=1,LEN(TRIM(I1990))=0),"Preencher nome do indicante",IF(AND(H1990&lt;&gt;1,I1990&lt;&gt;""),"Nome sem indicação interna",IF(AND(G1990=1,F1990=""),"Fechamento sem conversa",IF(OR(AND(E1990&lt;&gt;"",E1990&lt;B1990),AND(F1990&lt;&gt;"",F1990&lt;B1990)),"Evento anterior à entrada",IF(AND(F1990&lt;&gt;"",E1990=""),"Conversa sem agendamento",IF(OR(E1990&gt;TODAY(),F1990&gt;TODAY()),"Verificar evento futuro","OK"))))))))))</f>
        <v/>
      </c>
    </row>
    <row r="1991" spans="12:15">
      <c r="L1991" s="5">
        <f>IF(OR(A1991="",B1991=""),"",B1991-WEEKDAY(B1991,2)+1)</f>
        <v/>
      </c>
      <c r="M1991" s="5">
        <f>IF(L1991="","",L1991+6)</f>
        <v/>
      </c>
      <c r="N1991" s="6">
        <f>IF(OR(A1991="",B1991=""),"",DATE(YEAR(B1991),MONTH(B1991),1))</f>
        <v/>
      </c>
      <c r="O1991" s="7">
        <f>IF(COUNTA(A1991:K1991)=0,"",IF(OR(A1991="",B1991=""),"Preencher CPF e entrada",IF(COUNTIFS($A$12:$A$5011,A1991,$B$12:$B$5011,B1991)&gt;1,"CPF + dia duplicado",IF(OR(AND(G1991&lt;&gt;"",G1991&lt;&gt;0,G1991&lt;&gt;1),AND(H1991&lt;&gt;"",H1991&lt;&gt;0,H1991&lt;&gt;1)),"Flags devem ser 0 ou 1",IF(AND(H1991=1,LEN(TRIM(I1991))=0),"Preencher nome do indicante",IF(AND(H1991&lt;&gt;1,I1991&lt;&gt;""),"Nome sem indicação interna",IF(AND(G1991=1,F1991=""),"Fechamento sem conversa",IF(OR(AND(E1991&lt;&gt;"",E1991&lt;B1991),AND(F1991&lt;&gt;"",F1991&lt;B1991)),"Evento anterior à entrada",IF(AND(F1991&lt;&gt;"",E1991=""),"Conversa sem agendamento",IF(OR(E1991&gt;TODAY(),F1991&gt;TODAY()),"Verificar evento futuro","OK"))))))))))</f>
        <v/>
      </c>
    </row>
    <row r="1992" spans="12:15">
      <c r="L1992" s="5">
        <f>IF(OR(A1992="",B1992=""),"",B1992-WEEKDAY(B1992,2)+1)</f>
        <v/>
      </c>
      <c r="M1992" s="5">
        <f>IF(L1992="","",L1992+6)</f>
        <v/>
      </c>
      <c r="N1992" s="6">
        <f>IF(OR(A1992="",B1992=""),"",DATE(YEAR(B1992),MONTH(B1992),1))</f>
        <v/>
      </c>
      <c r="O1992" s="7">
        <f>IF(COUNTA(A1992:K1992)=0,"",IF(OR(A1992="",B1992=""),"Preencher CPF e entrada",IF(COUNTIFS($A$12:$A$5011,A1992,$B$12:$B$5011,B1992)&gt;1,"CPF + dia duplicado",IF(OR(AND(G1992&lt;&gt;"",G1992&lt;&gt;0,G1992&lt;&gt;1),AND(H1992&lt;&gt;"",H1992&lt;&gt;0,H1992&lt;&gt;1)),"Flags devem ser 0 ou 1",IF(AND(H1992=1,LEN(TRIM(I1992))=0),"Preencher nome do indicante",IF(AND(H1992&lt;&gt;1,I1992&lt;&gt;""),"Nome sem indicação interna",IF(AND(G1992=1,F1992=""),"Fechamento sem conversa",IF(OR(AND(E1992&lt;&gt;"",E1992&lt;B1992),AND(F1992&lt;&gt;"",F1992&lt;B1992)),"Evento anterior à entrada",IF(AND(F1992&lt;&gt;"",E1992=""),"Conversa sem agendamento",IF(OR(E1992&gt;TODAY(),F1992&gt;TODAY()),"Verificar evento futuro","OK"))))))))))</f>
        <v/>
      </c>
    </row>
    <row r="1993" spans="12:15">
      <c r="L1993" s="5">
        <f>IF(OR(A1993="",B1993=""),"",B1993-WEEKDAY(B1993,2)+1)</f>
        <v/>
      </c>
      <c r="M1993" s="5">
        <f>IF(L1993="","",L1993+6)</f>
        <v/>
      </c>
      <c r="N1993" s="6">
        <f>IF(OR(A1993="",B1993=""),"",DATE(YEAR(B1993),MONTH(B1993),1))</f>
        <v/>
      </c>
      <c r="O1993" s="7">
        <f>IF(COUNTA(A1993:K1993)=0,"",IF(OR(A1993="",B1993=""),"Preencher CPF e entrada",IF(COUNTIFS($A$12:$A$5011,A1993,$B$12:$B$5011,B1993)&gt;1,"CPF + dia duplicado",IF(OR(AND(G1993&lt;&gt;"",G1993&lt;&gt;0,G1993&lt;&gt;1),AND(H1993&lt;&gt;"",H1993&lt;&gt;0,H1993&lt;&gt;1)),"Flags devem ser 0 ou 1",IF(AND(H1993=1,LEN(TRIM(I1993))=0),"Preencher nome do indicante",IF(AND(H1993&lt;&gt;1,I1993&lt;&gt;""),"Nome sem indicação interna",IF(AND(G1993=1,F1993=""),"Fechamento sem conversa",IF(OR(AND(E1993&lt;&gt;"",E1993&lt;B1993),AND(F1993&lt;&gt;"",F1993&lt;B1993)),"Evento anterior à entrada",IF(AND(F1993&lt;&gt;"",E1993=""),"Conversa sem agendamento",IF(OR(E1993&gt;TODAY(),F1993&gt;TODAY()),"Verificar evento futuro","OK"))))))))))</f>
        <v/>
      </c>
    </row>
    <row r="1994" spans="12:15">
      <c r="L1994" s="5">
        <f>IF(OR(A1994="",B1994=""),"",B1994-WEEKDAY(B1994,2)+1)</f>
        <v/>
      </c>
      <c r="M1994" s="5">
        <f>IF(L1994="","",L1994+6)</f>
        <v/>
      </c>
      <c r="N1994" s="6">
        <f>IF(OR(A1994="",B1994=""),"",DATE(YEAR(B1994),MONTH(B1994),1))</f>
        <v/>
      </c>
      <c r="O1994" s="7">
        <f>IF(COUNTA(A1994:K1994)=0,"",IF(OR(A1994="",B1994=""),"Preencher CPF e entrada",IF(COUNTIFS($A$12:$A$5011,A1994,$B$12:$B$5011,B1994)&gt;1,"CPF + dia duplicado",IF(OR(AND(G1994&lt;&gt;"",G1994&lt;&gt;0,G1994&lt;&gt;1),AND(H1994&lt;&gt;"",H1994&lt;&gt;0,H1994&lt;&gt;1)),"Flags devem ser 0 ou 1",IF(AND(H1994=1,LEN(TRIM(I1994))=0),"Preencher nome do indicante",IF(AND(H1994&lt;&gt;1,I1994&lt;&gt;""),"Nome sem indicação interna",IF(AND(G1994=1,F1994=""),"Fechamento sem conversa",IF(OR(AND(E1994&lt;&gt;"",E1994&lt;B1994),AND(F1994&lt;&gt;"",F1994&lt;B1994)),"Evento anterior à entrada",IF(AND(F1994&lt;&gt;"",E1994=""),"Conversa sem agendamento",IF(OR(E1994&gt;TODAY(),F1994&gt;TODAY()),"Verificar evento futuro","OK"))))))))))</f>
        <v/>
      </c>
    </row>
    <row r="1995" spans="12:15">
      <c r="L1995" s="5">
        <f>IF(OR(A1995="",B1995=""),"",B1995-WEEKDAY(B1995,2)+1)</f>
        <v/>
      </c>
      <c r="M1995" s="5">
        <f>IF(L1995="","",L1995+6)</f>
        <v/>
      </c>
      <c r="N1995" s="6">
        <f>IF(OR(A1995="",B1995=""),"",DATE(YEAR(B1995),MONTH(B1995),1))</f>
        <v/>
      </c>
      <c r="O1995" s="7">
        <f>IF(COUNTA(A1995:K1995)=0,"",IF(OR(A1995="",B1995=""),"Preencher CPF e entrada",IF(COUNTIFS($A$12:$A$5011,A1995,$B$12:$B$5011,B1995)&gt;1,"CPF + dia duplicado",IF(OR(AND(G1995&lt;&gt;"",G1995&lt;&gt;0,G1995&lt;&gt;1),AND(H1995&lt;&gt;"",H1995&lt;&gt;0,H1995&lt;&gt;1)),"Flags devem ser 0 ou 1",IF(AND(H1995=1,LEN(TRIM(I1995))=0),"Preencher nome do indicante",IF(AND(H1995&lt;&gt;1,I1995&lt;&gt;""),"Nome sem indicação interna",IF(AND(G1995=1,F1995=""),"Fechamento sem conversa",IF(OR(AND(E1995&lt;&gt;"",E1995&lt;B1995),AND(F1995&lt;&gt;"",F1995&lt;B1995)),"Evento anterior à entrada",IF(AND(F1995&lt;&gt;"",E1995=""),"Conversa sem agendamento",IF(OR(E1995&gt;TODAY(),F1995&gt;TODAY()),"Verificar evento futuro","OK"))))))))))</f>
        <v/>
      </c>
    </row>
    <row r="1996" spans="12:15">
      <c r="L1996" s="5">
        <f>IF(OR(A1996="",B1996=""),"",B1996-WEEKDAY(B1996,2)+1)</f>
        <v/>
      </c>
      <c r="M1996" s="5">
        <f>IF(L1996="","",L1996+6)</f>
        <v/>
      </c>
      <c r="N1996" s="6">
        <f>IF(OR(A1996="",B1996=""),"",DATE(YEAR(B1996),MONTH(B1996),1))</f>
        <v/>
      </c>
      <c r="O1996" s="7">
        <f>IF(COUNTA(A1996:K1996)=0,"",IF(OR(A1996="",B1996=""),"Preencher CPF e entrada",IF(COUNTIFS($A$12:$A$5011,A1996,$B$12:$B$5011,B1996)&gt;1,"CPF + dia duplicado",IF(OR(AND(G1996&lt;&gt;"",G1996&lt;&gt;0,G1996&lt;&gt;1),AND(H1996&lt;&gt;"",H1996&lt;&gt;0,H1996&lt;&gt;1)),"Flags devem ser 0 ou 1",IF(AND(H1996=1,LEN(TRIM(I1996))=0),"Preencher nome do indicante",IF(AND(H1996&lt;&gt;1,I1996&lt;&gt;""),"Nome sem indicação interna",IF(AND(G1996=1,F1996=""),"Fechamento sem conversa",IF(OR(AND(E1996&lt;&gt;"",E1996&lt;B1996),AND(F1996&lt;&gt;"",F1996&lt;B1996)),"Evento anterior à entrada",IF(AND(F1996&lt;&gt;"",E1996=""),"Conversa sem agendamento",IF(OR(E1996&gt;TODAY(),F1996&gt;TODAY()),"Verificar evento futuro","OK"))))))))))</f>
        <v/>
      </c>
    </row>
    <row r="1997" spans="12:15">
      <c r="L1997" s="5">
        <f>IF(OR(A1997="",B1997=""),"",B1997-WEEKDAY(B1997,2)+1)</f>
        <v/>
      </c>
      <c r="M1997" s="5">
        <f>IF(L1997="","",L1997+6)</f>
        <v/>
      </c>
      <c r="N1997" s="6">
        <f>IF(OR(A1997="",B1997=""),"",DATE(YEAR(B1997),MONTH(B1997),1))</f>
        <v/>
      </c>
      <c r="O1997" s="7">
        <f>IF(COUNTA(A1997:K1997)=0,"",IF(OR(A1997="",B1997=""),"Preencher CPF e entrada",IF(COUNTIFS($A$12:$A$5011,A1997,$B$12:$B$5011,B1997)&gt;1,"CPF + dia duplicado",IF(OR(AND(G1997&lt;&gt;"",G1997&lt;&gt;0,G1997&lt;&gt;1),AND(H1997&lt;&gt;"",H1997&lt;&gt;0,H1997&lt;&gt;1)),"Flags devem ser 0 ou 1",IF(AND(H1997=1,LEN(TRIM(I1997))=0),"Preencher nome do indicante",IF(AND(H1997&lt;&gt;1,I1997&lt;&gt;""),"Nome sem indicação interna",IF(AND(G1997=1,F1997=""),"Fechamento sem conversa",IF(OR(AND(E1997&lt;&gt;"",E1997&lt;B1997),AND(F1997&lt;&gt;"",F1997&lt;B1997)),"Evento anterior à entrada",IF(AND(F1997&lt;&gt;"",E1997=""),"Conversa sem agendamento",IF(OR(E1997&gt;TODAY(),F1997&gt;TODAY()),"Verificar evento futuro","OK"))))))))))</f>
        <v/>
      </c>
    </row>
    <row r="1998" spans="12:15">
      <c r="L1998" s="5">
        <f>IF(OR(A1998="",B1998=""),"",B1998-WEEKDAY(B1998,2)+1)</f>
        <v/>
      </c>
      <c r="M1998" s="5">
        <f>IF(L1998="","",L1998+6)</f>
        <v/>
      </c>
      <c r="N1998" s="6">
        <f>IF(OR(A1998="",B1998=""),"",DATE(YEAR(B1998),MONTH(B1998),1))</f>
        <v/>
      </c>
      <c r="O1998" s="7">
        <f>IF(COUNTA(A1998:K1998)=0,"",IF(OR(A1998="",B1998=""),"Preencher CPF e entrada",IF(COUNTIFS($A$12:$A$5011,A1998,$B$12:$B$5011,B1998)&gt;1,"CPF + dia duplicado",IF(OR(AND(G1998&lt;&gt;"",G1998&lt;&gt;0,G1998&lt;&gt;1),AND(H1998&lt;&gt;"",H1998&lt;&gt;0,H1998&lt;&gt;1)),"Flags devem ser 0 ou 1",IF(AND(H1998=1,LEN(TRIM(I1998))=0),"Preencher nome do indicante",IF(AND(H1998&lt;&gt;1,I1998&lt;&gt;""),"Nome sem indicação interna",IF(AND(G1998=1,F1998=""),"Fechamento sem conversa",IF(OR(AND(E1998&lt;&gt;"",E1998&lt;B1998),AND(F1998&lt;&gt;"",F1998&lt;B1998)),"Evento anterior à entrada",IF(AND(F1998&lt;&gt;"",E1998=""),"Conversa sem agendamento",IF(OR(E1998&gt;TODAY(),F1998&gt;TODAY()),"Verificar evento futuro","OK"))))))))))</f>
        <v/>
      </c>
    </row>
    <row r="1999" spans="12:15">
      <c r="L1999" s="5">
        <f>IF(OR(A1999="",B1999=""),"",B1999-WEEKDAY(B1999,2)+1)</f>
        <v/>
      </c>
      <c r="M1999" s="5">
        <f>IF(L1999="","",L1999+6)</f>
        <v/>
      </c>
      <c r="N1999" s="6">
        <f>IF(OR(A1999="",B1999=""),"",DATE(YEAR(B1999),MONTH(B1999),1))</f>
        <v/>
      </c>
      <c r="O1999" s="7">
        <f>IF(COUNTA(A1999:K1999)=0,"",IF(OR(A1999="",B1999=""),"Preencher CPF e entrada",IF(COUNTIFS($A$12:$A$5011,A1999,$B$12:$B$5011,B1999)&gt;1,"CPF + dia duplicado",IF(OR(AND(G1999&lt;&gt;"",G1999&lt;&gt;0,G1999&lt;&gt;1),AND(H1999&lt;&gt;"",H1999&lt;&gt;0,H1999&lt;&gt;1)),"Flags devem ser 0 ou 1",IF(AND(H1999=1,LEN(TRIM(I1999))=0),"Preencher nome do indicante",IF(AND(H1999&lt;&gt;1,I1999&lt;&gt;""),"Nome sem indicação interna",IF(AND(G1999=1,F1999=""),"Fechamento sem conversa",IF(OR(AND(E1999&lt;&gt;"",E1999&lt;B1999),AND(F1999&lt;&gt;"",F1999&lt;B1999)),"Evento anterior à entrada",IF(AND(F1999&lt;&gt;"",E1999=""),"Conversa sem agendamento",IF(OR(E1999&gt;TODAY(),F1999&gt;TODAY()),"Verificar evento futuro","OK"))))))))))</f>
        <v/>
      </c>
    </row>
    <row r="2000" spans="12:15">
      <c r="L2000" s="5">
        <f>IF(OR(A2000="",B2000=""),"",B2000-WEEKDAY(B2000,2)+1)</f>
        <v/>
      </c>
      <c r="M2000" s="5">
        <f>IF(L2000="","",L2000+6)</f>
        <v/>
      </c>
      <c r="N2000" s="6">
        <f>IF(OR(A2000="",B2000=""),"",DATE(YEAR(B2000),MONTH(B2000),1))</f>
        <v/>
      </c>
      <c r="O2000" s="7">
        <f>IF(COUNTA(A2000:K2000)=0,"",IF(OR(A2000="",B2000=""),"Preencher CPF e entrada",IF(COUNTIFS($A$12:$A$5011,A2000,$B$12:$B$5011,B2000)&gt;1,"CPF + dia duplicado",IF(OR(AND(G2000&lt;&gt;"",G2000&lt;&gt;0,G2000&lt;&gt;1),AND(H2000&lt;&gt;"",H2000&lt;&gt;0,H2000&lt;&gt;1)),"Flags devem ser 0 ou 1",IF(AND(H2000=1,LEN(TRIM(I2000))=0),"Preencher nome do indicante",IF(AND(H2000&lt;&gt;1,I2000&lt;&gt;""),"Nome sem indicação interna",IF(AND(G2000=1,F2000=""),"Fechamento sem conversa",IF(OR(AND(E2000&lt;&gt;"",E2000&lt;B2000),AND(F2000&lt;&gt;"",F2000&lt;B2000)),"Evento anterior à entrada",IF(AND(F2000&lt;&gt;"",E2000=""),"Conversa sem agendamento",IF(OR(E2000&gt;TODAY(),F2000&gt;TODAY()),"Verificar evento futuro","OK"))))))))))</f>
        <v/>
      </c>
    </row>
    <row r="2001" spans="12:15">
      <c r="L2001" s="5">
        <f>IF(OR(A2001="",B2001=""),"",B2001-WEEKDAY(B2001,2)+1)</f>
        <v/>
      </c>
      <c r="M2001" s="5">
        <f>IF(L2001="","",L2001+6)</f>
        <v/>
      </c>
      <c r="N2001" s="6">
        <f>IF(OR(A2001="",B2001=""),"",DATE(YEAR(B2001),MONTH(B2001),1))</f>
        <v/>
      </c>
      <c r="O2001" s="7">
        <f>IF(COUNTA(A2001:K2001)=0,"",IF(OR(A2001="",B2001=""),"Preencher CPF e entrada",IF(COUNTIFS($A$12:$A$5011,A2001,$B$12:$B$5011,B2001)&gt;1,"CPF + dia duplicado",IF(OR(AND(G2001&lt;&gt;"",G2001&lt;&gt;0,G2001&lt;&gt;1),AND(H2001&lt;&gt;"",H2001&lt;&gt;0,H2001&lt;&gt;1)),"Flags devem ser 0 ou 1",IF(AND(H2001=1,LEN(TRIM(I2001))=0),"Preencher nome do indicante",IF(AND(H2001&lt;&gt;1,I2001&lt;&gt;""),"Nome sem indicação interna",IF(AND(G2001=1,F2001=""),"Fechamento sem conversa",IF(OR(AND(E2001&lt;&gt;"",E2001&lt;B2001),AND(F2001&lt;&gt;"",F2001&lt;B2001)),"Evento anterior à entrada",IF(AND(F2001&lt;&gt;"",E2001=""),"Conversa sem agendamento",IF(OR(E2001&gt;TODAY(),F2001&gt;TODAY()),"Verificar evento futuro","OK"))))))))))</f>
        <v/>
      </c>
    </row>
    <row r="2002" spans="12:15">
      <c r="L2002" s="5">
        <f>IF(OR(A2002="",B2002=""),"",B2002-WEEKDAY(B2002,2)+1)</f>
        <v/>
      </c>
      <c r="M2002" s="5">
        <f>IF(L2002="","",L2002+6)</f>
        <v/>
      </c>
      <c r="N2002" s="6">
        <f>IF(OR(A2002="",B2002=""),"",DATE(YEAR(B2002),MONTH(B2002),1))</f>
        <v/>
      </c>
      <c r="O2002" s="7">
        <f>IF(COUNTA(A2002:K2002)=0,"",IF(OR(A2002="",B2002=""),"Preencher CPF e entrada",IF(COUNTIFS($A$12:$A$5011,A2002,$B$12:$B$5011,B2002)&gt;1,"CPF + dia duplicado",IF(OR(AND(G2002&lt;&gt;"",G2002&lt;&gt;0,G2002&lt;&gt;1),AND(H2002&lt;&gt;"",H2002&lt;&gt;0,H2002&lt;&gt;1)),"Flags devem ser 0 ou 1",IF(AND(H2002=1,LEN(TRIM(I2002))=0),"Preencher nome do indicante",IF(AND(H2002&lt;&gt;1,I2002&lt;&gt;""),"Nome sem indicação interna",IF(AND(G2002=1,F2002=""),"Fechamento sem conversa",IF(OR(AND(E2002&lt;&gt;"",E2002&lt;B2002),AND(F2002&lt;&gt;"",F2002&lt;B2002)),"Evento anterior à entrada",IF(AND(F2002&lt;&gt;"",E2002=""),"Conversa sem agendamento",IF(OR(E2002&gt;TODAY(),F2002&gt;TODAY()),"Verificar evento futuro","OK"))))))))))</f>
        <v/>
      </c>
    </row>
    <row r="2003" spans="12:15">
      <c r="L2003" s="5">
        <f>IF(OR(A2003="",B2003=""),"",B2003-WEEKDAY(B2003,2)+1)</f>
        <v/>
      </c>
      <c r="M2003" s="5">
        <f>IF(L2003="","",L2003+6)</f>
        <v/>
      </c>
      <c r="N2003" s="6">
        <f>IF(OR(A2003="",B2003=""),"",DATE(YEAR(B2003),MONTH(B2003),1))</f>
        <v/>
      </c>
      <c r="O2003" s="7">
        <f>IF(COUNTA(A2003:K2003)=0,"",IF(OR(A2003="",B2003=""),"Preencher CPF e entrada",IF(COUNTIFS($A$12:$A$5011,A2003,$B$12:$B$5011,B2003)&gt;1,"CPF + dia duplicado",IF(OR(AND(G2003&lt;&gt;"",G2003&lt;&gt;0,G2003&lt;&gt;1),AND(H2003&lt;&gt;"",H2003&lt;&gt;0,H2003&lt;&gt;1)),"Flags devem ser 0 ou 1",IF(AND(H2003=1,LEN(TRIM(I2003))=0),"Preencher nome do indicante",IF(AND(H2003&lt;&gt;1,I2003&lt;&gt;""),"Nome sem indicação interna",IF(AND(G2003=1,F2003=""),"Fechamento sem conversa",IF(OR(AND(E2003&lt;&gt;"",E2003&lt;B2003),AND(F2003&lt;&gt;"",F2003&lt;B2003)),"Evento anterior à entrada",IF(AND(F2003&lt;&gt;"",E2003=""),"Conversa sem agendamento",IF(OR(E2003&gt;TODAY(),F2003&gt;TODAY()),"Verificar evento futuro","OK"))))))))))</f>
        <v/>
      </c>
    </row>
    <row r="2004" spans="12:15">
      <c r="L2004" s="5">
        <f>IF(OR(A2004="",B2004=""),"",B2004-WEEKDAY(B2004,2)+1)</f>
        <v/>
      </c>
      <c r="M2004" s="5">
        <f>IF(L2004="","",L2004+6)</f>
        <v/>
      </c>
      <c r="N2004" s="6">
        <f>IF(OR(A2004="",B2004=""),"",DATE(YEAR(B2004),MONTH(B2004),1))</f>
        <v/>
      </c>
      <c r="O2004" s="7">
        <f>IF(COUNTA(A2004:K2004)=0,"",IF(OR(A2004="",B2004=""),"Preencher CPF e entrada",IF(COUNTIFS($A$12:$A$5011,A2004,$B$12:$B$5011,B2004)&gt;1,"CPF + dia duplicado",IF(OR(AND(G2004&lt;&gt;"",G2004&lt;&gt;0,G2004&lt;&gt;1),AND(H2004&lt;&gt;"",H2004&lt;&gt;0,H2004&lt;&gt;1)),"Flags devem ser 0 ou 1",IF(AND(H2004=1,LEN(TRIM(I2004))=0),"Preencher nome do indicante",IF(AND(H2004&lt;&gt;1,I2004&lt;&gt;""),"Nome sem indicação interna",IF(AND(G2004=1,F2004=""),"Fechamento sem conversa",IF(OR(AND(E2004&lt;&gt;"",E2004&lt;B2004),AND(F2004&lt;&gt;"",F2004&lt;B2004)),"Evento anterior à entrada",IF(AND(F2004&lt;&gt;"",E2004=""),"Conversa sem agendamento",IF(OR(E2004&gt;TODAY(),F2004&gt;TODAY()),"Verificar evento futuro","OK"))))))))))</f>
        <v/>
      </c>
    </row>
    <row r="2005" spans="12:15">
      <c r="L2005" s="5">
        <f>IF(OR(A2005="",B2005=""),"",B2005-WEEKDAY(B2005,2)+1)</f>
        <v/>
      </c>
      <c r="M2005" s="5">
        <f>IF(L2005="","",L2005+6)</f>
        <v/>
      </c>
      <c r="N2005" s="6">
        <f>IF(OR(A2005="",B2005=""),"",DATE(YEAR(B2005),MONTH(B2005),1))</f>
        <v/>
      </c>
      <c r="O2005" s="7">
        <f>IF(COUNTA(A2005:K2005)=0,"",IF(OR(A2005="",B2005=""),"Preencher CPF e entrada",IF(COUNTIFS($A$12:$A$5011,A2005,$B$12:$B$5011,B2005)&gt;1,"CPF + dia duplicado",IF(OR(AND(G2005&lt;&gt;"",G2005&lt;&gt;0,G2005&lt;&gt;1),AND(H2005&lt;&gt;"",H2005&lt;&gt;0,H2005&lt;&gt;1)),"Flags devem ser 0 ou 1",IF(AND(H2005=1,LEN(TRIM(I2005))=0),"Preencher nome do indicante",IF(AND(H2005&lt;&gt;1,I2005&lt;&gt;""),"Nome sem indicação interna",IF(AND(G2005=1,F2005=""),"Fechamento sem conversa",IF(OR(AND(E2005&lt;&gt;"",E2005&lt;B2005),AND(F2005&lt;&gt;"",F2005&lt;B2005)),"Evento anterior à entrada",IF(AND(F2005&lt;&gt;"",E2005=""),"Conversa sem agendamento",IF(OR(E2005&gt;TODAY(),F2005&gt;TODAY()),"Verificar evento futuro","OK"))))))))))</f>
        <v/>
      </c>
    </row>
    <row r="2006" spans="12:15">
      <c r="L2006" s="5">
        <f>IF(OR(A2006="",B2006=""),"",B2006-WEEKDAY(B2006,2)+1)</f>
        <v/>
      </c>
      <c r="M2006" s="5">
        <f>IF(L2006="","",L2006+6)</f>
        <v/>
      </c>
      <c r="N2006" s="6">
        <f>IF(OR(A2006="",B2006=""),"",DATE(YEAR(B2006),MONTH(B2006),1))</f>
        <v/>
      </c>
      <c r="O2006" s="7">
        <f>IF(COUNTA(A2006:K2006)=0,"",IF(OR(A2006="",B2006=""),"Preencher CPF e entrada",IF(COUNTIFS($A$12:$A$5011,A2006,$B$12:$B$5011,B2006)&gt;1,"CPF + dia duplicado",IF(OR(AND(G2006&lt;&gt;"",G2006&lt;&gt;0,G2006&lt;&gt;1),AND(H2006&lt;&gt;"",H2006&lt;&gt;0,H2006&lt;&gt;1)),"Flags devem ser 0 ou 1",IF(AND(H2006=1,LEN(TRIM(I2006))=0),"Preencher nome do indicante",IF(AND(H2006&lt;&gt;1,I2006&lt;&gt;""),"Nome sem indicação interna",IF(AND(G2006=1,F2006=""),"Fechamento sem conversa",IF(OR(AND(E2006&lt;&gt;"",E2006&lt;B2006),AND(F2006&lt;&gt;"",F2006&lt;B2006)),"Evento anterior à entrada",IF(AND(F2006&lt;&gt;"",E2006=""),"Conversa sem agendamento",IF(OR(E2006&gt;TODAY(),F2006&gt;TODAY()),"Verificar evento futuro","OK"))))))))))</f>
        <v/>
      </c>
    </row>
    <row r="2007" spans="12:15">
      <c r="L2007" s="5">
        <f>IF(OR(A2007="",B2007=""),"",B2007-WEEKDAY(B2007,2)+1)</f>
        <v/>
      </c>
      <c r="M2007" s="5">
        <f>IF(L2007="","",L2007+6)</f>
        <v/>
      </c>
      <c r="N2007" s="6">
        <f>IF(OR(A2007="",B2007=""),"",DATE(YEAR(B2007),MONTH(B2007),1))</f>
        <v/>
      </c>
      <c r="O2007" s="7">
        <f>IF(COUNTA(A2007:K2007)=0,"",IF(OR(A2007="",B2007=""),"Preencher CPF e entrada",IF(COUNTIFS($A$12:$A$5011,A2007,$B$12:$B$5011,B2007)&gt;1,"CPF + dia duplicado",IF(OR(AND(G2007&lt;&gt;"",G2007&lt;&gt;0,G2007&lt;&gt;1),AND(H2007&lt;&gt;"",H2007&lt;&gt;0,H2007&lt;&gt;1)),"Flags devem ser 0 ou 1",IF(AND(H2007=1,LEN(TRIM(I2007))=0),"Preencher nome do indicante",IF(AND(H2007&lt;&gt;1,I2007&lt;&gt;""),"Nome sem indicação interna",IF(AND(G2007=1,F2007=""),"Fechamento sem conversa",IF(OR(AND(E2007&lt;&gt;"",E2007&lt;B2007),AND(F2007&lt;&gt;"",F2007&lt;B2007)),"Evento anterior à entrada",IF(AND(F2007&lt;&gt;"",E2007=""),"Conversa sem agendamento",IF(OR(E2007&gt;TODAY(),F2007&gt;TODAY()),"Verificar evento futuro","OK"))))))))))</f>
        <v/>
      </c>
    </row>
    <row r="2008" spans="12:15">
      <c r="L2008" s="5">
        <f>IF(OR(A2008="",B2008=""),"",B2008-WEEKDAY(B2008,2)+1)</f>
        <v/>
      </c>
      <c r="M2008" s="5">
        <f>IF(L2008="","",L2008+6)</f>
        <v/>
      </c>
      <c r="N2008" s="6">
        <f>IF(OR(A2008="",B2008=""),"",DATE(YEAR(B2008),MONTH(B2008),1))</f>
        <v/>
      </c>
      <c r="O2008" s="7">
        <f>IF(COUNTA(A2008:K2008)=0,"",IF(OR(A2008="",B2008=""),"Preencher CPF e entrada",IF(COUNTIFS($A$12:$A$5011,A2008,$B$12:$B$5011,B2008)&gt;1,"CPF + dia duplicado",IF(OR(AND(G2008&lt;&gt;"",G2008&lt;&gt;0,G2008&lt;&gt;1),AND(H2008&lt;&gt;"",H2008&lt;&gt;0,H2008&lt;&gt;1)),"Flags devem ser 0 ou 1",IF(AND(H2008=1,LEN(TRIM(I2008))=0),"Preencher nome do indicante",IF(AND(H2008&lt;&gt;1,I2008&lt;&gt;""),"Nome sem indicação interna",IF(AND(G2008=1,F2008=""),"Fechamento sem conversa",IF(OR(AND(E2008&lt;&gt;"",E2008&lt;B2008),AND(F2008&lt;&gt;"",F2008&lt;B2008)),"Evento anterior à entrada",IF(AND(F2008&lt;&gt;"",E2008=""),"Conversa sem agendamento",IF(OR(E2008&gt;TODAY(),F2008&gt;TODAY()),"Verificar evento futuro","OK"))))))))))</f>
        <v/>
      </c>
    </row>
    <row r="2009" spans="12:15">
      <c r="L2009" s="5">
        <f>IF(OR(A2009="",B2009=""),"",B2009-WEEKDAY(B2009,2)+1)</f>
        <v/>
      </c>
      <c r="M2009" s="5">
        <f>IF(L2009="","",L2009+6)</f>
        <v/>
      </c>
      <c r="N2009" s="6">
        <f>IF(OR(A2009="",B2009=""),"",DATE(YEAR(B2009),MONTH(B2009),1))</f>
        <v/>
      </c>
      <c r="O2009" s="7">
        <f>IF(COUNTA(A2009:K2009)=0,"",IF(OR(A2009="",B2009=""),"Preencher CPF e entrada",IF(COUNTIFS($A$12:$A$5011,A2009,$B$12:$B$5011,B2009)&gt;1,"CPF + dia duplicado",IF(OR(AND(G2009&lt;&gt;"",G2009&lt;&gt;0,G2009&lt;&gt;1),AND(H2009&lt;&gt;"",H2009&lt;&gt;0,H2009&lt;&gt;1)),"Flags devem ser 0 ou 1",IF(AND(H2009=1,LEN(TRIM(I2009))=0),"Preencher nome do indicante",IF(AND(H2009&lt;&gt;1,I2009&lt;&gt;""),"Nome sem indicação interna",IF(AND(G2009=1,F2009=""),"Fechamento sem conversa",IF(OR(AND(E2009&lt;&gt;"",E2009&lt;B2009),AND(F2009&lt;&gt;"",F2009&lt;B2009)),"Evento anterior à entrada",IF(AND(F2009&lt;&gt;"",E2009=""),"Conversa sem agendamento",IF(OR(E2009&gt;TODAY(),F2009&gt;TODAY()),"Verificar evento futuro","OK"))))))))))</f>
        <v/>
      </c>
    </row>
    <row r="2010" spans="12:15">
      <c r="L2010" s="5">
        <f>IF(OR(A2010="",B2010=""),"",B2010-WEEKDAY(B2010,2)+1)</f>
        <v/>
      </c>
      <c r="M2010" s="5">
        <f>IF(L2010="","",L2010+6)</f>
        <v/>
      </c>
      <c r="N2010" s="6">
        <f>IF(OR(A2010="",B2010=""),"",DATE(YEAR(B2010),MONTH(B2010),1))</f>
        <v/>
      </c>
      <c r="O2010" s="7">
        <f>IF(COUNTA(A2010:K2010)=0,"",IF(OR(A2010="",B2010=""),"Preencher CPF e entrada",IF(COUNTIFS($A$12:$A$5011,A2010,$B$12:$B$5011,B2010)&gt;1,"CPF + dia duplicado",IF(OR(AND(G2010&lt;&gt;"",G2010&lt;&gt;0,G2010&lt;&gt;1),AND(H2010&lt;&gt;"",H2010&lt;&gt;0,H2010&lt;&gt;1)),"Flags devem ser 0 ou 1",IF(AND(H2010=1,LEN(TRIM(I2010))=0),"Preencher nome do indicante",IF(AND(H2010&lt;&gt;1,I2010&lt;&gt;""),"Nome sem indicação interna",IF(AND(G2010=1,F2010=""),"Fechamento sem conversa",IF(OR(AND(E2010&lt;&gt;"",E2010&lt;B2010),AND(F2010&lt;&gt;"",F2010&lt;B2010)),"Evento anterior à entrada",IF(AND(F2010&lt;&gt;"",E2010=""),"Conversa sem agendamento",IF(OR(E2010&gt;TODAY(),F2010&gt;TODAY()),"Verificar evento futuro","OK"))))))))))</f>
        <v/>
      </c>
    </row>
    <row r="2011" spans="12:15">
      <c r="L2011" s="5">
        <f>IF(OR(A2011="",B2011=""),"",B2011-WEEKDAY(B2011,2)+1)</f>
        <v/>
      </c>
      <c r="M2011" s="5">
        <f>IF(L2011="","",L2011+6)</f>
        <v/>
      </c>
      <c r="N2011" s="6">
        <f>IF(OR(A2011="",B2011=""),"",DATE(YEAR(B2011),MONTH(B2011),1))</f>
        <v/>
      </c>
      <c r="O2011" s="7">
        <f>IF(COUNTA(A2011:K2011)=0,"",IF(OR(A2011="",B2011=""),"Preencher CPF e entrada",IF(COUNTIFS($A$12:$A$5011,A2011,$B$12:$B$5011,B2011)&gt;1,"CPF + dia duplicado",IF(OR(AND(G2011&lt;&gt;"",G2011&lt;&gt;0,G2011&lt;&gt;1),AND(H2011&lt;&gt;"",H2011&lt;&gt;0,H2011&lt;&gt;1)),"Flags devem ser 0 ou 1",IF(AND(H2011=1,LEN(TRIM(I2011))=0),"Preencher nome do indicante",IF(AND(H2011&lt;&gt;1,I2011&lt;&gt;""),"Nome sem indicação interna",IF(AND(G2011=1,F2011=""),"Fechamento sem conversa",IF(OR(AND(E2011&lt;&gt;"",E2011&lt;B2011),AND(F2011&lt;&gt;"",F2011&lt;B2011)),"Evento anterior à entrada",IF(AND(F2011&lt;&gt;"",E2011=""),"Conversa sem agendamento",IF(OR(E2011&gt;TODAY(),F2011&gt;TODAY()),"Verificar evento futuro","OK"))))))))))</f>
        <v/>
      </c>
    </row>
    <row r="2012" spans="12:15">
      <c r="L2012" s="5">
        <f>IF(OR(A2012="",B2012=""),"",B2012-WEEKDAY(B2012,2)+1)</f>
        <v/>
      </c>
      <c r="M2012" s="5">
        <f>IF(L2012="","",L2012+6)</f>
        <v/>
      </c>
      <c r="N2012" s="6">
        <f>IF(OR(A2012="",B2012=""),"",DATE(YEAR(B2012),MONTH(B2012),1))</f>
        <v/>
      </c>
      <c r="O2012" s="7">
        <f>IF(COUNTA(A2012:K2012)=0,"",IF(OR(A2012="",B2012=""),"Preencher CPF e entrada",IF(COUNTIFS($A$12:$A$5011,A2012,$B$12:$B$5011,B2012)&gt;1,"CPF + dia duplicado",IF(OR(AND(G2012&lt;&gt;"",G2012&lt;&gt;0,G2012&lt;&gt;1),AND(H2012&lt;&gt;"",H2012&lt;&gt;0,H2012&lt;&gt;1)),"Flags devem ser 0 ou 1",IF(AND(H2012=1,LEN(TRIM(I2012))=0),"Preencher nome do indicante",IF(AND(H2012&lt;&gt;1,I2012&lt;&gt;""),"Nome sem indicação interna",IF(AND(G2012=1,F2012=""),"Fechamento sem conversa",IF(OR(AND(E2012&lt;&gt;"",E2012&lt;B2012),AND(F2012&lt;&gt;"",F2012&lt;B2012)),"Evento anterior à entrada",IF(AND(F2012&lt;&gt;"",E2012=""),"Conversa sem agendamento",IF(OR(E2012&gt;TODAY(),F2012&gt;TODAY()),"Verificar evento futuro","OK"))))))))))</f>
        <v/>
      </c>
    </row>
    <row r="2013" spans="12:15">
      <c r="L2013" s="5">
        <f>IF(OR(A2013="",B2013=""),"",B2013-WEEKDAY(B2013,2)+1)</f>
        <v/>
      </c>
      <c r="M2013" s="5">
        <f>IF(L2013="","",L2013+6)</f>
        <v/>
      </c>
      <c r="N2013" s="6">
        <f>IF(OR(A2013="",B2013=""),"",DATE(YEAR(B2013),MONTH(B2013),1))</f>
        <v/>
      </c>
      <c r="O2013" s="7">
        <f>IF(COUNTA(A2013:K2013)=0,"",IF(OR(A2013="",B2013=""),"Preencher CPF e entrada",IF(COUNTIFS($A$12:$A$5011,A2013,$B$12:$B$5011,B2013)&gt;1,"CPF + dia duplicado",IF(OR(AND(G2013&lt;&gt;"",G2013&lt;&gt;0,G2013&lt;&gt;1),AND(H2013&lt;&gt;"",H2013&lt;&gt;0,H2013&lt;&gt;1)),"Flags devem ser 0 ou 1",IF(AND(H2013=1,LEN(TRIM(I2013))=0),"Preencher nome do indicante",IF(AND(H2013&lt;&gt;1,I2013&lt;&gt;""),"Nome sem indicação interna",IF(AND(G2013=1,F2013=""),"Fechamento sem conversa",IF(OR(AND(E2013&lt;&gt;"",E2013&lt;B2013),AND(F2013&lt;&gt;"",F2013&lt;B2013)),"Evento anterior à entrada",IF(AND(F2013&lt;&gt;"",E2013=""),"Conversa sem agendamento",IF(OR(E2013&gt;TODAY(),F2013&gt;TODAY()),"Verificar evento futuro","OK"))))))))))</f>
        <v/>
      </c>
    </row>
    <row r="2014" spans="12:15">
      <c r="L2014" s="5">
        <f>IF(OR(A2014="",B2014=""),"",B2014-WEEKDAY(B2014,2)+1)</f>
        <v/>
      </c>
      <c r="M2014" s="5">
        <f>IF(L2014="","",L2014+6)</f>
        <v/>
      </c>
      <c r="N2014" s="6">
        <f>IF(OR(A2014="",B2014=""),"",DATE(YEAR(B2014),MONTH(B2014),1))</f>
        <v/>
      </c>
      <c r="O2014" s="7">
        <f>IF(COUNTA(A2014:K2014)=0,"",IF(OR(A2014="",B2014=""),"Preencher CPF e entrada",IF(COUNTIFS($A$12:$A$5011,A2014,$B$12:$B$5011,B2014)&gt;1,"CPF + dia duplicado",IF(OR(AND(G2014&lt;&gt;"",G2014&lt;&gt;0,G2014&lt;&gt;1),AND(H2014&lt;&gt;"",H2014&lt;&gt;0,H2014&lt;&gt;1)),"Flags devem ser 0 ou 1",IF(AND(H2014=1,LEN(TRIM(I2014))=0),"Preencher nome do indicante",IF(AND(H2014&lt;&gt;1,I2014&lt;&gt;""),"Nome sem indicação interna",IF(AND(G2014=1,F2014=""),"Fechamento sem conversa",IF(OR(AND(E2014&lt;&gt;"",E2014&lt;B2014),AND(F2014&lt;&gt;"",F2014&lt;B2014)),"Evento anterior à entrada",IF(AND(F2014&lt;&gt;"",E2014=""),"Conversa sem agendamento",IF(OR(E2014&gt;TODAY(),F2014&gt;TODAY()),"Verificar evento futuro","OK"))))))))))</f>
        <v/>
      </c>
    </row>
    <row r="2015" spans="12:15">
      <c r="L2015" s="5">
        <f>IF(OR(A2015="",B2015=""),"",B2015-WEEKDAY(B2015,2)+1)</f>
        <v/>
      </c>
      <c r="M2015" s="5">
        <f>IF(L2015="","",L2015+6)</f>
        <v/>
      </c>
      <c r="N2015" s="6">
        <f>IF(OR(A2015="",B2015=""),"",DATE(YEAR(B2015),MONTH(B2015),1))</f>
        <v/>
      </c>
      <c r="O2015" s="7">
        <f>IF(COUNTA(A2015:K2015)=0,"",IF(OR(A2015="",B2015=""),"Preencher CPF e entrada",IF(COUNTIFS($A$12:$A$5011,A2015,$B$12:$B$5011,B2015)&gt;1,"CPF + dia duplicado",IF(OR(AND(G2015&lt;&gt;"",G2015&lt;&gt;0,G2015&lt;&gt;1),AND(H2015&lt;&gt;"",H2015&lt;&gt;0,H2015&lt;&gt;1)),"Flags devem ser 0 ou 1",IF(AND(H2015=1,LEN(TRIM(I2015))=0),"Preencher nome do indicante",IF(AND(H2015&lt;&gt;1,I2015&lt;&gt;""),"Nome sem indicação interna",IF(AND(G2015=1,F2015=""),"Fechamento sem conversa",IF(OR(AND(E2015&lt;&gt;"",E2015&lt;B2015),AND(F2015&lt;&gt;"",F2015&lt;B2015)),"Evento anterior à entrada",IF(AND(F2015&lt;&gt;"",E2015=""),"Conversa sem agendamento",IF(OR(E2015&gt;TODAY(),F2015&gt;TODAY()),"Verificar evento futuro","OK"))))))))))</f>
        <v/>
      </c>
    </row>
    <row r="2016" spans="12:15">
      <c r="L2016" s="5">
        <f>IF(OR(A2016="",B2016=""),"",B2016-WEEKDAY(B2016,2)+1)</f>
        <v/>
      </c>
      <c r="M2016" s="5">
        <f>IF(L2016="","",L2016+6)</f>
        <v/>
      </c>
      <c r="N2016" s="6">
        <f>IF(OR(A2016="",B2016=""),"",DATE(YEAR(B2016),MONTH(B2016),1))</f>
        <v/>
      </c>
      <c r="O2016" s="7">
        <f>IF(COUNTA(A2016:K2016)=0,"",IF(OR(A2016="",B2016=""),"Preencher CPF e entrada",IF(COUNTIFS($A$12:$A$5011,A2016,$B$12:$B$5011,B2016)&gt;1,"CPF + dia duplicado",IF(OR(AND(G2016&lt;&gt;"",G2016&lt;&gt;0,G2016&lt;&gt;1),AND(H2016&lt;&gt;"",H2016&lt;&gt;0,H2016&lt;&gt;1)),"Flags devem ser 0 ou 1",IF(AND(H2016=1,LEN(TRIM(I2016))=0),"Preencher nome do indicante",IF(AND(H2016&lt;&gt;1,I2016&lt;&gt;""),"Nome sem indicação interna",IF(AND(G2016=1,F2016=""),"Fechamento sem conversa",IF(OR(AND(E2016&lt;&gt;"",E2016&lt;B2016),AND(F2016&lt;&gt;"",F2016&lt;B2016)),"Evento anterior à entrada",IF(AND(F2016&lt;&gt;"",E2016=""),"Conversa sem agendamento",IF(OR(E2016&gt;TODAY(),F2016&gt;TODAY()),"Verificar evento futuro","OK"))))))))))</f>
        <v/>
      </c>
    </row>
    <row r="2017" spans="12:15">
      <c r="L2017" s="5">
        <f>IF(OR(A2017="",B2017=""),"",B2017-WEEKDAY(B2017,2)+1)</f>
        <v/>
      </c>
      <c r="M2017" s="5">
        <f>IF(L2017="","",L2017+6)</f>
        <v/>
      </c>
      <c r="N2017" s="6">
        <f>IF(OR(A2017="",B2017=""),"",DATE(YEAR(B2017),MONTH(B2017),1))</f>
        <v/>
      </c>
      <c r="O2017" s="7">
        <f>IF(COUNTA(A2017:K2017)=0,"",IF(OR(A2017="",B2017=""),"Preencher CPF e entrada",IF(COUNTIFS($A$12:$A$5011,A2017,$B$12:$B$5011,B2017)&gt;1,"CPF + dia duplicado",IF(OR(AND(G2017&lt;&gt;"",G2017&lt;&gt;0,G2017&lt;&gt;1),AND(H2017&lt;&gt;"",H2017&lt;&gt;0,H2017&lt;&gt;1)),"Flags devem ser 0 ou 1",IF(AND(H2017=1,LEN(TRIM(I2017))=0),"Preencher nome do indicante",IF(AND(H2017&lt;&gt;1,I2017&lt;&gt;""),"Nome sem indicação interna",IF(AND(G2017=1,F2017=""),"Fechamento sem conversa",IF(OR(AND(E2017&lt;&gt;"",E2017&lt;B2017),AND(F2017&lt;&gt;"",F2017&lt;B2017)),"Evento anterior à entrada",IF(AND(F2017&lt;&gt;"",E2017=""),"Conversa sem agendamento",IF(OR(E2017&gt;TODAY(),F2017&gt;TODAY()),"Verificar evento futuro","OK"))))))))))</f>
        <v/>
      </c>
    </row>
    <row r="2018" spans="12:15">
      <c r="L2018" s="5">
        <f>IF(OR(A2018="",B2018=""),"",B2018-WEEKDAY(B2018,2)+1)</f>
        <v/>
      </c>
      <c r="M2018" s="5">
        <f>IF(L2018="","",L2018+6)</f>
        <v/>
      </c>
      <c r="N2018" s="6">
        <f>IF(OR(A2018="",B2018=""),"",DATE(YEAR(B2018),MONTH(B2018),1))</f>
        <v/>
      </c>
      <c r="O2018" s="7">
        <f>IF(COUNTA(A2018:K2018)=0,"",IF(OR(A2018="",B2018=""),"Preencher CPF e entrada",IF(COUNTIFS($A$12:$A$5011,A2018,$B$12:$B$5011,B2018)&gt;1,"CPF + dia duplicado",IF(OR(AND(G2018&lt;&gt;"",G2018&lt;&gt;0,G2018&lt;&gt;1),AND(H2018&lt;&gt;"",H2018&lt;&gt;0,H2018&lt;&gt;1)),"Flags devem ser 0 ou 1",IF(AND(H2018=1,LEN(TRIM(I2018))=0),"Preencher nome do indicante",IF(AND(H2018&lt;&gt;1,I2018&lt;&gt;""),"Nome sem indicação interna",IF(AND(G2018=1,F2018=""),"Fechamento sem conversa",IF(OR(AND(E2018&lt;&gt;"",E2018&lt;B2018),AND(F2018&lt;&gt;"",F2018&lt;B2018)),"Evento anterior à entrada",IF(AND(F2018&lt;&gt;"",E2018=""),"Conversa sem agendamento",IF(OR(E2018&gt;TODAY(),F2018&gt;TODAY()),"Verificar evento futuro","OK"))))))))))</f>
        <v/>
      </c>
    </row>
    <row r="2019" spans="12:15">
      <c r="L2019" s="5">
        <f>IF(OR(A2019="",B2019=""),"",B2019-WEEKDAY(B2019,2)+1)</f>
        <v/>
      </c>
      <c r="M2019" s="5">
        <f>IF(L2019="","",L2019+6)</f>
        <v/>
      </c>
      <c r="N2019" s="6">
        <f>IF(OR(A2019="",B2019=""),"",DATE(YEAR(B2019),MONTH(B2019),1))</f>
        <v/>
      </c>
      <c r="O2019" s="7">
        <f>IF(COUNTA(A2019:K2019)=0,"",IF(OR(A2019="",B2019=""),"Preencher CPF e entrada",IF(COUNTIFS($A$12:$A$5011,A2019,$B$12:$B$5011,B2019)&gt;1,"CPF + dia duplicado",IF(OR(AND(G2019&lt;&gt;"",G2019&lt;&gt;0,G2019&lt;&gt;1),AND(H2019&lt;&gt;"",H2019&lt;&gt;0,H2019&lt;&gt;1)),"Flags devem ser 0 ou 1",IF(AND(H2019=1,LEN(TRIM(I2019))=0),"Preencher nome do indicante",IF(AND(H2019&lt;&gt;1,I2019&lt;&gt;""),"Nome sem indicação interna",IF(AND(G2019=1,F2019=""),"Fechamento sem conversa",IF(OR(AND(E2019&lt;&gt;"",E2019&lt;B2019),AND(F2019&lt;&gt;"",F2019&lt;B2019)),"Evento anterior à entrada",IF(AND(F2019&lt;&gt;"",E2019=""),"Conversa sem agendamento",IF(OR(E2019&gt;TODAY(),F2019&gt;TODAY()),"Verificar evento futuro","OK"))))))))))</f>
        <v/>
      </c>
    </row>
    <row r="2020" spans="12:15">
      <c r="L2020" s="5">
        <f>IF(OR(A2020="",B2020=""),"",B2020-WEEKDAY(B2020,2)+1)</f>
        <v/>
      </c>
      <c r="M2020" s="5">
        <f>IF(L2020="","",L2020+6)</f>
        <v/>
      </c>
      <c r="N2020" s="6">
        <f>IF(OR(A2020="",B2020=""),"",DATE(YEAR(B2020),MONTH(B2020),1))</f>
        <v/>
      </c>
      <c r="O2020" s="7">
        <f>IF(COUNTA(A2020:K2020)=0,"",IF(OR(A2020="",B2020=""),"Preencher CPF e entrada",IF(COUNTIFS($A$12:$A$5011,A2020,$B$12:$B$5011,B2020)&gt;1,"CPF + dia duplicado",IF(OR(AND(G2020&lt;&gt;"",G2020&lt;&gt;0,G2020&lt;&gt;1),AND(H2020&lt;&gt;"",H2020&lt;&gt;0,H2020&lt;&gt;1)),"Flags devem ser 0 ou 1",IF(AND(H2020=1,LEN(TRIM(I2020))=0),"Preencher nome do indicante",IF(AND(H2020&lt;&gt;1,I2020&lt;&gt;""),"Nome sem indicação interna",IF(AND(G2020=1,F2020=""),"Fechamento sem conversa",IF(OR(AND(E2020&lt;&gt;"",E2020&lt;B2020),AND(F2020&lt;&gt;"",F2020&lt;B2020)),"Evento anterior à entrada",IF(AND(F2020&lt;&gt;"",E2020=""),"Conversa sem agendamento",IF(OR(E2020&gt;TODAY(),F2020&gt;TODAY()),"Verificar evento futuro","OK"))))))))))</f>
        <v/>
      </c>
    </row>
    <row r="2021" spans="12:15">
      <c r="L2021" s="5">
        <f>IF(OR(A2021="",B2021=""),"",B2021-WEEKDAY(B2021,2)+1)</f>
        <v/>
      </c>
      <c r="M2021" s="5">
        <f>IF(L2021="","",L2021+6)</f>
        <v/>
      </c>
      <c r="N2021" s="6">
        <f>IF(OR(A2021="",B2021=""),"",DATE(YEAR(B2021),MONTH(B2021),1))</f>
        <v/>
      </c>
      <c r="O2021" s="7">
        <f>IF(COUNTA(A2021:K2021)=0,"",IF(OR(A2021="",B2021=""),"Preencher CPF e entrada",IF(COUNTIFS($A$12:$A$5011,A2021,$B$12:$B$5011,B2021)&gt;1,"CPF + dia duplicado",IF(OR(AND(G2021&lt;&gt;"",G2021&lt;&gt;0,G2021&lt;&gt;1),AND(H2021&lt;&gt;"",H2021&lt;&gt;0,H2021&lt;&gt;1)),"Flags devem ser 0 ou 1",IF(AND(H2021=1,LEN(TRIM(I2021))=0),"Preencher nome do indicante",IF(AND(H2021&lt;&gt;1,I2021&lt;&gt;""),"Nome sem indicação interna",IF(AND(G2021=1,F2021=""),"Fechamento sem conversa",IF(OR(AND(E2021&lt;&gt;"",E2021&lt;B2021),AND(F2021&lt;&gt;"",F2021&lt;B2021)),"Evento anterior à entrada",IF(AND(F2021&lt;&gt;"",E2021=""),"Conversa sem agendamento",IF(OR(E2021&gt;TODAY(),F2021&gt;TODAY()),"Verificar evento futuro","OK"))))))))))</f>
        <v/>
      </c>
    </row>
    <row r="2022" spans="12:15">
      <c r="L2022" s="5">
        <f>IF(OR(A2022="",B2022=""),"",B2022-WEEKDAY(B2022,2)+1)</f>
        <v/>
      </c>
      <c r="M2022" s="5">
        <f>IF(L2022="","",L2022+6)</f>
        <v/>
      </c>
      <c r="N2022" s="6">
        <f>IF(OR(A2022="",B2022=""),"",DATE(YEAR(B2022),MONTH(B2022),1))</f>
        <v/>
      </c>
      <c r="O2022" s="7">
        <f>IF(COUNTA(A2022:K2022)=0,"",IF(OR(A2022="",B2022=""),"Preencher CPF e entrada",IF(COUNTIFS($A$12:$A$5011,A2022,$B$12:$B$5011,B2022)&gt;1,"CPF + dia duplicado",IF(OR(AND(G2022&lt;&gt;"",G2022&lt;&gt;0,G2022&lt;&gt;1),AND(H2022&lt;&gt;"",H2022&lt;&gt;0,H2022&lt;&gt;1)),"Flags devem ser 0 ou 1",IF(AND(H2022=1,LEN(TRIM(I2022))=0),"Preencher nome do indicante",IF(AND(H2022&lt;&gt;1,I2022&lt;&gt;""),"Nome sem indicação interna",IF(AND(G2022=1,F2022=""),"Fechamento sem conversa",IF(OR(AND(E2022&lt;&gt;"",E2022&lt;B2022),AND(F2022&lt;&gt;"",F2022&lt;B2022)),"Evento anterior à entrada",IF(AND(F2022&lt;&gt;"",E2022=""),"Conversa sem agendamento",IF(OR(E2022&gt;TODAY(),F2022&gt;TODAY()),"Verificar evento futuro","OK"))))))))))</f>
        <v/>
      </c>
    </row>
    <row r="2023" spans="12:15">
      <c r="L2023" s="5">
        <f>IF(OR(A2023="",B2023=""),"",B2023-WEEKDAY(B2023,2)+1)</f>
        <v/>
      </c>
      <c r="M2023" s="5">
        <f>IF(L2023="","",L2023+6)</f>
        <v/>
      </c>
      <c r="N2023" s="6">
        <f>IF(OR(A2023="",B2023=""),"",DATE(YEAR(B2023),MONTH(B2023),1))</f>
        <v/>
      </c>
      <c r="O2023" s="7">
        <f>IF(COUNTA(A2023:K2023)=0,"",IF(OR(A2023="",B2023=""),"Preencher CPF e entrada",IF(COUNTIFS($A$12:$A$5011,A2023,$B$12:$B$5011,B2023)&gt;1,"CPF + dia duplicado",IF(OR(AND(G2023&lt;&gt;"",G2023&lt;&gt;0,G2023&lt;&gt;1),AND(H2023&lt;&gt;"",H2023&lt;&gt;0,H2023&lt;&gt;1)),"Flags devem ser 0 ou 1",IF(AND(H2023=1,LEN(TRIM(I2023))=0),"Preencher nome do indicante",IF(AND(H2023&lt;&gt;1,I2023&lt;&gt;""),"Nome sem indicação interna",IF(AND(G2023=1,F2023=""),"Fechamento sem conversa",IF(OR(AND(E2023&lt;&gt;"",E2023&lt;B2023),AND(F2023&lt;&gt;"",F2023&lt;B2023)),"Evento anterior à entrada",IF(AND(F2023&lt;&gt;"",E2023=""),"Conversa sem agendamento",IF(OR(E2023&gt;TODAY(),F2023&gt;TODAY()),"Verificar evento futuro","OK"))))))))))</f>
        <v/>
      </c>
    </row>
    <row r="2024" spans="12:15">
      <c r="L2024" s="5">
        <f>IF(OR(A2024="",B2024=""),"",B2024-WEEKDAY(B2024,2)+1)</f>
        <v/>
      </c>
      <c r="M2024" s="5">
        <f>IF(L2024="","",L2024+6)</f>
        <v/>
      </c>
      <c r="N2024" s="6">
        <f>IF(OR(A2024="",B2024=""),"",DATE(YEAR(B2024),MONTH(B2024),1))</f>
        <v/>
      </c>
      <c r="O2024" s="7">
        <f>IF(COUNTA(A2024:K2024)=0,"",IF(OR(A2024="",B2024=""),"Preencher CPF e entrada",IF(COUNTIFS($A$12:$A$5011,A2024,$B$12:$B$5011,B2024)&gt;1,"CPF + dia duplicado",IF(OR(AND(G2024&lt;&gt;"",G2024&lt;&gt;0,G2024&lt;&gt;1),AND(H2024&lt;&gt;"",H2024&lt;&gt;0,H2024&lt;&gt;1)),"Flags devem ser 0 ou 1",IF(AND(H2024=1,LEN(TRIM(I2024))=0),"Preencher nome do indicante",IF(AND(H2024&lt;&gt;1,I2024&lt;&gt;""),"Nome sem indicação interna",IF(AND(G2024=1,F2024=""),"Fechamento sem conversa",IF(OR(AND(E2024&lt;&gt;"",E2024&lt;B2024),AND(F2024&lt;&gt;"",F2024&lt;B2024)),"Evento anterior à entrada",IF(AND(F2024&lt;&gt;"",E2024=""),"Conversa sem agendamento",IF(OR(E2024&gt;TODAY(),F2024&gt;TODAY()),"Verificar evento futuro","OK"))))))))))</f>
        <v/>
      </c>
    </row>
    <row r="2025" spans="12:15">
      <c r="L2025" s="5">
        <f>IF(OR(A2025="",B2025=""),"",B2025-WEEKDAY(B2025,2)+1)</f>
        <v/>
      </c>
      <c r="M2025" s="5">
        <f>IF(L2025="","",L2025+6)</f>
        <v/>
      </c>
      <c r="N2025" s="6">
        <f>IF(OR(A2025="",B2025=""),"",DATE(YEAR(B2025),MONTH(B2025),1))</f>
        <v/>
      </c>
      <c r="O2025" s="7">
        <f>IF(COUNTA(A2025:K2025)=0,"",IF(OR(A2025="",B2025=""),"Preencher CPF e entrada",IF(COUNTIFS($A$12:$A$5011,A2025,$B$12:$B$5011,B2025)&gt;1,"CPF + dia duplicado",IF(OR(AND(G2025&lt;&gt;"",G2025&lt;&gt;0,G2025&lt;&gt;1),AND(H2025&lt;&gt;"",H2025&lt;&gt;0,H2025&lt;&gt;1)),"Flags devem ser 0 ou 1",IF(AND(H2025=1,LEN(TRIM(I2025))=0),"Preencher nome do indicante",IF(AND(H2025&lt;&gt;1,I2025&lt;&gt;""),"Nome sem indicação interna",IF(AND(G2025=1,F2025=""),"Fechamento sem conversa",IF(OR(AND(E2025&lt;&gt;"",E2025&lt;B2025),AND(F2025&lt;&gt;"",F2025&lt;B2025)),"Evento anterior à entrada",IF(AND(F2025&lt;&gt;"",E2025=""),"Conversa sem agendamento",IF(OR(E2025&gt;TODAY(),F2025&gt;TODAY()),"Verificar evento futuro","OK"))))))))))</f>
        <v/>
      </c>
    </row>
    <row r="2026" spans="12:15">
      <c r="L2026" s="5">
        <f>IF(OR(A2026="",B2026=""),"",B2026-WEEKDAY(B2026,2)+1)</f>
        <v/>
      </c>
      <c r="M2026" s="5">
        <f>IF(L2026="","",L2026+6)</f>
        <v/>
      </c>
      <c r="N2026" s="6">
        <f>IF(OR(A2026="",B2026=""),"",DATE(YEAR(B2026),MONTH(B2026),1))</f>
        <v/>
      </c>
      <c r="O2026" s="7">
        <f>IF(COUNTA(A2026:K2026)=0,"",IF(OR(A2026="",B2026=""),"Preencher CPF e entrada",IF(COUNTIFS($A$12:$A$5011,A2026,$B$12:$B$5011,B2026)&gt;1,"CPF + dia duplicado",IF(OR(AND(G2026&lt;&gt;"",G2026&lt;&gt;0,G2026&lt;&gt;1),AND(H2026&lt;&gt;"",H2026&lt;&gt;0,H2026&lt;&gt;1)),"Flags devem ser 0 ou 1",IF(AND(H2026=1,LEN(TRIM(I2026))=0),"Preencher nome do indicante",IF(AND(H2026&lt;&gt;1,I2026&lt;&gt;""),"Nome sem indicação interna",IF(AND(G2026=1,F2026=""),"Fechamento sem conversa",IF(OR(AND(E2026&lt;&gt;"",E2026&lt;B2026),AND(F2026&lt;&gt;"",F2026&lt;B2026)),"Evento anterior à entrada",IF(AND(F2026&lt;&gt;"",E2026=""),"Conversa sem agendamento",IF(OR(E2026&gt;TODAY(),F2026&gt;TODAY()),"Verificar evento futuro","OK"))))))))))</f>
        <v/>
      </c>
    </row>
    <row r="2027" spans="12:15">
      <c r="L2027" s="5">
        <f>IF(OR(A2027="",B2027=""),"",B2027-WEEKDAY(B2027,2)+1)</f>
        <v/>
      </c>
      <c r="M2027" s="5">
        <f>IF(L2027="","",L2027+6)</f>
        <v/>
      </c>
      <c r="N2027" s="6">
        <f>IF(OR(A2027="",B2027=""),"",DATE(YEAR(B2027),MONTH(B2027),1))</f>
        <v/>
      </c>
      <c r="O2027" s="7">
        <f>IF(COUNTA(A2027:K2027)=0,"",IF(OR(A2027="",B2027=""),"Preencher CPF e entrada",IF(COUNTIFS($A$12:$A$5011,A2027,$B$12:$B$5011,B2027)&gt;1,"CPF + dia duplicado",IF(OR(AND(G2027&lt;&gt;"",G2027&lt;&gt;0,G2027&lt;&gt;1),AND(H2027&lt;&gt;"",H2027&lt;&gt;0,H2027&lt;&gt;1)),"Flags devem ser 0 ou 1",IF(AND(H2027=1,LEN(TRIM(I2027))=0),"Preencher nome do indicante",IF(AND(H2027&lt;&gt;1,I2027&lt;&gt;""),"Nome sem indicação interna",IF(AND(G2027=1,F2027=""),"Fechamento sem conversa",IF(OR(AND(E2027&lt;&gt;"",E2027&lt;B2027),AND(F2027&lt;&gt;"",F2027&lt;B2027)),"Evento anterior à entrada",IF(AND(F2027&lt;&gt;"",E2027=""),"Conversa sem agendamento",IF(OR(E2027&gt;TODAY(),F2027&gt;TODAY()),"Verificar evento futuro","OK"))))))))))</f>
        <v/>
      </c>
    </row>
    <row r="2028" spans="12:15">
      <c r="L2028" s="5">
        <f>IF(OR(A2028="",B2028=""),"",B2028-WEEKDAY(B2028,2)+1)</f>
        <v/>
      </c>
      <c r="M2028" s="5">
        <f>IF(L2028="","",L2028+6)</f>
        <v/>
      </c>
      <c r="N2028" s="6">
        <f>IF(OR(A2028="",B2028=""),"",DATE(YEAR(B2028),MONTH(B2028),1))</f>
        <v/>
      </c>
      <c r="O2028" s="7">
        <f>IF(COUNTA(A2028:K2028)=0,"",IF(OR(A2028="",B2028=""),"Preencher CPF e entrada",IF(COUNTIFS($A$12:$A$5011,A2028,$B$12:$B$5011,B2028)&gt;1,"CPF + dia duplicado",IF(OR(AND(G2028&lt;&gt;"",G2028&lt;&gt;0,G2028&lt;&gt;1),AND(H2028&lt;&gt;"",H2028&lt;&gt;0,H2028&lt;&gt;1)),"Flags devem ser 0 ou 1",IF(AND(H2028=1,LEN(TRIM(I2028))=0),"Preencher nome do indicante",IF(AND(H2028&lt;&gt;1,I2028&lt;&gt;""),"Nome sem indicação interna",IF(AND(G2028=1,F2028=""),"Fechamento sem conversa",IF(OR(AND(E2028&lt;&gt;"",E2028&lt;B2028),AND(F2028&lt;&gt;"",F2028&lt;B2028)),"Evento anterior à entrada",IF(AND(F2028&lt;&gt;"",E2028=""),"Conversa sem agendamento",IF(OR(E2028&gt;TODAY(),F2028&gt;TODAY()),"Verificar evento futuro","OK"))))))))))</f>
        <v/>
      </c>
    </row>
    <row r="2029" spans="12:15">
      <c r="L2029" s="5">
        <f>IF(OR(A2029="",B2029=""),"",B2029-WEEKDAY(B2029,2)+1)</f>
        <v/>
      </c>
      <c r="M2029" s="5">
        <f>IF(L2029="","",L2029+6)</f>
        <v/>
      </c>
      <c r="N2029" s="6">
        <f>IF(OR(A2029="",B2029=""),"",DATE(YEAR(B2029),MONTH(B2029),1))</f>
        <v/>
      </c>
      <c r="O2029" s="7">
        <f>IF(COUNTA(A2029:K2029)=0,"",IF(OR(A2029="",B2029=""),"Preencher CPF e entrada",IF(COUNTIFS($A$12:$A$5011,A2029,$B$12:$B$5011,B2029)&gt;1,"CPF + dia duplicado",IF(OR(AND(G2029&lt;&gt;"",G2029&lt;&gt;0,G2029&lt;&gt;1),AND(H2029&lt;&gt;"",H2029&lt;&gt;0,H2029&lt;&gt;1)),"Flags devem ser 0 ou 1",IF(AND(H2029=1,LEN(TRIM(I2029))=0),"Preencher nome do indicante",IF(AND(H2029&lt;&gt;1,I2029&lt;&gt;""),"Nome sem indicação interna",IF(AND(G2029=1,F2029=""),"Fechamento sem conversa",IF(OR(AND(E2029&lt;&gt;"",E2029&lt;B2029),AND(F2029&lt;&gt;"",F2029&lt;B2029)),"Evento anterior à entrada",IF(AND(F2029&lt;&gt;"",E2029=""),"Conversa sem agendamento",IF(OR(E2029&gt;TODAY(),F2029&gt;TODAY()),"Verificar evento futuro","OK"))))))))))</f>
        <v/>
      </c>
    </row>
    <row r="2030" spans="12:15">
      <c r="L2030" s="5">
        <f>IF(OR(A2030="",B2030=""),"",B2030-WEEKDAY(B2030,2)+1)</f>
        <v/>
      </c>
      <c r="M2030" s="5">
        <f>IF(L2030="","",L2030+6)</f>
        <v/>
      </c>
      <c r="N2030" s="6">
        <f>IF(OR(A2030="",B2030=""),"",DATE(YEAR(B2030),MONTH(B2030),1))</f>
        <v/>
      </c>
      <c r="O2030" s="7">
        <f>IF(COUNTA(A2030:K2030)=0,"",IF(OR(A2030="",B2030=""),"Preencher CPF e entrada",IF(COUNTIFS($A$12:$A$5011,A2030,$B$12:$B$5011,B2030)&gt;1,"CPF + dia duplicado",IF(OR(AND(G2030&lt;&gt;"",G2030&lt;&gt;0,G2030&lt;&gt;1),AND(H2030&lt;&gt;"",H2030&lt;&gt;0,H2030&lt;&gt;1)),"Flags devem ser 0 ou 1",IF(AND(H2030=1,LEN(TRIM(I2030))=0),"Preencher nome do indicante",IF(AND(H2030&lt;&gt;1,I2030&lt;&gt;""),"Nome sem indicação interna",IF(AND(G2030=1,F2030=""),"Fechamento sem conversa",IF(OR(AND(E2030&lt;&gt;"",E2030&lt;B2030),AND(F2030&lt;&gt;"",F2030&lt;B2030)),"Evento anterior à entrada",IF(AND(F2030&lt;&gt;"",E2030=""),"Conversa sem agendamento",IF(OR(E2030&gt;TODAY(),F2030&gt;TODAY()),"Verificar evento futuro","OK"))))))))))</f>
        <v/>
      </c>
    </row>
    <row r="2031" spans="12:15">
      <c r="L2031" s="5">
        <f>IF(OR(A2031="",B2031=""),"",B2031-WEEKDAY(B2031,2)+1)</f>
        <v/>
      </c>
      <c r="M2031" s="5">
        <f>IF(L2031="","",L2031+6)</f>
        <v/>
      </c>
      <c r="N2031" s="6">
        <f>IF(OR(A2031="",B2031=""),"",DATE(YEAR(B2031),MONTH(B2031),1))</f>
        <v/>
      </c>
      <c r="O2031" s="7">
        <f>IF(COUNTA(A2031:K2031)=0,"",IF(OR(A2031="",B2031=""),"Preencher CPF e entrada",IF(COUNTIFS($A$12:$A$5011,A2031,$B$12:$B$5011,B2031)&gt;1,"CPF + dia duplicado",IF(OR(AND(G2031&lt;&gt;"",G2031&lt;&gt;0,G2031&lt;&gt;1),AND(H2031&lt;&gt;"",H2031&lt;&gt;0,H2031&lt;&gt;1)),"Flags devem ser 0 ou 1",IF(AND(H2031=1,LEN(TRIM(I2031))=0),"Preencher nome do indicante",IF(AND(H2031&lt;&gt;1,I2031&lt;&gt;""),"Nome sem indicação interna",IF(AND(G2031=1,F2031=""),"Fechamento sem conversa",IF(OR(AND(E2031&lt;&gt;"",E2031&lt;B2031),AND(F2031&lt;&gt;"",F2031&lt;B2031)),"Evento anterior à entrada",IF(AND(F2031&lt;&gt;"",E2031=""),"Conversa sem agendamento",IF(OR(E2031&gt;TODAY(),F2031&gt;TODAY()),"Verificar evento futuro","OK"))))))))))</f>
        <v/>
      </c>
    </row>
    <row r="2032" spans="12:15">
      <c r="L2032" s="5">
        <f>IF(OR(A2032="",B2032=""),"",B2032-WEEKDAY(B2032,2)+1)</f>
        <v/>
      </c>
      <c r="M2032" s="5">
        <f>IF(L2032="","",L2032+6)</f>
        <v/>
      </c>
      <c r="N2032" s="6">
        <f>IF(OR(A2032="",B2032=""),"",DATE(YEAR(B2032),MONTH(B2032),1))</f>
        <v/>
      </c>
      <c r="O2032" s="7">
        <f>IF(COUNTA(A2032:K2032)=0,"",IF(OR(A2032="",B2032=""),"Preencher CPF e entrada",IF(COUNTIFS($A$12:$A$5011,A2032,$B$12:$B$5011,B2032)&gt;1,"CPF + dia duplicado",IF(OR(AND(G2032&lt;&gt;"",G2032&lt;&gt;0,G2032&lt;&gt;1),AND(H2032&lt;&gt;"",H2032&lt;&gt;0,H2032&lt;&gt;1)),"Flags devem ser 0 ou 1",IF(AND(H2032=1,LEN(TRIM(I2032))=0),"Preencher nome do indicante",IF(AND(H2032&lt;&gt;1,I2032&lt;&gt;""),"Nome sem indicação interna",IF(AND(G2032=1,F2032=""),"Fechamento sem conversa",IF(OR(AND(E2032&lt;&gt;"",E2032&lt;B2032),AND(F2032&lt;&gt;"",F2032&lt;B2032)),"Evento anterior à entrada",IF(AND(F2032&lt;&gt;"",E2032=""),"Conversa sem agendamento",IF(OR(E2032&gt;TODAY(),F2032&gt;TODAY()),"Verificar evento futuro","OK"))))))))))</f>
        <v/>
      </c>
    </row>
    <row r="2033" spans="12:15">
      <c r="L2033" s="5">
        <f>IF(OR(A2033="",B2033=""),"",B2033-WEEKDAY(B2033,2)+1)</f>
        <v/>
      </c>
      <c r="M2033" s="5">
        <f>IF(L2033="","",L2033+6)</f>
        <v/>
      </c>
      <c r="N2033" s="6">
        <f>IF(OR(A2033="",B2033=""),"",DATE(YEAR(B2033),MONTH(B2033),1))</f>
        <v/>
      </c>
      <c r="O2033" s="7">
        <f>IF(COUNTA(A2033:K2033)=0,"",IF(OR(A2033="",B2033=""),"Preencher CPF e entrada",IF(COUNTIFS($A$12:$A$5011,A2033,$B$12:$B$5011,B2033)&gt;1,"CPF + dia duplicado",IF(OR(AND(G2033&lt;&gt;"",G2033&lt;&gt;0,G2033&lt;&gt;1),AND(H2033&lt;&gt;"",H2033&lt;&gt;0,H2033&lt;&gt;1)),"Flags devem ser 0 ou 1",IF(AND(H2033=1,LEN(TRIM(I2033))=0),"Preencher nome do indicante",IF(AND(H2033&lt;&gt;1,I2033&lt;&gt;""),"Nome sem indicação interna",IF(AND(G2033=1,F2033=""),"Fechamento sem conversa",IF(OR(AND(E2033&lt;&gt;"",E2033&lt;B2033),AND(F2033&lt;&gt;"",F2033&lt;B2033)),"Evento anterior à entrada",IF(AND(F2033&lt;&gt;"",E2033=""),"Conversa sem agendamento",IF(OR(E2033&gt;TODAY(),F2033&gt;TODAY()),"Verificar evento futuro","OK"))))))))))</f>
        <v/>
      </c>
    </row>
    <row r="2034" spans="12:15">
      <c r="L2034" s="5">
        <f>IF(OR(A2034="",B2034=""),"",B2034-WEEKDAY(B2034,2)+1)</f>
        <v/>
      </c>
      <c r="M2034" s="5">
        <f>IF(L2034="","",L2034+6)</f>
        <v/>
      </c>
      <c r="N2034" s="6">
        <f>IF(OR(A2034="",B2034=""),"",DATE(YEAR(B2034),MONTH(B2034),1))</f>
        <v/>
      </c>
      <c r="O2034" s="7">
        <f>IF(COUNTA(A2034:K2034)=0,"",IF(OR(A2034="",B2034=""),"Preencher CPF e entrada",IF(COUNTIFS($A$12:$A$5011,A2034,$B$12:$B$5011,B2034)&gt;1,"CPF + dia duplicado",IF(OR(AND(G2034&lt;&gt;"",G2034&lt;&gt;0,G2034&lt;&gt;1),AND(H2034&lt;&gt;"",H2034&lt;&gt;0,H2034&lt;&gt;1)),"Flags devem ser 0 ou 1",IF(AND(H2034=1,LEN(TRIM(I2034))=0),"Preencher nome do indicante",IF(AND(H2034&lt;&gt;1,I2034&lt;&gt;""),"Nome sem indicação interna",IF(AND(G2034=1,F2034=""),"Fechamento sem conversa",IF(OR(AND(E2034&lt;&gt;"",E2034&lt;B2034),AND(F2034&lt;&gt;"",F2034&lt;B2034)),"Evento anterior à entrada",IF(AND(F2034&lt;&gt;"",E2034=""),"Conversa sem agendamento",IF(OR(E2034&gt;TODAY(),F2034&gt;TODAY()),"Verificar evento futuro","OK"))))))))))</f>
        <v/>
      </c>
    </row>
    <row r="2035" spans="12:15">
      <c r="L2035" s="5">
        <f>IF(OR(A2035="",B2035=""),"",B2035-WEEKDAY(B2035,2)+1)</f>
        <v/>
      </c>
      <c r="M2035" s="5">
        <f>IF(L2035="","",L2035+6)</f>
        <v/>
      </c>
      <c r="N2035" s="6">
        <f>IF(OR(A2035="",B2035=""),"",DATE(YEAR(B2035),MONTH(B2035),1))</f>
        <v/>
      </c>
      <c r="O2035" s="7">
        <f>IF(COUNTA(A2035:K2035)=0,"",IF(OR(A2035="",B2035=""),"Preencher CPF e entrada",IF(COUNTIFS($A$12:$A$5011,A2035,$B$12:$B$5011,B2035)&gt;1,"CPF + dia duplicado",IF(OR(AND(G2035&lt;&gt;"",G2035&lt;&gt;0,G2035&lt;&gt;1),AND(H2035&lt;&gt;"",H2035&lt;&gt;0,H2035&lt;&gt;1)),"Flags devem ser 0 ou 1",IF(AND(H2035=1,LEN(TRIM(I2035))=0),"Preencher nome do indicante",IF(AND(H2035&lt;&gt;1,I2035&lt;&gt;""),"Nome sem indicação interna",IF(AND(G2035=1,F2035=""),"Fechamento sem conversa",IF(OR(AND(E2035&lt;&gt;"",E2035&lt;B2035),AND(F2035&lt;&gt;"",F2035&lt;B2035)),"Evento anterior à entrada",IF(AND(F2035&lt;&gt;"",E2035=""),"Conversa sem agendamento",IF(OR(E2035&gt;TODAY(),F2035&gt;TODAY()),"Verificar evento futuro","OK"))))))))))</f>
        <v/>
      </c>
    </row>
    <row r="2036" spans="12:15">
      <c r="L2036" s="5">
        <f>IF(OR(A2036="",B2036=""),"",B2036-WEEKDAY(B2036,2)+1)</f>
        <v/>
      </c>
      <c r="M2036" s="5">
        <f>IF(L2036="","",L2036+6)</f>
        <v/>
      </c>
      <c r="N2036" s="6">
        <f>IF(OR(A2036="",B2036=""),"",DATE(YEAR(B2036),MONTH(B2036),1))</f>
        <v/>
      </c>
      <c r="O2036" s="7">
        <f>IF(COUNTA(A2036:K2036)=0,"",IF(OR(A2036="",B2036=""),"Preencher CPF e entrada",IF(COUNTIFS($A$12:$A$5011,A2036,$B$12:$B$5011,B2036)&gt;1,"CPF + dia duplicado",IF(OR(AND(G2036&lt;&gt;"",G2036&lt;&gt;0,G2036&lt;&gt;1),AND(H2036&lt;&gt;"",H2036&lt;&gt;0,H2036&lt;&gt;1)),"Flags devem ser 0 ou 1",IF(AND(H2036=1,LEN(TRIM(I2036))=0),"Preencher nome do indicante",IF(AND(H2036&lt;&gt;1,I2036&lt;&gt;""),"Nome sem indicação interna",IF(AND(G2036=1,F2036=""),"Fechamento sem conversa",IF(OR(AND(E2036&lt;&gt;"",E2036&lt;B2036),AND(F2036&lt;&gt;"",F2036&lt;B2036)),"Evento anterior à entrada",IF(AND(F2036&lt;&gt;"",E2036=""),"Conversa sem agendamento",IF(OR(E2036&gt;TODAY(),F2036&gt;TODAY()),"Verificar evento futuro","OK"))))))))))</f>
        <v/>
      </c>
    </row>
    <row r="2037" spans="12:15">
      <c r="L2037" s="5">
        <f>IF(OR(A2037="",B2037=""),"",B2037-WEEKDAY(B2037,2)+1)</f>
        <v/>
      </c>
      <c r="M2037" s="5">
        <f>IF(L2037="","",L2037+6)</f>
        <v/>
      </c>
      <c r="N2037" s="6">
        <f>IF(OR(A2037="",B2037=""),"",DATE(YEAR(B2037),MONTH(B2037),1))</f>
        <v/>
      </c>
      <c r="O2037" s="7">
        <f>IF(COUNTA(A2037:K2037)=0,"",IF(OR(A2037="",B2037=""),"Preencher CPF e entrada",IF(COUNTIFS($A$12:$A$5011,A2037,$B$12:$B$5011,B2037)&gt;1,"CPF + dia duplicado",IF(OR(AND(G2037&lt;&gt;"",G2037&lt;&gt;0,G2037&lt;&gt;1),AND(H2037&lt;&gt;"",H2037&lt;&gt;0,H2037&lt;&gt;1)),"Flags devem ser 0 ou 1",IF(AND(H2037=1,LEN(TRIM(I2037))=0),"Preencher nome do indicante",IF(AND(H2037&lt;&gt;1,I2037&lt;&gt;""),"Nome sem indicação interna",IF(AND(G2037=1,F2037=""),"Fechamento sem conversa",IF(OR(AND(E2037&lt;&gt;"",E2037&lt;B2037),AND(F2037&lt;&gt;"",F2037&lt;B2037)),"Evento anterior à entrada",IF(AND(F2037&lt;&gt;"",E2037=""),"Conversa sem agendamento",IF(OR(E2037&gt;TODAY(),F2037&gt;TODAY()),"Verificar evento futuro","OK"))))))))))</f>
        <v/>
      </c>
    </row>
    <row r="2038" spans="12:15">
      <c r="L2038" s="5">
        <f>IF(OR(A2038="",B2038=""),"",B2038-WEEKDAY(B2038,2)+1)</f>
        <v/>
      </c>
      <c r="M2038" s="5">
        <f>IF(L2038="","",L2038+6)</f>
        <v/>
      </c>
      <c r="N2038" s="6">
        <f>IF(OR(A2038="",B2038=""),"",DATE(YEAR(B2038),MONTH(B2038),1))</f>
        <v/>
      </c>
      <c r="O2038" s="7">
        <f>IF(COUNTA(A2038:K2038)=0,"",IF(OR(A2038="",B2038=""),"Preencher CPF e entrada",IF(COUNTIFS($A$12:$A$5011,A2038,$B$12:$B$5011,B2038)&gt;1,"CPF + dia duplicado",IF(OR(AND(G2038&lt;&gt;"",G2038&lt;&gt;0,G2038&lt;&gt;1),AND(H2038&lt;&gt;"",H2038&lt;&gt;0,H2038&lt;&gt;1)),"Flags devem ser 0 ou 1",IF(AND(H2038=1,LEN(TRIM(I2038))=0),"Preencher nome do indicante",IF(AND(H2038&lt;&gt;1,I2038&lt;&gt;""),"Nome sem indicação interna",IF(AND(G2038=1,F2038=""),"Fechamento sem conversa",IF(OR(AND(E2038&lt;&gt;"",E2038&lt;B2038),AND(F2038&lt;&gt;"",F2038&lt;B2038)),"Evento anterior à entrada",IF(AND(F2038&lt;&gt;"",E2038=""),"Conversa sem agendamento",IF(OR(E2038&gt;TODAY(),F2038&gt;TODAY()),"Verificar evento futuro","OK"))))))))))</f>
        <v/>
      </c>
    </row>
    <row r="2039" spans="12:15">
      <c r="L2039" s="5">
        <f>IF(OR(A2039="",B2039=""),"",B2039-WEEKDAY(B2039,2)+1)</f>
        <v/>
      </c>
      <c r="M2039" s="5">
        <f>IF(L2039="","",L2039+6)</f>
        <v/>
      </c>
      <c r="N2039" s="6">
        <f>IF(OR(A2039="",B2039=""),"",DATE(YEAR(B2039),MONTH(B2039),1))</f>
        <v/>
      </c>
      <c r="O2039" s="7">
        <f>IF(COUNTA(A2039:K2039)=0,"",IF(OR(A2039="",B2039=""),"Preencher CPF e entrada",IF(COUNTIFS($A$12:$A$5011,A2039,$B$12:$B$5011,B2039)&gt;1,"CPF + dia duplicado",IF(OR(AND(G2039&lt;&gt;"",G2039&lt;&gt;0,G2039&lt;&gt;1),AND(H2039&lt;&gt;"",H2039&lt;&gt;0,H2039&lt;&gt;1)),"Flags devem ser 0 ou 1",IF(AND(H2039=1,LEN(TRIM(I2039))=0),"Preencher nome do indicante",IF(AND(H2039&lt;&gt;1,I2039&lt;&gt;""),"Nome sem indicação interna",IF(AND(G2039=1,F2039=""),"Fechamento sem conversa",IF(OR(AND(E2039&lt;&gt;"",E2039&lt;B2039),AND(F2039&lt;&gt;"",F2039&lt;B2039)),"Evento anterior à entrada",IF(AND(F2039&lt;&gt;"",E2039=""),"Conversa sem agendamento",IF(OR(E2039&gt;TODAY(),F2039&gt;TODAY()),"Verificar evento futuro","OK"))))))))))</f>
        <v/>
      </c>
    </row>
    <row r="2040" spans="12:15">
      <c r="L2040" s="5">
        <f>IF(OR(A2040="",B2040=""),"",B2040-WEEKDAY(B2040,2)+1)</f>
        <v/>
      </c>
      <c r="M2040" s="5">
        <f>IF(L2040="","",L2040+6)</f>
        <v/>
      </c>
      <c r="N2040" s="6">
        <f>IF(OR(A2040="",B2040=""),"",DATE(YEAR(B2040),MONTH(B2040),1))</f>
        <v/>
      </c>
      <c r="O2040" s="7">
        <f>IF(COUNTA(A2040:K2040)=0,"",IF(OR(A2040="",B2040=""),"Preencher CPF e entrada",IF(COUNTIFS($A$12:$A$5011,A2040,$B$12:$B$5011,B2040)&gt;1,"CPF + dia duplicado",IF(OR(AND(G2040&lt;&gt;"",G2040&lt;&gt;0,G2040&lt;&gt;1),AND(H2040&lt;&gt;"",H2040&lt;&gt;0,H2040&lt;&gt;1)),"Flags devem ser 0 ou 1",IF(AND(H2040=1,LEN(TRIM(I2040))=0),"Preencher nome do indicante",IF(AND(H2040&lt;&gt;1,I2040&lt;&gt;""),"Nome sem indicação interna",IF(AND(G2040=1,F2040=""),"Fechamento sem conversa",IF(OR(AND(E2040&lt;&gt;"",E2040&lt;B2040),AND(F2040&lt;&gt;"",F2040&lt;B2040)),"Evento anterior à entrada",IF(AND(F2040&lt;&gt;"",E2040=""),"Conversa sem agendamento",IF(OR(E2040&gt;TODAY(),F2040&gt;TODAY()),"Verificar evento futuro","OK"))))))))))</f>
        <v/>
      </c>
    </row>
    <row r="2041" spans="12:15">
      <c r="L2041" s="5">
        <f>IF(OR(A2041="",B2041=""),"",B2041-WEEKDAY(B2041,2)+1)</f>
        <v/>
      </c>
      <c r="M2041" s="5">
        <f>IF(L2041="","",L2041+6)</f>
        <v/>
      </c>
      <c r="N2041" s="6">
        <f>IF(OR(A2041="",B2041=""),"",DATE(YEAR(B2041),MONTH(B2041),1))</f>
        <v/>
      </c>
      <c r="O2041" s="7">
        <f>IF(COUNTA(A2041:K2041)=0,"",IF(OR(A2041="",B2041=""),"Preencher CPF e entrada",IF(COUNTIFS($A$12:$A$5011,A2041,$B$12:$B$5011,B2041)&gt;1,"CPF + dia duplicado",IF(OR(AND(G2041&lt;&gt;"",G2041&lt;&gt;0,G2041&lt;&gt;1),AND(H2041&lt;&gt;"",H2041&lt;&gt;0,H2041&lt;&gt;1)),"Flags devem ser 0 ou 1",IF(AND(H2041=1,LEN(TRIM(I2041))=0),"Preencher nome do indicante",IF(AND(H2041&lt;&gt;1,I2041&lt;&gt;""),"Nome sem indicação interna",IF(AND(G2041=1,F2041=""),"Fechamento sem conversa",IF(OR(AND(E2041&lt;&gt;"",E2041&lt;B2041),AND(F2041&lt;&gt;"",F2041&lt;B2041)),"Evento anterior à entrada",IF(AND(F2041&lt;&gt;"",E2041=""),"Conversa sem agendamento",IF(OR(E2041&gt;TODAY(),F2041&gt;TODAY()),"Verificar evento futuro","OK"))))))))))</f>
        <v/>
      </c>
    </row>
    <row r="2042" spans="12:15">
      <c r="L2042" s="5">
        <f>IF(OR(A2042="",B2042=""),"",B2042-WEEKDAY(B2042,2)+1)</f>
        <v/>
      </c>
      <c r="M2042" s="5">
        <f>IF(L2042="","",L2042+6)</f>
        <v/>
      </c>
      <c r="N2042" s="6">
        <f>IF(OR(A2042="",B2042=""),"",DATE(YEAR(B2042),MONTH(B2042),1))</f>
        <v/>
      </c>
      <c r="O2042" s="7">
        <f>IF(COUNTA(A2042:K2042)=0,"",IF(OR(A2042="",B2042=""),"Preencher CPF e entrada",IF(COUNTIFS($A$12:$A$5011,A2042,$B$12:$B$5011,B2042)&gt;1,"CPF + dia duplicado",IF(OR(AND(G2042&lt;&gt;"",G2042&lt;&gt;0,G2042&lt;&gt;1),AND(H2042&lt;&gt;"",H2042&lt;&gt;0,H2042&lt;&gt;1)),"Flags devem ser 0 ou 1",IF(AND(H2042=1,LEN(TRIM(I2042))=0),"Preencher nome do indicante",IF(AND(H2042&lt;&gt;1,I2042&lt;&gt;""),"Nome sem indicação interna",IF(AND(G2042=1,F2042=""),"Fechamento sem conversa",IF(OR(AND(E2042&lt;&gt;"",E2042&lt;B2042),AND(F2042&lt;&gt;"",F2042&lt;B2042)),"Evento anterior à entrada",IF(AND(F2042&lt;&gt;"",E2042=""),"Conversa sem agendamento",IF(OR(E2042&gt;TODAY(),F2042&gt;TODAY()),"Verificar evento futuro","OK"))))))))))</f>
        <v/>
      </c>
    </row>
    <row r="2043" spans="12:15">
      <c r="L2043" s="5">
        <f>IF(OR(A2043="",B2043=""),"",B2043-WEEKDAY(B2043,2)+1)</f>
        <v/>
      </c>
      <c r="M2043" s="5">
        <f>IF(L2043="","",L2043+6)</f>
        <v/>
      </c>
      <c r="N2043" s="6">
        <f>IF(OR(A2043="",B2043=""),"",DATE(YEAR(B2043),MONTH(B2043),1))</f>
        <v/>
      </c>
      <c r="O2043" s="7">
        <f>IF(COUNTA(A2043:K2043)=0,"",IF(OR(A2043="",B2043=""),"Preencher CPF e entrada",IF(COUNTIFS($A$12:$A$5011,A2043,$B$12:$B$5011,B2043)&gt;1,"CPF + dia duplicado",IF(OR(AND(G2043&lt;&gt;"",G2043&lt;&gt;0,G2043&lt;&gt;1),AND(H2043&lt;&gt;"",H2043&lt;&gt;0,H2043&lt;&gt;1)),"Flags devem ser 0 ou 1",IF(AND(H2043=1,LEN(TRIM(I2043))=0),"Preencher nome do indicante",IF(AND(H2043&lt;&gt;1,I2043&lt;&gt;""),"Nome sem indicação interna",IF(AND(G2043=1,F2043=""),"Fechamento sem conversa",IF(OR(AND(E2043&lt;&gt;"",E2043&lt;B2043),AND(F2043&lt;&gt;"",F2043&lt;B2043)),"Evento anterior à entrada",IF(AND(F2043&lt;&gt;"",E2043=""),"Conversa sem agendamento",IF(OR(E2043&gt;TODAY(),F2043&gt;TODAY()),"Verificar evento futuro","OK"))))))))))</f>
        <v/>
      </c>
    </row>
    <row r="2044" spans="12:15">
      <c r="L2044" s="5">
        <f>IF(OR(A2044="",B2044=""),"",B2044-WEEKDAY(B2044,2)+1)</f>
        <v/>
      </c>
      <c r="M2044" s="5">
        <f>IF(L2044="","",L2044+6)</f>
        <v/>
      </c>
      <c r="N2044" s="6">
        <f>IF(OR(A2044="",B2044=""),"",DATE(YEAR(B2044),MONTH(B2044),1))</f>
        <v/>
      </c>
      <c r="O2044" s="7">
        <f>IF(COUNTA(A2044:K2044)=0,"",IF(OR(A2044="",B2044=""),"Preencher CPF e entrada",IF(COUNTIFS($A$12:$A$5011,A2044,$B$12:$B$5011,B2044)&gt;1,"CPF + dia duplicado",IF(OR(AND(G2044&lt;&gt;"",G2044&lt;&gt;0,G2044&lt;&gt;1),AND(H2044&lt;&gt;"",H2044&lt;&gt;0,H2044&lt;&gt;1)),"Flags devem ser 0 ou 1",IF(AND(H2044=1,LEN(TRIM(I2044))=0),"Preencher nome do indicante",IF(AND(H2044&lt;&gt;1,I2044&lt;&gt;""),"Nome sem indicação interna",IF(AND(G2044=1,F2044=""),"Fechamento sem conversa",IF(OR(AND(E2044&lt;&gt;"",E2044&lt;B2044),AND(F2044&lt;&gt;"",F2044&lt;B2044)),"Evento anterior à entrada",IF(AND(F2044&lt;&gt;"",E2044=""),"Conversa sem agendamento",IF(OR(E2044&gt;TODAY(),F2044&gt;TODAY()),"Verificar evento futuro","OK"))))))))))</f>
        <v/>
      </c>
    </row>
    <row r="2045" spans="12:15">
      <c r="L2045" s="5">
        <f>IF(OR(A2045="",B2045=""),"",B2045-WEEKDAY(B2045,2)+1)</f>
        <v/>
      </c>
      <c r="M2045" s="5">
        <f>IF(L2045="","",L2045+6)</f>
        <v/>
      </c>
      <c r="N2045" s="6">
        <f>IF(OR(A2045="",B2045=""),"",DATE(YEAR(B2045),MONTH(B2045),1))</f>
        <v/>
      </c>
      <c r="O2045" s="7">
        <f>IF(COUNTA(A2045:K2045)=0,"",IF(OR(A2045="",B2045=""),"Preencher CPF e entrada",IF(COUNTIFS($A$12:$A$5011,A2045,$B$12:$B$5011,B2045)&gt;1,"CPF + dia duplicado",IF(OR(AND(G2045&lt;&gt;"",G2045&lt;&gt;0,G2045&lt;&gt;1),AND(H2045&lt;&gt;"",H2045&lt;&gt;0,H2045&lt;&gt;1)),"Flags devem ser 0 ou 1",IF(AND(H2045=1,LEN(TRIM(I2045))=0),"Preencher nome do indicante",IF(AND(H2045&lt;&gt;1,I2045&lt;&gt;""),"Nome sem indicação interna",IF(AND(G2045=1,F2045=""),"Fechamento sem conversa",IF(OR(AND(E2045&lt;&gt;"",E2045&lt;B2045),AND(F2045&lt;&gt;"",F2045&lt;B2045)),"Evento anterior à entrada",IF(AND(F2045&lt;&gt;"",E2045=""),"Conversa sem agendamento",IF(OR(E2045&gt;TODAY(),F2045&gt;TODAY()),"Verificar evento futuro","OK"))))))))))</f>
        <v/>
      </c>
    </row>
    <row r="2046" spans="12:15">
      <c r="L2046" s="5">
        <f>IF(OR(A2046="",B2046=""),"",B2046-WEEKDAY(B2046,2)+1)</f>
        <v/>
      </c>
      <c r="M2046" s="5">
        <f>IF(L2046="","",L2046+6)</f>
        <v/>
      </c>
      <c r="N2046" s="6">
        <f>IF(OR(A2046="",B2046=""),"",DATE(YEAR(B2046),MONTH(B2046),1))</f>
        <v/>
      </c>
      <c r="O2046" s="7">
        <f>IF(COUNTA(A2046:K2046)=0,"",IF(OR(A2046="",B2046=""),"Preencher CPF e entrada",IF(COUNTIFS($A$12:$A$5011,A2046,$B$12:$B$5011,B2046)&gt;1,"CPF + dia duplicado",IF(OR(AND(G2046&lt;&gt;"",G2046&lt;&gt;0,G2046&lt;&gt;1),AND(H2046&lt;&gt;"",H2046&lt;&gt;0,H2046&lt;&gt;1)),"Flags devem ser 0 ou 1",IF(AND(H2046=1,LEN(TRIM(I2046))=0),"Preencher nome do indicante",IF(AND(H2046&lt;&gt;1,I2046&lt;&gt;""),"Nome sem indicação interna",IF(AND(G2046=1,F2046=""),"Fechamento sem conversa",IF(OR(AND(E2046&lt;&gt;"",E2046&lt;B2046),AND(F2046&lt;&gt;"",F2046&lt;B2046)),"Evento anterior à entrada",IF(AND(F2046&lt;&gt;"",E2046=""),"Conversa sem agendamento",IF(OR(E2046&gt;TODAY(),F2046&gt;TODAY()),"Verificar evento futuro","OK"))))))))))</f>
        <v/>
      </c>
    </row>
    <row r="2047" spans="12:15">
      <c r="L2047" s="5">
        <f>IF(OR(A2047="",B2047=""),"",B2047-WEEKDAY(B2047,2)+1)</f>
        <v/>
      </c>
      <c r="M2047" s="5">
        <f>IF(L2047="","",L2047+6)</f>
        <v/>
      </c>
      <c r="N2047" s="6">
        <f>IF(OR(A2047="",B2047=""),"",DATE(YEAR(B2047),MONTH(B2047),1))</f>
        <v/>
      </c>
      <c r="O2047" s="7">
        <f>IF(COUNTA(A2047:K2047)=0,"",IF(OR(A2047="",B2047=""),"Preencher CPF e entrada",IF(COUNTIFS($A$12:$A$5011,A2047,$B$12:$B$5011,B2047)&gt;1,"CPF + dia duplicado",IF(OR(AND(G2047&lt;&gt;"",G2047&lt;&gt;0,G2047&lt;&gt;1),AND(H2047&lt;&gt;"",H2047&lt;&gt;0,H2047&lt;&gt;1)),"Flags devem ser 0 ou 1",IF(AND(H2047=1,LEN(TRIM(I2047))=0),"Preencher nome do indicante",IF(AND(H2047&lt;&gt;1,I2047&lt;&gt;""),"Nome sem indicação interna",IF(AND(G2047=1,F2047=""),"Fechamento sem conversa",IF(OR(AND(E2047&lt;&gt;"",E2047&lt;B2047),AND(F2047&lt;&gt;"",F2047&lt;B2047)),"Evento anterior à entrada",IF(AND(F2047&lt;&gt;"",E2047=""),"Conversa sem agendamento",IF(OR(E2047&gt;TODAY(),F2047&gt;TODAY()),"Verificar evento futuro","OK"))))))))))</f>
        <v/>
      </c>
    </row>
    <row r="2048" spans="12:15">
      <c r="L2048" s="5">
        <f>IF(OR(A2048="",B2048=""),"",B2048-WEEKDAY(B2048,2)+1)</f>
        <v/>
      </c>
      <c r="M2048" s="5">
        <f>IF(L2048="","",L2048+6)</f>
        <v/>
      </c>
      <c r="N2048" s="6">
        <f>IF(OR(A2048="",B2048=""),"",DATE(YEAR(B2048),MONTH(B2048),1))</f>
        <v/>
      </c>
      <c r="O2048" s="7">
        <f>IF(COUNTA(A2048:K2048)=0,"",IF(OR(A2048="",B2048=""),"Preencher CPF e entrada",IF(COUNTIFS($A$12:$A$5011,A2048,$B$12:$B$5011,B2048)&gt;1,"CPF + dia duplicado",IF(OR(AND(G2048&lt;&gt;"",G2048&lt;&gt;0,G2048&lt;&gt;1),AND(H2048&lt;&gt;"",H2048&lt;&gt;0,H2048&lt;&gt;1)),"Flags devem ser 0 ou 1",IF(AND(H2048=1,LEN(TRIM(I2048))=0),"Preencher nome do indicante",IF(AND(H2048&lt;&gt;1,I2048&lt;&gt;""),"Nome sem indicação interna",IF(AND(G2048=1,F2048=""),"Fechamento sem conversa",IF(OR(AND(E2048&lt;&gt;"",E2048&lt;B2048),AND(F2048&lt;&gt;"",F2048&lt;B2048)),"Evento anterior à entrada",IF(AND(F2048&lt;&gt;"",E2048=""),"Conversa sem agendamento",IF(OR(E2048&gt;TODAY(),F2048&gt;TODAY()),"Verificar evento futuro","OK"))))))))))</f>
        <v/>
      </c>
    </row>
    <row r="2049" spans="12:15">
      <c r="L2049" s="5">
        <f>IF(OR(A2049="",B2049=""),"",B2049-WEEKDAY(B2049,2)+1)</f>
        <v/>
      </c>
      <c r="M2049" s="5">
        <f>IF(L2049="","",L2049+6)</f>
        <v/>
      </c>
      <c r="N2049" s="6">
        <f>IF(OR(A2049="",B2049=""),"",DATE(YEAR(B2049),MONTH(B2049),1))</f>
        <v/>
      </c>
      <c r="O2049" s="7">
        <f>IF(COUNTA(A2049:K2049)=0,"",IF(OR(A2049="",B2049=""),"Preencher CPF e entrada",IF(COUNTIFS($A$12:$A$5011,A2049,$B$12:$B$5011,B2049)&gt;1,"CPF + dia duplicado",IF(OR(AND(G2049&lt;&gt;"",G2049&lt;&gt;0,G2049&lt;&gt;1),AND(H2049&lt;&gt;"",H2049&lt;&gt;0,H2049&lt;&gt;1)),"Flags devem ser 0 ou 1",IF(AND(H2049=1,LEN(TRIM(I2049))=0),"Preencher nome do indicante",IF(AND(H2049&lt;&gt;1,I2049&lt;&gt;""),"Nome sem indicação interna",IF(AND(G2049=1,F2049=""),"Fechamento sem conversa",IF(OR(AND(E2049&lt;&gt;"",E2049&lt;B2049),AND(F2049&lt;&gt;"",F2049&lt;B2049)),"Evento anterior à entrada",IF(AND(F2049&lt;&gt;"",E2049=""),"Conversa sem agendamento",IF(OR(E2049&gt;TODAY(),F2049&gt;TODAY()),"Verificar evento futuro","OK"))))))))))</f>
        <v/>
      </c>
    </row>
    <row r="2050" spans="12:15">
      <c r="L2050" s="5">
        <f>IF(OR(A2050="",B2050=""),"",B2050-WEEKDAY(B2050,2)+1)</f>
        <v/>
      </c>
      <c r="M2050" s="5">
        <f>IF(L2050="","",L2050+6)</f>
        <v/>
      </c>
      <c r="N2050" s="6">
        <f>IF(OR(A2050="",B2050=""),"",DATE(YEAR(B2050),MONTH(B2050),1))</f>
        <v/>
      </c>
      <c r="O2050" s="7">
        <f>IF(COUNTA(A2050:K2050)=0,"",IF(OR(A2050="",B2050=""),"Preencher CPF e entrada",IF(COUNTIFS($A$12:$A$5011,A2050,$B$12:$B$5011,B2050)&gt;1,"CPF + dia duplicado",IF(OR(AND(G2050&lt;&gt;"",G2050&lt;&gt;0,G2050&lt;&gt;1),AND(H2050&lt;&gt;"",H2050&lt;&gt;0,H2050&lt;&gt;1)),"Flags devem ser 0 ou 1",IF(AND(H2050=1,LEN(TRIM(I2050))=0),"Preencher nome do indicante",IF(AND(H2050&lt;&gt;1,I2050&lt;&gt;""),"Nome sem indicação interna",IF(AND(G2050=1,F2050=""),"Fechamento sem conversa",IF(OR(AND(E2050&lt;&gt;"",E2050&lt;B2050),AND(F2050&lt;&gt;"",F2050&lt;B2050)),"Evento anterior à entrada",IF(AND(F2050&lt;&gt;"",E2050=""),"Conversa sem agendamento",IF(OR(E2050&gt;TODAY(),F2050&gt;TODAY()),"Verificar evento futuro","OK"))))))))))</f>
        <v/>
      </c>
    </row>
    <row r="2051" spans="12:15">
      <c r="L2051" s="5">
        <f>IF(OR(A2051="",B2051=""),"",B2051-WEEKDAY(B2051,2)+1)</f>
        <v/>
      </c>
      <c r="M2051" s="5">
        <f>IF(L2051="","",L2051+6)</f>
        <v/>
      </c>
      <c r="N2051" s="6">
        <f>IF(OR(A2051="",B2051=""),"",DATE(YEAR(B2051),MONTH(B2051),1))</f>
        <v/>
      </c>
      <c r="O2051" s="7">
        <f>IF(COUNTA(A2051:K2051)=0,"",IF(OR(A2051="",B2051=""),"Preencher CPF e entrada",IF(COUNTIFS($A$12:$A$5011,A2051,$B$12:$B$5011,B2051)&gt;1,"CPF + dia duplicado",IF(OR(AND(G2051&lt;&gt;"",G2051&lt;&gt;0,G2051&lt;&gt;1),AND(H2051&lt;&gt;"",H2051&lt;&gt;0,H2051&lt;&gt;1)),"Flags devem ser 0 ou 1",IF(AND(H2051=1,LEN(TRIM(I2051))=0),"Preencher nome do indicante",IF(AND(H2051&lt;&gt;1,I2051&lt;&gt;""),"Nome sem indicação interna",IF(AND(G2051=1,F2051=""),"Fechamento sem conversa",IF(OR(AND(E2051&lt;&gt;"",E2051&lt;B2051),AND(F2051&lt;&gt;"",F2051&lt;B2051)),"Evento anterior à entrada",IF(AND(F2051&lt;&gt;"",E2051=""),"Conversa sem agendamento",IF(OR(E2051&gt;TODAY(),F2051&gt;TODAY()),"Verificar evento futuro","OK"))))))))))</f>
        <v/>
      </c>
    </row>
    <row r="2052" spans="12:15">
      <c r="L2052" s="5">
        <f>IF(OR(A2052="",B2052=""),"",B2052-WEEKDAY(B2052,2)+1)</f>
        <v/>
      </c>
      <c r="M2052" s="5">
        <f>IF(L2052="","",L2052+6)</f>
        <v/>
      </c>
      <c r="N2052" s="6">
        <f>IF(OR(A2052="",B2052=""),"",DATE(YEAR(B2052),MONTH(B2052),1))</f>
        <v/>
      </c>
      <c r="O2052" s="7">
        <f>IF(COUNTA(A2052:K2052)=0,"",IF(OR(A2052="",B2052=""),"Preencher CPF e entrada",IF(COUNTIFS($A$12:$A$5011,A2052,$B$12:$B$5011,B2052)&gt;1,"CPF + dia duplicado",IF(OR(AND(G2052&lt;&gt;"",G2052&lt;&gt;0,G2052&lt;&gt;1),AND(H2052&lt;&gt;"",H2052&lt;&gt;0,H2052&lt;&gt;1)),"Flags devem ser 0 ou 1",IF(AND(H2052=1,LEN(TRIM(I2052))=0),"Preencher nome do indicante",IF(AND(H2052&lt;&gt;1,I2052&lt;&gt;""),"Nome sem indicação interna",IF(AND(G2052=1,F2052=""),"Fechamento sem conversa",IF(OR(AND(E2052&lt;&gt;"",E2052&lt;B2052),AND(F2052&lt;&gt;"",F2052&lt;B2052)),"Evento anterior à entrada",IF(AND(F2052&lt;&gt;"",E2052=""),"Conversa sem agendamento",IF(OR(E2052&gt;TODAY(),F2052&gt;TODAY()),"Verificar evento futuro","OK"))))))))))</f>
        <v/>
      </c>
    </row>
    <row r="2053" spans="12:15">
      <c r="L2053" s="5">
        <f>IF(OR(A2053="",B2053=""),"",B2053-WEEKDAY(B2053,2)+1)</f>
        <v/>
      </c>
      <c r="M2053" s="5">
        <f>IF(L2053="","",L2053+6)</f>
        <v/>
      </c>
      <c r="N2053" s="6">
        <f>IF(OR(A2053="",B2053=""),"",DATE(YEAR(B2053),MONTH(B2053),1))</f>
        <v/>
      </c>
      <c r="O2053" s="7">
        <f>IF(COUNTA(A2053:K2053)=0,"",IF(OR(A2053="",B2053=""),"Preencher CPF e entrada",IF(COUNTIFS($A$12:$A$5011,A2053,$B$12:$B$5011,B2053)&gt;1,"CPF + dia duplicado",IF(OR(AND(G2053&lt;&gt;"",G2053&lt;&gt;0,G2053&lt;&gt;1),AND(H2053&lt;&gt;"",H2053&lt;&gt;0,H2053&lt;&gt;1)),"Flags devem ser 0 ou 1",IF(AND(H2053=1,LEN(TRIM(I2053))=0),"Preencher nome do indicante",IF(AND(H2053&lt;&gt;1,I2053&lt;&gt;""),"Nome sem indicação interna",IF(AND(G2053=1,F2053=""),"Fechamento sem conversa",IF(OR(AND(E2053&lt;&gt;"",E2053&lt;B2053),AND(F2053&lt;&gt;"",F2053&lt;B2053)),"Evento anterior à entrada",IF(AND(F2053&lt;&gt;"",E2053=""),"Conversa sem agendamento",IF(OR(E2053&gt;TODAY(),F2053&gt;TODAY()),"Verificar evento futuro","OK"))))))))))</f>
        <v/>
      </c>
    </row>
    <row r="2054" spans="12:15">
      <c r="L2054" s="5">
        <f>IF(OR(A2054="",B2054=""),"",B2054-WEEKDAY(B2054,2)+1)</f>
        <v/>
      </c>
      <c r="M2054" s="5">
        <f>IF(L2054="","",L2054+6)</f>
        <v/>
      </c>
      <c r="N2054" s="6">
        <f>IF(OR(A2054="",B2054=""),"",DATE(YEAR(B2054),MONTH(B2054),1))</f>
        <v/>
      </c>
      <c r="O2054" s="7">
        <f>IF(COUNTA(A2054:K2054)=0,"",IF(OR(A2054="",B2054=""),"Preencher CPF e entrada",IF(COUNTIFS($A$12:$A$5011,A2054,$B$12:$B$5011,B2054)&gt;1,"CPF + dia duplicado",IF(OR(AND(G2054&lt;&gt;"",G2054&lt;&gt;0,G2054&lt;&gt;1),AND(H2054&lt;&gt;"",H2054&lt;&gt;0,H2054&lt;&gt;1)),"Flags devem ser 0 ou 1",IF(AND(H2054=1,LEN(TRIM(I2054))=0),"Preencher nome do indicante",IF(AND(H2054&lt;&gt;1,I2054&lt;&gt;""),"Nome sem indicação interna",IF(AND(G2054=1,F2054=""),"Fechamento sem conversa",IF(OR(AND(E2054&lt;&gt;"",E2054&lt;B2054),AND(F2054&lt;&gt;"",F2054&lt;B2054)),"Evento anterior à entrada",IF(AND(F2054&lt;&gt;"",E2054=""),"Conversa sem agendamento",IF(OR(E2054&gt;TODAY(),F2054&gt;TODAY()),"Verificar evento futuro","OK"))))))))))</f>
        <v/>
      </c>
    </row>
    <row r="2055" spans="12:15">
      <c r="L2055" s="5">
        <f>IF(OR(A2055="",B2055=""),"",B2055-WEEKDAY(B2055,2)+1)</f>
        <v/>
      </c>
      <c r="M2055" s="5">
        <f>IF(L2055="","",L2055+6)</f>
        <v/>
      </c>
      <c r="N2055" s="6">
        <f>IF(OR(A2055="",B2055=""),"",DATE(YEAR(B2055),MONTH(B2055),1))</f>
        <v/>
      </c>
      <c r="O2055" s="7">
        <f>IF(COUNTA(A2055:K2055)=0,"",IF(OR(A2055="",B2055=""),"Preencher CPF e entrada",IF(COUNTIFS($A$12:$A$5011,A2055,$B$12:$B$5011,B2055)&gt;1,"CPF + dia duplicado",IF(OR(AND(G2055&lt;&gt;"",G2055&lt;&gt;0,G2055&lt;&gt;1),AND(H2055&lt;&gt;"",H2055&lt;&gt;0,H2055&lt;&gt;1)),"Flags devem ser 0 ou 1",IF(AND(H2055=1,LEN(TRIM(I2055))=0),"Preencher nome do indicante",IF(AND(H2055&lt;&gt;1,I2055&lt;&gt;""),"Nome sem indicação interna",IF(AND(G2055=1,F2055=""),"Fechamento sem conversa",IF(OR(AND(E2055&lt;&gt;"",E2055&lt;B2055),AND(F2055&lt;&gt;"",F2055&lt;B2055)),"Evento anterior à entrada",IF(AND(F2055&lt;&gt;"",E2055=""),"Conversa sem agendamento",IF(OR(E2055&gt;TODAY(),F2055&gt;TODAY()),"Verificar evento futuro","OK"))))))))))</f>
        <v/>
      </c>
    </row>
    <row r="2056" spans="12:15">
      <c r="L2056" s="5">
        <f>IF(OR(A2056="",B2056=""),"",B2056-WEEKDAY(B2056,2)+1)</f>
        <v/>
      </c>
      <c r="M2056" s="5">
        <f>IF(L2056="","",L2056+6)</f>
        <v/>
      </c>
      <c r="N2056" s="6">
        <f>IF(OR(A2056="",B2056=""),"",DATE(YEAR(B2056),MONTH(B2056),1))</f>
        <v/>
      </c>
      <c r="O2056" s="7">
        <f>IF(COUNTA(A2056:K2056)=0,"",IF(OR(A2056="",B2056=""),"Preencher CPF e entrada",IF(COUNTIFS($A$12:$A$5011,A2056,$B$12:$B$5011,B2056)&gt;1,"CPF + dia duplicado",IF(OR(AND(G2056&lt;&gt;"",G2056&lt;&gt;0,G2056&lt;&gt;1),AND(H2056&lt;&gt;"",H2056&lt;&gt;0,H2056&lt;&gt;1)),"Flags devem ser 0 ou 1",IF(AND(H2056=1,LEN(TRIM(I2056))=0),"Preencher nome do indicante",IF(AND(H2056&lt;&gt;1,I2056&lt;&gt;""),"Nome sem indicação interna",IF(AND(G2056=1,F2056=""),"Fechamento sem conversa",IF(OR(AND(E2056&lt;&gt;"",E2056&lt;B2056),AND(F2056&lt;&gt;"",F2056&lt;B2056)),"Evento anterior à entrada",IF(AND(F2056&lt;&gt;"",E2056=""),"Conversa sem agendamento",IF(OR(E2056&gt;TODAY(),F2056&gt;TODAY()),"Verificar evento futuro","OK"))))))))))</f>
        <v/>
      </c>
    </row>
    <row r="2057" spans="12:15">
      <c r="L2057" s="5">
        <f>IF(OR(A2057="",B2057=""),"",B2057-WEEKDAY(B2057,2)+1)</f>
        <v/>
      </c>
      <c r="M2057" s="5">
        <f>IF(L2057="","",L2057+6)</f>
        <v/>
      </c>
      <c r="N2057" s="6">
        <f>IF(OR(A2057="",B2057=""),"",DATE(YEAR(B2057),MONTH(B2057),1))</f>
        <v/>
      </c>
      <c r="O2057" s="7">
        <f>IF(COUNTA(A2057:K2057)=0,"",IF(OR(A2057="",B2057=""),"Preencher CPF e entrada",IF(COUNTIFS($A$12:$A$5011,A2057,$B$12:$B$5011,B2057)&gt;1,"CPF + dia duplicado",IF(OR(AND(G2057&lt;&gt;"",G2057&lt;&gt;0,G2057&lt;&gt;1),AND(H2057&lt;&gt;"",H2057&lt;&gt;0,H2057&lt;&gt;1)),"Flags devem ser 0 ou 1",IF(AND(H2057=1,LEN(TRIM(I2057))=0),"Preencher nome do indicante",IF(AND(H2057&lt;&gt;1,I2057&lt;&gt;""),"Nome sem indicação interna",IF(AND(G2057=1,F2057=""),"Fechamento sem conversa",IF(OR(AND(E2057&lt;&gt;"",E2057&lt;B2057),AND(F2057&lt;&gt;"",F2057&lt;B2057)),"Evento anterior à entrada",IF(AND(F2057&lt;&gt;"",E2057=""),"Conversa sem agendamento",IF(OR(E2057&gt;TODAY(),F2057&gt;TODAY()),"Verificar evento futuro","OK"))))))))))</f>
        <v/>
      </c>
    </row>
    <row r="2058" spans="12:15">
      <c r="L2058" s="5">
        <f>IF(OR(A2058="",B2058=""),"",B2058-WEEKDAY(B2058,2)+1)</f>
        <v/>
      </c>
      <c r="M2058" s="5">
        <f>IF(L2058="","",L2058+6)</f>
        <v/>
      </c>
      <c r="N2058" s="6">
        <f>IF(OR(A2058="",B2058=""),"",DATE(YEAR(B2058),MONTH(B2058),1))</f>
        <v/>
      </c>
      <c r="O2058" s="7">
        <f>IF(COUNTA(A2058:K2058)=0,"",IF(OR(A2058="",B2058=""),"Preencher CPF e entrada",IF(COUNTIFS($A$12:$A$5011,A2058,$B$12:$B$5011,B2058)&gt;1,"CPF + dia duplicado",IF(OR(AND(G2058&lt;&gt;"",G2058&lt;&gt;0,G2058&lt;&gt;1),AND(H2058&lt;&gt;"",H2058&lt;&gt;0,H2058&lt;&gt;1)),"Flags devem ser 0 ou 1",IF(AND(H2058=1,LEN(TRIM(I2058))=0),"Preencher nome do indicante",IF(AND(H2058&lt;&gt;1,I2058&lt;&gt;""),"Nome sem indicação interna",IF(AND(G2058=1,F2058=""),"Fechamento sem conversa",IF(OR(AND(E2058&lt;&gt;"",E2058&lt;B2058),AND(F2058&lt;&gt;"",F2058&lt;B2058)),"Evento anterior à entrada",IF(AND(F2058&lt;&gt;"",E2058=""),"Conversa sem agendamento",IF(OR(E2058&gt;TODAY(),F2058&gt;TODAY()),"Verificar evento futuro","OK"))))))))))</f>
        <v/>
      </c>
    </row>
    <row r="2059" spans="12:15">
      <c r="L2059" s="5">
        <f>IF(OR(A2059="",B2059=""),"",B2059-WEEKDAY(B2059,2)+1)</f>
        <v/>
      </c>
      <c r="M2059" s="5">
        <f>IF(L2059="","",L2059+6)</f>
        <v/>
      </c>
      <c r="N2059" s="6">
        <f>IF(OR(A2059="",B2059=""),"",DATE(YEAR(B2059),MONTH(B2059),1))</f>
        <v/>
      </c>
      <c r="O2059" s="7">
        <f>IF(COUNTA(A2059:K2059)=0,"",IF(OR(A2059="",B2059=""),"Preencher CPF e entrada",IF(COUNTIFS($A$12:$A$5011,A2059,$B$12:$B$5011,B2059)&gt;1,"CPF + dia duplicado",IF(OR(AND(G2059&lt;&gt;"",G2059&lt;&gt;0,G2059&lt;&gt;1),AND(H2059&lt;&gt;"",H2059&lt;&gt;0,H2059&lt;&gt;1)),"Flags devem ser 0 ou 1",IF(AND(H2059=1,LEN(TRIM(I2059))=0),"Preencher nome do indicante",IF(AND(H2059&lt;&gt;1,I2059&lt;&gt;""),"Nome sem indicação interna",IF(AND(G2059=1,F2059=""),"Fechamento sem conversa",IF(OR(AND(E2059&lt;&gt;"",E2059&lt;B2059),AND(F2059&lt;&gt;"",F2059&lt;B2059)),"Evento anterior à entrada",IF(AND(F2059&lt;&gt;"",E2059=""),"Conversa sem agendamento",IF(OR(E2059&gt;TODAY(),F2059&gt;TODAY()),"Verificar evento futuro","OK"))))))))))</f>
        <v/>
      </c>
    </row>
    <row r="2060" spans="12:15">
      <c r="L2060" s="5">
        <f>IF(OR(A2060="",B2060=""),"",B2060-WEEKDAY(B2060,2)+1)</f>
        <v/>
      </c>
      <c r="M2060" s="5">
        <f>IF(L2060="","",L2060+6)</f>
        <v/>
      </c>
      <c r="N2060" s="6">
        <f>IF(OR(A2060="",B2060=""),"",DATE(YEAR(B2060),MONTH(B2060),1))</f>
        <v/>
      </c>
      <c r="O2060" s="7">
        <f>IF(COUNTA(A2060:K2060)=0,"",IF(OR(A2060="",B2060=""),"Preencher CPF e entrada",IF(COUNTIFS($A$12:$A$5011,A2060,$B$12:$B$5011,B2060)&gt;1,"CPF + dia duplicado",IF(OR(AND(G2060&lt;&gt;"",G2060&lt;&gt;0,G2060&lt;&gt;1),AND(H2060&lt;&gt;"",H2060&lt;&gt;0,H2060&lt;&gt;1)),"Flags devem ser 0 ou 1",IF(AND(H2060=1,LEN(TRIM(I2060))=0),"Preencher nome do indicante",IF(AND(H2060&lt;&gt;1,I2060&lt;&gt;""),"Nome sem indicação interna",IF(AND(G2060=1,F2060=""),"Fechamento sem conversa",IF(OR(AND(E2060&lt;&gt;"",E2060&lt;B2060),AND(F2060&lt;&gt;"",F2060&lt;B2060)),"Evento anterior à entrada",IF(AND(F2060&lt;&gt;"",E2060=""),"Conversa sem agendamento",IF(OR(E2060&gt;TODAY(),F2060&gt;TODAY()),"Verificar evento futuro","OK"))))))))))</f>
        <v/>
      </c>
    </row>
    <row r="2061" spans="12:15">
      <c r="L2061" s="5">
        <f>IF(OR(A2061="",B2061=""),"",B2061-WEEKDAY(B2061,2)+1)</f>
        <v/>
      </c>
      <c r="M2061" s="5">
        <f>IF(L2061="","",L2061+6)</f>
        <v/>
      </c>
      <c r="N2061" s="6">
        <f>IF(OR(A2061="",B2061=""),"",DATE(YEAR(B2061),MONTH(B2061),1))</f>
        <v/>
      </c>
      <c r="O2061" s="7">
        <f>IF(COUNTA(A2061:K2061)=0,"",IF(OR(A2061="",B2061=""),"Preencher CPF e entrada",IF(COUNTIFS($A$12:$A$5011,A2061,$B$12:$B$5011,B2061)&gt;1,"CPF + dia duplicado",IF(OR(AND(G2061&lt;&gt;"",G2061&lt;&gt;0,G2061&lt;&gt;1),AND(H2061&lt;&gt;"",H2061&lt;&gt;0,H2061&lt;&gt;1)),"Flags devem ser 0 ou 1",IF(AND(H2061=1,LEN(TRIM(I2061))=0),"Preencher nome do indicante",IF(AND(H2061&lt;&gt;1,I2061&lt;&gt;""),"Nome sem indicação interna",IF(AND(G2061=1,F2061=""),"Fechamento sem conversa",IF(OR(AND(E2061&lt;&gt;"",E2061&lt;B2061),AND(F2061&lt;&gt;"",F2061&lt;B2061)),"Evento anterior à entrada",IF(AND(F2061&lt;&gt;"",E2061=""),"Conversa sem agendamento",IF(OR(E2061&gt;TODAY(),F2061&gt;TODAY()),"Verificar evento futuro","OK"))))))))))</f>
        <v/>
      </c>
    </row>
    <row r="2062" spans="12:15">
      <c r="L2062" s="5">
        <f>IF(OR(A2062="",B2062=""),"",B2062-WEEKDAY(B2062,2)+1)</f>
        <v/>
      </c>
      <c r="M2062" s="5">
        <f>IF(L2062="","",L2062+6)</f>
        <v/>
      </c>
      <c r="N2062" s="6">
        <f>IF(OR(A2062="",B2062=""),"",DATE(YEAR(B2062),MONTH(B2062),1))</f>
        <v/>
      </c>
      <c r="O2062" s="7">
        <f>IF(COUNTA(A2062:K2062)=0,"",IF(OR(A2062="",B2062=""),"Preencher CPF e entrada",IF(COUNTIFS($A$12:$A$5011,A2062,$B$12:$B$5011,B2062)&gt;1,"CPF + dia duplicado",IF(OR(AND(G2062&lt;&gt;"",G2062&lt;&gt;0,G2062&lt;&gt;1),AND(H2062&lt;&gt;"",H2062&lt;&gt;0,H2062&lt;&gt;1)),"Flags devem ser 0 ou 1",IF(AND(H2062=1,LEN(TRIM(I2062))=0),"Preencher nome do indicante",IF(AND(H2062&lt;&gt;1,I2062&lt;&gt;""),"Nome sem indicação interna",IF(AND(G2062=1,F2062=""),"Fechamento sem conversa",IF(OR(AND(E2062&lt;&gt;"",E2062&lt;B2062),AND(F2062&lt;&gt;"",F2062&lt;B2062)),"Evento anterior à entrada",IF(AND(F2062&lt;&gt;"",E2062=""),"Conversa sem agendamento",IF(OR(E2062&gt;TODAY(),F2062&gt;TODAY()),"Verificar evento futuro","OK"))))))))))</f>
        <v/>
      </c>
    </row>
    <row r="2063" spans="12:15">
      <c r="L2063" s="5">
        <f>IF(OR(A2063="",B2063=""),"",B2063-WEEKDAY(B2063,2)+1)</f>
        <v/>
      </c>
      <c r="M2063" s="5">
        <f>IF(L2063="","",L2063+6)</f>
        <v/>
      </c>
      <c r="N2063" s="6">
        <f>IF(OR(A2063="",B2063=""),"",DATE(YEAR(B2063),MONTH(B2063),1))</f>
        <v/>
      </c>
      <c r="O2063" s="7">
        <f>IF(COUNTA(A2063:K2063)=0,"",IF(OR(A2063="",B2063=""),"Preencher CPF e entrada",IF(COUNTIFS($A$12:$A$5011,A2063,$B$12:$B$5011,B2063)&gt;1,"CPF + dia duplicado",IF(OR(AND(G2063&lt;&gt;"",G2063&lt;&gt;0,G2063&lt;&gt;1),AND(H2063&lt;&gt;"",H2063&lt;&gt;0,H2063&lt;&gt;1)),"Flags devem ser 0 ou 1",IF(AND(H2063=1,LEN(TRIM(I2063))=0),"Preencher nome do indicante",IF(AND(H2063&lt;&gt;1,I2063&lt;&gt;""),"Nome sem indicação interna",IF(AND(G2063=1,F2063=""),"Fechamento sem conversa",IF(OR(AND(E2063&lt;&gt;"",E2063&lt;B2063),AND(F2063&lt;&gt;"",F2063&lt;B2063)),"Evento anterior à entrada",IF(AND(F2063&lt;&gt;"",E2063=""),"Conversa sem agendamento",IF(OR(E2063&gt;TODAY(),F2063&gt;TODAY()),"Verificar evento futuro","OK"))))))))))</f>
        <v/>
      </c>
    </row>
    <row r="2064" spans="12:15">
      <c r="L2064" s="5">
        <f>IF(OR(A2064="",B2064=""),"",B2064-WEEKDAY(B2064,2)+1)</f>
        <v/>
      </c>
      <c r="M2064" s="5">
        <f>IF(L2064="","",L2064+6)</f>
        <v/>
      </c>
      <c r="N2064" s="6">
        <f>IF(OR(A2064="",B2064=""),"",DATE(YEAR(B2064),MONTH(B2064),1))</f>
        <v/>
      </c>
      <c r="O2064" s="7">
        <f>IF(COUNTA(A2064:K2064)=0,"",IF(OR(A2064="",B2064=""),"Preencher CPF e entrada",IF(COUNTIFS($A$12:$A$5011,A2064,$B$12:$B$5011,B2064)&gt;1,"CPF + dia duplicado",IF(OR(AND(G2064&lt;&gt;"",G2064&lt;&gt;0,G2064&lt;&gt;1),AND(H2064&lt;&gt;"",H2064&lt;&gt;0,H2064&lt;&gt;1)),"Flags devem ser 0 ou 1",IF(AND(H2064=1,LEN(TRIM(I2064))=0),"Preencher nome do indicante",IF(AND(H2064&lt;&gt;1,I2064&lt;&gt;""),"Nome sem indicação interna",IF(AND(G2064=1,F2064=""),"Fechamento sem conversa",IF(OR(AND(E2064&lt;&gt;"",E2064&lt;B2064),AND(F2064&lt;&gt;"",F2064&lt;B2064)),"Evento anterior à entrada",IF(AND(F2064&lt;&gt;"",E2064=""),"Conversa sem agendamento",IF(OR(E2064&gt;TODAY(),F2064&gt;TODAY()),"Verificar evento futuro","OK"))))))))))</f>
        <v/>
      </c>
    </row>
    <row r="2065" spans="12:15">
      <c r="L2065" s="5">
        <f>IF(OR(A2065="",B2065=""),"",B2065-WEEKDAY(B2065,2)+1)</f>
        <v/>
      </c>
      <c r="M2065" s="5">
        <f>IF(L2065="","",L2065+6)</f>
        <v/>
      </c>
      <c r="N2065" s="6">
        <f>IF(OR(A2065="",B2065=""),"",DATE(YEAR(B2065),MONTH(B2065),1))</f>
        <v/>
      </c>
      <c r="O2065" s="7">
        <f>IF(COUNTA(A2065:K2065)=0,"",IF(OR(A2065="",B2065=""),"Preencher CPF e entrada",IF(COUNTIFS($A$12:$A$5011,A2065,$B$12:$B$5011,B2065)&gt;1,"CPF + dia duplicado",IF(OR(AND(G2065&lt;&gt;"",G2065&lt;&gt;0,G2065&lt;&gt;1),AND(H2065&lt;&gt;"",H2065&lt;&gt;0,H2065&lt;&gt;1)),"Flags devem ser 0 ou 1",IF(AND(H2065=1,LEN(TRIM(I2065))=0),"Preencher nome do indicante",IF(AND(H2065&lt;&gt;1,I2065&lt;&gt;""),"Nome sem indicação interna",IF(AND(G2065=1,F2065=""),"Fechamento sem conversa",IF(OR(AND(E2065&lt;&gt;"",E2065&lt;B2065),AND(F2065&lt;&gt;"",F2065&lt;B2065)),"Evento anterior à entrada",IF(AND(F2065&lt;&gt;"",E2065=""),"Conversa sem agendamento",IF(OR(E2065&gt;TODAY(),F2065&gt;TODAY()),"Verificar evento futuro","OK"))))))))))</f>
        <v/>
      </c>
    </row>
    <row r="2066" spans="12:15">
      <c r="L2066" s="5">
        <f>IF(OR(A2066="",B2066=""),"",B2066-WEEKDAY(B2066,2)+1)</f>
        <v/>
      </c>
      <c r="M2066" s="5">
        <f>IF(L2066="","",L2066+6)</f>
        <v/>
      </c>
      <c r="N2066" s="6">
        <f>IF(OR(A2066="",B2066=""),"",DATE(YEAR(B2066),MONTH(B2066),1))</f>
        <v/>
      </c>
      <c r="O2066" s="7">
        <f>IF(COUNTA(A2066:K2066)=0,"",IF(OR(A2066="",B2066=""),"Preencher CPF e entrada",IF(COUNTIFS($A$12:$A$5011,A2066,$B$12:$B$5011,B2066)&gt;1,"CPF + dia duplicado",IF(OR(AND(G2066&lt;&gt;"",G2066&lt;&gt;0,G2066&lt;&gt;1),AND(H2066&lt;&gt;"",H2066&lt;&gt;0,H2066&lt;&gt;1)),"Flags devem ser 0 ou 1",IF(AND(H2066=1,LEN(TRIM(I2066))=0),"Preencher nome do indicante",IF(AND(H2066&lt;&gt;1,I2066&lt;&gt;""),"Nome sem indicação interna",IF(AND(G2066=1,F2066=""),"Fechamento sem conversa",IF(OR(AND(E2066&lt;&gt;"",E2066&lt;B2066),AND(F2066&lt;&gt;"",F2066&lt;B2066)),"Evento anterior à entrada",IF(AND(F2066&lt;&gt;"",E2066=""),"Conversa sem agendamento",IF(OR(E2066&gt;TODAY(),F2066&gt;TODAY()),"Verificar evento futuro","OK"))))))))))</f>
        <v/>
      </c>
    </row>
    <row r="2067" spans="12:15">
      <c r="L2067" s="5">
        <f>IF(OR(A2067="",B2067=""),"",B2067-WEEKDAY(B2067,2)+1)</f>
        <v/>
      </c>
      <c r="M2067" s="5">
        <f>IF(L2067="","",L2067+6)</f>
        <v/>
      </c>
      <c r="N2067" s="6">
        <f>IF(OR(A2067="",B2067=""),"",DATE(YEAR(B2067),MONTH(B2067),1))</f>
        <v/>
      </c>
      <c r="O2067" s="7">
        <f>IF(COUNTA(A2067:K2067)=0,"",IF(OR(A2067="",B2067=""),"Preencher CPF e entrada",IF(COUNTIFS($A$12:$A$5011,A2067,$B$12:$B$5011,B2067)&gt;1,"CPF + dia duplicado",IF(OR(AND(G2067&lt;&gt;"",G2067&lt;&gt;0,G2067&lt;&gt;1),AND(H2067&lt;&gt;"",H2067&lt;&gt;0,H2067&lt;&gt;1)),"Flags devem ser 0 ou 1",IF(AND(H2067=1,LEN(TRIM(I2067))=0),"Preencher nome do indicante",IF(AND(H2067&lt;&gt;1,I2067&lt;&gt;""),"Nome sem indicação interna",IF(AND(G2067=1,F2067=""),"Fechamento sem conversa",IF(OR(AND(E2067&lt;&gt;"",E2067&lt;B2067),AND(F2067&lt;&gt;"",F2067&lt;B2067)),"Evento anterior à entrada",IF(AND(F2067&lt;&gt;"",E2067=""),"Conversa sem agendamento",IF(OR(E2067&gt;TODAY(),F2067&gt;TODAY()),"Verificar evento futuro","OK"))))))))))</f>
        <v/>
      </c>
    </row>
    <row r="2068" spans="12:15">
      <c r="L2068" s="5">
        <f>IF(OR(A2068="",B2068=""),"",B2068-WEEKDAY(B2068,2)+1)</f>
        <v/>
      </c>
      <c r="M2068" s="5">
        <f>IF(L2068="","",L2068+6)</f>
        <v/>
      </c>
      <c r="N2068" s="6">
        <f>IF(OR(A2068="",B2068=""),"",DATE(YEAR(B2068),MONTH(B2068),1))</f>
        <v/>
      </c>
      <c r="O2068" s="7">
        <f>IF(COUNTA(A2068:K2068)=0,"",IF(OR(A2068="",B2068=""),"Preencher CPF e entrada",IF(COUNTIFS($A$12:$A$5011,A2068,$B$12:$B$5011,B2068)&gt;1,"CPF + dia duplicado",IF(OR(AND(G2068&lt;&gt;"",G2068&lt;&gt;0,G2068&lt;&gt;1),AND(H2068&lt;&gt;"",H2068&lt;&gt;0,H2068&lt;&gt;1)),"Flags devem ser 0 ou 1",IF(AND(H2068=1,LEN(TRIM(I2068))=0),"Preencher nome do indicante",IF(AND(H2068&lt;&gt;1,I2068&lt;&gt;""),"Nome sem indicação interna",IF(AND(G2068=1,F2068=""),"Fechamento sem conversa",IF(OR(AND(E2068&lt;&gt;"",E2068&lt;B2068),AND(F2068&lt;&gt;"",F2068&lt;B2068)),"Evento anterior à entrada",IF(AND(F2068&lt;&gt;"",E2068=""),"Conversa sem agendamento",IF(OR(E2068&gt;TODAY(),F2068&gt;TODAY()),"Verificar evento futuro","OK"))))))))))</f>
        <v/>
      </c>
    </row>
    <row r="2069" spans="12:15">
      <c r="L2069" s="5">
        <f>IF(OR(A2069="",B2069=""),"",B2069-WEEKDAY(B2069,2)+1)</f>
        <v/>
      </c>
      <c r="M2069" s="5">
        <f>IF(L2069="","",L2069+6)</f>
        <v/>
      </c>
      <c r="N2069" s="6">
        <f>IF(OR(A2069="",B2069=""),"",DATE(YEAR(B2069),MONTH(B2069),1))</f>
        <v/>
      </c>
      <c r="O2069" s="7">
        <f>IF(COUNTA(A2069:K2069)=0,"",IF(OR(A2069="",B2069=""),"Preencher CPF e entrada",IF(COUNTIFS($A$12:$A$5011,A2069,$B$12:$B$5011,B2069)&gt;1,"CPF + dia duplicado",IF(OR(AND(G2069&lt;&gt;"",G2069&lt;&gt;0,G2069&lt;&gt;1),AND(H2069&lt;&gt;"",H2069&lt;&gt;0,H2069&lt;&gt;1)),"Flags devem ser 0 ou 1",IF(AND(H2069=1,LEN(TRIM(I2069))=0),"Preencher nome do indicante",IF(AND(H2069&lt;&gt;1,I2069&lt;&gt;""),"Nome sem indicação interna",IF(AND(G2069=1,F2069=""),"Fechamento sem conversa",IF(OR(AND(E2069&lt;&gt;"",E2069&lt;B2069),AND(F2069&lt;&gt;"",F2069&lt;B2069)),"Evento anterior à entrada",IF(AND(F2069&lt;&gt;"",E2069=""),"Conversa sem agendamento",IF(OR(E2069&gt;TODAY(),F2069&gt;TODAY()),"Verificar evento futuro","OK"))))))))))</f>
        <v/>
      </c>
    </row>
    <row r="2070" spans="12:15">
      <c r="L2070" s="5">
        <f>IF(OR(A2070="",B2070=""),"",B2070-WEEKDAY(B2070,2)+1)</f>
        <v/>
      </c>
      <c r="M2070" s="5">
        <f>IF(L2070="","",L2070+6)</f>
        <v/>
      </c>
      <c r="N2070" s="6">
        <f>IF(OR(A2070="",B2070=""),"",DATE(YEAR(B2070),MONTH(B2070),1))</f>
        <v/>
      </c>
      <c r="O2070" s="7">
        <f>IF(COUNTA(A2070:K2070)=0,"",IF(OR(A2070="",B2070=""),"Preencher CPF e entrada",IF(COUNTIFS($A$12:$A$5011,A2070,$B$12:$B$5011,B2070)&gt;1,"CPF + dia duplicado",IF(OR(AND(G2070&lt;&gt;"",G2070&lt;&gt;0,G2070&lt;&gt;1),AND(H2070&lt;&gt;"",H2070&lt;&gt;0,H2070&lt;&gt;1)),"Flags devem ser 0 ou 1",IF(AND(H2070=1,LEN(TRIM(I2070))=0),"Preencher nome do indicante",IF(AND(H2070&lt;&gt;1,I2070&lt;&gt;""),"Nome sem indicação interna",IF(AND(G2070=1,F2070=""),"Fechamento sem conversa",IF(OR(AND(E2070&lt;&gt;"",E2070&lt;B2070),AND(F2070&lt;&gt;"",F2070&lt;B2070)),"Evento anterior à entrada",IF(AND(F2070&lt;&gt;"",E2070=""),"Conversa sem agendamento",IF(OR(E2070&gt;TODAY(),F2070&gt;TODAY()),"Verificar evento futuro","OK"))))))))))</f>
        <v/>
      </c>
    </row>
    <row r="2071" spans="12:15">
      <c r="L2071" s="5">
        <f>IF(OR(A2071="",B2071=""),"",B2071-WEEKDAY(B2071,2)+1)</f>
        <v/>
      </c>
      <c r="M2071" s="5">
        <f>IF(L2071="","",L2071+6)</f>
        <v/>
      </c>
      <c r="N2071" s="6">
        <f>IF(OR(A2071="",B2071=""),"",DATE(YEAR(B2071),MONTH(B2071),1))</f>
        <v/>
      </c>
      <c r="O2071" s="7">
        <f>IF(COUNTA(A2071:K2071)=0,"",IF(OR(A2071="",B2071=""),"Preencher CPF e entrada",IF(COUNTIFS($A$12:$A$5011,A2071,$B$12:$B$5011,B2071)&gt;1,"CPF + dia duplicado",IF(OR(AND(G2071&lt;&gt;"",G2071&lt;&gt;0,G2071&lt;&gt;1),AND(H2071&lt;&gt;"",H2071&lt;&gt;0,H2071&lt;&gt;1)),"Flags devem ser 0 ou 1",IF(AND(H2071=1,LEN(TRIM(I2071))=0),"Preencher nome do indicante",IF(AND(H2071&lt;&gt;1,I2071&lt;&gt;""),"Nome sem indicação interna",IF(AND(G2071=1,F2071=""),"Fechamento sem conversa",IF(OR(AND(E2071&lt;&gt;"",E2071&lt;B2071),AND(F2071&lt;&gt;"",F2071&lt;B2071)),"Evento anterior à entrada",IF(AND(F2071&lt;&gt;"",E2071=""),"Conversa sem agendamento",IF(OR(E2071&gt;TODAY(),F2071&gt;TODAY()),"Verificar evento futuro","OK"))))))))))</f>
        <v/>
      </c>
    </row>
    <row r="2072" spans="12:15">
      <c r="L2072" s="5">
        <f>IF(OR(A2072="",B2072=""),"",B2072-WEEKDAY(B2072,2)+1)</f>
        <v/>
      </c>
      <c r="M2072" s="5">
        <f>IF(L2072="","",L2072+6)</f>
        <v/>
      </c>
      <c r="N2072" s="6">
        <f>IF(OR(A2072="",B2072=""),"",DATE(YEAR(B2072),MONTH(B2072),1))</f>
        <v/>
      </c>
      <c r="O2072" s="7">
        <f>IF(COUNTA(A2072:K2072)=0,"",IF(OR(A2072="",B2072=""),"Preencher CPF e entrada",IF(COUNTIFS($A$12:$A$5011,A2072,$B$12:$B$5011,B2072)&gt;1,"CPF + dia duplicado",IF(OR(AND(G2072&lt;&gt;"",G2072&lt;&gt;0,G2072&lt;&gt;1),AND(H2072&lt;&gt;"",H2072&lt;&gt;0,H2072&lt;&gt;1)),"Flags devem ser 0 ou 1",IF(AND(H2072=1,LEN(TRIM(I2072))=0),"Preencher nome do indicante",IF(AND(H2072&lt;&gt;1,I2072&lt;&gt;""),"Nome sem indicação interna",IF(AND(G2072=1,F2072=""),"Fechamento sem conversa",IF(OR(AND(E2072&lt;&gt;"",E2072&lt;B2072),AND(F2072&lt;&gt;"",F2072&lt;B2072)),"Evento anterior à entrada",IF(AND(F2072&lt;&gt;"",E2072=""),"Conversa sem agendamento",IF(OR(E2072&gt;TODAY(),F2072&gt;TODAY()),"Verificar evento futuro","OK"))))))))))</f>
        <v/>
      </c>
    </row>
    <row r="2073" spans="12:15">
      <c r="L2073" s="5">
        <f>IF(OR(A2073="",B2073=""),"",B2073-WEEKDAY(B2073,2)+1)</f>
        <v/>
      </c>
      <c r="M2073" s="5">
        <f>IF(L2073="","",L2073+6)</f>
        <v/>
      </c>
      <c r="N2073" s="6">
        <f>IF(OR(A2073="",B2073=""),"",DATE(YEAR(B2073),MONTH(B2073),1))</f>
        <v/>
      </c>
      <c r="O2073" s="7">
        <f>IF(COUNTA(A2073:K2073)=0,"",IF(OR(A2073="",B2073=""),"Preencher CPF e entrada",IF(COUNTIFS($A$12:$A$5011,A2073,$B$12:$B$5011,B2073)&gt;1,"CPF + dia duplicado",IF(OR(AND(G2073&lt;&gt;"",G2073&lt;&gt;0,G2073&lt;&gt;1),AND(H2073&lt;&gt;"",H2073&lt;&gt;0,H2073&lt;&gt;1)),"Flags devem ser 0 ou 1",IF(AND(H2073=1,LEN(TRIM(I2073))=0),"Preencher nome do indicante",IF(AND(H2073&lt;&gt;1,I2073&lt;&gt;""),"Nome sem indicação interna",IF(AND(G2073=1,F2073=""),"Fechamento sem conversa",IF(OR(AND(E2073&lt;&gt;"",E2073&lt;B2073),AND(F2073&lt;&gt;"",F2073&lt;B2073)),"Evento anterior à entrada",IF(AND(F2073&lt;&gt;"",E2073=""),"Conversa sem agendamento",IF(OR(E2073&gt;TODAY(),F2073&gt;TODAY()),"Verificar evento futuro","OK"))))))))))</f>
        <v/>
      </c>
    </row>
    <row r="2074" spans="12:15">
      <c r="L2074" s="5">
        <f>IF(OR(A2074="",B2074=""),"",B2074-WEEKDAY(B2074,2)+1)</f>
        <v/>
      </c>
      <c r="M2074" s="5">
        <f>IF(L2074="","",L2074+6)</f>
        <v/>
      </c>
      <c r="N2074" s="6">
        <f>IF(OR(A2074="",B2074=""),"",DATE(YEAR(B2074),MONTH(B2074),1))</f>
        <v/>
      </c>
      <c r="O2074" s="7">
        <f>IF(COUNTA(A2074:K2074)=0,"",IF(OR(A2074="",B2074=""),"Preencher CPF e entrada",IF(COUNTIFS($A$12:$A$5011,A2074,$B$12:$B$5011,B2074)&gt;1,"CPF + dia duplicado",IF(OR(AND(G2074&lt;&gt;"",G2074&lt;&gt;0,G2074&lt;&gt;1),AND(H2074&lt;&gt;"",H2074&lt;&gt;0,H2074&lt;&gt;1)),"Flags devem ser 0 ou 1",IF(AND(H2074=1,LEN(TRIM(I2074))=0),"Preencher nome do indicante",IF(AND(H2074&lt;&gt;1,I2074&lt;&gt;""),"Nome sem indicação interna",IF(AND(G2074=1,F2074=""),"Fechamento sem conversa",IF(OR(AND(E2074&lt;&gt;"",E2074&lt;B2074),AND(F2074&lt;&gt;"",F2074&lt;B2074)),"Evento anterior à entrada",IF(AND(F2074&lt;&gt;"",E2074=""),"Conversa sem agendamento",IF(OR(E2074&gt;TODAY(),F2074&gt;TODAY()),"Verificar evento futuro","OK"))))))))))</f>
        <v/>
      </c>
    </row>
    <row r="2075" spans="12:15">
      <c r="L2075" s="5">
        <f>IF(OR(A2075="",B2075=""),"",B2075-WEEKDAY(B2075,2)+1)</f>
        <v/>
      </c>
      <c r="M2075" s="5">
        <f>IF(L2075="","",L2075+6)</f>
        <v/>
      </c>
      <c r="N2075" s="6">
        <f>IF(OR(A2075="",B2075=""),"",DATE(YEAR(B2075),MONTH(B2075),1))</f>
        <v/>
      </c>
      <c r="O2075" s="7">
        <f>IF(COUNTA(A2075:K2075)=0,"",IF(OR(A2075="",B2075=""),"Preencher CPF e entrada",IF(COUNTIFS($A$12:$A$5011,A2075,$B$12:$B$5011,B2075)&gt;1,"CPF + dia duplicado",IF(OR(AND(G2075&lt;&gt;"",G2075&lt;&gt;0,G2075&lt;&gt;1),AND(H2075&lt;&gt;"",H2075&lt;&gt;0,H2075&lt;&gt;1)),"Flags devem ser 0 ou 1",IF(AND(H2075=1,LEN(TRIM(I2075))=0),"Preencher nome do indicante",IF(AND(H2075&lt;&gt;1,I2075&lt;&gt;""),"Nome sem indicação interna",IF(AND(G2075=1,F2075=""),"Fechamento sem conversa",IF(OR(AND(E2075&lt;&gt;"",E2075&lt;B2075),AND(F2075&lt;&gt;"",F2075&lt;B2075)),"Evento anterior à entrada",IF(AND(F2075&lt;&gt;"",E2075=""),"Conversa sem agendamento",IF(OR(E2075&gt;TODAY(),F2075&gt;TODAY()),"Verificar evento futuro","OK"))))))))))</f>
        <v/>
      </c>
    </row>
    <row r="2076" spans="12:15">
      <c r="L2076" s="5">
        <f>IF(OR(A2076="",B2076=""),"",B2076-WEEKDAY(B2076,2)+1)</f>
        <v/>
      </c>
      <c r="M2076" s="5">
        <f>IF(L2076="","",L2076+6)</f>
        <v/>
      </c>
      <c r="N2076" s="6">
        <f>IF(OR(A2076="",B2076=""),"",DATE(YEAR(B2076),MONTH(B2076),1))</f>
        <v/>
      </c>
      <c r="O2076" s="7">
        <f>IF(COUNTA(A2076:K2076)=0,"",IF(OR(A2076="",B2076=""),"Preencher CPF e entrada",IF(COUNTIFS($A$12:$A$5011,A2076,$B$12:$B$5011,B2076)&gt;1,"CPF + dia duplicado",IF(OR(AND(G2076&lt;&gt;"",G2076&lt;&gt;0,G2076&lt;&gt;1),AND(H2076&lt;&gt;"",H2076&lt;&gt;0,H2076&lt;&gt;1)),"Flags devem ser 0 ou 1",IF(AND(H2076=1,LEN(TRIM(I2076))=0),"Preencher nome do indicante",IF(AND(H2076&lt;&gt;1,I2076&lt;&gt;""),"Nome sem indicação interna",IF(AND(G2076=1,F2076=""),"Fechamento sem conversa",IF(OR(AND(E2076&lt;&gt;"",E2076&lt;B2076),AND(F2076&lt;&gt;"",F2076&lt;B2076)),"Evento anterior à entrada",IF(AND(F2076&lt;&gt;"",E2076=""),"Conversa sem agendamento",IF(OR(E2076&gt;TODAY(),F2076&gt;TODAY()),"Verificar evento futuro","OK"))))))))))</f>
        <v/>
      </c>
    </row>
    <row r="2077" spans="12:15">
      <c r="L2077" s="5">
        <f>IF(OR(A2077="",B2077=""),"",B2077-WEEKDAY(B2077,2)+1)</f>
        <v/>
      </c>
      <c r="M2077" s="5">
        <f>IF(L2077="","",L2077+6)</f>
        <v/>
      </c>
      <c r="N2077" s="6">
        <f>IF(OR(A2077="",B2077=""),"",DATE(YEAR(B2077),MONTH(B2077),1))</f>
        <v/>
      </c>
      <c r="O2077" s="7">
        <f>IF(COUNTA(A2077:K2077)=0,"",IF(OR(A2077="",B2077=""),"Preencher CPF e entrada",IF(COUNTIFS($A$12:$A$5011,A2077,$B$12:$B$5011,B2077)&gt;1,"CPF + dia duplicado",IF(OR(AND(G2077&lt;&gt;"",G2077&lt;&gt;0,G2077&lt;&gt;1),AND(H2077&lt;&gt;"",H2077&lt;&gt;0,H2077&lt;&gt;1)),"Flags devem ser 0 ou 1",IF(AND(H2077=1,LEN(TRIM(I2077))=0),"Preencher nome do indicante",IF(AND(H2077&lt;&gt;1,I2077&lt;&gt;""),"Nome sem indicação interna",IF(AND(G2077=1,F2077=""),"Fechamento sem conversa",IF(OR(AND(E2077&lt;&gt;"",E2077&lt;B2077),AND(F2077&lt;&gt;"",F2077&lt;B2077)),"Evento anterior à entrada",IF(AND(F2077&lt;&gt;"",E2077=""),"Conversa sem agendamento",IF(OR(E2077&gt;TODAY(),F2077&gt;TODAY()),"Verificar evento futuro","OK"))))))))))</f>
        <v/>
      </c>
    </row>
    <row r="2078" spans="12:15">
      <c r="L2078" s="5">
        <f>IF(OR(A2078="",B2078=""),"",B2078-WEEKDAY(B2078,2)+1)</f>
        <v/>
      </c>
      <c r="M2078" s="5">
        <f>IF(L2078="","",L2078+6)</f>
        <v/>
      </c>
      <c r="N2078" s="6">
        <f>IF(OR(A2078="",B2078=""),"",DATE(YEAR(B2078),MONTH(B2078),1))</f>
        <v/>
      </c>
      <c r="O2078" s="7">
        <f>IF(COUNTA(A2078:K2078)=0,"",IF(OR(A2078="",B2078=""),"Preencher CPF e entrada",IF(COUNTIFS($A$12:$A$5011,A2078,$B$12:$B$5011,B2078)&gt;1,"CPF + dia duplicado",IF(OR(AND(G2078&lt;&gt;"",G2078&lt;&gt;0,G2078&lt;&gt;1),AND(H2078&lt;&gt;"",H2078&lt;&gt;0,H2078&lt;&gt;1)),"Flags devem ser 0 ou 1",IF(AND(H2078=1,LEN(TRIM(I2078))=0),"Preencher nome do indicante",IF(AND(H2078&lt;&gt;1,I2078&lt;&gt;""),"Nome sem indicação interna",IF(AND(G2078=1,F2078=""),"Fechamento sem conversa",IF(OR(AND(E2078&lt;&gt;"",E2078&lt;B2078),AND(F2078&lt;&gt;"",F2078&lt;B2078)),"Evento anterior à entrada",IF(AND(F2078&lt;&gt;"",E2078=""),"Conversa sem agendamento",IF(OR(E2078&gt;TODAY(),F2078&gt;TODAY()),"Verificar evento futuro","OK"))))))))))</f>
        <v/>
      </c>
    </row>
    <row r="2079" spans="12:15">
      <c r="L2079" s="5">
        <f>IF(OR(A2079="",B2079=""),"",B2079-WEEKDAY(B2079,2)+1)</f>
        <v/>
      </c>
      <c r="M2079" s="5">
        <f>IF(L2079="","",L2079+6)</f>
        <v/>
      </c>
      <c r="N2079" s="6">
        <f>IF(OR(A2079="",B2079=""),"",DATE(YEAR(B2079),MONTH(B2079),1))</f>
        <v/>
      </c>
      <c r="O2079" s="7">
        <f>IF(COUNTA(A2079:K2079)=0,"",IF(OR(A2079="",B2079=""),"Preencher CPF e entrada",IF(COUNTIFS($A$12:$A$5011,A2079,$B$12:$B$5011,B2079)&gt;1,"CPF + dia duplicado",IF(OR(AND(G2079&lt;&gt;"",G2079&lt;&gt;0,G2079&lt;&gt;1),AND(H2079&lt;&gt;"",H2079&lt;&gt;0,H2079&lt;&gt;1)),"Flags devem ser 0 ou 1",IF(AND(H2079=1,LEN(TRIM(I2079))=0),"Preencher nome do indicante",IF(AND(H2079&lt;&gt;1,I2079&lt;&gt;""),"Nome sem indicação interna",IF(AND(G2079=1,F2079=""),"Fechamento sem conversa",IF(OR(AND(E2079&lt;&gt;"",E2079&lt;B2079),AND(F2079&lt;&gt;"",F2079&lt;B2079)),"Evento anterior à entrada",IF(AND(F2079&lt;&gt;"",E2079=""),"Conversa sem agendamento",IF(OR(E2079&gt;TODAY(),F2079&gt;TODAY()),"Verificar evento futuro","OK"))))))))))</f>
        <v/>
      </c>
    </row>
    <row r="2080" spans="12:15">
      <c r="L2080" s="5">
        <f>IF(OR(A2080="",B2080=""),"",B2080-WEEKDAY(B2080,2)+1)</f>
        <v/>
      </c>
      <c r="M2080" s="5">
        <f>IF(L2080="","",L2080+6)</f>
        <v/>
      </c>
      <c r="N2080" s="6">
        <f>IF(OR(A2080="",B2080=""),"",DATE(YEAR(B2080),MONTH(B2080),1))</f>
        <v/>
      </c>
      <c r="O2080" s="7">
        <f>IF(COUNTA(A2080:K2080)=0,"",IF(OR(A2080="",B2080=""),"Preencher CPF e entrada",IF(COUNTIFS($A$12:$A$5011,A2080,$B$12:$B$5011,B2080)&gt;1,"CPF + dia duplicado",IF(OR(AND(G2080&lt;&gt;"",G2080&lt;&gt;0,G2080&lt;&gt;1),AND(H2080&lt;&gt;"",H2080&lt;&gt;0,H2080&lt;&gt;1)),"Flags devem ser 0 ou 1",IF(AND(H2080=1,LEN(TRIM(I2080))=0),"Preencher nome do indicante",IF(AND(H2080&lt;&gt;1,I2080&lt;&gt;""),"Nome sem indicação interna",IF(AND(G2080=1,F2080=""),"Fechamento sem conversa",IF(OR(AND(E2080&lt;&gt;"",E2080&lt;B2080),AND(F2080&lt;&gt;"",F2080&lt;B2080)),"Evento anterior à entrada",IF(AND(F2080&lt;&gt;"",E2080=""),"Conversa sem agendamento",IF(OR(E2080&gt;TODAY(),F2080&gt;TODAY()),"Verificar evento futuro","OK"))))))))))</f>
        <v/>
      </c>
    </row>
    <row r="2081" spans="12:15">
      <c r="L2081" s="5">
        <f>IF(OR(A2081="",B2081=""),"",B2081-WEEKDAY(B2081,2)+1)</f>
        <v/>
      </c>
      <c r="M2081" s="5">
        <f>IF(L2081="","",L2081+6)</f>
        <v/>
      </c>
      <c r="N2081" s="6">
        <f>IF(OR(A2081="",B2081=""),"",DATE(YEAR(B2081),MONTH(B2081),1))</f>
        <v/>
      </c>
      <c r="O2081" s="7">
        <f>IF(COUNTA(A2081:K2081)=0,"",IF(OR(A2081="",B2081=""),"Preencher CPF e entrada",IF(COUNTIFS($A$12:$A$5011,A2081,$B$12:$B$5011,B2081)&gt;1,"CPF + dia duplicado",IF(OR(AND(G2081&lt;&gt;"",G2081&lt;&gt;0,G2081&lt;&gt;1),AND(H2081&lt;&gt;"",H2081&lt;&gt;0,H2081&lt;&gt;1)),"Flags devem ser 0 ou 1",IF(AND(H2081=1,LEN(TRIM(I2081))=0),"Preencher nome do indicante",IF(AND(H2081&lt;&gt;1,I2081&lt;&gt;""),"Nome sem indicação interna",IF(AND(G2081=1,F2081=""),"Fechamento sem conversa",IF(OR(AND(E2081&lt;&gt;"",E2081&lt;B2081),AND(F2081&lt;&gt;"",F2081&lt;B2081)),"Evento anterior à entrada",IF(AND(F2081&lt;&gt;"",E2081=""),"Conversa sem agendamento",IF(OR(E2081&gt;TODAY(),F2081&gt;TODAY()),"Verificar evento futuro","OK"))))))))))</f>
        <v/>
      </c>
    </row>
    <row r="2082" spans="12:15">
      <c r="L2082" s="5">
        <f>IF(OR(A2082="",B2082=""),"",B2082-WEEKDAY(B2082,2)+1)</f>
        <v/>
      </c>
      <c r="M2082" s="5">
        <f>IF(L2082="","",L2082+6)</f>
        <v/>
      </c>
      <c r="N2082" s="6">
        <f>IF(OR(A2082="",B2082=""),"",DATE(YEAR(B2082),MONTH(B2082),1))</f>
        <v/>
      </c>
      <c r="O2082" s="7">
        <f>IF(COUNTA(A2082:K2082)=0,"",IF(OR(A2082="",B2082=""),"Preencher CPF e entrada",IF(COUNTIFS($A$12:$A$5011,A2082,$B$12:$B$5011,B2082)&gt;1,"CPF + dia duplicado",IF(OR(AND(G2082&lt;&gt;"",G2082&lt;&gt;0,G2082&lt;&gt;1),AND(H2082&lt;&gt;"",H2082&lt;&gt;0,H2082&lt;&gt;1)),"Flags devem ser 0 ou 1",IF(AND(H2082=1,LEN(TRIM(I2082))=0),"Preencher nome do indicante",IF(AND(H2082&lt;&gt;1,I2082&lt;&gt;""),"Nome sem indicação interna",IF(AND(G2082=1,F2082=""),"Fechamento sem conversa",IF(OR(AND(E2082&lt;&gt;"",E2082&lt;B2082),AND(F2082&lt;&gt;"",F2082&lt;B2082)),"Evento anterior à entrada",IF(AND(F2082&lt;&gt;"",E2082=""),"Conversa sem agendamento",IF(OR(E2082&gt;TODAY(),F2082&gt;TODAY()),"Verificar evento futuro","OK"))))))))))</f>
        <v/>
      </c>
    </row>
    <row r="2083" spans="12:15">
      <c r="L2083" s="5">
        <f>IF(OR(A2083="",B2083=""),"",B2083-WEEKDAY(B2083,2)+1)</f>
        <v/>
      </c>
      <c r="M2083" s="5">
        <f>IF(L2083="","",L2083+6)</f>
        <v/>
      </c>
      <c r="N2083" s="6">
        <f>IF(OR(A2083="",B2083=""),"",DATE(YEAR(B2083),MONTH(B2083),1))</f>
        <v/>
      </c>
      <c r="O2083" s="7">
        <f>IF(COUNTA(A2083:K2083)=0,"",IF(OR(A2083="",B2083=""),"Preencher CPF e entrada",IF(COUNTIFS($A$12:$A$5011,A2083,$B$12:$B$5011,B2083)&gt;1,"CPF + dia duplicado",IF(OR(AND(G2083&lt;&gt;"",G2083&lt;&gt;0,G2083&lt;&gt;1),AND(H2083&lt;&gt;"",H2083&lt;&gt;0,H2083&lt;&gt;1)),"Flags devem ser 0 ou 1",IF(AND(H2083=1,LEN(TRIM(I2083))=0),"Preencher nome do indicante",IF(AND(H2083&lt;&gt;1,I2083&lt;&gt;""),"Nome sem indicação interna",IF(AND(G2083=1,F2083=""),"Fechamento sem conversa",IF(OR(AND(E2083&lt;&gt;"",E2083&lt;B2083),AND(F2083&lt;&gt;"",F2083&lt;B2083)),"Evento anterior à entrada",IF(AND(F2083&lt;&gt;"",E2083=""),"Conversa sem agendamento",IF(OR(E2083&gt;TODAY(),F2083&gt;TODAY()),"Verificar evento futuro","OK"))))))))))</f>
        <v/>
      </c>
    </row>
    <row r="2084" spans="12:15">
      <c r="L2084" s="5">
        <f>IF(OR(A2084="",B2084=""),"",B2084-WEEKDAY(B2084,2)+1)</f>
        <v/>
      </c>
      <c r="M2084" s="5">
        <f>IF(L2084="","",L2084+6)</f>
        <v/>
      </c>
      <c r="N2084" s="6">
        <f>IF(OR(A2084="",B2084=""),"",DATE(YEAR(B2084),MONTH(B2084),1))</f>
        <v/>
      </c>
      <c r="O2084" s="7">
        <f>IF(COUNTA(A2084:K2084)=0,"",IF(OR(A2084="",B2084=""),"Preencher CPF e entrada",IF(COUNTIFS($A$12:$A$5011,A2084,$B$12:$B$5011,B2084)&gt;1,"CPF + dia duplicado",IF(OR(AND(G2084&lt;&gt;"",G2084&lt;&gt;0,G2084&lt;&gt;1),AND(H2084&lt;&gt;"",H2084&lt;&gt;0,H2084&lt;&gt;1)),"Flags devem ser 0 ou 1",IF(AND(H2084=1,LEN(TRIM(I2084))=0),"Preencher nome do indicante",IF(AND(H2084&lt;&gt;1,I2084&lt;&gt;""),"Nome sem indicação interna",IF(AND(G2084=1,F2084=""),"Fechamento sem conversa",IF(OR(AND(E2084&lt;&gt;"",E2084&lt;B2084),AND(F2084&lt;&gt;"",F2084&lt;B2084)),"Evento anterior à entrada",IF(AND(F2084&lt;&gt;"",E2084=""),"Conversa sem agendamento",IF(OR(E2084&gt;TODAY(),F2084&gt;TODAY()),"Verificar evento futuro","OK"))))))))))</f>
        <v/>
      </c>
    </row>
    <row r="2085" spans="12:15">
      <c r="L2085" s="5">
        <f>IF(OR(A2085="",B2085=""),"",B2085-WEEKDAY(B2085,2)+1)</f>
        <v/>
      </c>
      <c r="M2085" s="5">
        <f>IF(L2085="","",L2085+6)</f>
        <v/>
      </c>
      <c r="N2085" s="6">
        <f>IF(OR(A2085="",B2085=""),"",DATE(YEAR(B2085),MONTH(B2085),1))</f>
        <v/>
      </c>
      <c r="O2085" s="7">
        <f>IF(COUNTA(A2085:K2085)=0,"",IF(OR(A2085="",B2085=""),"Preencher CPF e entrada",IF(COUNTIFS($A$12:$A$5011,A2085,$B$12:$B$5011,B2085)&gt;1,"CPF + dia duplicado",IF(OR(AND(G2085&lt;&gt;"",G2085&lt;&gt;0,G2085&lt;&gt;1),AND(H2085&lt;&gt;"",H2085&lt;&gt;0,H2085&lt;&gt;1)),"Flags devem ser 0 ou 1",IF(AND(H2085=1,LEN(TRIM(I2085))=0),"Preencher nome do indicante",IF(AND(H2085&lt;&gt;1,I2085&lt;&gt;""),"Nome sem indicação interna",IF(AND(G2085=1,F2085=""),"Fechamento sem conversa",IF(OR(AND(E2085&lt;&gt;"",E2085&lt;B2085),AND(F2085&lt;&gt;"",F2085&lt;B2085)),"Evento anterior à entrada",IF(AND(F2085&lt;&gt;"",E2085=""),"Conversa sem agendamento",IF(OR(E2085&gt;TODAY(),F2085&gt;TODAY()),"Verificar evento futuro","OK"))))))))))</f>
        <v/>
      </c>
    </row>
    <row r="2086" spans="12:15">
      <c r="L2086" s="5">
        <f>IF(OR(A2086="",B2086=""),"",B2086-WEEKDAY(B2086,2)+1)</f>
        <v/>
      </c>
      <c r="M2086" s="5">
        <f>IF(L2086="","",L2086+6)</f>
        <v/>
      </c>
      <c r="N2086" s="6">
        <f>IF(OR(A2086="",B2086=""),"",DATE(YEAR(B2086),MONTH(B2086),1))</f>
        <v/>
      </c>
      <c r="O2086" s="7">
        <f>IF(COUNTA(A2086:K2086)=0,"",IF(OR(A2086="",B2086=""),"Preencher CPF e entrada",IF(COUNTIFS($A$12:$A$5011,A2086,$B$12:$B$5011,B2086)&gt;1,"CPF + dia duplicado",IF(OR(AND(G2086&lt;&gt;"",G2086&lt;&gt;0,G2086&lt;&gt;1),AND(H2086&lt;&gt;"",H2086&lt;&gt;0,H2086&lt;&gt;1)),"Flags devem ser 0 ou 1",IF(AND(H2086=1,LEN(TRIM(I2086))=0),"Preencher nome do indicante",IF(AND(H2086&lt;&gt;1,I2086&lt;&gt;""),"Nome sem indicação interna",IF(AND(G2086=1,F2086=""),"Fechamento sem conversa",IF(OR(AND(E2086&lt;&gt;"",E2086&lt;B2086),AND(F2086&lt;&gt;"",F2086&lt;B2086)),"Evento anterior à entrada",IF(AND(F2086&lt;&gt;"",E2086=""),"Conversa sem agendamento",IF(OR(E2086&gt;TODAY(),F2086&gt;TODAY()),"Verificar evento futuro","OK"))))))))))</f>
        <v/>
      </c>
    </row>
    <row r="2087" spans="12:15">
      <c r="L2087" s="5">
        <f>IF(OR(A2087="",B2087=""),"",B2087-WEEKDAY(B2087,2)+1)</f>
        <v/>
      </c>
      <c r="M2087" s="5">
        <f>IF(L2087="","",L2087+6)</f>
        <v/>
      </c>
      <c r="N2087" s="6">
        <f>IF(OR(A2087="",B2087=""),"",DATE(YEAR(B2087),MONTH(B2087),1))</f>
        <v/>
      </c>
      <c r="O2087" s="7">
        <f>IF(COUNTA(A2087:K2087)=0,"",IF(OR(A2087="",B2087=""),"Preencher CPF e entrada",IF(COUNTIFS($A$12:$A$5011,A2087,$B$12:$B$5011,B2087)&gt;1,"CPF + dia duplicado",IF(OR(AND(G2087&lt;&gt;"",G2087&lt;&gt;0,G2087&lt;&gt;1),AND(H2087&lt;&gt;"",H2087&lt;&gt;0,H2087&lt;&gt;1)),"Flags devem ser 0 ou 1",IF(AND(H2087=1,LEN(TRIM(I2087))=0),"Preencher nome do indicante",IF(AND(H2087&lt;&gt;1,I2087&lt;&gt;""),"Nome sem indicação interna",IF(AND(G2087=1,F2087=""),"Fechamento sem conversa",IF(OR(AND(E2087&lt;&gt;"",E2087&lt;B2087),AND(F2087&lt;&gt;"",F2087&lt;B2087)),"Evento anterior à entrada",IF(AND(F2087&lt;&gt;"",E2087=""),"Conversa sem agendamento",IF(OR(E2087&gt;TODAY(),F2087&gt;TODAY()),"Verificar evento futuro","OK"))))))))))</f>
        <v/>
      </c>
    </row>
    <row r="2088" spans="12:15">
      <c r="L2088" s="5">
        <f>IF(OR(A2088="",B2088=""),"",B2088-WEEKDAY(B2088,2)+1)</f>
        <v/>
      </c>
      <c r="M2088" s="5">
        <f>IF(L2088="","",L2088+6)</f>
        <v/>
      </c>
      <c r="N2088" s="6">
        <f>IF(OR(A2088="",B2088=""),"",DATE(YEAR(B2088),MONTH(B2088),1))</f>
        <v/>
      </c>
      <c r="O2088" s="7">
        <f>IF(COUNTA(A2088:K2088)=0,"",IF(OR(A2088="",B2088=""),"Preencher CPF e entrada",IF(COUNTIFS($A$12:$A$5011,A2088,$B$12:$B$5011,B2088)&gt;1,"CPF + dia duplicado",IF(OR(AND(G2088&lt;&gt;"",G2088&lt;&gt;0,G2088&lt;&gt;1),AND(H2088&lt;&gt;"",H2088&lt;&gt;0,H2088&lt;&gt;1)),"Flags devem ser 0 ou 1",IF(AND(H2088=1,LEN(TRIM(I2088))=0),"Preencher nome do indicante",IF(AND(H2088&lt;&gt;1,I2088&lt;&gt;""),"Nome sem indicação interna",IF(AND(G2088=1,F2088=""),"Fechamento sem conversa",IF(OR(AND(E2088&lt;&gt;"",E2088&lt;B2088),AND(F2088&lt;&gt;"",F2088&lt;B2088)),"Evento anterior à entrada",IF(AND(F2088&lt;&gt;"",E2088=""),"Conversa sem agendamento",IF(OR(E2088&gt;TODAY(),F2088&gt;TODAY()),"Verificar evento futuro","OK"))))))))))</f>
        <v/>
      </c>
    </row>
    <row r="2089" spans="12:15">
      <c r="L2089" s="5">
        <f>IF(OR(A2089="",B2089=""),"",B2089-WEEKDAY(B2089,2)+1)</f>
        <v/>
      </c>
      <c r="M2089" s="5">
        <f>IF(L2089="","",L2089+6)</f>
        <v/>
      </c>
      <c r="N2089" s="6">
        <f>IF(OR(A2089="",B2089=""),"",DATE(YEAR(B2089),MONTH(B2089),1))</f>
        <v/>
      </c>
      <c r="O2089" s="7">
        <f>IF(COUNTA(A2089:K2089)=0,"",IF(OR(A2089="",B2089=""),"Preencher CPF e entrada",IF(COUNTIFS($A$12:$A$5011,A2089,$B$12:$B$5011,B2089)&gt;1,"CPF + dia duplicado",IF(OR(AND(G2089&lt;&gt;"",G2089&lt;&gt;0,G2089&lt;&gt;1),AND(H2089&lt;&gt;"",H2089&lt;&gt;0,H2089&lt;&gt;1)),"Flags devem ser 0 ou 1",IF(AND(H2089=1,LEN(TRIM(I2089))=0),"Preencher nome do indicante",IF(AND(H2089&lt;&gt;1,I2089&lt;&gt;""),"Nome sem indicação interna",IF(AND(G2089=1,F2089=""),"Fechamento sem conversa",IF(OR(AND(E2089&lt;&gt;"",E2089&lt;B2089),AND(F2089&lt;&gt;"",F2089&lt;B2089)),"Evento anterior à entrada",IF(AND(F2089&lt;&gt;"",E2089=""),"Conversa sem agendamento",IF(OR(E2089&gt;TODAY(),F2089&gt;TODAY()),"Verificar evento futuro","OK"))))))))))</f>
        <v/>
      </c>
    </row>
    <row r="2090" spans="12:15">
      <c r="L2090" s="5">
        <f>IF(OR(A2090="",B2090=""),"",B2090-WEEKDAY(B2090,2)+1)</f>
        <v/>
      </c>
      <c r="M2090" s="5">
        <f>IF(L2090="","",L2090+6)</f>
        <v/>
      </c>
      <c r="N2090" s="6">
        <f>IF(OR(A2090="",B2090=""),"",DATE(YEAR(B2090),MONTH(B2090),1))</f>
        <v/>
      </c>
      <c r="O2090" s="7">
        <f>IF(COUNTA(A2090:K2090)=0,"",IF(OR(A2090="",B2090=""),"Preencher CPF e entrada",IF(COUNTIFS($A$12:$A$5011,A2090,$B$12:$B$5011,B2090)&gt;1,"CPF + dia duplicado",IF(OR(AND(G2090&lt;&gt;"",G2090&lt;&gt;0,G2090&lt;&gt;1),AND(H2090&lt;&gt;"",H2090&lt;&gt;0,H2090&lt;&gt;1)),"Flags devem ser 0 ou 1",IF(AND(H2090=1,LEN(TRIM(I2090))=0),"Preencher nome do indicante",IF(AND(H2090&lt;&gt;1,I2090&lt;&gt;""),"Nome sem indicação interna",IF(AND(G2090=1,F2090=""),"Fechamento sem conversa",IF(OR(AND(E2090&lt;&gt;"",E2090&lt;B2090),AND(F2090&lt;&gt;"",F2090&lt;B2090)),"Evento anterior à entrada",IF(AND(F2090&lt;&gt;"",E2090=""),"Conversa sem agendamento",IF(OR(E2090&gt;TODAY(),F2090&gt;TODAY()),"Verificar evento futuro","OK"))))))))))</f>
        <v/>
      </c>
    </row>
    <row r="2091" spans="12:15">
      <c r="L2091" s="5">
        <f>IF(OR(A2091="",B2091=""),"",B2091-WEEKDAY(B2091,2)+1)</f>
        <v/>
      </c>
      <c r="M2091" s="5">
        <f>IF(L2091="","",L2091+6)</f>
        <v/>
      </c>
      <c r="N2091" s="6">
        <f>IF(OR(A2091="",B2091=""),"",DATE(YEAR(B2091),MONTH(B2091),1))</f>
        <v/>
      </c>
      <c r="O2091" s="7">
        <f>IF(COUNTA(A2091:K2091)=0,"",IF(OR(A2091="",B2091=""),"Preencher CPF e entrada",IF(COUNTIFS($A$12:$A$5011,A2091,$B$12:$B$5011,B2091)&gt;1,"CPF + dia duplicado",IF(OR(AND(G2091&lt;&gt;"",G2091&lt;&gt;0,G2091&lt;&gt;1),AND(H2091&lt;&gt;"",H2091&lt;&gt;0,H2091&lt;&gt;1)),"Flags devem ser 0 ou 1",IF(AND(H2091=1,LEN(TRIM(I2091))=0),"Preencher nome do indicante",IF(AND(H2091&lt;&gt;1,I2091&lt;&gt;""),"Nome sem indicação interna",IF(AND(G2091=1,F2091=""),"Fechamento sem conversa",IF(OR(AND(E2091&lt;&gt;"",E2091&lt;B2091),AND(F2091&lt;&gt;"",F2091&lt;B2091)),"Evento anterior à entrada",IF(AND(F2091&lt;&gt;"",E2091=""),"Conversa sem agendamento",IF(OR(E2091&gt;TODAY(),F2091&gt;TODAY()),"Verificar evento futuro","OK"))))))))))</f>
        <v/>
      </c>
    </row>
    <row r="2092" spans="12:15">
      <c r="L2092" s="5">
        <f>IF(OR(A2092="",B2092=""),"",B2092-WEEKDAY(B2092,2)+1)</f>
        <v/>
      </c>
      <c r="M2092" s="5">
        <f>IF(L2092="","",L2092+6)</f>
        <v/>
      </c>
      <c r="N2092" s="6">
        <f>IF(OR(A2092="",B2092=""),"",DATE(YEAR(B2092),MONTH(B2092),1))</f>
        <v/>
      </c>
      <c r="O2092" s="7">
        <f>IF(COUNTA(A2092:K2092)=0,"",IF(OR(A2092="",B2092=""),"Preencher CPF e entrada",IF(COUNTIFS($A$12:$A$5011,A2092,$B$12:$B$5011,B2092)&gt;1,"CPF + dia duplicado",IF(OR(AND(G2092&lt;&gt;"",G2092&lt;&gt;0,G2092&lt;&gt;1),AND(H2092&lt;&gt;"",H2092&lt;&gt;0,H2092&lt;&gt;1)),"Flags devem ser 0 ou 1",IF(AND(H2092=1,LEN(TRIM(I2092))=0),"Preencher nome do indicante",IF(AND(H2092&lt;&gt;1,I2092&lt;&gt;""),"Nome sem indicação interna",IF(AND(G2092=1,F2092=""),"Fechamento sem conversa",IF(OR(AND(E2092&lt;&gt;"",E2092&lt;B2092),AND(F2092&lt;&gt;"",F2092&lt;B2092)),"Evento anterior à entrada",IF(AND(F2092&lt;&gt;"",E2092=""),"Conversa sem agendamento",IF(OR(E2092&gt;TODAY(),F2092&gt;TODAY()),"Verificar evento futuro","OK"))))))))))</f>
        <v/>
      </c>
    </row>
    <row r="2093" spans="12:15">
      <c r="L2093" s="5">
        <f>IF(OR(A2093="",B2093=""),"",B2093-WEEKDAY(B2093,2)+1)</f>
        <v/>
      </c>
      <c r="M2093" s="5">
        <f>IF(L2093="","",L2093+6)</f>
        <v/>
      </c>
      <c r="N2093" s="6">
        <f>IF(OR(A2093="",B2093=""),"",DATE(YEAR(B2093),MONTH(B2093),1))</f>
        <v/>
      </c>
      <c r="O2093" s="7">
        <f>IF(COUNTA(A2093:K2093)=0,"",IF(OR(A2093="",B2093=""),"Preencher CPF e entrada",IF(COUNTIFS($A$12:$A$5011,A2093,$B$12:$B$5011,B2093)&gt;1,"CPF + dia duplicado",IF(OR(AND(G2093&lt;&gt;"",G2093&lt;&gt;0,G2093&lt;&gt;1),AND(H2093&lt;&gt;"",H2093&lt;&gt;0,H2093&lt;&gt;1)),"Flags devem ser 0 ou 1",IF(AND(H2093=1,LEN(TRIM(I2093))=0),"Preencher nome do indicante",IF(AND(H2093&lt;&gt;1,I2093&lt;&gt;""),"Nome sem indicação interna",IF(AND(G2093=1,F2093=""),"Fechamento sem conversa",IF(OR(AND(E2093&lt;&gt;"",E2093&lt;B2093),AND(F2093&lt;&gt;"",F2093&lt;B2093)),"Evento anterior à entrada",IF(AND(F2093&lt;&gt;"",E2093=""),"Conversa sem agendamento",IF(OR(E2093&gt;TODAY(),F2093&gt;TODAY()),"Verificar evento futuro","OK"))))))))))</f>
        <v/>
      </c>
    </row>
    <row r="2094" spans="12:15">
      <c r="L2094" s="5">
        <f>IF(OR(A2094="",B2094=""),"",B2094-WEEKDAY(B2094,2)+1)</f>
        <v/>
      </c>
      <c r="M2094" s="5">
        <f>IF(L2094="","",L2094+6)</f>
        <v/>
      </c>
      <c r="N2094" s="6">
        <f>IF(OR(A2094="",B2094=""),"",DATE(YEAR(B2094),MONTH(B2094),1))</f>
        <v/>
      </c>
      <c r="O2094" s="7">
        <f>IF(COUNTA(A2094:K2094)=0,"",IF(OR(A2094="",B2094=""),"Preencher CPF e entrada",IF(COUNTIFS($A$12:$A$5011,A2094,$B$12:$B$5011,B2094)&gt;1,"CPF + dia duplicado",IF(OR(AND(G2094&lt;&gt;"",G2094&lt;&gt;0,G2094&lt;&gt;1),AND(H2094&lt;&gt;"",H2094&lt;&gt;0,H2094&lt;&gt;1)),"Flags devem ser 0 ou 1",IF(AND(H2094=1,LEN(TRIM(I2094))=0),"Preencher nome do indicante",IF(AND(H2094&lt;&gt;1,I2094&lt;&gt;""),"Nome sem indicação interna",IF(AND(G2094=1,F2094=""),"Fechamento sem conversa",IF(OR(AND(E2094&lt;&gt;"",E2094&lt;B2094),AND(F2094&lt;&gt;"",F2094&lt;B2094)),"Evento anterior à entrada",IF(AND(F2094&lt;&gt;"",E2094=""),"Conversa sem agendamento",IF(OR(E2094&gt;TODAY(),F2094&gt;TODAY()),"Verificar evento futuro","OK"))))))))))</f>
        <v/>
      </c>
    </row>
    <row r="2095" spans="12:15">
      <c r="L2095" s="5">
        <f>IF(OR(A2095="",B2095=""),"",B2095-WEEKDAY(B2095,2)+1)</f>
        <v/>
      </c>
      <c r="M2095" s="5">
        <f>IF(L2095="","",L2095+6)</f>
        <v/>
      </c>
      <c r="N2095" s="6">
        <f>IF(OR(A2095="",B2095=""),"",DATE(YEAR(B2095),MONTH(B2095),1))</f>
        <v/>
      </c>
      <c r="O2095" s="7">
        <f>IF(COUNTA(A2095:K2095)=0,"",IF(OR(A2095="",B2095=""),"Preencher CPF e entrada",IF(COUNTIFS($A$12:$A$5011,A2095,$B$12:$B$5011,B2095)&gt;1,"CPF + dia duplicado",IF(OR(AND(G2095&lt;&gt;"",G2095&lt;&gt;0,G2095&lt;&gt;1),AND(H2095&lt;&gt;"",H2095&lt;&gt;0,H2095&lt;&gt;1)),"Flags devem ser 0 ou 1",IF(AND(H2095=1,LEN(TRIM(I2095))=0),"Preencher nome do indicante",IF(AND(H2095&lt;&gt;1,I2095&lt;&gt;""),"Nome sem indicação interna",IF(AND(G2095=1,F2095=""),"Fechamento sem conversa",IF(OR(AND(E2095&lt;&gt;"",E2095&lt;B2095),AND(F2095&lt;&gt;"",F2095&lt;B2095)),"Evento anterior à entrada",IF(AND(F2095&lt;&gt;"",E2095=""),"Conversa sem agendamento",IF(OR(E2095&gt;TODAY(),F2095&gt;TODAY()),"Verificar evento futuro","OK"))))))))))</f>
        <v/>
      </c>
    </row>
    <row r="2096" spans="12:15">
      <c r="L2096" s="5">
        <f>IF(OR(A2096="",B2096=""),"",B2096-WEEKDAY(B2096,2)+1)</f>
        <v/>
      </c>
      <c r="M2096" s="5">
        <f>IF(L2096="","",L2096+6)</f>
        <v/>
      </c>
      <c r="N2096" s="6">
        <f>IF(OR(A2096="",B2096=""),"",DATE(YEAR(B2096),MONTH(B2096),1))</f>
        <v/>
      </c>
      <c r="O2096" s="7">
        <f>IF(COUNTA(A2096:K2096)=0,"",IF(OR(A2096="",B2096=""),"Preencher CPF e entrada",IF(COUNTIFS($A$12:$A$5011,A2096,$B$12:$B$5011,B2096)&gt;1,"CPF + dia duplicado",IF(OR(AND(G2096&lt;&gt;"",G2096&lt;&gt;0,G2096&lt;&gt;1),AND(H2096&lt;&gt;"",H2096&lt;&gt;0,H2096&lt;&gt;1)),"Flags devem ser 0 ou 1",IF(AND(H2096=1,LEN(TRIM(I2096))=0),"Preencher nome do indicante",IF(AND(H2096&lt;&gt;1,I2096&lt;&gt;""),"Nome sem indicação interna",IF(AND(G2096=1,F2096=""),"Fechamento sem conversa",IF(OR(AND(E2096&lt;&gt;"",E2096&lt;B2096),AND(F2096&lt;&gt;"",F2096&lt;B2096)),"Evento anterior à entrada",IF(AND(F2096&lt;&gt;"",E2096=""),"Conversa sem agendamento",IF(OR(E2096&gt;TODAY(),F2096&gt;TODAY()),"Verificar evento futuro","OK"))))))))))</f>
        <v/>
      </c>
    </row>
    <row r="2097" spans="12:15">
      <c r="L2097" s="5">
        <f>IF(OR(A2097="",B2097=""),"",B2097-WEEKDAY(B2097,2)+1)</f>
        <v/>
      </c>
      <c r="M2097" s="5">
        <f>IF(L2097="","",L2097+6)</f>
        <v/>
      </c>
      <c r="N2097" s="6">
        <f>IF(OR(A2097="",B2097=""),"",DATE(YEAR(B2097),MONTH(B2097),1))</f>
        <v/>
      </c>
      <c r="O2097" s="7">
        <f>IF(COUNTA(A2097:K2097)=0,"",IF(OR(A2097="",B2097=""),"Preencher CPF e entrada",IF(COUNTIFS($A$12:$A$5011,A2097,$B$12:$B$5011,B2097)&gt;1,"CPF + dia duplicado",IF(OR(AND(G2097&lt;&gt;"",G2097&lt;&gt;0,G2097&lt;&gt;1),AND(H2097&lt;&gt;"",H2097&lt;&gt;0,H2097&lt;&gt;1)),"Flags devem ser 0 ou 1",IF(AND(H2097=1,LEN(TRIM(I2097))=0),"Preencher nome do indicante",IF(AND(H2097&lt;&gt;1,I2097&lt;&gt;""),"Nome sem indicação interna",IF(AND(G2097=1,F2097=""),"Fechamento sem conversa",IF(OR(AND(E2097&lt;&gt;"",E2097&lt;B2097),AND(F2097&lt;&gt;"",F2097&lt;B2097)),"Evento anterior à entrada",IF(AND(F2097&lt;&gt;"",E2097=""),"Conversa sem agendamento",IF(OR(E2097&gt;TODAY(),F2097&gt;TODAY()),"Verificar evento futuro","OK"))))))))))</f>
        <v/>
      </c>
    </row>
    <row r="2098" spans="12:15">
      <c r="L2098" s="5">
        <f>IF(OR(A2098="",B2098=""),"",B2098-WEEKDAY(B2098,2)+1)</f>
        <v/>
      </c>
      <c r="M2098" s="5">
        <f>IF(L2098="","",L2098+6)</f>
        <v/>
      </c>
      <c r="N2098" s="6">
        <f>IF(OR(A2098="",B2098=""),"",DATE(YEAR(B2098),MONTH(B2098),1))</f>
        <v/>
      </c>
      <c r="O2098" s="7">
        <f>IF(COUNTA(A2098:K2098)=0,"",IF(OR(A2098="",B2098=""),"Preencher CPF e entrada",IF(COUNTIFS($A$12:$A$5011,A2098,$B$12:$B$5011,B2098)&gt;1,"CPF + dia duplicado",IF(OR(AND(G2098&lt;&gt;"",G2098&lt;&gt;0,G2098&lt;&gt;1),AND(H2098&lt;&gt;"",H2098&lt;&gt;0,H2098&lt;&gt;1)),"Flags devem ser 0 ou 1",IF(AND(H2098=1,LEN(TRIM(I2098))=0),"Preencher nome do indicante",IF(AND(H2098&lt;&gt;1,I2098&lt;&gt;""),"Nome sem indicação interna",IF(AND(G2098=1,F2098=""),"Fechamento sem conversa",IF(OR(AND(E2098&lt;&gt;"",E2098&lt;B2098),AND(F2098&lt;&gt;"",F2098&lt;B2098)),"Evento anterior à entrada",IF(AND(F2098&lt;&gt;"",E2098=""),"Conversa sem agendamento",IF(OR(E2098&gt;TODAY(),F2098&gt;TODAY()),"Verificar evento futuro","OK"))))))))))</f>
        <v/>
      </c>
    </row>
    <row r="2099" spans="12:15">
      <c r="L2099" s="5">
        <f>IF(OR(A2099="",B2099=""),"",B2099-WEEKDAY(B2099,2)+1)</f>
        <v/>
      </c>
      <c r="M2099" s="5">
        <f>IF(L2099="","",L2099+6)</f>
        <v/>
      </c>
      <c r="N2099" s="6">
        <f>IF(OR(A2099="",B2099=""),"",DATE(YEAR(B2099),MONTH(B2099),1))</f>
        <v/>
      </c>
      <c r="O2099" s="7">
        <f>IF(COUNTA(A2099:K2099)=0,"",IF(OR(A2099="",B2099=""),"Preencher CPF e entrada",IF(COUNTIFS($A$12:$A$5011,A2099,$B$12:$B$5011,B2099)&gt;1,"CPF + dia duplicado",IF(OR(AND(G2099&lt;&gt;"",G2099&lt;&gt;0,G2099&lt;&gt;1),AND(H2099&lt;&gt;"",H2099&lt;&gt;0,H2099&lt;&gt;1)),"Flags devem ser 0 ou 1",IF(AND(H2099=1,LEN(TRIM(I2099))=0),"Preencher nome do indicante",IF(AND(H2099&lt;&gt;1,I2099&lt;&gt;""),"Nome sem indicação interna",IF(AND(G2099=1,F2099=""),"Fechamento sem conversa",IF(OR(AND(E2099&lt;&gt;"",E2099&lt;B2099),AND(F2099&lt;&gt;"",F2099&lt;B2099)),"Evento anterior à entrada",IF(AND(F2099&lt;&gt;"",E2099=""),"Conversa sem agendamento",IF(OR(E2099&gt;TODAY(),F2099&gt;TODAY()),"Verificar evento futuro","OK"))))))))))</f>
        <v/>
      </c>
    </row>
    <row r="2100" spans="12:15">
      <c r="L2100" s="5">
        <f>IF(OR(A2100="",B2100=""),"",B2100-WEEKDAY(B2100,2)+1)</f>
        <v/>
      </c>
      <c r="M2100" s="5">
        <f>IF(L2100="","",L2100+6)</f>
        <v/>
      </c>
      <c r="N2100" s="6">
        <f>IF(OR(A2100="",B2100=""),"",DATE(YEAR(B2100),MONTH(B2100),1))</f>
        <v/>
      </c>
      <c r="O2100" s="7">
        <f>IF(COUNTA(A2100:K2100)=0,"",IF(OR(A2100="",B2100=""),"Preencher CPF e entrada",IF(COUNTIFS($A$12:$A$5011,A2100,$B$12:$B$5011,B2100)&gt;1,"CPF + dia duplicado",IF(OR(AND(G2100&lt;&gt;"",G2100&lt;&gt;0,G2100&lt;&gt;1),AND(H2100&lt;&gt;"",H2100&lt;&gt;0,H2100&lt;&gt;1)),"Flags devem ser 0 ou 1",IF(AND(H2100=1,LEN(TRIM(I2100))=0),"Preencher nome do indicante",IF(AND(H2100&lt;&gt;1,I2100&lt;&gt;""),"Nome sem indicação interna",IF(AND(G2100=1,F2100=""),"Fechamento sem conversa",IF(OR(AND(E2100&lt;&gt;"",E2100&lt;B2100),AND(F2100&lt;&gt;"",F2100&lt;B2100)),"Evento anterior à entrada",IF(AND(F2100&lt;&gt;"",E2100=""),"Conversa sem agendamento",IF(OR(E2100&gt;TODAY(),F2100&gt;TODAY()),"Verificar evento futuro","OK"))))))))))</f>
        <v/>
      </c>
    </row>
    <row r="2101" spans="12:15">
      <c r="L2101" s="5">
        <f>IF(OR(A2101="",B2101=""),"",B2101-WEEKDAY(B2101,2)+1)</f>
        <v/>
      </c>
      <c r="M2101" s="5">
        <f>IF(L2101="","",L2101+6)</f>
        <v/>
      </c>
      <c r="N2101" s="6">
        <f>IF(OR(A2101="",B2101=""),"",DATE(YEAR(B2101),MONTH(B2101),1))</f>
        <v/>
      </c>
      <c r="O2101" s="7">
        <f>IF(COUNTA(A2101:K2101)=0,"",IF(OR(A2101="",B2101=""),"Preencher CPF e entrada",IF(COUNTIFS($A$12:$A$5011,A2101,$B$12:$B$5011,B2101)&gt;1,"CPF + dia duplicado",IF(OR(AND(G2101&lt;&gt;"",G2101&lt;&gt;0,G2101&lt;&gt;1),AND(H2101&lt;&gt;"",H2101&lt;&gt;0,H2101&lt;&gt;1)),"Flags devem ser 0 ou 1",IF(AND(H2101=1,LEN(TRIM(I2101))=0),"Preencher nome do indicante",IF(AND(H2101&lt;&gt;1,I2101&lt;&gt;""),"Nome sem indicação interna",IF(AND(G2101=1,F2101=""),"Fechamento sem conversa",IF(OR(AND(E2101&lt;&gt;"",E2101&lt;B2101),AND(F2101&lt;&gt;"",F2101&lt;B2101)),"Evento anterior à entrada",IF(AND(F2101&lt;&gt;"",E2101=""),"Conversa sem agendamento",IF(OR(E2101&gt;TODAY(),F2101&gt;TODAY()),"Verificar evento futuro","OK"))))))))))</f>
        <v/>
      </c>
    </row>
    <row r="2102" spans="12:15">
      <c r="L2102" s="5">
        <f>IF(OR(A2102="",B2102=""),"",B2102-WEEKDAY(B2102,2)+1)</f>
        <v/>
      </c>
      <c r="M2102" s="5">
        <f>IF(L2102="","",L2102+6)</f>
        <v/>
      </c>
      <c r="N2102" s="6">
        <f>IF(OR(A2102="",B2102=""),"",DATE(YEAR(B2102),MONTH(B2102),1))</f>
        <v/>
      </c>
      <c r="O2102" s="7">
        <f>IF(COUNTA(A2102:K2102)=0,"",IF(OR(A2102="",B2102=""),"Preencher CPF e entrada",IF(COUNTIFS($A$12:$A$5011,A2102,$B$12:$B$5011,B2102)&gt;1,"CPF + dia duplicado",IF(OR(AND(G2102&lt;&gt;"",G2102&lt;&gt;0,G2102&lt;&gt;1),AND(H2102&lt;&gt;"",H2102&lt;&gt;0,H2102&lt;&gt;1)),"Flags devem ser 0 ou 1",IF(AND(H2102=1,LEN(TRIM(I2102))=0),"Preencher nome do indicante",IF(AND(H2102&lt;&gt;1,I2102&lt;&gt;""),"Nome sem indicação interna",IF(AND(G2102=1,F2102=""),"Fechamento sem conversa",IF(OR(AND(E2102&lt;&gt;"",E2102&lt;B2102),AND(F2102&lt;&gt;"",F2102&lt;B2102)),"Evento anterior à entrada",IF(AND(F2102&lt;&gt;"",E2102=""),"Conversa sem agendamento",IF(OR(E2102&gt;TODAY(),F2102&gt;TODAY()),"Verificar evento futuro","OK"))))))))))</f>
        <v/>
      </c>
    </row>
    <row r="2103" spans="12:15">
      <c r="L2103" s="5">
        <f>IF(OR(A2103="",B2103=""),"",B2103-WEEKDAY(B2103,2)+1)</f>
        <v/>
      </c>
      <c r="M2103" s="5">
        <f>IF(L2103="","",L2103+6)</f>
        <v/>
      </c>
      <c r="N2103" s="6">
        <f>IF(OR(A2103="",B2103=""),"",DATE(YEAR(B2103),MONTH(B2103),1))</f>
        <v/>
      </c>
      <c r="O2103" s="7">
        <f>IF(COUNTA(A2103:K2103)=0,"",IF(OR(A2103="",B2103=""),"Preencher CPF e entrada",IF(COUNTIFS($A$12:$A$5011,A2103,$B$12:$B$5011,B2103)&gt;1,"CPF + dia duplicado",IF(OR(AND(G2103&lt;&gt;"",G2103&lt;&gt;0,G2103&lt;&gt;1),AND(H2103&lt;&gt;"",H2103&lt;&gt;0,H2103&lt;&gt;1)),"Flags devem ser 0 ou 1",IF(AND(H2103=1,LEN(TRIM(I2103))=0),"Preencher nome do indicante",IF(AND(H2103&lt;&gt;1,I2103&lt;&gt;""),"Nome sem indicação interna",IF(AND(G2103=1,F2103=""),"Fechamento sem conversa",IF(OR(AND(E2103&lt;&gt;"",E2103&lt;B2103),AND(F2103&lt;&gt;"",F2103&lt;B2103)),"Evento anterior à entrada",IF(AND(F2103&lt;&gt;"",E2103=""),"Conversa sem agendamento",IF(OR(E2103&gt;TODAY(),F2103&gt;TODAY()),"Verificar evento futuro","OK"))))))))))</f>
        <v/>
      </c>
    </row>
    <row r="2104" spans="12:15">
      <c r="L2104" s="5">
        <f>IF(OR(A2104="",B2104=""),"",B2104-WEEKDAY(B2104,2)+1)</f>
        <v/>
      </c>
      <c r="M2104" s="5">
        <f>IF(L2104="","",L2104+6)</f>
        <v/>
      </c>
      <c r="N2104" s="6">
        <f>IF(OR(A2104="",B2104=""),"",DATE(YEAR(B2104),MONTH(B2104),1))</f>
        <v/>
      </c>
      <c r="O2104" s="7">
        <f>IF(COUNTA(A2104:K2104)=0,"",IF(OR(A2104="",B2104=""),"Preencher CPF e entrada",IF(COUNTIFS($A$12:$A$5011,A2104,$B$12:$B$5011,B2104)&gt;1,"CPF + dia duplicado",IF(OR(AND(G2104&lt;&gt;"",G2104&lt;&gt;0,G2104&lt;&gt;1),AND(H2104&lt;&gt;"",H2104&lt;&gt;0,H2104&lt;&gt;1)),"Flags devem ser 0 ou 1",IF(AND(H2104=1,LEN(TRIM(I2104))=0),"Preencher nome do indicante",IF(AND(H2104&lt;&gt;1,I2104&lt;&gt;""),"Nome sem indicação interna",IF(AND(G2104=1,F2104=""),"Fechamento sem conversa",IF(OR(AND(E2104&lt;&gt;"",E2104&lt;B2104),AND(F2104&lt;&gt;"",F2104&lt;B2104)),"Evento anterior à entrada",IF(AND(F2104&lt;&gt;"",E2104=""),"Conversa sem agendamento",IF(OR(E2104&gt;TODAY(),F2104&gt;TODAY()),"Verificar evento futuro","OK"))))))))))</f>
        <v/>
      </c>
    </row>
    <row r="2105" spans="12:15">
      <c r="L2105" s="5">
        <f>IF(OR(A2105="",B2105=""),"",B2105-WEEKDAY(B2105,2)+1)</f>
        <v/>
      </c>
      <c r="M2105" s="5">
        <f>IF(L2105="","",L2105+6)</f>
        <v/>
      </c>
      <c r="N2105" s="6">
        <f>IF(OR(A2105="",B2105=""),"",DATE(YEAR(B2105),MONTH(B2105),1))</f>
        <v/>
      </c>
      <c r="O2105" s="7">
        <f>IF(COUNTA(A2105:K2105)=0,"",IF(OR(A2105="",B2105=""),"Preencher CPF e entrada",IF(COUNTIFS($A$12:$A$5011,A2105,$B$12:$B$5011,B2105)&gt;1,"CPF + dia duplicado",IF(OR(AND(G2105&lt;&gt;"",G2105&lt;&gt;0,G2105&lt;&gt;1),AND(H2105&lt;&gt;"",H2105&lt;&gt;0,H2105&lt;&gt;1)),"Flags devem ser 0 ou 1",IF(AND(H2105=1,LEN(TRIM(I2105))=0),"Preencher nome do indicante",IF(AND(H2105&lt;&gt;1,I2105&lt;&gt;""),"Nome sem indicação interna",IF(AND(G2105=1,F2105=""),"Fechamento sem conversa",IF(OR(AND(E2105&lt;&gt;"",E2105&lt;B2105),AND(F2105&lt;&gt;"",F2105&lt;B2105)),"Evento anterior à entrada",IF(AND(F2105&lt;&gt;"",E2105=""),"Conversa sem agendamento",IF(OR(E2105&gt;TODAY(),F2105&gt;TODAY()),"Verificar evento futuro","OK"))))))))))</f>
        <v/>
      </c>
    </row>
    <row r="2106" spans="12:15">
      <c r="L2106" s="5">
        <f>IF(OR(A2106="",B2106=""),"",B2106-WEEKDAY(B2106,2)+1)</f>
        <v/>
      </c>
      <c r="M2106" s="5">
        <f>IF(L2106="","",L2106+6)</f>
        <v/>
      </c>
      <c r="N2106" s="6">
        <f>IF(OR(A2106="",B2106=""),"",DATE(YEAR(B2106),MONTH(B2106),1))</f>
        <v/>
      </c>
      <c r="O2106" s="7">
        <f>IF(COUNTA(A2106:K2106)=0,"",IF(OR(A2106="",B2106=""),"Preencher CPF e entrada",IF(COUNTIFS($A$12:$A$5011,A2106,$B$12:$B$5011,B2106)&gt;1,"CPF + dia duplicado",IF(OR(AND(G2106&lt;&gt;"",G2106&lt;&gt;0,G2106&lt;&gt;1),AND(H2106&lt;&gt;"",H2106&lt;&gt;0,H2106&lt;&gt;1)),"Flags devem ser 0 ou 1",IF(AND(H2106=1,LEN(TRIM(I2106))=0),"Preencher nome do indicante",IF(AND(H2106&lt;&gt;1,I2106&lt;&gt;""),"Nome sem indicação interna",IF(AND(G2106=1,F2106=""),"Fechamento sem conversa",IF(OR(AND(E2106&lt;&gt;"",E2106&lt;B2106),AND(F2106&lt;&gt;"",F2106&lt;B2106)),"Evento anterior à entrada",IF(AND(F2106&lt;&gt;"",E2106=""),"Conversa sem agendamento",IF(OR(E2106&gt;TODAY(),F2106&gt;TODAY()),"Verificar evento futuro","OK"))))))))))</f>
        <v/>
      </c>
    </row>
    <row r="2107" spans="12:15">
      <c r="L2107" s="5">
        <f>IF(OR(A2107="",B2107=""),"",B2107-WEEKDAY(B2107,2)+1)</f>
        <v/>
      </c>
      <c r="M2107" s="5">
        <f>IF(L2107="","",L2107+6)</f>
        <v/>
      </c>
      <c r="N2107" s="6">
        <f>IF(OR(A2107="",B2107=""),"",DATE(YEAR(B2107),MONTH(B2107),1))</f>
        <v/>
      </c>
      <c r="O2107" s="7">
        <f>IF(COUNTA(A2107:K2107)=0,"",IF(OR(A2107="",B2107=""),"Preencher CPF e entrada",IF(COUNTIFS($A$12:$A$5011,A2107,$B$12:$B$5011,B2107)&gt;1,"CPF + dia duplicado",IF(OR(AND(G2107&lt;&gt;"",G2107&lt;&gt;0,G2107&lt;&gt;1),AND(H2107&lt;&gt;"",H2107&lt;&gt;0,H2107&lt;&gt;1)),"Flags devem ser 0 ou 1",IF(AND(H2107=1,LEN(TRIM(I2107))=0),"Preencher nome do indicante",IF(AND(H2107&lt;&gt;1,I2107&lt;&gt;""),"Nome sem indicação interna",IF(AND(G2107=1,F2107=""),"Fechamento sem conversa",IF(OR(AND(E2107&lt;&gt;"",E2107&lt;B2107),AND(F2107&lt;&gt;"",F2107&lt;B2107)),"Evento anterior à entrada",IF(AND(F2107&lt;&gt;"",E2107=""),"Conversa sem agendamento",IF(OR(E2107&gt;TODAY(),F2107&gt;TODAY()),"Verificar evento futuro","OK"))))))))))</f>
        <v/>
      </c>
    </row>
    <row r="2108" spans="12:15">
      <c r="L2108" s="5">
        <f>IF(OR(A2108="",B2108=""),"",B2108-WEEKDAY(B2108,2)+1)</f>
        <v/>
      </c>
      <c r="M2108" s="5">
        <f>IF(L2108="","",L2108+6)</f>
        <v/>
      </c>
      <c r="N2108" s="6">
        <f>IF(OR(A2108="",B2108=""),"",DATE(YEAR(B2108),MONTH(B2108),1))</f>
        <v/>
      </c>
      <c r="O2108" s="7">
        <f>IF(COUNTA(A2108:K2108)=0,"",IF(OR(A2108="",B2108=""),"Preencher CPF e entrada",IF(COUNTIFS($A$12:$A$5011,A2108,$B$12:$B$5011,B2108)&gt;1,"CPF + dia duplicado",IF(OR(AND(G2108&lt;&gt;"",G2108&lt;&gt;0,G2108&lt;&gt;1),AND(H2108&lt;&gt;"",H2108&lt;&gt;0,H2108&lt;&gt;1)),"Flags devem ser 0 ou 1",IF(AND(H2108=1,LEN(TRIM(I2108))=0),"Preencher nome do indicante",IF(AND(H2108&lt;&gt;1,I2108&lt;&gt;""),"Nome sem indicação interna",IF(AND(G2108=1,F2108=""),"Fechamento sem conversa",IF(OR(AND(E2108&lt;&gt;"",E2108&lt;B2108),AND(F2108&lt;&gt;"",F2108&lt;B2108)),"Evento anterior à entrada",IF(AND(F2108&lt;&gt;"",E2108=""),"Conversa sem agendamento",IF(OR(E2108&gt;TODAY(),F2108&gt;TODAY()),"Verificar evento futuro","OK"))))))))))</f>
        <v/>
      </c>
    </row>
    <row r="2109" spans="12:15">
      <c r="L2109" s="5">
        <f>IF(OR(A2109="",B2109=""),"",B2109-WEEKDAY(B2109,2)+1)</f>
        <v/>
      </c>
      <c r="M2109" s="5">
        <f>IF(L2109="","",L2109+6)</f>
        <v/>
      </c>
      <c r="N2109" s="6">
        <f>IF(OR(A2109="",B2109=""),"",DATE(YEAR(B2109),MONTH(B2109),1))</f>
        <v/>
      </c>
      <c r="O2109" s="7">
        <f>IF(COUNTA(A2109:K2109)=0,"",IF(OR(A2109="",B2109=""),"Preencher CPF e entrada",IF(COUNTIFS($A$12:$A$5011,A2109,$B$12:$B$5011,B2109)&gt;1,"CPF + dia duplicado",IF(OR(AND(G2109&lt;&gt;"",G2109&lt;&gt;0,G2109&lt;&gt;1),AND(H2109&lt;&gt;"",H2109&lt;&gt;0,H2109&lt;&gt;1)),"Flags devem ser 0 ou 1",IF(AND(H2109=1,LEN(TRIM(I2109))=0),"Preencher nome do indicante",IF(AND(H2109&lt;&gt;1,I2109&lt;&gt;""),"Nome sem indicação interna",IF(AND(G2109=1,F2109=""),"Fechamento sem conversa",IF(OR(AND(E2109&lt;&gt;"",E2109&lt;B2109),AND(F2109&lt;&gt;"",F2109&lt;B2109)),"Evento anterior à entrada",IF(AND(F2109&lt;&gt;"",E2109=""),"Conversa sem agendamento",IF(OR(E2109&gt;TODAY(),F2109&gt;TODAY()),"Verificar evento futuro","OK"))))))))))</f>
        <v/>
      </c>
    </row>
    <row r="2110" spans="12:15">
      <c r="L2110" s="5">
        <f>IF(OR(A2110="",B2110=""),"",B2110-WEEKDAY(B2110,2)+1)</f>
        <v/>
      </c>
      <c r="M2110" s="5">
        <f>IF(L2110="","",L2110+6)</f>
        <v/>
      </c>
      <c r="N2110" s="6">
        <f>IF(OR(A2110="",B2110=""),"",DATE(YEAR(B2110),MONTH(B2110),1))</f>
        <v/>
      </c>
      <c r="O2110" s="7">
        <f>IF(COUNTA(A2110:K2110)=0,"",IF(OR(A2110="",B2110=""),"Preencher CPF e entrada",IF(COUNTIFS($A$12:$A$5011,A2110,$B$12:$B$5011,B2110)&gt;1,"CPF + dia duplicado",IF(OR(AND(G2110&lt;&gt;"",G2110&lt;&gt;0,G2110&lt;&gt;1),AND(H2110&lt;&gt;"",H2110&lt;&gt;0,H2110&lt;&gt;1)),"Flags devem ser 0 ou 1",IF(AND(H2110=1,LEN(TRIM(I2110))=0),"Preencher nome do indicante",IF(AND(H2110&lt;&gt;1,I2110&lt;&gt;""),"Nome sem indicação interna",IF(AND(G2110=1,F2110=""),"Fechamento sem conversa",IF(OR(AND(E2110&lt;&gt;"",E2110&lt;B2110),AND(F2110&lt;&gt;"",F2110&lt;B2110)),"Evento anterior à entrada",IF(AND(F2110&lt;&gt;"",E2110=""),"Conversa sem agendamento",IF(OR(E2110&gt;TODAY(),F2110&gt;TODAY()),"Verificar evento futuro","OK"))))))))))</f>
        <v/>
      </c>
    </row>
    <row r="2111" spans="12:15">
      <c r="L2111" s="5">
        <f>IF(OR(A2111="",B2111=""),"",B2111-WEEKDAY(B2111,2)+1)</f>
        <v/>
      </c>
      <c r="M2111" s="5">
        <f>IF(L2111="","",L2111+6)</f>
        <v/>
      </c>
      <c r="N2111" s="6">
        <f>IF(OR(A2111="",B2111=""),"",DATE(YEAR(B2111),MONTH(B2111),1))</f>
        <v/>
      </c>
      <c r="O2111" s="7">
        <f>IF(COUNTA(A2111:K2111)=0,"",IF(OR(A2111="",B2111=""),"Preencher CPF e entrada",IF(COUNTIFS($A$12:$A$5011,A2111,$B$12:$B$5011,B2111)&gt;1,"CPF + dia duplicado",IF(OR(AND(G2111&lt;&gt;"",G2111&lt;&gt;0,G2111&lt;&gt;1),AND(H2111&lt;&gt;"",H2111&lt;&gt;0,H2111&lt;&gt;1)),"Flags devem ser 0 ou 1",IF(AND(H2111=1,LEN(TRIM(I2111))=0),"Preencher nome do indicante",IF(AND(H2111&lt;&gt;1,I2111&lt;&gt;""),"Nome sem indicação interna",IF(AND(G2111=1,F2111=""),"Fechamento sem conversa",IF(OR(AND(E2111&lt;&gt;"",E2111&lt;B2111),AND(F2111&lt;&gt;"",F2111&lt;B2111)),"Evento anterior à entrada",IF(AND(F2111&lt;&gt;"",E2111=""),"Conversa sem agendamento",IF(OR(E2111&gt;TODAY(),F2111&gt;TODAY()),"Verificar evento futuro","OK"))))))))))</f>
        <v/>
      </c>
    </row>
    <row r="2112" spans="12:15">
      <c r="L2112" s="5">
        <f>IF(OR(A2112="",B2112=""),"",B2112-WEEKDAY(B2112,2)+1)</f>
        <v/>
      </c>
      <c r="M2112" s="5">
        <f>IF(L2112="","",L2112+6)</f>
        <v/>
      </c>
      <c r="N2112" s="6">
        <f>IF(OR(A2112="",B2112=""),"",DATE(YEAR(B2112),MONTH(B2112),1))</f>
        <v/>
      </c>
      <c r="O2112" s="7">
        <f>IF(COUNTA(A2112:K2112)=0,"",IF(OR(A2112="",B2112=""),"Preencher CPF e entrada",IF(COUNTIFS($A$12:$A$5011,A2112,$B$12:$B$5011,B2112)&gt;1,"CPF + dia duplicado",IF(OR(AND(G2112&lt;&gt;"",G2112&lt;&gt;0,G2112&lt;&gt;1),AND(H2112&lt;&gt;"",H2112&lt;&gt;0,H2112&lt;&gt;1)),"Flags devem ser 0 ou 1",IF(AND(H2112=1,LEN(TRIM(I2112))=0),"Preencher nome do indicante",IF(AND(H2112&lt;&gt;1,I2112&lt;&gt;""),"Nome sem indicação interna",IF(AND(G2112=1,F2112=""),"Fechamento sem conversa",IF(OR(AND(E2112&lt;&gt;"",E2112&lt;B2112),AND(F2112&lt;&gt;"",F2112&lt;B2112)),"Evento anterior à entrada",IF(AND(F2112&lt;&gt;"",E2112=""),"Conversa sem agendamento",IF(OR(E2112&gt;TODAY(),F2112&gt;TODAY()),"Verificar evento futuro","OK"))))))))))</f>
        <v/>
      </c>
    </row>
    <row r="2113" spans="12:15">
      <c r="L2113" s="5">
        <f>IF(OR(A2113="",B2113=""),"",B2113-WEEKDAY(B2113,2)+1)</f>
        <v/>
      </c>
      <c r="M2113" s="5">
        <f>IF(L2113="","",L2113+6)</f>
        <v/>
      </c>
      <c r="N2113" s="6">
        <f>IF(OR(A2113="",B2113=""),"",DATE(YEAR(B2113),MONTH(B2113),1))</f>
        <v/>
      </c>
      <c r="O2113" s="7">
        <f>IF(COUNTA(A2113:K2113)=0,"",IF(OR(A2113="",B2113=""),"Preencher CPF e entrada",IF(COUNTIFS($A$12:$A$5011,A2113,$B$12:$B$5011,B2113)&gt;1,"CPF + dia duplicado",IF(OR(AND(G2113&lt;&gt;"",G2113&lt;&gt;0,G2113&lt;&gt;1),AND(H2113&lt;&gt;"",H2113&lt;&gt;0,H2113&lt;&gt;1)),"Flags devem ser 0 ou 1",IF(AND(H2113=1,LEN(TRIM(I2113))=0),"Preencher nome do indicante",IF(AND(H2113&lt;&gt;1,I2113&lt;&gt;""),"Nome sem indicação interna",IF(AND(G2113=1,F2113=""),"Fechamento sem conversa",IF(OR(AND(E2113&lt;&gt;"",E2113&lt;B2113),AND(F2113&lt;&gt;"",F2113&lt;B2113)),"Evento anterior à entrada",IF(AND(F2113&lt;&gt;"",E2113=""),"Conversa sem agendamento",IF(OR(E2113&gt;TODAY(),F2113&gt;TODAY()),"Verificar evento futuro","OK"))))))))))</f>
        <v/>
      </c>
    </row>
    <row r="2114" spans="12:15">
      <c r="L2114" s="5">
        <f>IF(OR(A2114="",B2114=""),"",B2114-WEEKDAY(B2114,2)+1)</f>
        <v/>
      </c>
      <c r="M2114" s="5">
        <f>IF(L2114="","",L2114+6)</f>
        <v/>
      </c>
      <c r="N2114" s="6">
        <f>IF(OR(A2114="",B2114=""),"",DATE(YEAR(B2114),MONTH(B2114),1))</f>
        <v/>
      </c>
      <c r="O2114" s="7">
        <f>IF(COUNTA(A2114:K2114)=0,"",IF(OR(A2114="",B2114=""),"Preencher CPF e entrada",IF(COUNTIFS($A$12:$A$5011,A2114,$B$12:$B$5011,B2114)&gt;1,"CPF + dia duplicado",IF(OR(AND(G2114&lt;&gt;"",G2114&lt;&gt;0,G2114&lt;&gt;1),AND(H2114&lt;&gt;"",H2114&lt;&gt;0,H2114&lt;&gt;1)),"Flags devem ser 0 ou 1",IF(AND(H2114=1,LEN(TRIM(I2114))=0),"Preencher nome do indicante",IF(AND(H2114&lt;&gt;1,I2114&lt;&gt;""),"Nome sem indicação interna",IF(AND(G2114=1,F2114=""),"Fechamento sem conversa",IF(OR(AND(E2114&lt;&gt;"",E2114&lt;B2114),AND(F2114&lt;&gt;"",F2114&lt;B2114)),"Evento anterior à entrada",IF(AND(F2114&lt;&gt;"",E2114=""),"Conversa sem agendamento",IF(OR(E2114&gt;TODAY(),F2114&gt;TODAY()),"Verificar evento futuro","OK"))))))))))</f>
        <v/>
      </c>
    </row>
    <row r="2115" spans="12:15">
      <c r="L2115" s="5">
        <f>IF(OR(A2115="",B2115=""),"",B2115-WEEKDAY(B2115,2)+1)</f>
        <v/>
      </c>
      <c r="M2115" s="5">
        <f>IF(L2115="","",L2115+6)</f>
        <v/>
      </c>
      <c r="N2115" s="6">
        <f>IF(OR(A2115="",B2115=""),"",DATE(YEAR(B2115),MONTH(B2115),1))</f>
        <v/>
      </c>
      <c r="O2115" s="7">
        <f>IF(COUNTA(A2115:K2115)=0,"",IF(OR(A2115="",B2115=""),"Preencher CPF e entrada",IF(COUNTIFS($A$12:$A$5011,A2115,$B$12:$B$5011,B2115)&gt;1,"CPF + dia duplicado",IF(OR(AND(G2115&lt;&gt;"",G2115&lt;&gt;0,G2115&lt;&gt;1),AND(H2115&lt;&gt;"",H2115&lt;&gt;0,H2115&lt;&gt;1)),"Flags devem ser 0 ou 1",IF(AND(H2115=1,LEN(TRIM(I2115))=0),"Preencher nome do indicante",IF(AND(H2115&lt;&gt;1,I2115&lt;&gt;""),"Nome sem indicação interna",IF(AND(G2115=1,F2115=""),"Fechamento sem conversa",IF(OR(AND(E2115&lt;&gt;"",E2115&lt;B2115),AND(F2115&lt;&gt;"",F2115&lt;B2115)),"Evento anterior à entrada",IF(AND(F2115&lt;&gt;"",E2115=""),"Conversa sem agendamento",IF(OR(E2115&gt;TODAY(),F2115&gt;TODAY()),"Verificar evento futuro","OK"))))))))))</f>
        <v/>
      </c>
    </row>
    <row r="2116" spans="12:15">
      <c r="L2116" s="5">
        <f>IF(OR(A2116="",B2116=""),"",B2116-WEEKDAY(B2116,2)+1)</f>
        <v/>
      </c>
      <c r="M2116" s="5">
        <f>IF(L2116="","",L2116+6)</f>
        <v/>
      </c>
      <c r="N2116" s="6">
        <f>IF(OR(A2116="",B2116=""),"",DATE(YEAR(B2116),MONTH(B2116),1))</f>
        <v/>
      </c>
      <c r="O2116" s="7">
        <f>IF(COUNTA(A2116:K2116)=0,"",IF(OR(A2116="",B2116=""),"Preencher CPF e entrada",IF(COUNTIFS($A$12:$A$5011,A2116,$B$12:$B$5011,B2116)&gt;1,"CPF + dia duplicado",IF(OR(AND(G2116&lt;&gt;"",G2116&lt;&gt;0,G2116&lt;&gt;1),AND(H2116&lt;&gt;"",H2116&lt;&gt;0,H2116&lt;&gt;1)),"Flags devem ser 0 ou 1",IF(AND(H2116=1,LEN(TRIM(I2116))=0),"Preencher nome do indicante",IF(AND(H2116&lt;&gt;1,I2116&lt;&gt;""),"Nome sem indicação interna",IF(AND(G2116=1,F2116=""),"Fechamento sem conversa",IF(OR(AND(E2116&lt;&gt;"",E2116&lt;B2116),AND(F2116&lt;&gt;"",F2116&lt;B2116)),"Evento anterior à entrada",IF(AND(F2116&lt;&gt;"",E2116=""),"Conversa sem agendamento",IF(OR(E2116&gt;TODAY(),F2116&gt;TODAY()),"Verificar evento futuro","OK"))))))))))</f>
        <v/>
      </c>
    </row>
    <row r="2117" spans="12:15">
      <c r="L2117" s="5">
        <f>IF(OR(A2117="",B2117=""),"",B2117-WEEKDAY(B2117,2)+1)</f>
        <v/>
      </c>
      <c r="M2117" s="5">
        <f>IF(L2117="","",L2117+6)</f>
        <v/>
      </c>
      <c r="N2117" s="6">
        <f>IF(OR(A2117="",B2117=""),"",DATE(YEAR(B2117),MONTH(B2117),1))</f>
        <v/>
      </c>
      <c r="O2117" s="7">
        <f>IF(COUNTA(A2117:K2117)=0,"",IF(OR(A2117="",B2117=""),"Preencher CPF e entrada",IF(COUNTIFS($A$12:$A$5011,A2117,$B$12:$B$5011,B2117)&gt;1,"CPF + dia duplicado",IF(OR(AND(G2117&lt;&gt;"",G2117&lt;&gt;0,G2117&lt;&gt;1),AND(H2117&lt;&gt;"",H2117&lt;&gt;0,H2117&lt;&gt;1)),"Flags devem ser 0 ou 1",IF(AND(H2117=1,LEN(TRIM(I2117))=0),"Preencher nome do indicante",IF(AND(H2117&lt;&gt;1,I2117&lt;&gt;""),"Nome sem indicação interna",IF(AND(G2117=1,F2117=""),"Fechamento sem conversa",IF(OR(AND(E2117&lt;&gt;"",E2117&lt;B2117),AND(F2117&lt;&gt;"",F2117&lt;B2117)),"Evento anterior à entrada",IF(AND(F2117&lt;&gt;"",E2117=""),"Conversa sem agendamento",IF(OR(E2117&gt;TODAY(),F2117&gt;TODAY()),"Verificar evento futuro","OK"))))))))))</f>
        <v/>
      </c>
    </row>
    <row r="2118" spans="12:15">
      <c r="L2118" s="5">
        <f>IF(OR(A2118="",B2118=""),"",B2118-WEEKDAY(B2118,2)+1)</f>
        <v/>
      </c>
      <c r="M2118" s="5">
        <f>IF(L2118="","",L2118+6)</f>
        <v/>
      </c>
      <c r="N2118" s="6">
        <f>IF(OR(A2118="",B2118=""),"",DATE(YEAR(B2118),MONTH(B2118),1))</f>
        <v/>
      </c>
      <c r="O2118" s="7">
        <f>IF(COUNTA(A2118:K2118)=0,"",IF(OR(A2118="",B2118=""),"Preencher CPF e entrada",IF(COUNTIFS($A$12:$A$5011,A2118,$B$12:$B$5011,B2118)&gt;1,"CPF + dia duplicado",IF(OR(AND(G2118&lt;&gt;"",G2118&lt;&gt;0,G2118&lt;&gt;1),AND(H2118&lt;&gt;"",H2118&lt;&gt;0,H2118&lt;&gt;1)),"Flags devem ser 0 ou 1",IF(AND(H2118=1,LEN(TRIM(I2118))=0),"Preencher nome do indicante",IF(AND(H2118&lt;&gt;1,I2118&lt;&gt;""),"Nome sem indicação interna",IF(AND(G2118=1,F2118=""),"Fechamento sem conversa",IF(OR(AND(E2118&lt;&gt;"",E2118&lt;B2118),AND(F2118&lt;&gt;"",F2118&lt;B2118)),"Evento anterior à entrada",IF(AND(F2118&lt;&gt;"",E2118=""),"Conversa sem agendamento",IF(OR(E2118&gt;TODAY(),F2118&gt;TODAY()),"Verificar evento futuro","OK"))))))))))</f>
        <v/>
      </c>
    </row>
    <row r="2119" spans="12:15">
      <c r="L2119" s="5">
        <f>IF(OR(A2119="",B2119=""),"",B2119-WEEKDAY(B2119,2)+1)</f>
        <v/>
      </c>
      <c r="M2119" s="5">
        <f>IF(L2119="","",L2119+6)</f>
        <v/>
      </c>
      <c r="N2119" s="6">
        <f>IF(OR(A2119="",B2119=""),"",DATE(YEAR(B2119),MONTH(B2119),1))</f>
        <v/>
      </c>
      <c r="O2119" s="7">
        <f>IF(COUNTA(A2119:K2119)=0,"",IF(OR(A2119="",B2119=""),"Preencher CPF e entrada",IF(COUNTIFS($A$12:$A$5011,A2119,$B$12:$B$5011,B2119)&gt;1,"CPF + dia duplicado",IF(OR(AND(G2119&lt;&gt;"",G2119&lt;&gt;0,G2119&lt;&gt;1),AND(H2119&lt;&gt;"",H2119&lt;&gt;0,H2119&lt;&gt;1)),"Flags devem ser 0 ou 1",IF(AND(H2119=1,LEN(TRIM(I2119))=0),"Preencher nome do indicante",IF(AND(H2119&lt;&gt;1,I2119&lt;&gt;""),"Nome sem indicação interna",IF(AND(G2119=1,F2119=""),"Fechamento sem conversa",IF(OR(AND(E2119&lt;&gt;"",E2119&lt;B2119),AND(F2119&lt;&gt;"",F2119&lt;B2119)),"Evento anterior à entrada",IF(AND(F2119&lt;&gt;"",E2119=""),"Conversa sem agendamento",IF(OR(E2119&gt;TODAY(),F2119&gt;TODAY()),"Verificar evento futuro","OK"))))))))))</f>
        <v/>
      </c>
    </row>
    <row r="2120" spans="12:15">
      <c r="L2120" s="5">
        <f>IF(OR(A2120="",B2120=""),"",B2120-WEEKDAY(B2120,2)+1)</f>
        <v/>
      </c>
      <c r="M2120" s="5">
        <f>IF(L2120="","",L2120+6)</f>
        <v/>
      </c>
      <c r="N2120" s="6">
        <f>IF(OR(A2120="",B2120=""),"",DATE(YEAR(B2120),MONTH(B2120),1))</f>
        <v/>
      </c>
      <c r="O2120" s="7">
        <f>IF(COUNTA(A2120:K2120)=0,"",IF(OR(A2120="",B2120=""),"Preencher CPF e entrada",IF(COUNTIFS($A$12:$A$5011,A2120,$B$12:$B$5011,B2120)&gt;1,"CPF + dia duplicado",IF(OR(AND(G2120&lt;&gt;"",G2120&lt;&gt;0,G2120&lt;&gt;1),AND(H2120&lt;&gt;"",H2120&lt;&gt;0,H2120&lt;&gt;1)),"Flags devem ser 0 ou 1",IF(AND(H2120=1,LEN(TRIM(I2120))=0),"Preencher nome do indicante",IF(AND(H2120&lt;&gt;1,I2120&lt;&gt;""),"Nome sem indicação interna",IF(AND(G2120=1,F2120=""),"Fechamento sem conversa",IF(OR(AND(E2120&lt;&gt;"",E2120&lt;B2120),AND(F2120&lt;&gt;"",F2120&lt;B2120)),"Evento anterior à entrada",IF(AND(F2120&lt;&gt;"",E2120=""),"Conversa sem agendamento",IF(OR(E2120&gt;TODAY(),F2120&gt;TODAY()),"Verificar evento futuro","OK"))))))))))</f>
        <v/>
      </c>
    </row>
    <row r="2121" spans="12:15">
      <c r="L2121" s="5">
        <f>IF(OR(A2121="",B2121=""),"",B2121-WEEKDAY(B2121,2)+1)</f>
        <v/>
      </c>
      <c r="M2121" s="5">
        <f>IF(L2121="","",L2121+6)</f>
        <v/>
      </c>
      <c r="N2121" s="6">
        <f>IF(OR(A2121="",B2121=""),"",DATE(YEAR(B2121),MONTH(B2121),1))</f>
        <v/>
      </c>
      <c r="O2121" s="7">
        <f>IF(COUNTA(A2121:K2121)=0,"",IF(OR(A2121="",B2121=""),"Preencher CPF e entrada",IF(COUNTIFS($A$12:$A$5011,A2121,$B$12:$B$5011,B2121)&gt;1,"CPF + dia duplicado",IF(OR(AND(G2121&lt;&gt;"",G2121&lt;&gt;0,G2121&lt;&gt;1),AND(H2121&lt;&gt;"",H2121&lt;&gt;0,H2121&lt;&gt;1)),"Flags devem ser 0 ou 1",IF(AND(H2121=1,LEN(TRIM(I2121))=0),"Preencher nome do indicante",IF(AND(H2121&lt;&gt;1,I2121&lt;&gt;""),"Nome sem indicação interna",IF(AND(G2121=1,F2121=""),"Fechamento sem conversa",IF(OR(AND(E2121&lt;&gt;"",E2121&lt;B2121),AND(F2121&lt;&gt;"",F2121&lt;B2121)),"Evento anterior à entrada",IF(AND(F2121&lt;&gt;"",E2121=""),"Conversa sem agendamento",IF(OR(E2121&gt;TODAY(),F2121&gt;TODAY()),"Verificar evento futuro","OK"))))))))))</f>
        <v/>
      </c>
    </row>
    <row r="2122" spans="12:15">
      <c r="L2122" s="5">
        <f>IF(OR(A2122="",B2122=""),"",B2122-WEEKDAY(B2122,2)+1)</f>
        <v/>
      </c>
      <c r="M2122" s="5">
        <f>IF(L2122="","",L2122+6)</f>
        <v/>
      </c>
      <c r="N2122" s="6">
        <f>IF(OR(A2122="",B2122=""),"",DATE(YEAR(B2122),MONTH(B2122),1))</f>
        <v/>
      </c>
      <c r="O2122" s="7">
        <f>IF(COUNTA(A2122:K2122)=0,"",IF(OR(A2122="",B2122=""),"Preencher CPF e entrada",IF(COUNTIFS($A$12:$A$5011,A2122,$B$12:$B$5011,B2122)&gt;1,"CPF + dia duplicado",IF(OR(AND(G2122&lt;&gt;"",G2122&lt;&gt;0,G2122&lt;&gt;1),AND(H2122&lt;&gt;"",H2122&lt;&gt;0,H2122&lt;&gt;1)),"Flags devem ser 0 ou 1",IF(AND(H2122=1,LEN(TRIM(I2122))=0),"Preencher nome do indicante",IF(AND(H2122&lt;&gt;1,I2122&lt;&gt;""),"Nome sem indicação interna",IF(AND(G2122=1,F2122=""),"Fechamento sem conversa",IF(OR(AND(E2122&lt;&gt;"",E2122&lt;B2122),AND(F2122&lt;&gt;"",F2122&lt;B2122)),"Evento anterior à entrada",IF(AND(F2122&lt;&gt;"",E2122=""),"Conversa sem agendamento",IF(OR(E2122&gt;TODAY(),F2122&gt;TODAY()),"Verificar evento futuro","OK"))))))))))</f>
        <v/>
      </c>
    </row>
    <row r="2123" spans="12:15">
      <c r="L2123" s="5">
        <f>IF(OR(A2123="",B2123=""),"",B2123-WEEKDAY(B2123,2)+1)</f>
        <v/>
      </c>
      <c r="M2123" s="5">
        <f>IF(L2123="","",L2123+6)</f>
        <v/>
      </c>
      <c r="N2123" s="6">
        <f>IF(OR(A2123="",B2123=""),"",DATE(YEAR(B2123),MONTH(B2123),1))</f>
        <v/>
      </c>
      <c r="O2123" s="7">
        <f>IF(COUNTA(A2123:K2123)=0,"",IF(OR(A2123="",B2123=""),"Preencher CPF e entrada",IF(COUNTIFS($A$12:$A$5011,A2123,$B$12:$B$5011,B2123)&gt;1,"CPF + dia duplicado",IF(OR(AND(G2123&lt;&gt;"",G2123&lt;&gt;0,G2123&lt;&gt;1),AND(H2123&lt;&gt;"",H2123&lt;&gt;0,H2123&lt;&gt;1)),"Flags devem ser 0 ou 1",IF(AND(H2123=1,LEN(TRIM(I2123))=0),"Preencher nome do indicante",IF(AND(H2123&lt;&gt;1,I2123&lt;&gt;""),"Nome sem indicação interna",IF(AND(G2123=1,F2123=""),"Fechamento sem conversa",IF(OR(AND(E2123&lt;&gt;"",E2123&lt;B2123),AND(F2123&lt;&gt;"",F2123&lt;B2123)),"Evento anterior à entrada",IF(AND(F2123&lt;&gt;"",E2123=""),"Conversa sem agendamento",IF(OR(E2123&gt;TODAY(),F2123&gt;TODAY()),"Verificar evento futuro","OK"))))))))))</f>
        <v/>
      </c>
    </row>
    <row r="2124" spans="12:15">
      <c r="L2124" s="5">
        <f>IF(OR(A2124="",B2124=""),"",B2124-WEEKDAY(B2124,2)+1)</f>
        <v/>
      </c>
      <c r="M2124" s="5">
        <f>IF(L2124="","",L2124+6)</f>
        <v/>
      </c>
      <c r="N2124" s="6">
        <f>IF(OR(A2124="",B2124=""),"",DATE(YEAR(B2124),MONTH(B2124),1))</f>
        <v/>
      </c>
      <c r="O2124" s="7">
        <f>IF(COUNTA(A2124:K2124)=0,"",IF(OR(A2124="",B2124=""),"Preencher CPF e entrada",IF(COUNTIFS($A$12:$A$5011,A2124,$B$12:$B$5011,B2124)&gt;1,"CPF + dia duplicado",IF(OR(AND(G2124&lt;&gt;"",G2124&lt;&gt;0,G2124&lt;&gt;1),AND(H2124&lt;&gt;"",H2124&lt;&gt;0,H2124&lt;&gt;1)),"Flags devem ser 0 ou 1",IF(AND(H2124=1,LEN(TRIM(I2124))=0),"Preencher nome do indicante",IF(AND(H2124&lt;&gt;1,I2124&lt;&gt;""),"Nome sem indicação interna",IF(AND(G2124=1,F2124=""),"Fechamento sem conversa",IF(OR(AND(E2124&lt;&gt;"",E2124&lt;B2124),AND(F2124&lt;&gt;"",F2124&lt;B2124)),"Evento anterior à entrada",IF(AND(F2124&lt;&gt;"",E2124=""),"Conversa sem agendamento",IF(OR(E2124&gt;TODAY(),F2124&gt;TODAY()),"Verificar evento futuro","OK"))))))))))</f>
        <v/>
      </c>
    </row>
    <row r="2125" spans="12:15">
      <c r="L2125" s="5">
        <f>IF(OR(A2125="",B2125=""),"",B2125-WEEKDAY(B2125,2)+1)</f>
        <v/>
      </c>
      <c r="M2125" s="5">
        <f>IF(L2125="","",L2125+6)</f>
        <v/>
      </c>
      <c r="N2125" s="6">
        <f>IF(OR(A2125="",B2125=""),"",DATE(YEAR(B2125),MONTH(B2125),1))</f>
        <v/>
      </c>
      <c r="O2125" s="7">
        <f>IF(COUNTA(A2125:K2125)=0,"",IF(OR(A2125="",B2125=""),"Preencher CPF e entrada",IF(COUNTIFS($A$12:$A$5011,A2125,$B$12:$B$5011,B2125)&gt;1,"CPF + dia duplicado",IF(OR(AND(G2125&lt;&gt;"",G2125&lt;&gt;0,G2125&lt;&gt;1),AND(H2125&lt;&gt;"",H2125&lt;&gt;0,H2125&lt;&gt;1)),"Flags devem ser 0 ou 1",IF(AND(H2125=1,LEN(TRIM(I2125))=0),"Preencher nome do indicante",IF(AND(H2125&lt;&gt;1,I2125&lt;&gt;""),"Nome sem indicação interna",IF(AND(G2125=1,F2125=""),"Fechamento sem conversa",IF(OR(AND(E2125&lt;&gt;"",E2125&lt;B2125),AND(F2125&lt;&gt;"",F2125&lt;B2125)),"Evento anterior à entrada",IF(AND(F2125&lt;&gt;"",E2125=""),"Conversa sem agendamento",IF(OR(E2125&gt;TODAY(),F2125&gt;TODAY()),"Verificar evento futuro","OK"))))))))))</f>
        <v/>
      </c>
    </row>
    <row r="2126" spans="12:15">
      <c r="L2126" s="5">
        <f>IF(OR(A2126="",B2126=""),"",B2126-WEEKDAY(B2126,2)+1)</f>
        <v/>
      </c>
      <c r="M2126" s="5">
        <f>IF(L2126="","",L2126+6)</f>
        <v/>
      </c>
      <c r="N2126" s="6">
        <f>IF(OR(A2126="",B2126=""),"",DATE(YEAR(B2126),MONTH(B2126),1))</f>
        <v/>
      </c>
      <c r="O2126" s="7">
        <f>IF(COUNTA(A2126:K2126)=0,"",IF(OR(A2126="",B2126=""),"Preencher CPF e entrada",IF(COUNTIFS($A$12:$A$5011,A2126,$B$12:$B$5011,B2126)&gt;1,"CPF + dia duplicado",IF(OR(AND(G2126&lt;&gt;"",G2126&lt;&gt;0,G2126&lt;&gt;1),AND(H2126&lt;&gt;"",H2126&lt;&gt;0,H2126&lt;&gt;1)),"Flags devem ser 0 ou 1",IF(AND(H2126=1,LEN(TRIM(I2126))=0),"Preencher nome do indicante",IF(AND(H2126&lt;&gt;1,I2126&lt;&gt;""),"Nome sem indicação interna",IF(AND(G2126=1,F2126=""),"Fechamento sem conversa",IF(OR(AND(E2126&lt;&gt;"",E2126&lt;B2126),AND(F2126&lt;&gt;"",F2126&lt;B2126)),"Evento anterior à entrada",IF(AND(F2126&lt;&gt;"",E2126=""),"Conversa sem agendamento",IF(OR(E2126&gt;TODAY(),F2126&gt;TODAY()),"Verificar evento futuro","OK"))))))))))</f>
        <v/>
      </c>
    </row>
    <row r="2127" spans="12:15">
      <c r="L2127" s="5">
        <f>IF(OR(A2127="",B2127=""),"",B2127-WEEKDAY(B2127,2)+1)</f>
        <v/>
      </c>
      <c r="M2127" s="5">
        <f>IF(L2127="","",L2127+6)</f>
        <v/>
      </c>
      <c r="N2127" s="6">
        <f>IF(OR(A2127="",B2127=""),"",DATE(YEAR(B2127),MONTH(B2127),1))</f>
        <v/>
      </c>
      <c r="O2127" s="7">
        <f>IF(COUNTA(A2127:K2127)=0,"",IF(OR(A2127="",B2127=""),"Preencher CPF e entrada",IF(COUNTIFS($A$12:$A$5011,A2127,$B$12:$B$5011,B2127)&gt;1,"CPF + dia duplicado",IF(OR(AND(G2127&lt;&gt;"",G2127&lt;&gt;0,G2127&lt;&gt;1),AND(H2127&lt;&gt;"",H2127&lt;&gt;0,H2127&lt;&gt;1)),"Flags devem ser 0 ou 1",IF(AND(H2127=1,LEN(TRIM(I2127))=0),"Preencher nome do indicante",IF(AND(H2127&lt;&gt;1,I2127&lt;&gt;""),"Nome sem indicação interna",IF(AND(G2127=1,F2127=""),"Fechamento sem conversa",IF(OR(AND(E2127&lt;&gt;"",E2127&lt;B2127),AND(F2127&lt;&gt;"",F2127&lt;B2127)),"Evento anterior à entrada",IF(AND(F2127&lt;&gt;"",E2127=""),"Conversa sem agendamento",IF(OR(E2127&gt;TODAY(),F2127&gt;TODAY()),"Verificar evento futuro","OK"))))))))))</f>
        <v/>
      </c>
    </row>
    <row r="2128" spans="12:15">
      <c r="L2128" s="5">
        <f>IF(OR(A2128="",B2128=""),"",B2128-WEEKDAY(B2128,2)+1)</f>
        <v/>
      </c>
      <c r="M2128" s="5">
        <f>IF(L2128="","",L2128+6)</f>
        <v/>
      </c>
      <c r="N2128" s="6">
        <f>IF(OR(A2128="",B2128=""),"",DATE(YEAR(B2128),MONTH(B2128),1))</f>
        <v/>
      </c>
      <c r="O2128" s="7">
        <f>IF(COUNTA(A2128:K2128)=0,"",IF(OR(A2128="",B2128=""),"Preencher CPF e entrada",IF(COUNTIFS($A$12:$A$5011,A2128,$B$12:$B$5011,B2128)&gt;1,"CPF + dia duplicado",IF(OR(AND(G2128&lt;&gt;"",G2128&lt;&gt;0,G2128&lt;&gt;1),AND(H2128&lt;&gt;"",H2128&lt;&gt;0,H2128&lt;&gt;1)),"Flags devem ser 0 ou 1",IF(AND(H2128=1,LEN(TRIM(I2128))=0),"Preencher nome do indicante",IF(AND(H2128&lt;&gt;1,I2128&lt;&gt;""),"Nome sem indicação interna",IF(AND(G2128=1,F2128=""),"Fechamento sem conversa",IF(OR(AND(E2128&lt;&gt;"",E2128&lt;B2128),AND(F2128&lt;&gt;"",F2128&lt;B2128)),"Evento anterior à entrada",IF(AND(F2128&lt;&gt;"",E2128=""),"Conversa sem agendamento",IF(OR(E2128&gt;TODAY(),F2128&gt;TODAY()),"Verificar evento futuro","OK"))))))))))</f>
        <v/>
      </c>
    </row>
    <row r="2129" spans="12:15">
      <c r="L2129" s="5">
        <f>IF(OR(A2129="",B2129=""),"",B2129-WEEKDAY(B2129,2)+1)</f>
        <v/>
      </c>
      <c r="M2129" s="5">
        <f>IF(L2129="","",L2129+6)</f>
        <v/>
      </c>
      <c r="N2129" s="6">
        <f>IF(OR(A2129="",B2129=""),"",DATE(YEAR(B2129),MONTH(B2129),1))</f>
        <v/>
      </c>
      <c r="O2129" s="7">
        <f>IF(COUNTA(A2129:K2129)=0,"",IF(OR(A2129="",B2129=""),"Preencher CPF e entrada",IF(COUNTIFS($A$12:$A$5011,A2129,$B$12:$B$5011,B2129)&gt;1,"CPF + dia duplicado",IF(OR(AND(G2129&lt;&gt;"",G2129&lt;&gt;0,G2129&lt;&gt;1),AND(H2129&lt;&gt;"",H2129&lt;&gt;0,H2129&lt;&gt;1)),"Flags devem ser 0 ou 1",IF(AND(H2129=1,LEN(TRIM(I2129))=0),"Preencher nome do indicante",IF(AND(H2129&lt;&gt;1,I2129&lt;&gt;""),"Nome sem indicação interna",IF(AND(G2129=1,F2129=""),"Fechamento sem conversa",IF(OR(AND(E2129&lt;&gt;"",E2129&lt;B2129),AND(F2129&lt;&gt;"",F2129&lt;B2129)),"Evento anterior à entrada",IF(AND(F2129&lt;&gt;"",E2129=""),"Conversa sem agendamento",IF(OR(E2129&gt;TODAY(),F2129&gt;TODAY()),"Verificar evento futuro","OK"))))))))))</f>
        <v/>
      </c>
    </row>
    <row r="2130" spans="12:15">
      <c r="L2130" s="5">
        <f>IF(OR(A2130="",B2130=""),"",B2130-WEEKDAY(B2130,2)+1)</f>
        <v/>
      </c>
      <c r="M2130" s="5">
        <f>IF(L2130="","",L2130+6)</f>
        <v/>
      </c>
      <c r="N2130" s="6">
        <f>IF(OR(A2130="",B2130=""),"",DATE(YEAR(B2130),MONTH(B2130),1))</f>
        <v/>
      </c>
      <c r="O2130" s="7">
        <f>IF(COUNTA(A2130:K2130)=0,"",IF(OR(A2130="",B2130=""),"Preencher CPF e entrada",IF(COUNTIFS($A$12:$A$5011,A2130,$B$12:$B$5011,B2130)&gt;1,"CPF + dia duplicado",IF(OR(AND(G2130&lt;&gt;"",G2130&lt;&gt;0,G2130&lt;&gt;1),AND(H2130&lt;&gt;"",H2130&lt;&gt;0,H2130&lt;&gt;1)),"Flags devem ser 0 ou 1",IF(AND(H2130=1,LEN(TRIM(I2130))=0),"Preencher nome do indicante",IF(AND(H2130&lt;&gt;1,I2130&lt;&gt;""),"Nome sem indicação interna",IF(AND(G2130=1,F2130=""),"Fechamento sem conversa",IF(OR(AND(E2130&lt;&gt;"",E2130&lt;B2130),AND(F2130&lt;&gt;"",F2130&lt;B2130)),"Evento anterior à entrada",IF(AND(F2130&lt;&gt;"",E2130=""),"Conversa sem agendamento",IF(OR(E2130&gt;TODAY(),F2130&gt;TODAY()),"Verificar evento futuro","OK"))))))))))</f>
        <v/>
      </c>
    </row>
    <row r="2131" spans="12:15">
      <c r="L2131" s="5">
        <f>IF(OR(A2131="",B2131=""),"",B2131-WEEKDAY(B2131,2)+1)</f>
        <v/>
      </c>
      <c r="M2131" s="5">
        <f>IF(L2131="","",L2131+6)</f>
        <v/>
      </c>
      <c r="N2131" s="6">
        <f>IF(OR(A2131="",B2131=""),"",DATE(YEAR(B2131),MONTH(B2131),1))</f>
        <v/>
      </c>
      <c r="O2131" s="7">
        <f>IF(COUNTA(A2131:K2131)=0,"",IF(OR(A2131="",B2131=""),"Preencher CPF e entrada",IF(COUNTIFS($A$12:$A$5011,A2131,$B$12:$B$5011,B2131)&gt;1,"CPF + dia duplicado",IF(OR(AND(G2131&lt;&gt;"",G2131&lt;&gt;0,G2131&lt;&gt;1),AND(H2131&lt;&gt;"",H2131&lt;&gt;0,H2131&lt;&gt;1)),"Flags devem ser 0 ou 1",IF(AND(H2131=1,LEN(TRIM(I2131))=0),"Preencher nome do indicante",IF(AND(H2131&lt;&gt;1,I2131&lt;&gt;""),"Nome sem indicação interna",IF(AND(G2131=1,F2131=""),"Fechamento sem conversa",IF(OR(AND(E2131&lt;&gt;"",E2131&lt;B2131),AND(F2131&lt;&gt;"",F2131&lt;B2131)),"Evento anterior à entrada",IF(AND(F2131&lt;&gt;"",E2131=""),"Conversa sem agendamento",IF(OR(E2131&gt;TODAY(),F2131&gt;TODAY()),"Verificar evento futuro","OK"))))))))))</f>
        <v/>
      </c>
    </row>
    <row r="2132" spans="12:15">
      <c r="L2132" s="5">
        <f>IF(OR(A2132="",B2132=""),"",B2132-WEEKDAY(B2132,2)+1)</f>
        <v/>
      </c>
      <c r="M2132" s="5">
        <f>IF(L2132="","",L2132+6)</f>
        <v/>
      </c>
      <c r="N2132" s="6">
        <f>IF(OR(A2132="",B2132=""),"",DATE(YEAR(B2132),MONTH(B2132),1))</f>
        <v/>
      </c>
      <c r="O2132" s="7">
        <f>IF(COUNTA(A2132:K2132)=0,"",IF(OR(A2132="",B2132=""),"Preencher CPF e entrada",IF(COUNTIFS($A$12:$A$5011,A2132,$B$12:$B$5011,B2132)&gt;1,"CPF + dia duplicado",IF(OR(AND(G2132&lt;&gt;"",G2132&lt;&gt;0,G2132&lt;&gt;1),AND(H2132&lt;&gt;"",H2132&lt;&gt;0,H2132&lt;&gt;1)),"Flags devem ser 0 ou 1",IF(AND(H2132=1,LEN(TRIM(I2132))=0),"Preencher nome do indicante",IF(AND(H2132&lt;&gt;1,I2132&lt;&gt;""),"Nome sem indicação interna",IF(AND(G2132=1,F2132=""),"Fechamento sem conversa",IF(OR(AND(E2132&lt;&gt;"",E2132&lt;B2132),AND(F2132&lt;&gt;"",F2132&lt;B2132)),"Evento anterior à entrada",IF(AND(F2132&lt;&gt;"",E2132=""),"Conversa sem agendamento",IF(OR(E2132&gt;TODAY(),F2132&gt;TODAY()),"Verificar evento futuro","OK"))))))))))</f>
        <v/>
      </c>
    </row>
    <row r="2133" spans="12:15">
      <c r="L2133" s="5">
        <f>IF(OR(A2133="",B2133=""),"",B2133-WEEKDAY(B2133,2)+1)</f>
        <v/>
      </c>
      <c r="M2133" s="5">
        <f>IF(L2133="","",L2133+6)</f>
        <v/>
      </c>
      <c r="N2133" s="6">
        <f>IF(OR(A2133="",B2133=""),"",DATE(YEAR(B2133),MONTH(B2133),1))</f>
        <v/>
      </c>
      <c r="O2133" s="7">
        <f>IF(COUNTA(A2133:K2133)=0,"",IF(OR(A2133="",B2133=""),"Preencher CPF e entrada",IF(COUNTIFS($A$12:$A$5011,A2133,$B$12:$B$5011,B2133)&gt;1,"CPF + dia duplicado",IF(OR(AND(G2133&lt;&gt;"",G2133&lt;&gt;0,G2133&lt;&gt;1),AND(H2133&lt;&gt;"",H2133&lt;&gt;0,H2133&lt;&gt;1)),"Flags devem ser 0 ou 1",IF(AND(H2133=1,LEN(TRIM(I2133))=0),"Preencher nome do indicante",IF(AND(H2133&lt;&gt;1,I2133&lt;&gt;""),"Nome sem indicação interna",IF(AND(G2133=1,F2133=""),"Fechamento sem conversa",IF(OR(AND(E2133&lt;&gt;"",E2133&lt;B2133),AND(F2133&lt;&gt;"",F2133&lt;B2133)),"Evento anterior à entrada",IF(AND(F2133&lt;&gt;"",E2133=""),"Conversa sem agendamento",IF(OR(E2133&gt;TODAY(),F2133&gt;TODAY()),"Verificar evento futuro","OK"))))))))))</f>
        <v/>
      </c>
    </row>
    <row r="2134" spans="12:15">
      <c r="L2134" s="5">
        <f>IF(OR(A2134="",B2134=""),"",B2134-WEEKDAY(B2134,2)+1)</f>
        <v/>
      </c>
      <c r="M2134" s="5">
        <f>IF(L2134="","",L2134+6)</f>
        <v/>
      </c>
      <c r="N2134" s="6">
        <f>IF(OR(A2134="",B2134=""),"",DATE(YEAR(B2134),MONTH(B2134),1))</f>
        <v/>
      </c>
      <c r="O2134" s="7">
        <f>IF(COUNTA(A2134:K2134)=0,"",IF(OR(A2134="",B2134=""),"Preencher CPF e entrada",IF(COUNTIFS($A$12:$A$5011,A2134,$B$12:$B$5011,B2134)&gt;1,"CPF + dia duplicado",IF(OR(AND(G2134&lt;&gt;"",G2134&lt;&gt;0,G2134&lt;&gt;1),AND(H2134&lt;&gt;"",H2134&lt;&gt;0,H2134&lt;&gt;1)),"Flags devem ser 0 ou 1",IF(AND(H2134=1,LEN(TRIM(I2134))=0),"Preencher nome do indicante",IF(AND(H2134&lt;&gt;1,I2134&lt;&gt;""),"Nome sem indicação interna",IF(AND(G2134=1,F2134=""),"Fechamento sem conversa",IF(OR(AND(E2134&lt;&gt;"",E2134&lt;B2134),AND(F2134&lt;&gt;"",F2134&lt;B2134)),"Evento anterior à entrada",IF(AND(F2134&lt;&gt;"",E2134=""),"Conversa sem agendamento",IF(OR(E2134&gt;TODAY(),F2134&gt;TODAY()),"Verificar evento futuro","OK"))))))))))</f>
        <v/>
      </c>
    </row>
    <row r="2135" spans="12:15">
      <c r="L2135" s="5">
        <f>IF(OR(A2135="",B2135=""),"",B2135-WEEKDAY(B2135,2)+1)</f>
        <v/>
      </c>
      <c r="M2135" s="5">
        <f>IF(L2135="","",L2135+6)</f>
        <v/>
      </c>
      <c r="N2135" s="6">
        <f>IF(OR(A2135="",B2135=""),"",DATE(YEAR(B2135),MONTH(B2135),1))</f>
        <v/>
      </c>
      <c r="O2135" s="7">
        <f>IF(COUNTA(A2135:K2135)=0,"",IF(OR(A2135="",B2135=""),"Preencher CPF e entrada",IF(COUNTIFS($A$12:$A$5011,A2135,$B$12:$B$5011,B2135)&gt;1,"CPF + dia duplicado",IF(OR(AND(G2135&lt;&gt;"",G2135&lt;&gt;0,G2135&lt;&gt;1),AND(H2135&lt;&gt;"",H2135&lt;&gt;0,H2135&lt;&gt;1)),"Flags devem ser 0 ou 1",IF(AND(H2135=1,LEN(TRIM(I2135))=0),"Preencher nome do indicante",IF(AND(H2135&lt;&gt;1,I2135&lt;&gt;""),"Nome sem indicação interna",IF(AND(G2135=1,F2135=""),"Fechamento sem conversa",IF(OR(AND(E2135&lt;&gt;"",E2135&lt;B2135),AND(F2135&lt;&gt;"",F2135&lt;B2135)),"Evento anterior à entrada",IF(AND(F2135&lt;&gt;"",E2135=""),"Conversa sem agendamento",IF(OR(E2135&gt;TODAY(),F2135&gt;TODAY()),"Verificar evento futuro","OK"))))))))))</f>
        <v/>
      </c>
    </row>
    <row r="2136" spans="12:15">
      <c r="L2136" s="5">
        <f>IF(OR(A2136="",B2136=""),"",B2136-WEEKDAY(B2136,2)+1)</f>
        <v/>
      </c>
      <c r="M2136" s="5">
        <f>IF(L2136="","",L2136+6)</f>
        <v/>
      </c>
      <c r="N2136" s="6">
        <f>IF(OR(A2136="",B2136=""),"",DATE(YEAR(B2136),MONTH(B2136),1))</f>
        <v/>
      </c>
      <c r="O2136" s="7">
        <f>IF(COUNTA(A2136:K2136)=0,"",IF(OR(A2136="",B2136=""),"Preencher CPF e entrada",IF(COUNTIFS($A$12:$A$5011,A2136,$B$12:$B$5011,B2136)&gt;1,"CPF + dia duplicado",IF(OR(AND(G2136&lt;&gt;"",G2136&lt;&gt;0,G2136&lt;&gt;1),AND(H2136&lt;&gt;"",H2136&lt;&gt;0,H2136&lt;&gt;1)),"Flags devem ser 0 ou 1",IF(AND(H2136=1,LEN(TRIM(I2136))=0),"Preencher nome do indicante",IF(AND(H2136&lt;&gt;1,I2136&lt;&gt;""),"Nome sem indicação interna",IF(AND(G2136=1,F2136=""),"Fechamento sem conversa",IF(OR(AND(E2136&lt;&gt;"",E2136&lt;B2136),AND(F2136&lt;&gt;"",F2136&lt;B2136)),"Evento anterior à entrada",IF(AND(F2136&lt;&gt;"",E2136=""),"Conversa sem agendamento",IF(OR(E2136&gt;TODAY(),F2136&gt;TODAY()),"Verificar evento futuro","OK"))))))))))</f>
        <v/>
      </c>
    </row>
    <row r="2137" spans="12:15">
      <c r="L2137" s="5">
        <f>IF(OR(A2137="",B2137=""),"",B2137-WEEKDAY(B2137,2)+1)</f>
        <v/>
      </c>
      <c r="M2137" s="5">
        <f>IF(L2137="","",L2137+6)</f>
        <v/>
      </c>
      <c r="N2137" s="6">
        <f>IF(OR(A2137="",B2137=""),"",DATE(YEAR(B2137),MONTH(B2137),1))</f>
        <v/>
      </c>
      <c r="O2137" s="7">
        <f>IF(COUNTA(A2137:K2137)=0,"",IF(OR(A2137="",B2137=""),"Preencher CPF e entrada",IF(COUNTIFS($A$12:$A$5011,A2137,$B$12:$B$5011,B2137)&gt;1,"CPF + dia duplicado",IF(OR(AND(G2137&lt;&gt;"",G2137&lt;&gt;0,G2137&lt;&gt;1),AND(H2137&lt;&gt;"",H2137&lt;&gt;0,H2137&lt;&gt;1)),"Flags devem ser 0 ou 1",IF(AND(H2137=1,LEN(TRIM(I2137))=0),"Preencher nome do indicante",IF(AND(H2137&lt;&gt;1,I2137&lt;&gt;""),"Nome sem indicação interna",IF(AND(G2137=1,F2137=""),"Fechamento sem conversa",IF(OR(AND(E2137&lt;&gt;"",E2137&lt;B2137),AND(F2137&lt;&gt;"",F2137&lt;B2137)),"Evento anterior à entrada",IF(AND(F2137&lt;&gt;"",E2137=""),"Conversa sem agendamento",IF(OR(E2137&gt;TODAY(),F2137&gt;TODAY()),"Verificar evento futuro","OK"))))))))))</f>
        <v/>
      </c>
    </row>
    <row r="2138" spans="12:15">
      <c r="L2138" s="5">
        <f>IF(OR(A2138="",B2138=""),"",B2138-WEEKDAY(B2138,2)+1)</f>
        <v/>
      </c>
      <c r="M2138" s="5">
        <f>IF(L2138="","",L2138+6)</f>
        <v/>
      </c>
      <c r="N2138" s="6">
        <f>IF(OR(A2138="",B2138=""),"",DATE(YEAR(B2138),MONTH(B2138),1))</f>
        <v/>
      </c>
      <c r="O2138" s="7">
        <f>IF(COUNTA(A2138:K2138)=0,"",IF(OR(A2138="",B2138=""),"Preencher CPF e entrada",IF(COUNTIFS($A$12:$A$5011,A2138,$B$12:$B$5011,B2138)&gt;1,"CPF + dia duplicado",IF(OR(AND(G2138&lt;&gt;"",G2138&lt;&gt;0,G2138&lt;&gt;1),AND(H2138&lt;&gt;"",H2138&lt;&gt;0,H2138&lt;&gt;1)),"Flags devem ser 0 ou 1",IF(AND(H2138=1,LEN(TRIM(I2138))=0),"Preencher nome do indicante",IF(AND(H2138&lt;&gt;1,I2138&lt;&gt;""),"Nome sem indicação interna",IF(AND(G2138=1,F2138=""),"Fechamento sem conversa",IF(OR(AND(E2138&lt;&gt;"",E2138&lt;B2138),AND(F2138&lt;&gt;"",F2138&lt;B2138)),"Evento anterior à entrada",IF(AND(F2138&lt;&gt;"",E2138=""),"Conversa sem agendamento",IF(OR(E2138&gt;TODAY(),F2138&gt;TODAY()),"Verificar evento futuro","OK"))))))))))</f>
        <v/>
      </c>
    </row>
    <row r="2139" spans="12:15">
      <c r="L2139" s="5">
        <f>IF(OR(A2139="",B2139=""),"",B2139-WEEKDAY(B2139,2)+1)</f>
        <v/>
      </c>
      <c r="M2139" s="5">
        <f>IF(L2139="","",L2139+6)</f>
        <v/>
      </c>
      <c r="N2139" s="6">
        <f>IF(OR(A2139="",B2139=""),"",DATE(YEAR(B2139),MONTH(B2139),1))</f>
        <v/>
      </c>
      <c r="O2139" s="7">
        <f>IF(COUNTA(A2139:K2139)=0,"",IF(OR(A2139="",B2139=""),"Preencher CPF e entrada",IF(COUNTIFS($A$12:$A$5011,A2139,$B$12:$B$5011,B2139)&gt;1,"CPF + dia duplicado",IF(OR(AND(G2139&lt;&gt;"",G2139&lt;&gt;0,G2139&lt;&gt;1),AND(H2139&lt;&gt;"",H2139&lt;&gt;0,H2139&lt;&gt;1)),"Flags devem ser 0 ou 1",IF(AND(H2139=1,LEN(TRIM(I2139))=0),"Preencher nome do indicante",IF(AND(H2139&lt;&gt;1,I2139&lt;&gt;""),"Nome sem indicação interna",IF(AND(G2139=1,F2139=""),"Fechamento sem conversa",IF(OR(AND(E2139&lt;&gt;"",E2139&lt;B2139),AND(F2139&lt;&gt;"",F2139&lt;B2139)),"Evento anterior à entrada",IF(AND(F2139&lt;&gt;"",E2139=""),"Conversa sem agendamento",IF(OR(E2139&gt;TODAY(),F2139&gt;TODAY()),"Verificar evento futuro","OK"))))))))))</f>
        <v/>
      </c>
    </row>
    <row r="2140" spans="12:15">
      <c r="L2140" s="5">
        <f>IF(OR(A2140="",B2140=""),"",B2140-WEEKDAY(B2140,2)+1)</f>
        <v/>
      </c>
      <c r="M2140" s="5">
        <f>IF(L2140="","",L2140+6)</f>
        <v/>
      </c>
      <c r="N2140" s="6">
        <f>IF(OR(A2140="",B2140=""),"",DATE(YEAR(B2140),MONTH(B2140),1))</f>
        <v/>
      </c>
      <c r="O2140" s="7">
        <f>IF(COUNTA(A2140:K2140)=0,"",IF(OR(A2140="",B2140=""),"Preencher CPF e entrada",IF(COUNTIFS($A$12:$A$5011,A2140,$B$12:$B$5011,B2140)&gt;1,"CPF + dia duplicado",IF(OR(AND(G2140&lt;&gt;"",G2140&lt;&gt;0,G2140&lt;&gt;1),AND(H2140&lt;&gt;"",H2140&lt;&gt;0,H2140&lt;&gt;1)),"Flags devem ser 0 ou 1",IF(AND(H2140=1,LEN(TRIM(I2140))=0),"Preencher nome do indicante",IF(AND(H2140&lt;&gt;1,I2140&lt;&gt;""),"Nome sem indicação interna",IF(AND(G2140=1,F2140=""),"Fechamento sem conversa",IF(OR(AND(E2140&lt;&gt;"",E2140&lt;B2140),AND(F2140&lt;&gt;"",F2140&lt;B2140)),"Evento anterior à entrada",IF(AND(F2140&lt;&gt;"",E2140=""),"Conversa sem agendamento",IF(OR(E2140&gt;TODAY(),F2140&gt;TODAY()),"Verificar evento futuro","OK"))))))))))</f>
        <v/>
      </c>
    </row>
    <row r="2141" spans="12:15">
      <c r="L2141" s="5">
        <f>IF(OR(A2141="",B2141=""),"",B2141-WEEKDAY(B2141,2)+1)</f>
        <v/>
      </c>
      <c r="M2141" s="5">
        <f>IF(L2141="","",L2141+6)</f>
        <v/>
      </c>
      <c r="N2141" s="6">
        <f>IF(OR(A2141="",B2141=""),"",DATE(YEAR(B2141),MONTH(B2141),1))</f>
        <v/>
      </c>
      <c r="O2141" s="7">
        <f>IF(COUNTA(A2141:K2141)=0,"",IF(OR(A2141="",B2141=""),"Preencher CPF e entrada",IF(COUNTIFS($A$12:$A$5011,A2141,$B$12:$B$5011,B2141)&gt;1,"CPF + dia duplicado",IF(OR(AND(G2141&lt;&gt;"",G2141&lt;&gt;0,G2141&lt;&gt;1),AND(H2141&lt;&gt;"",H2141&lt;&gt;0,H2141&lt;&gt;1)),"Flags devem ser 0 ou 1",IF(AND(H2141=1,LEN(TRIM(I2141))=0),"Preencher nome do indicante",IF(AND(H2141&lt;&gt;1,I2141&lt;&gt;""),"Nome sem indicação interna",IF(AND(G2141=1,F2141=""),"Fechamento sem conversa",IF(OR(AND(E2141&lt;&gt;"",E2141&lt;B2141),AND(F2141&lt;&gt;"",F2141&lt;B2141)),"Evento anterior à entrada",IF(AND(F2141&lt;&gt;"",E2141=""),"Conversa sem agendamento",IF(OR(E2141&gt;TODAY(),F2141&gt;TODAY()),"Verificar evento futuro","OK"))))))))))</f>
        <v/>
      </c>
    </row>
    <row r="2142" spans="12:15">
      <c r="L2142" s="5">
        <f>IF(OR(A2142="",B2142=""),"",B2142-WEEKDAY(B2142,2)+1)</f>
        <v/>
      </c>
      <c r="M2142" s="5">
        <f>IF(L2142="","",L2142+6)</f>
        <v/>
      </c>
      <c r="N2142" s="6">
        <f>IF(OR(A2142="",B2142=""),"",DATE(YEAR(B2142),MONTH(B2142),1))</f>
        <v/>
      </c>
      <c r="O2142" s="7">
        <f>IF(COUNTA(A2142:K2142)=0,"",IF(OR(A2142="",B2142=""),"Preencher CPF e entrada",IF(COUNTIFS($A$12:$A$5011,A2142,$B$12:$B$5011,B2142)&gt;1,"CPF + dia duplicado",IF(OR(AND(G2142&lt;&gt;"",G2142&lt;&gt;0,G2142&lt;&gt;1),AND(H2142&lt;&gt;"",H2142&lt;&gt;0,H2142&lt;&gt;1)),"Flags devem ser 0 ou 1",IF(AND(H2142=1,LEN(TRIM(I2142))=0),"Preencher nome do indicante",IF(AND(H2142&lt;&gt;1,I2142&lt;&gt;""),"Nome sem indicação interna",IF(AND(G2142=1,F2142=""),"Fechamento sem conversa",IF(OR(AND(E2142&lt;&gt;"",E2142&lt;B2142),AND(F2142&lt;&gt;"",F2142&lt;B2142)),"Evento anterior à entrada",IF(AND(F2142&lt;&gt;"",E2142=""),"Conversa sem agendamento",IF(OR(E2142&gt;TODAY(),F2142&gt;TODAY()),"Verificar evento futuro","OK"))))))))))</f>
        <v/>
      </c>
    </row>
    <row r="2143" spans="12:15">
      <c r="L2143" s="5">
        <f>IF(OR(A2143="",B2143=""),"",B2143-WEEKDAY(B2143,2)+1)</f>
        <v/>
      </c>
      <c r="M2143" s="5">
        <f>IF(L2143="","",L2143+6)</f>
        <v/>
      </c>
      <c r="N2143" s="6">
        <f>IF(OR(A2143="",B2143=""),"",DATE(YEAR(B2143),MONTH(B2143),1))</f>
        <v/>
      </c>
      <c r="O2143" s="7">
        <f>IF(COUNTA(A2143:K2143)=0,"",IF(OR(A2143="",B2143=""),"Preencher CPF e entrada",IF(COUNTIFS($A$12:$A$5011,A2143,$B$12:$B$5011,B2143)&gt;1,"CPF + dia duplicado",IF(OR(AND(G2143&lt;&gt;"",G2143&lt;&gt;0,G2143&lt;&gt;1),AND(H2143&lt;&gt;"",H2143&lt;&gt;0,H2143&lt;&gt;1)),"Flags devem ser 0 ou 1",IF(AND(H2143=1,LEN(TRIM(I2143))=0),"Preencher nome do indicante",IF(AND(H2143&lt;&gt;1,I2143&lt;&gt;""),"Nome sem indicação interna",IF(AND(G2143=1,F2143=""),"Fechamento sem conversa",IF(OR(AND(E2143&lt;&gt;"",E2143&lt;B2143),AND(F2143&lt;&gt;"",F2143&lt;B2143)),"Evento anterior à entrada",IF(AND(F2143&lt;&gt;"",E2143=""),"Conversa sem agendamento",IF(OR(E2143&gt;TODAY(),F2143&gt;TODAY()),"Verificar evento futuro","OK"))))))))))</f>
        <v/>
      </c>
    </row>
    <row r="2144" spans="12:15">
      <c r="L2144" s="5">
        <f>IF(OR(A2144="",B2144=""),"",B2144-WEEKDAY(B2144,2)+1)</f>
        <v/>
      </c>
      <c r="M2144" s="5">
        <f>IF(L2144="","",L2144+6)</f>
        <v/>
      </c>
      <c r="N2144" s="6">
        <f>IF(OR(A2144="",B2144=""),"",DATE(YEAR(B2144),MONTH(B2144),1))</f>
        <v/>
      </c>
      <c r="O2144" s="7">
        <f>IF(COUNTA(A2144:K2144)=0,"",IF(OR(A2144="",B2144=""),"Preencher CPF e entrada",IF(COUNTIFS($A$12:$A$5011,A2144,$B$12:$B$5011,B2144)&gt;1,"CPF + dia duplicado",IF(OR(AND(G2144&lt;&gt;"",G2144&lt;&gt;0,G2144&lt;&gt;1),AND(H2144&lt;&gt;"",H2144&lt;&gt;0,H2144&lt;&gt;1)),"Flags devem ser 0 ou 1",IF(AND(H2144=1,LEN(TRIM(I2144))=0),"Preencher nome do indicante",IF(AND(H2144&lt;&gt;1,I2144&lt;&gt;""),"Nome sem indicação interna",IF(AND(G2144=1,F2144=""),"Fechamento sem conversa",IF(OR(AND(E2144&lt;&gt;"",E2144&lt;B2144),AND(F2144&lt;&gt;"",F2144&lt;B2144)),"Evento anterior à entrada",IF(AND(F2144&lt;&gt;"",E2144=""),"Conversa sem agendamento",IF(OR(E2144&gt;TODAY(),F2144&gt;TODAY()),"Verificar evento futuro","OK"))))))))))</f>
        <v/>
      </c>
    </row>
    <row r="2145" spans="12:15">
      <c r="L2145" s="5">
        <f>IF(OR(A2145="",B2145=""),"",B2145-WEEKDAY(B2145,2)+1)</f>
        <v/>
      </c>
      <c r="M2145" s="5">
        <f>IF(L2145="","",L2145+6)</f>
        <v/>
      </c>
      <c r="N2145" s="6">
        <f>IF(OR(A2145="",B2145=""),"",DATE(YEAR(B2145),MONTH(B2145),1))</f>
        <v/>
      </c>
      <c r="O2145" s="7">
        <f>IF(COUNTA(A2145:K2145)=0,"",IF(OR(A2145="",B2145=""),"Preencher CPF e entrada",IF(COUNTIFS($A$12:$A$5011,A2145,$B$12:$B$5011,B2145)&gt;1,"CPF + dia duplicado",IF(OR(AND(G2145&lt;&gt;"",G2145&lt;&gt;0,G2145&lt;&gt;1),AND(H2145&lt;&gt;"",H2145&lt;&gt;0,H2145&lt;&gt;1)),"Flags devem ser 0 ou 1",IF(AND(H2145=1,LEN(TRIM(I2145))=0),"Preencher nome do indicante",IF(AND(H2145&lt;&gt;1,I2145&lt;&gt;""),"Nome sem indicação interna",IF(AND(G2145=1,F2145=""),"Fechamento sem conversa",IF(OR(AND(E2145&lt;&gt;"",E2145&lt;B2145),AND(F2145&lt;&gt;"",F2145&lt;B2145)),"Evento anterior à entrada",IF(AND(F2145&lt;&gt;"",E2145=""),"Conversa sem agendamento",IF(OR(E2145&gt;TODAY(),F2145&gt;TODAY()),"Verificar evento futuro","OK"))))))))))</f>
        <v/>
      </c>
    </row>
    <row r="2146" spans="12:15">
      <c r="L2146" s="5">
        <f>IF(OR(A2146="",B2146=""),"",B2146-WEEKDAY(B2146,2)+1)</f>
        <v/>
      </c>
      <c r="M2146" s="5">
        <f>IF(L2146="","",L2146+6)</f>
        <v/>
      </c>
      <c r="N2146" s="6">
        <f>IF(OR(A2146="",B2146=""),"",DATE(YEAR(B2146),MONTH(B2146),1))</f>
        <v/>
      </c>
      <c r="O2146" s="7">
        <f>IF(COUNTA(A2146:K2146)=0,"",IF(OR(A2146="",B2146=""),"Preencher CPF e entrada",IF(COUNTIFS($A$12:$A$5011,A2146,$B$12:$B$5011,B2146)&gt;1,"CPF + dia duplicado",IF(OR(AND(G2146&lt;&gt;"",G2146&lt;&gt;0,G2146&lt;&gt;1),AND(H2146&lt;&gt;"",H2146&lt;&gt;0,H2146&lt;&gt;1)),"Flags devem ser 0 ou 1",IF(AND(H2146=1,LEN(TRIM(I2146))=0),"Preencher nome do indicante",IF(AND(H2146&lt;&gt;1,I2146&lt;&gt;""),"Nome sem indicação interna",IF(AND(G2146=1,F2146=""),"Fechamento sem conversa",IF(OR(AND(E2146&lt;&gt;"",E2146&lt;B2146),AND(F2146&lt;&gt;"",F2146&lt;B2146)),"Evento anterior à entrada",IF(AND(F2146&lt;&gt;"",E2146=""),"Conversa sem agendamento",IF(OR(E2146&gt;TODAY(),F2146&gt;TODAY()),"Verificar evento futuro","OK"))))))))))</f>
        <v/>
      </c>
    </row>
    <row r="2147" spans="12:15">
      <c r="L2147" s="5">
        <f>IF(OR(A2147="",B2147=""),"",B2147-WEEKDAY(B2147,2)+1)</f>
        <v/>
      </c>
      <c r="M2147" s="5">
        <f>IF(L2147="","",L2147+6)</f>
        <v/>
      </c>
      <c r="N2147" s="6">
        <f>IF(OR(A2147="",B2147=""),"",DATE(YEAR(B2147),MONTH(B2147),1))</f>
        <v/>
      </c>
      <c r="O2147" s="7">
        <f>IF(COUNTA(A2147:K2147)=0,"",IF(OR(A2147="",B2147=""),"Preencher CPF e entrada",IF(COUNTIFS($A$12:$A$5011,A2147,$B$12:$B$5011,B2147)&gt;1,"CPF + dia duplicado",IF(OR(AND(G2147&lt;&gt;"",G2147&lt;&gt;0,G2147&lt;&gt;1),AND(H2147&lt;&gt;"",H2147&lt;&gt;0,H2147&lt;&gt;1)),"Flags devem ser 0 ou 1",IF(AND(H2147=1,LEN(TRIM(I2147))=0),"Preencher nome do indicante",IF(AND(H2147&lt;&gt;1,I2147&lt;&gt;""),"Nome sem indicação interna",IF(AND(G2147=1,F2147=""),"Fechamento sem conversa",IF(OR(AND(E2147&lt;&gt;"",E2147&lt;B2147),AND(F2147&lt;&gt;"",F2147&lt;B2147)),"Evento anterior à entrada",IF(AND(F2147&lt;&gt;"",E2147=""),"Conversa sem agendamento",IF(OR(E2147&gt;TODAY(),F2147&gt;TODAY()),"Verificar evento futuro","OK"))))))))))</f>
        <v/>
      </c>
    </row>
    <row r="2148" spans="12:15">
      <c r="L2148" s="5">
        <f>IF(OR(A2148="",B2148=""),"",B2148-WEEKDAY(B2148,2)+1)</f>
        <v/>
      </c>
      <c r="M2148" s="5">
        <f>IF(L2148="","",L2148+6)</f>
        <v/>
      </c>
      <c r="N2148" s="6">
        <f>IF(OR(A2148="",B2148=""),"",DATE(YEAR(B2148),MONTH(B2148),1))</f>
        <v/>
      </c>
      <c r="O2148" s="7">
        <f>IF(COUNTA(A2148:K2148)=0,"",IF(OR(A2148="",B2148=""),"Preencher CPF e entrada",IF(COUNTIFS($A$12:$A$5011,A2148,$B$12:$B$5011,B2148)&gt;1,"CPF + dia duplicado",IF(OR(AND(G2148&lt;&gt;"",G2148&lt;&gt;0,G2148&lt;&gt;1),AND(H2148&lt;&gt;"",H2148&lt;&gt;0,H2148&lt;&gt;1)),"Flags devem ser 0 ou 1",IF(AND(H2148=1,LEN(TRIM(I2148))=0),"Preencher nome do indicante",IF(AND(H2148&lt;&gt;1,I2148&lt;&gt;""),"Nome sem indicação interna",IF(AND(G2148=1,F2148=""),"Fechamento sem conversa",IF(OR(AND(E2148&lt;&gt;"",E2148&lt;B2148),AND(F2148&lt;&gt;"",F2148&lt;B2148)),"Evento anterior à entrada",IF(AND(F2148&lt;&gt;"",E2148=""),"Conversa sem agendamento",IF(OR(E2148&gt;TODAY(),F2148&gt;TODAY()),"Verificar evento futuro","OK"))))))))))</f>
        <v/>
      </c>
    </row>
    <row r="2149" spans="12:15">
      <c r="L2149" s="5">
        <f>IF(OR(A2149="",B2149=""),"",B2149-WEEKDAY(B2149,2)+1)</f>
        <v/>
      </c>
      <c r="M2149" s="5">
        <f>IF(L2149="","",L2149+6)</f>
        <v/>
      </c>
      <c r="N2149" s="6">
        <f>IF(OR(A2149="",B2149=""),"",DATE(YEAR(B2149),MONTH(B2149),1))</f>
        <v/>
      </c>
      <c r="O2149" s="7">
        <f>IF(COUNTA(A2149:K2149)=0,"",IF(OR(A2149="",B2149=""),"Preencher CPF e entrada",IF(COUNTIFS($A$12:$A$5011,A2149,$B$12:$B$5011,B2149)&gt;1,"CPF + dia duplicado",IF(OR(AND(G2149&lt;&gt;"",G2149&lt;&gt;0,G2149&lt;&gt;1),AND(H2149&lt;&gt;"",H2149&lt;&gt;0,H2149&lt;&gt;1)),"Flags devem ser 0 ou 1",IF(AND(H2149=1,LEN(TRIM(I2149))=0),"Preencher nome do indicante",IF(AND(H2149&lt;&gt;1,I2149&lt;&gt;""),"Nome sem indicação interna",IF(AND(G2149=1,F2149=""),"Fechamento sem conversa",IF(OR(AND(E2149&lt;&gt;"",E2149&lt;B2149),AND(F2149&lt;&gt;"",F2149&lt;B2149)),"Evento anterior à entrada",IF(AND(F2149&lt;&gt;"",E2149=""),"Conversa sem agendamento",IF(OR(E2149&gt;TODAY(),F2149&gt;TODAY()),"Verificar evento futuro","OK"))))))))))</f>
        <v/>
      </c>
    </row>
    <row r="2150" spans="12:15">
      <c r="L2150" s="5">
        <f>IF(OR(A2150="",B2150=""),"",B2150-WEEKDAY(B2150,2)+1)</f>
        <v/>
      </c>
      <c r="M2150" s="5">
        <f>IF(L2150="","",L2150+6)</f>
        <v/>
      </c>
      <c r="N2150" s="6">
        <f>IF(OR(A2150="",B2150=""),"",DATE(YEAR(B2150),MONTH(B2150),1))</f>
        <v/>
      </c>
      <c r="O2150" s="7">
        <f>IF(COUNTA(A2150:K2150)=0,"",IF(OR(A2150="",B2150=""),"Preencher CPF e entrada",IF(COUNTIFS($A$12:$A$5011,A2150,$B$12:$B$5011,B2150)&gt;1,"CPF + dia duplicado",IF(OR(AND(G2150&lt;&gt;"",G2150&lt;&gt;0,G2150&lt;&gt;1),AND(H2150&lt;&gt;"",H2150&lt;&gt;0,H2150&lt;&gt;1)),"Flags devem ser 0 ou 1",IF(AND(H2150=1,LEN(TRIM(I2150))=0),"Preencher nome do indicante",IF(AND(H2150&lt;&gt;1,I2150&lt;&gt;""),"Nome sem indicação interna",IF(AND(G2150=1,F2150=""),"Fechamento sem conversa",IF(OR(AND(E2150&lt;&gt;"",E2150&lt;B2150),AND(F2150&lt;&gt;"",F2150&lt;B2150)),"Evento anterior à entrada",IF(AND(F2150&lt;&gt;"",E2150=""),"Conversa sem agendamento",IF(OR(E2150&gt;TODAY(),F2150&gt;TODAY()),"Verificar evento futuro","OK"))))))))))</f>
        <v/>
      </c>
    </row>
    <row r="2151" spans="12:15">
      <c r="L2151" s="5">
        <f>IF(OR(A2151="",B2151=""),"",B2151-WEEKDAY(B2151,2)+1)</f>
        <v/>
      </c>
      <c r="M2151" s="5">
        <f>IF(L2151="","",L2151+6)</f>
        <v/>
      </c>
      <c r="N2151" s="6">
        <f>IF(OR(A2151="",B2151=""),"",DATE(YEAR(B2151),MONTH(B2151),1))</f>
        <v/>
      </c>
      <c r="O2151" s="7">
        <f>IF(COUNTA(A2151:K2151)=0,"",IF(OR(A2151="",B2151=""),"Preencher CPF e entrada",IF(COUNTIFS($A$12:$A$5011,A2151,$B$12:$B$5011,B2151)&gt;1,"CPF + dia duplicado",IF(OR(AND(G2151&lt;&gt;"",G2151&lt;&gt;0,G2151&lt;&gt;1),AND(H2151&lt;&gt;"",H2151&lt;&gt;0,H2151&lt;&gt;1)),"Flags devem ser 0 ou 1",IF(AND(H2151=1,LEN(TRIM(I2151))=0),"Preencher nome do indicante",IF(AND(H2151&lt;&gt;1,I2151&lt;&gt;""),"Nome sem indicação interna",IF(AND(G2151=1,F2151=""),"Fechamento sem conversa",IF(OR(AND(E2151&lt;&gt;"",E2151&lt;B2151),AND(F2151&lt;&gt;"",F2151&lt;B2151)),"Evento anterior à entrada",IF(AND(F2151&lt;&gt;"",E2151=""),"Conversa sem agendamento",IF(OR(E2151&gt;TODAY(),F2151&gt;TODAY()),"Verificar evento futuro","OK"))))))))))</f>
        <v/>
      </c>
    </row>
    <row r="2152" spans="12:15">
      <c r="L2152" s="5">
        <f>IF(OR(A2152="",B2152=""),"",B2152-WEEKDAY(B2152,2)+1)</f>
        <v/>
      </c>
      <c r="M2152" s="5">
        <f>IF(L2152="","",L2152+6)</f>
        <v/>
      </c>
      <c r="N2152" s="6">
        <f>IF(OR(A2152="",B2152=""),"",DATE(YEAR(B2152),MONTH(B2152),1))</f>
        <v/>
      </c>
      <c r="O2152" s="7">
        <f>IF(COUNTA(A2152:K2152)=0,"",IF(OR(A2152="",B2152=""),"Preencher CPF e entrada",IF(COUNTIFS($A$12:$A$5011,A2152,$B$12:$B$5011,B2152)&gt;1,"CPF + dia duplicado",IF(OR(AND(G2152&lt;&gt;"",G2152&lt;&gt;0,G2152&lt;&gt;1),AND(H2152&lt;&gt;"",H2152&lt;&gt;0,H2152&lt;&gt;1)),"Flags devem ser 0 ou 1",IF(AND(H2152=1,LEN(TRIM(I2152))=0),"Preencher nome do indicante",IF(AND(H2152&lt;&gt;1,I2152&lt;&gt;""),"Nome sem indicação interna",IF(AND(G2152=1,F2152=""),"Fechamento sem conversa",IF(OR(AND(E2152&lt;&gt;"",E2152&lt;B2152),AND(F2152&lt;&gt;"",F2152&lt;B2152)),"Evento anterior à entrada",IF(AND(F2152&lt;&gt;"",E2152=""),"Conversa sem agendamento",IF(OR(E2152&gt;TODAY(),F2152&gt;TODAY()),"Verificar evento futuro","OK"))))))))))</f>
        <v/>
      </c>
    </row>
    <row r="2153" spans="12:15">
      <c r="L2153" s="5">
        <f>IF(OR(A2153="",B2153=""),"",B2153-WEEKDAY(B2153,2)+1)</f>
        <v/>
      </c>
      <c r="M2153" s="5">
        <f>IF(L2153="","",L2153+6)</f>
        <v/>
      </c>
      <c r="N2153" s="6">
        <f>IF(OR(A2153="",B2153=""),"",DATE(YEAR(B2153),MONTH(B2153),1))</f>
        <v/>
      </c>
      <c r="O2153" s="7">
        <f>IF(COUNTA(A2153:K2153)=0,"",IF(OR(A2153="",B2153=""),"Preencher CPF e entrada",IF(COUNTIFS($A$12:$A$5011,A2153,$B$12:$B$5011,B2153)&gt;1,"CPF + dia duplicado",IF(OR(AND(G2153&lt;&gt;"",G2153&lt;&gt;0,G2153&lt;&gt;1),AND(H2153&lt;&gt;"",H2153&lt;&gt;0,H2153&lt;&gt;1)),"Flags devem ser 0 ou 1",IF(AND(H2153=1,LEN(TRIM(I2153))=0),"Preencher nome do indicante",IF(AND(H2153&lt;&gt;1,I2153&lt;&gt;""),"Nome sem indicação interna",IF(AND(G2153=1,F2153=""),"Fechamento sem conversa",IF(OR(AND(E2153&lt;&gt;"",E2153&lt;B2153),AND(F2153&lt;&gt;"",F2153&lt;B2153)),"Evento anterior à entrada",IF(AND(F2153&lt;&gt;"",E2153=""),"Conversa sem agendamento",IF(OR(E2153&gt;TODAY(),F2153&gt;TODAY()),"Verificar evento futuro","OK"))))))))))</f>
        <v/>
      </c>
    </row>
    <row r="2154" spans="12:15">
      <c r="L2154" s="5">
        <f>IF(OR(A2154="",B2154=""),"",B2154-WEEKDAY(B2154,2)+1)</f>
        <v/>
      </c>
      <c r="M2154" s="5">
        <f>IF(L2154="","",L2154+6)</f>
        <v/>
      </c>
      <c r="N2154" s="6">
        <f>IF(OR(A2154="",B2154=""),"",DATE(YEAR(B2154),MONTH(B2154),1))</f>
        <v/>
      </c>
      <c r="O2154" s="7">
        <f>IF(COUNTA(A2154:K2154)=0,"",IF(OR(A2154="",B2154=""),"Preencher CPF e entrada",IF(COUNTIFS($A$12:$A$5011,A2154,$B$12:$B$5011,B2154)&gt;1,"CPF + dia duplicado",IF(OR(AND(G2154&lt;&gt;"",G2154&lt;&gt;0,G2154&lt;&gt;1),AND(H2154&lt;&gt;"",H2154&lt;&gt;0,H2154&lt;&gt;1)),"Flags devem ser 0 ou 1",IF(AND(H2154=1,LEN(TRIM(I2154))=0),"Preencher nome do indicante",IF(AND(H2154&lt;&gt;1,I2154&lt;&gt;""),"Nome sem indicação interna",IF(AND(G2154=1,F2154=""),"Fechamento sem conversa",IF(OR(AND(E2154&lt;&gt;"",E2154&lt;B2154),AND(F2154&lt;&gt;"",F2154&lt;B2154)),"Evento anterior à entrada",IF(AND(F2154&lt;&gt;"",E2154=""),"Conversa sem agendamento",IF(OR(E2154&gt;TODAY(),F2154&gt;TODAY()),"Verificar evento futuro","OK"))))))))))</f>
        <v/>
      </c>
    </row>
    <row r="2155" spans="12:15">
      <c r="L2155" s="5">
        <f>IF(OR(A2155="",B2155=""),"",B2155-WEEKDAY(B2155,2)+1)</f>
        <v/>
      </c>
      <c r="M2155" s="5">
        <f>IF(L2155="","",L2155+6)</f>
        <v/>
      </c>
      <c r="N2155" s="6">
        <f>IF(OR(A2155="",B2155=""),"",DATE(YEAR(B2155),MONTH(B2155),1))</f>
        <v/>
      </c>
      <c r="O2155" s="7">
        <f>IF(COUNTA(A2155:K2155)=0,"",IF(OR(A2155="",B2155=""),"Preencher CPF e entrada",IF(COUNTIFS($A$12:$A$5011,A2155,$B$12:$B$5011,B2155)&gt;1,"CPF + dia duplicado",IF(OR(AND(G2155&lt;&gt;"",G2155&lt;&gt;0,G2155&lt;&gt;1),AND(H2155&lt;&gt;"",H2155&lt;&gt;0,H2155&lt;&gt;1)),"Flags devem ser 0 ou 1",IF(AND(H2155=1,LEN(TRIM(I2155))=0),"Preencher nome do indicante",IF(AND(H2155&lt;&gt;1,I2155&lt;&gt;""),"Nome sem indicação interna",IF(AND(G2155=1,F2155=""),"Fechamento sem conversa",IF(OR(AND(E2155&lt;&gt;"",E2155&lt;B2155),AND(F2155&lt;&gt;"",F2155&lt;B2155)),"Evento anterior à entrada",IF(AND(F2155&lt;&gt;"",E2155=""),"Conversa sem agendamento",IF(OR(E2155&gt;TODAY(),F2155&gt;TODAY()),"Verificar evento futuro","OK"))))))))))</f>
        <v/>
      </c>
    </row>
    <row r="2156" spans="12:15">
      <c r="L2156" s="5">
        <f>IF(OR(A2156="",B2156=""),"",B2156-WEEKDAY(B2156,2)+1)</f>
        <v/>
      </c>
      <c r="M2156" s="5">
        <f>IF(L2156="","",L2156+6)</f>
        <v/>
      </c>
      <c r="N2156" s="6">
        <f>IF(OR(A2156="",B2156=""),"",DATE(YEAR(B2156),MONTH(B2156),1))</f>
        <v/>
      </c>
      <c r="O2156" s="7">
        <f>IF(COUNTA(A2156:K2156)=0,"",IF(OR(A2156="",B2156=""),"Preencher CPF e entrada",IF(COUNTIFS($A$12:$A$5011,A2156,$B$12:$B$5011,B2156)&gt;1,"CPF + dia duplicado",IF(OR(AND(G2156&lt;&gt;"",G2156&lt;&gt;0,G2156&lt;&gt;1),AND(H2156&lt;&gt;"",H2156&lt;&gt;0,H2156&lt;&gt;1)),"Flags devem ser 0 ou 1",IF(AND(H2156=1,LEN(TRIM(I2156))=0),"Preencher nome do indicante",IF(AND(H2156&lt;&gt;1,I2156&lt;&gt;""),"Nome sem indicação interna",IF(AND(G2156=1,F2156=""),"Fechamento sem conversa",IF(OR(AND(E2156&lt;&gt;"",E2156&lt;B2156),AND(F2156&lt;&gt;"",F2156&lt;B2156)),"Evento anterior à entrada",IF(AND(F2156&lt;&gt;"",E2156=""),"Conversa sem agendamento",IF(OR(E2156&gt;TODAY(),F2156&gt;TODAY()),"Verificar evento futuro","OK"))))))))))</f>
        <v/>
      </c>
    </row>
    <row r="2157" spans="12:15">
      <c r="L2157" s="5">
        <f>IF(OR(A2157="",B2157=""),"",B2157-WEEKDAY(B2157,2)+1)</f>
        <v/>
      </c>
      <c r="M2157" s="5">
        <f>IF(L2157="","",L2157+6)</f>
        <v/>
      </c>
      <c r="N2157" s="6">
        <f>IF(OR(A2157="",B2157=""),"",DATE(YEAR(B2157),MONTH(B2157),1))</f>
        <v/>
      </c>
      <c r="O2157" s="7">
        <f>IF(COUNTA(A2157:K2157)=0,"",IF(OR(A2157="",B2157=""),"Preencher CPF e entrada",IF(COUNTIFS($A$12:$A$5011,A2157,$B$12:$B$5011,B2157)&gt;1,"CPF + dia duplicado",IF(OR(AND(G2157&lt;&gt;"",G2157&lt;&gt;0,G2157&lt;&gt;1),AND(H2157&lt;&gt;"",H2157&lt;&gt;0,H2157&lt;&gt;1)),"Flags devem ser 0 ou 1",IF(AND(H2157=1,LEN(TRIM(I2157))=0),"Preencher nome do indicante",IF(AND(H2157&lt;&gt;1,I2157&lt;&gt;""),"Nome sem indicação interna",IF(AND(G2157=1,F2157=""),"Fechamento sem conversa",IF(OR(AND(E2157&lt;&gt;"",E2157&lt;B2157),AND(F2157&lt;&gt;"",F2157&lt;B2157)),"Evento anterior à entrada",IF(AND(F2157&lt;&gt;"",E2157=""),"Conversa sem agendamento",IF(OR(E2157&gt;TODAY(),F2157&gt;TODAY()),"Verificar evento futuro","OK"))))))))))</f>
        <v/>
      </c>
    </row>
    <row r="2158" spans="12:15">
      <c r="L2158" s="5">
        <f>IF(OR(A2158="",B2158=""),"",B2158-WEEKDAY(B2158,2)+1)</f>
        <v/>
      </c>
      <c r="M2158" s="5">
        <f>IF(L2158="","",L2158+6)</f>
        <v/>
      </c>
      <c r="N2158" s="6">
        <f>IF(OR(A2158="",B2158=""),"",DATE(YEAR(B2158),MONTH(B2158),1))</f>
        <v/>
      </c>
      <c r="O2158" s="7">
        <f>IF(COUNTA(A2158:K2158)=0,"",IF(OR(A2158="",B2158=""),"Preencher CPF e entrada",IF(COUNTIFS($A$12:$A$5011,A2158,$B$12:$B$5011,B2158)&gt;1,"CPF + dia duplicado",IF(OR(AND(G2158&lt;&gt;"",G2158&lt;&gt;0,G2158&lt;&gt;1),AND(H2158&lt;&gt;"",H2158&lt;&gt;0,H2158&lt;&gt;1)),"Flags devem ser 0 ou 1",IF(AND(H2158=1,LEN(TRIM(I2158))=0),"Preencher nome do indicante",IF(AND(H2158&lt;&gt;1,I2158&lt;&gt;""),"Nome sem indicação interna",IF(AND(G2158=1,F2158=""),"Fechamento sem conversa",IF(OR(AND(E2158&lt;&gt;"",E2158&lt;B2158),AND(F2158&lt;&gt;"",F2158&lt;B2158)),"Evento anterior à entrada",IF(AND(F2158&lt;&gt;"",E2158=""),"Conversa sem agendamento",IF(OR(E2158&gt;TODAY(),F2158&gt;TODAY()),"Verificar evento futuro","OK"))))))))))</f>
        <v/>
      </c>
    </row>
    <row r="2159" spans="12:15">
      <c r="L2159" s="5">
        <f>IF(OR(A2159="",B2159=""),"",B2159-WEEKDAY(B2159,2)+1)</f>
        <v/>
      </c>
      <c r="M2159" s="5">
        <f>IF(L2159="","",L2159+6)</f>
        <v/>
      </c>
      <c r="N2159" s="6">
        <f>IF(OR(A2159="",B2159=""),"",DATE(YEAR(B2159),MONTH(B2159),1))</f>
        <v/>
      </c>
      <c r="O2159" s="7">
        <f>IF(COUNTA(A2159:K2159)=0,"",IF(OR(A2159="",B2159=""),"Preencher CPF e entrada",IF(COUNTIFS($A$12:$A$5011,A2159,$B$12:$B$5011,B2159)&gt;1,"CPF + dia duplicado",IF(OR(AND(G2159&lt;&gt;"",G2159&lt;&gt;0,G2159&lt;&gt;1),AND(H2159&lt;&gt;"",H2159&lt;&gt;0,H2159&lt;&gt;1)),"Flags devem ser 0 ou 1",IF(AND(H2159=1,LEN(TRIM(I2159))=0),"Preencher nome do indicante",IF(AND(H2159&lt;&gt;1,I2159&lt;&gt;""),"Nome sem indicação interna",IF(AND(G2159=1,F2159=""),"Fechamento sem conversa",IF(OR(AND(E2159&lt;&gt;"",E2159&lt;B2159),AND(F2159&lt;&gt;"",F2159&lt;B2159)),"Evento anterior à entrada",IF(AND(F2159&lt;&gt;"",E2159=""),"Conversa sem agendamento",IF(OR(E2159&gt;TODAY(),F2159&gt;TODAY()),"Verificar evento futuro","OK"))))))))))</f>
        <v/>
      </c>
    </row>
    <row r="2160" spans="12:15">
      <c r="L2160" s="5">
        <f>IF(OR(A2160="",B2160=""),"",B2160-WEEKDAY(B2160,2)+1)</f>
        <v/>
      </c>
      <c r="M2160" s="5">
        <f>IF(L2160="","",L2160+6)</f>
        <v/>
      </c>
      <c r="N2160" s="6">
        <f>IF(OR(A2160="",B2160=""),"",DATE(YEAR(B2160),MONTH(B2160),1))</f>
        <v/>
      </c>
      <c r="O2160" s="7">
        <f>IF(COUNTA(A2160:K2160)=0,"",IF(OR(A2160="",B2160=""),"Preencher CPF e entrada",IF(COUNTIFS($A$12:$A$5011,A2160,$B$12:$B$5011,B2160)&gt;1,"CPF + dia duplicado",IF(OR(AND(G2160&lt;&gt;"",G2160&lt;&gt;0,G2160&lt;&gt;1),AND(H2160&lt;&gt;"",H2160&lt;&gt;0,H2160&lt;&gt;1)),"Flags devem ser 0 ou 1",IF(AND(H2160=1,LEN(TRIM(I2160))=0),"Preencher nome do indicante",IF(AND(H2160&lt;&gt;1,I2160&lt;&gt;""),"Nome sem indicação interna",IF(AND(G2160=1,F2160=""),"Fechamento sem conversa",IF(OR(AND(E2160&lt;&gt;"",E2160&lt;B2160),AND(F2160&lt;&gt;"",F2160&lt;B2160)),"Evento anterior à entrada",IF(AND(F2160&lt;&gt;"",E2160=""),"Conversa sem agendamento",IF(OR(E2160&gt;TODAY(),F2160&gt;TODAY()),"Verificar evento futuro","OK"))))))))))</f>
        <v/>
      </c>
    </row>
    <row r="2161" spans="12:15">
      <c r="L2161" s="5">
        <f>IF(OR(A2161="",B2161=""),"",B2161-WEEKDAY(B2161,2)+1)</f>
        <v/>
      </c>
      <c r="M2161" s="5">
        <f>IF(L2161="","",L2161+6)</f>
        <v/>
      </c>
      <c r="N2161" s="6">
        <f>IF(OR(A2161="",B2161=""),"",DATE(YEAR(B2161),MONTH(B2161),1))</f>
        <v/>
      </c>
      <c r="O2161" s="7">
        <f>IF(COUNTA(A2161:K2161)=0,"",IF(OR(A2161="",B2161=""),"Preencher CPF e entrada",IF(COUNTIFS($A$12:$A$5011,A2161,$B$12:$B$5011,B2161)&gt;1,"CPF + dia duplicado",IF(OR(AND(G2161&lt;&gt;"",G2161&lt;&gt;0,G2161&lt;&gt;1),AND(H2161&lt;&gt;"",H2161&lt;&gt;0,H2161&lt;&gt;1)),"Flags devem ser 0 ou 1",IF(AND(H2161=1,LEN(TRIM(I2161))=0),"Preencher nome do indicante",IF(AND(H2161&lt;&gt;1,I2161&lt;&gt;""),"Nome sem indicação interna",IF(AND(G2161=1,F2161=""),"Fechamento sem conversa",IF(OR(AND(E2161&lt;&gt;"",E2161&lt;B2161),AND(F2161&lt;&gt;"",F2161&lt;B2161)),"Evento anterior à entrada",IF(AND(F2161&lt;&gt;"",E2161=""),"Conversa sem agendamento",IF(OR(E2161&gt;TODAY(),F2161&gt;TODAY()),"Verificar evento futuro","OK"))))))))))</f>
        <v/>
      </c>
    </row>
    <row r="2162" spans="12:15">
      <c r="L2162" s="5">
        <f>IF(OR(A2162="",B2162=""),"",B2162-WEEKDAY(B2162,2)+1)</f>
        <v/>
      </c>
      <c r="M2162" s="5">
        <f>IF(L2162="","",L2162+6)</f>
        <v/>
      </c>
      <c r="N2162" s="6">
        <f>IF(OR(A2162="",B2162=""),"",DATE(YEAR(B2162),MONTH(B2162),1))</f>
        <v/>
      </c>
      <c r="O2162" s="7">
        <f>IF(COUNTA(A2162:K2162)=0,"",IF(OR(A2162="",B2162=""),"Preencher CPF e entrada",IF(COUNTIFS($A$12:$A$5011,A2162,$B$12:$B$5011,B2162)&gt;1,"CPF + dia duplicado",IF(OR(AND(G2162&lt;&gt;"",G2162&lt;&gt;0,G2162&lt;&gt;1),AND(H2162&lt;&gt;"",H2162&lt;&gt;0,H2162&lt;&gt;1)),"Flags devem ser 0 ou 1",IF(AND(H2162=1,LEN(TRIM(I2162))=0),"Preencher nome do indicante",IF(AND(H2162&lt;&gt;1,I2162&lt;&gt;""),"Nome sem indicação interna",IF(AND(G2162=1,F2162=""),"Fechamento sem conversa",IF(OR(AND(E2162&lt;&gt;"",E2162&lt;B2162),AND(F2162&lt;&gt;"",F2162&lt;B2162)),"Evento anterior à entrada",IF(AND(F2162&lt;&gt;"",E2162=""),"Conversa sem agendamento",IF(OR(E2162&gt;TODAY(),F2162&gt;TODAY()),"Verificar evento futuro","OK"))))))))))</f>
        <v/>
      </c>
    </row>
    <row r="2163" spans="12:15">
      <c r="L2163" s="5">
        <f>IF(OR(A2163="",B2163=""),"",B2163-WEEKDAY(B2163,2)+1)</f>
        <v/>
      </c>
      <c r="M2163" s="5">
        <f>IF(L2163="","",L2163+6)</f>
        <v/>
      </c>
      <c r="N2163" s="6">
        <f>IF(OR(A2163="",B2163=""),"",DATE(YEAR(B2163),MONTH(B2163),1))</f>
        <v/>
      </c>
      <c r="O2163" s="7">
        <f>IF(COUNTA(A2163:K2163)=0,"",IF(OR(A2163="",B2163=""),"Preencher CPF e entrada",IF(COUNTIFS($A$12:$A$5011,A2163,$B$12:$B$5011,B2163)&gt;1,"CPF + dia duplicado",IF(OR(AND(G2163&lt;&gt;"",G2163&lt;&gt;0,G2163&lt;&gt;1),AND(H2163&lt;&gt;"",H2163&lt;&gt;0,H2163&lt;&gt;1)),"Flags devem ser 0 ou 1",IF(AND(H2163=1,LEN(TRIM(I2163))=0),"Preencher nome do indicante",IF(AND(H2163&lt;&gt;1,I2163&lt;&gt;""),"Nome sem indicação interna",IF(AND(G2163=1,F2163=""),"Fechamento sem conversa",IF(OR(AND(E2163&lt;&gt;"",E2163&lt;B2163),AND(F2163&lt;&gt;"",F2163&lt;B2163)),"Evento anterior à entrada",IF(AND(F2163&lt;&gt;"",E2163=""),"Conversa sem agendamento",IF(OR(E2163&gt;TODAY(),F2163&gt;TODAY()),"Verificar evento futuro","OK"))))))))))</f>
        <v/>
      </c>
    </row>
    <row r="2164" spans="12:15">
      <c r="L2164" s="5">
        <f>IF(OR(A2164="",B2164=""),"",B2164-WEEKDAY(B2164,2)+1)</f>
        <v/>
      </c>
      <c r="M2164" s="5">
        <f>IF(L2164="","",L2164+6)</f>
        <v/>
      </c>
      <c r="N2164" s="6">
        <f>IF(OR(A2164="",B2164=""),"",DATE(YEAR(B2164),MONTH(B2164),1))</f>
        <v/>
      </c>
      <c r="O2164" s="7">
        <f>IF(COUNTA(A2164:K2164)=0,"",IF(OR(A2164="",B2164=""),"Preencher CPF e entrada",IF(COUNTIFS($A$12:$A$5011,A2164,$B$12:$B$5011,B2164)&gt;1,"CPF + dia duplicado",IF(OR(AND(G2164&lt;&gt;"",G2164&lt;&gt;0,G2164&lt;&gt;1),AND(H2164&lt;&gt;"",H2164&lt;&gt;0,H2164&lt;&gt;1)),"Flags devem ser 0 ou 1",IF(AND(H2164=1,LEN(TRIM(I2164))=0),"Preencher nome do indicante",IF(AND(H2164&lt;&gt;1,I2164&lt;&gt;""),"Nome sem indicação interna",IF(AND(G2164=1,F2164=""),"Fechamento sem conversa",IF(OR(AND(E2164&lt;&gt;"",E2164&lt;B2164),AND(F2164&lt;&gt;"",F2164&lt;B2164)),"Evento anterior à entrada",IF(AND(F2164&lt;&gt;"",E2164=""),"Conversa sem agendamento",IF(OR(E2164&gt;TODAY(),F2164&gt;TODAY()),"Verificar evento futuro","OK"))))))))))</f>
        <v/>
      </c>
    </row>
    <row r="2165" spans="12:15">
      <c r="L2165" s="5">
        <f>IF(OR(A2165="",B2165=""),"",B2165-WEEKDAY(B2165,2)+1)</f>
        <v/>
      </c>
      <c r="M2165" s="5">
        <f>IF(L2165="","",L2165+6)</f>
        <v/>
      </c>
      <c r="N2165" s="6">
        <f>IF(OR(A2165="",B2165=""),"",DATE(YEAR(B2165),MONTH(B2165),1))</f>
        <v/>
      </c>
      <c r="O2165" s="7">
        <f>IF(COUNTA(A2165:K2165)=0,"",IF(OR(A2165="",B2165=""),"Preencher CPF e entrada",IF(COUNTIFS($A$12:$A$5011,A2165,$B$12:$B$5011,B2165)&gt;1,"CPF + dia duplicado",IF(OR(AND(G2165&lt;&gt;"",G2165&lt;&gt;0,G2165&lt;&gt;1),AND(H2165&lt;&gt;"",H2165&lt;&gt;0,H2165&lt;&gt;1)),"Flags devem ser 0 ou 1",IF(AND(H2165=1,LEN(TRIM(I2165))=0),"Preencher nome do indicante",IF(AND(H2165&lt;&gt;1,I2165&lt;&gt;""),"Nome sem indicação interna",IF(AND(G2165=1,F2165=""),"Fechamento sem conversa",IF(OR(AND(E2165&lt;&gt;"",E2165&lt;B2165),AND(F2165&lt;&gt;"",F2165&lt;B2165)),"Evento anterior à entrada",IF(AND(F2165&lt;&gt;"",E2165=""),"Conversa sem agendamento",IF(OR(E2165&gt;TODAY(),F2165&gt;TODAY()),"Verificar evento futuro","OK"))))))))))</f>
        <v/>
      </c>
    </row>
    <row r="2166" spans="12:15">
      <c r="L2166" s="5">
        <f>IF(OR(A2166="",B2166=""),"",B2166-WEEKDAY(B2166,2)+1)</f>
        <v/>
      </c>
      <c r="M2166" s="5">
        <f>IF(L2166="","",L2166+6)</f>
        <v/>
      </c>
      <c r="N2166" s="6">
        <f>IF(OR(A2166="",B2166=""),"",DATE(YEAR(B2166),MONTH(B2166),1))</f>
        <v/>
      </c>
      <c r="O2166" s="7">
        <f>IF(COUNTA(A2166:K2166)=0,"",IF(OR(A2166="",B2166=""),"Preencher CPF e entrada",IF(COUNTIFS($A$12:$A$5011,A2166,$B$12:$B$5011,B2166)&gt;1,"CPF + dia duplicado",IF(OR(AND(G2166&lt;&gt;"",G2166&lt;&gt;0,G2166&lt;&gt;1),AND(H2166&lt;&gt;"",H2166&lt;&gt;0,H2166&lt;&gt;1)),"Flags devem ser 0 ou 1",IF(AND(H2166=1,LEN(TRIM(I2166))=0),"Preencher nome do indicante",IF(AND(H2166&lt;&gt;1,I2166&lt;&gt;""),"Nome sem indicação interna",IF(AND(G2166=1,F2166=""),"Fechamento sem conversa",IF(OR(AND(E2166&lt;&gt;"",E2166&lt;B2166),AND(F2166&lt;&gt;"",F2166&lt;B2166)),"Evento anterior à entrada",IF(AND(F2166&lt;&gt;"",E2166=""),"Conversa sem agendamento",IF(OR(E2166&gt;TODAY(),F2166&gt;TODAY()),"Verificar evento futuro","OK"))))))))))</f>
        <v/>
      </c>
    </row>
    <row r="2167" spans="12:15">
      <c r="L2167" s="5">
        <f>IF(OR(A2167="",B2167=""),"",B2167-WEEKDAY(B2167,2)+1)</f>
        <v/>
      </c>
      <c r="M2167" s="5">
        <f>IF(L2167="","",L2167+6)</f>
        <v/>
      </c>
      <c r="N2167" s="6">
        <f>IF(OR(A2167="",B2167=""),"",DATE(YEAR(B2167),MONTH(B2167),1))</f>
        <v/>
      </c>
      <c r="O2167" s="7">
        <f>IF(COUNTA(A2167:K2167)=0,"",IF(OR(A2167="",B2167=""),"Preencher CPF e entrada",IF(COUNTIFS($A$12:$A$5011,A2167,$B$12:$B$5011,B2167)&gt;1,"CPF + dia duplicado",IF(OR(AND(G2167&lt;&gt;"",G2167&lt;&gt;0,G2167&lt;&gt;1),AND(H2167&lt;&gt;"",H2167&lt;&gt;0,H2167&lt;&gt;1)),"Flags devem ser 0 ou 1",IF(AND(H2167=1,LEN(TRIM(I2167))=0),"Preencher nome do indicante",IF(AND(H2167&lt;&gt;1,I2167&lt;&gt;""),"Nome sem indicação interna",IF(AND(G2167=1,F2167=""),"Fechamento sem conversa",IF(OR(AND(E2167&lt;&gt;"",E2167&lt;B2167),AND(F2167&lt;&gt;"",F2167&lt;B2167)),"Evento anterior à entrada",IF(AND(F2167&lt;&gt;"",E2167=""),"Conversa sem agendamento",IF(OR(E2167&gt;TODAY(),F2167&gt;TODAY()),"Verificar evento futuro","OK"))))))))))</f>
        <v/>
      </c>
    </row>
    <row r="2168" spans="12:15">
      <c r="L2168" s="5">
        <f>IF(OR(A2168="",B2168=""),"",B2168-WEEKDAY(B2168,2)+1)</f>
        <v/>
      </c>
      <c r="M2168" s="5">
        <f>IF(L2168="","",L2168+6)</f>
        <v/>
      </c>
      <c r="N2168" s="6">
        <f>IF(OR(A2168="",B2168=""),"",DATE(YEAR(B2168),MONTH(B2168),1))</f>
        <v/>
      </c>
      <c r="O2168" s="7">
        <f>IF(COUNTA(A2168:K2168)=0,"",IF(OR(A2168="",B2168=""),"Preencher CPF e entrada",IF(COUNTIFS($A$12:$A$5011,A2168,$B$12:$B$5011,B2168)&gt;1,"CPF + dia duplicado",IF(OR(AND(G2168&lt;&gt;"",G2168&lt;&gt;0,G2168&lt;&gt;1),AND(H2168&lt;&gt;"",H2168&lt;&gt;0,H2168&lt;&gt;1)),"Flags devem ser 0 ou 1",IF(AND(H2168=1,LEN(TRIM(I2168))=0),"Preencher nome do indicante",IF(AND(H2168&lt;&gt;1,I2168&lt;&gt;""),"Nome sem indicação interna",IF(AND(G2168=1,F2168=""),"Fechamento sem conversa",IF(OR(AND(E2168&lt;&gt;"",E2168&lt;B2168),AND(F2168&lt;&gt;"",F2168&lt;B2168)),"Evento anterior à entrada",IF(AND(F2168&lt;&gt;"",E2168=""),"Conversa sem agendamento",IF(OR(E2168&gt;TODAY(),F2168&gt;TODAY()),"Verificar evento futuro","OK"))))))))))</f>
        <v/>
      </c>
    </row>
    <row r="2169" spans="12:15">
      <c r="L2169" s="5">
        <f>IF(OR(A2169="",B2169=""),"",B2169-WEEKDAY(B2169,2)+1)</f>
        <v/>
      </c>
      <c r="M2169" s="5">
        <f>IF(L2169="","",L2169+6)</f>
        <v/>
      </c>
      <c r="N2169" s="6">
        <f>IF(OR(A2169="",B2169=""),"",DATE(YEAR(B2169),MONTH(B2169),1))</f>
        <v/>
      </c>
      <c r="O2169" s="7">
        <f>IF(COUNTA(A2169:K2169)=0,"",IF(OR(A2169="",B2169=""),"Preencher CPF e entrada",IF(COUNTIFS($A$12:$A$5011,A2169,$B$12:$B$5011,B2169)&gt;1,"CPF + dia duplicado",IF(OR(AND(G2169&lt;&gt;"",G2169&lt;&gt;0,G2169&lt;&gt;1),AND(H2169&lt;&gt;"",H2169&lt;&gt;0,H2169&lt;&gt;1)),"Flags devem ser 0 ou 1",IF(AND(H2169=1,LEN(TRIM(I2169))=0),"Preencher nome do indicante",IF(AND(H2169&lt;&gt;1,I2169&lt;&gt;""),"Nome sem indicação interna",IF(AND(G2169=1,F2169=""),"Fechamento sem conversa",IF(OR(AND(E2169&lt;&gt;"",E2169&lt;B2169),AND(F2169&lt;&gt;"",F2169&lt;B2169)),"Evento anterior à entrada",IF(AND(F2169&lt;&gt;"",E2169=""),"Conversa sem agendamento",IF(OR(E2169&gt;TODAY(),F2169&gt;TODAY()),"Verificar evento futuro","OK"))))))))))</f>
        <v/>
      </c>
    </row>
    <row r="2170" spans="12:15">
      <c r="L2170" s="5">
        <f>IF(OR(A2170="",B2170=""),"",B2170-WEEKDAY(B2170,2)+1)</f>
        <v/>
      </c>
      <c r="M2170" s="5">
        <f>IF(L2170="","",L2170+6)</f>
        <v/>
      </c>
      <c r="N2170" s="6">
        <f>IF(OR(A2170="",B2170=""),"",DATE(YEAR(B2170),MONTH(B2170),1))</f>
        <v/>
      </c>
      <c r="O2170" s="7">
        <f>IF(COUNTA(A2170:K2170)=0,"",IF(OR(A2170="",B2170=""),"Preencher CPF e entrada",IF(COUNTIFS($A$12:$A$5011,A2170,$B$12:$B$5011,B2170)&gt;1,"CPF + dia duplicado",IF(OR(AND(G2170&lt;&gt;"",G2170&lt;&gt;0,G2170&lt;&gt;1),AND(H2170&lt;&gt;"",H2170&lt;&gt;0,H2170&lt;&gt;1)),"Flags devem ser 0 ou 1",IF(AND(H2170=1,LEN(TRIM(I2170))=0),"Preencher nome do indicante",IF(AND(H2170&lt;&gt;1,I2170&lt;&gt;""),"Nome sem indicação interna",IF(AND(G2170=1,F2170=""),"Fechamento sem conversa",IF(OR(AND(E2170&lt;&gt;"",E2170&lt;B2170),AND(F2170&lt;&gt;"",F2170&lt;B2170)),"Evento anterior à entrada",IF(AND(F2170&lt;&gt;"",E2170=""),"Conversa sem agendamento",IF(OR(E2170&gt;TODAY(),F2170&gt;TODAY()),"Verificar evento futuro","OK"))))))))))</f>
        <v/>
      </c>
    </row>
    <row r="2171" spans="12:15">
      <c r="L2171" s="5">
        <f>IF(OR(A2171="",B2171=""),"",B2171-WEEKDAY(B2171,2)+1)</f>
        <v/>
      </c>
      <c r="M2171" s="5">
        <f>IF(L2171="","",L2171+6)</f>
        <v/>
      </c>
      <c r="N2171" s="6">
        <f>IF(OR(A2171="",B2171=""),"",DATE(YEAR(B2171),MONTH(B2171),1))</f>
        <v/>
      </c>
      <c r="O2171" s="7">
        <f>IF(COUNTA(A2171:K2171)=0,"",IF(OR(A2171="",B2171=""),"Preencher CPF e entrada",IF(COUNTIFS($A$12:$A$5011,A2171,$B$12:$B$5011,B2171)&gt;1,"CPF + dia duplicado",IF(OR(AND(G2171&lt;&gt;"",G2171&lt;&gt;0,G2171&lt;&gt;1),AND(H2171&lt;&gt;"",H2171&lt;&gt;0,H2171&lt;&gt;1)),"Flags devem ser 0 ou 1",IF(AND(H2171=1,LEN(TRIM(I2171))=0),"Preencher nome do indicante",IF(AND(H2171&lt;&gt;1,I2171&lt;&gt;""),"Nome sem indicação interna",IF(AND(G2171=1,F2171=""),"Fechamento sem conversa",IF(OR(AND(E2171&lt;&gt;"",E2171&lt;B2171),AND(F2171&lt;&gt;"",F2171&lt;B2171)),"Evento anterior à entrada",IF(AND(F2171&lt;&gt;"",E2171=""),"Conversa sem agendamento",IF(OR(E2171&gt;TODAY(),F2171&gt;TODAY()),"Verificar evento futuro","OK"))))))))))</f>
        <v/>
      </c>
    </row>
    <row r="2172" spans="12:15">
      <c r="L2172" s="5">
        <f>IF(OR(A2172="",B2172=""),"",B2172-WEEKDAY(B2172,2)+1)</f>
        <v/>
      </c>
      <c r="M2172" s="5">
        <f>IF(L2172="","",L2172+6)</f>
        <v/>
      </c>
      <c r="N2172" s="6">
        <f>IF(OR(A2172="",B2172=""),"",DATE(YEAR(B2172),MONTH(B2172),1))</f>
        <v/>
      </c>
      <c r="O2172" s="7">
        <f>IF(COUNTA(A2172:K2172)=0,"",IF(OR(A2172="",B2172=""),"Preencher CPF e entrada",IF(COUNTIFS($A$12:$A$5011,A2172,$B$12:$B$5011,B2172)&gt;1,"CPF + dia duplicado",IF(OR(AND(G2172&lt;&gt;"",G2172&lt;&gt;0,G2172&lt;&gt;1),AND(H2172&lt;&gt;"",H2172&lt;&gt;0,H2172&lt;&gt;1)),"Flags devem ser 0 ou 1",IF(AND(H2172=1,LEN(TRIM(I2172))=0),"Preencher nome do indicante",IF(AND(H2172&lt;&gt;1,I2172&lt;&gt;""),"Nome sem indicação interna",IF(AND(G2172=1,F2172=""),"Fechamento sem conversa",IF(OR(AND(E2172&lt;&gt;"",E2172&lt;B2172),AND(F2172&lt;&gt;"",F2172&lt;B2172)),"Evento anterior à entrada",IF(AND(F2172&lt;&gt;"",E2172=""),"Conversa sem agendamento",IF(OR(E2172&gt;TODAY(),F2172&gt;TODAY()),"Verificar evento futuro","OK"))))))))))</f>
        <v/>
      </c>
    </row>
    <row r="2173" spans="12:15">
      <c r="L2173" s="5">
        <f>IF(OR(A2173="",B2173=""),"",B2173-WEEKDAY(B2173,2)+1)</f>
        <v/>
      </c>
      <c r="M2173" s="5">
        <f>IF(L2173="","",L2173+6)</f>
        <v/>
      </c>
      <c r="N2173" s="6">
        <f>IF(OR(A2173="",B2173=""),"",DATE(YEAR(B2173),MONTH(B2173),1))</f>
        <v/>
      </c>
      <c r="O2173" s="7">
        <f>IF(COUNTA(A2173:K2173)=0,"",IF(OR(A2173="",B2173=""),"Preencher CPF e entrada",IF(COUNTIFS($A$12:$A$5011,A2173,$B$12:$B$5011,B2173)&gt;1,"CPF + dia duplicado",IF(OR(AND(G2173&lt;&gt;"",G2173&lt;&gt;0,G2173&lt;&gt;1),AND(H2173&lt;&gt;"",H2173&lt;&gt;0,H2173&lt;&gt;1)),"Flags devem ser 0 ou 1",IF(AND(H2173=1,LEN(TRIM(I2173))=0),"Preencher nome do indicante",IF(AND(H2173&lt;&gt;1,I2173&lt;&gt;""),"Nome sem indicação interna",IF(AND(G2173=1,F2173=""),"Fechamento sem conversa",IF(OR(AND(E2173&lt;&gt;"",E2173&lt;B2173),AND(F2173&lt;&gt;"",F2173&lt;B2173)),"Evento anterior à entrada",IF(AND(F2173&lt;&gt;"",E2173=""),"Conversa sem agendamento",IF(OR(E2173&gt;TODAY(),F2173&gt;TODAY()),"Verificar evento futuro","OK"))))))))))</f>
        <v/>
      </c>
    </row>
    <row r="2174" spans="12:15">
      <c r="L2174" s="5">
        <f>IF(OR(A2174="",B2174=""),"",B2174-WEEKDAY(B2174,2)+1)</f>
        <v/>
      </c>
      <c r="M2174" s="5">
        <f>IF(L2174="","",L2174+6)</f>
        <v/>
      </c>
      <c r="N2174" s="6">
        <f>IF(OR(A2174="",B2174=""),"",DATE(YEAR(B2174),MONTH(B2174),1))</f>
        <v/>
      </c>
      <c r="O2174" s="7">
        <f>IF(COUNTA(A2174:K2174)=0,"",IF(OR(A2174="",B2174=""),"Preencher CPF e entrada",IF(COUNTIFS($A$12:$A$5011,A2174,$B$12:$B$5011,B2174)&gt;1,"CPF + dia duplicado",IF(OR(AND(G2174&lt;&gt;"",G2174&lt;&gt;0,G2174&lt;&gt;1),AND(H2174&lt;&gt;"",H2174&lt;&gt;0,H2174&lt;&gt;1)),"Flags devem ser 0 ou 1",IF(AND(H2174=1,LEN(TRIM(I2174))=0),"Preencher nome do indicante",IF(AND(H2174&lt;&gt;1,I2174&lt;&gt;""),"Nome sem indicação interna",IF(AND(G2174=1,F2174=""),"Fechamento sem conversa",IF(OR(AND(E2174&lt;&gt;"",E2174&lt;B2174),AND(F2174&lt;&gt;"",F2174&lt;B2174)),"Evento anterior à entrada",IF(AND(F2174&lt;&gt;"",E2174=""),"Conversa sem agendamento",IF(OR(E2174&gt;TODAY(),F2174&gt;TODAY()),"Verificar evento futuro","OK"))))))))))</f>
        <v/>
      </c>
    </row>
    <row r="2175" spans="12:15">
      <c r="L2175" s="5">
        <f>IF(OR(A2175="",B2175=""),"",B2175-WEEKDAY(B2175,2)+1)</f>
        <v/>
      </c>
      <c r="M2175" s="5">
        <f>IF(L2175="","",L2175+6)</f>
        <v/>
      </c>
      <c r="N2175" s="6">
        <f>IF(OR(A2175="",B2175=""),"",DATE(YEAR(B2175),MONTH(B2175),1))</f>
        <v/>
      </c>
      <c r="O2175" s="7">
        <f>IF(COUNTA(A2175:K2175)=0,"",IF(OR(A2175="",B2175=""),"Preencher CPF e entrada",IF(COUNTIFS($A$12:$A$5011,A2175,$B$12:$B$5011,B2175)&gt;1,"CPF + dia duplicado",IF(OR(AND(G2175&lt;&gt;"",G2175&lt;&gt;0,G2175&lt;&gt;1),AND(H2175&lt;&gt;"",H2175&lt;&gt;0,H2175&lt;&gt;1)),"Flags devem ser 0 ou 1",IF(AND(H2175=1,LEN(TRIM(I2175))=0),"Preencher nome do indicante",IF(AND(H2175&lt;&gt;1,I2175&lt;&gt;""),"Nome sem indicação interna",IF(AND(G2175=1,F2175=""),"Fechamento sem conversa",IF(OR(AND(E2175&lt;&gt;"",E2175&lt;B2175),AND(F2175&lt;&gt;"",F2175&lt;B2175)),"Evento anterior à entrada",IF(AND(F2175&lt;&gt;"",E2175=""),"Conversa sem agendamento",IF(OR(E2175&gt;TODAY(),F2175&gt;TODAY()),"Verificar evento futuro","OK"))))))))))</f>
        <v/>
      </c>
    </row>
    <row r="2176" spans="12:15">
      <c r="L2176" s="5">
        <f>IF(OR(A2176="",B2176=""),"",B2176-WEEKDAY(B2176,2)+1)</f>
        <v/>
      </c>
      <c r="M2176" s="5">
        <f>IF(L2176="","",L2176+6)</f>
        <v/>
      </c>
      <c r="N2176" s="6">
        <f>IF(OR(A2176="",B2176=""),"",DATE(YEAR(B2176),MONTH(B2176),1))</f>
        <v/>
      </c>
      <c r="O2176" s="7">
        <f>IF(COUNTA(A2176:K2176)=0,"",IF(OR(A2176="",B2176=""),"Preencher CPF e entrada",IF(COUNTIFS($A$12:$A$5011,A2176,$B$12:$B$5011,B2176)&gt;1,"CPF + dia duplicado",IF(OR(AND(G2176&lt;&gt;"",G2176&lt;&gt;0,G2176&lt;&gt;1),AND(H2176&lt;&gt;"",H2176&lt;&gt;0,H2176&lt;&gt;1)),"Flags devem ser 0 ou 1",IF(AND(H2176=1,LEN(TRIM(I2176))=0),"Preencher nome do indicante",IF(AND(H2176&lt;&gt;1,I2176&lt;&gt;""),"Nome sem indicação interna",IF(AND(G2176=1,F2176=""),"Fechamento sem conversa",IF(OR(AND(E2176&lt;&gt;"",E2176&lt;B2176),AND(F2176&lt;&gt;"",F2176&lt;B2176)),"Evento anterior à entrada",IF(AND(F2176&lt;&gt;"",E2176=""),"Conversa sem agendamento",IF(OR(E2176&gt;TODAY(),F2176&gt;TODAY()),"Verificar evento futuro","OK"))))))))))</f>
        <v/>
      </c>
    </row>
    <row r="2177" spans="12:15">
      <c r="L2177" s="5">
        <f>IF(OR(A2177="",B2177=""),"",B2177-WEEKDAY(B2177,2)+1)</f>
        <v/>
      </c>
      <c r="M2177" s="5">
        <f>IF(L2177="","",L2177+6)</f>
        <v/>
      </c>
      <c r="N2177" s="6">
        <f>IF(OR(A2177="",B2177=""),"",DATE(YEAR(B2177),MONTH(B2177),1))</f>
        <v/>
      </c>
      <c r="O2177" s="7">
        <f>IF(COUNTA(A2177:K2177)=0,"",IF(OR(A2177="",B2177=""),"Preencher CPF e entrada",IF(COUNTIFS($A$12:$A$5011,A2177,$B$12:$B$5011,B2177)&gt;1,"CPF + dia duplicado",IF(OR(AND(G2177&lt;&gt;"",G2177&lt;&gt;0,G2177&lt;&gt;1),AND(H2177&lt;&gt;"",H2177&lt;&gt;0,H2177&lt;&gt;1)),"Flags devem ser 0 ou 1",IF(AND(H2177=1,LEN(TRIM(I2177))=0),"Preencher nome do indicante",IF(AND(H2177&lt;&gt;1,I2177&lt;&gt;""),"Nome sem indicação interna",IF(AND(G2177=1,F2177=""),"Fechamento sem conversa",IF(OR(AND(E2177&lt;&gt;"",E2177&lt;B2177),AND(F2177&lt;&gt;"",F2177&lt;B2177)),"Evento anterior à entrada",IF(AND(F2177&lt;&gt;"",E2177=""),"Conversa sem agendamento",IF(OR(E2177&gt;TODAY(),F2177&gt;TODAY()),"Verificar evento futuro","OK"))))))))))</f>
        <v/>
      </c>
    </row>
    <row r="2178" spans="12:15">
      <c r="L2178" s="5">
        <f>IF(OR(A2178="",B2178=""),"",B2178-WEEKDAY(B2178,2)+1)</f>
        <v/>
      </c>
      <c r="M2178" s="5">
        <f>IF(L2178="","",L2178+6)</f>
        <v/>
      </c>
      <c r="N2178" s="6">
        <f>IF(OR(A2178="",B2178=""),"",DATE(YEAR(B2178),MONTH(B2178),1))</f>
        <v/>
      </c>
      <c r="O2178" s="7">
        <f>IF(COUNTA(A2178:K2178)=0,"",IF(OR(A2178="",B2178=""),"Preencher CPF e entrada",IF(COUNTIFS($A$12:$A$5011,A2178,$B$12:$B$5011,B2178)&gt;1,"CPF + dia duplicado",IF(OR(AND(G2178&lt;&gt;"",G2178&lt;&gt;0,G2178&lt;&gt;1),AND(H2178&lt;&gt;"",H2178&lt;&gt;0,H2178&lt;&gt;1)),"Flags devem ser 0 ou 1",IF(AND(H2178=1,LEN(TRIM(I2178))=0),"Preencher nome do indicante",IF(AND(H2178&lt;&gt;1,I2178&lt;&gt;""),"Nome sem indicação interna",IF(AND(G2178=1,F2178=""),"Fechamento sem conversa",IF(OR(AND(E2178&lt;&gt;"",E2178&lt;B2178),AND(F2178&lt;&gt;"",F2178&lt;B2178)),"Evento anterior à entrada",IF(AND(F2178&lt;&gt;"",E2178=""),"Conversa sem agendamento",IF(OR(E2178&gt;TODAY(),F2178&gt;TODAY()),"Verificar evento futuro","OK"))))))))))</f>
        <v/>
      </c>
    </row>
    <row r="2179" spans="12:15">
      <c r="L2179" s="5">
        <f>IF(OR(A2179="",B2179=""),"",B2179-WEEKDAY(B2179,2)+1)</f>
        <v/>
      </c>
      <c r="M2179" s="5">
        <f>IF(L2179="","",L2179+6)</f>
        <v/>
      </c>
      <c r="N2179" s="6">
        <f>IF(OR(A2179="",B2179=""),"",DATE(YEAR(B2179),MONTH(B2179),1))</f>
        <v/>
      </c>
      <c r="O2179" s="7">
        <f>IF(COUNTA(A2179:K2179)=0,"",IF(OR(A2179="",B2179=""),"Preencher CPF e entrada",IF(COUNTIFS($A$12:$A$5011,A2179,$B$12:$B$5011,B2179)&gt;1,"CPF + dia duplicado",IF(OR(AND(G2179&lt;&gt;"",G2179&lt;&gt;0,G2179&lt;&gt;1),AND(H2179&lt;&gt;"",H2179&lt;&gt;0,H2179&lt;&gt;1)),"Flags devem ser 0 ou 1",IF(AND(H2179=1,LEN(TRIM(I2179))=0),"Preencher nome do indicante",IF(AND(H2179&lt;&gt;1,I2179&lt;&gt;""),"Nome sem indicação interna",IF(AND(G2179=1,F2179=""),"Fechamento sem conversa",IF(OR(AND(E2179&lt;&gt;"",E2179&lt;B2179),AND(F2179&lt;&gt;"",F2179&lt;B2179)),"Evento anterior à entrada",IF(AND(F2179&lt;&gt;"",E2179=""),"Conversa sem agendamento",IF(OR(E2179&gt;TODAY(),F2179&gt;TODAY()),"Verificar evento futuro","OK"))))))))))</f>
        <v/>
      </c>
    </row>
    <row r="2180" spans="12:15">
      <c r="L2180" s="5">
        <f>IF(OR(A2180="",B2180=""),"",B2180-WEEKDAY(B2180,2)+1)</f>
        <v/>
      </c>
      <c r="M2180" s="5">
        <f>IF(L2180="","",L2180+6)</f>
        <v/>
      </c>
      <c r="N2180" s="6">
        <f>IF(OR(A2180="",B2180=""),"",DATE(YEAR(B2180),MONTH(B2180),1))</f>
        <v/>
      </c>
      <c r="O2180" s="7">
        <f>IF(COUNTA(A2180:K2180)=0,"",IF(OR(A2180="",B2180=""),"Preencher CPF e entrada",IF(COUNTIFS($A$12:$A$5011,A2180,$B$12:$B$5011,B2180)&gt;1,"CPF + dia duplicado",IF(OR(AND(G2180&lt;&gt;"",G2180&lt;&gt;0,G2180&lt;&gt;1),AND(H2180&lt;&gt;"",H2180&lt;&gt;0,H2180&lt;&gt;1)),"Flags devem ser 0 ou 1",IF(AND(H2180=1,LEN(TRIM(I2180))=0),"Preencher nome do indicante",IF(AND(H2180&lt;&gt;1,I2180&lt;&gt;""),"Nome sem indicação interna",IF(AND(G2180=1,F2180=""),"Fechamento sem conversa",IF(OR(AND(E2180&lt;&gt;"",E2180&lt;B2180),AND(F2180&lt;&gt;"",F2180&lt;B2180)),"Evento anterior à entrada",IF(AND(F2180&lt;&gt;"",E2180=""),"Conversa sem agendamento",IF(OR(E2180&gt;TODAY(),F2180&gt;TODAY()),"Verificar evento futuro","OK"))))))))))</f>
        <v/>
      </c>
    </row>
    <row r="2181" spans="12:15">
      <c r="L2181" s="5">
        <f>IF(OR(A2181="",B2181=""),"",B2181-WEEKDAY(B2181,2)+1)</f>
        <v/>
      </c>
      <c r="M2181" s="5">
        <f>IF(L2181="","",L2181+6)</f>
        <v/>
      </c>
      <c r="N2181" s="6">
        <f>IF(OR(A2181="",B2181=""),"",DATE(YEAR(B2181),MONTH(B2181),1))</f>
        <v/>
      </c>
      <c r="O2181" s="7">
        <f>IF(COUNTA(A2181:K2181)=0,"",IF(OR(A2181="",B2181=""),"Preencher CPF e entrada",IF(COUNTIFS($A$12:$A$5011,A2181,$B$12:$B$5011,B2181)&gt;1,"CPF + dia duplicado",IF(OR(AND(G2181&lt;&gt;"",G2181&lt;&gt;0,G2181&lt;&gt;1),AND(H2181&lt;&gt;"",H2181&lt;&gt;0,H2181&lt;&gt;1)),"Flags devem ser 0 ou 1",IF(AND(H2181=1,LEN(TRIM(I2181))=0),"Preencher nome do indicante",IF(AND(H2181&lt;&gt;1,I2181&lt;&gt;""),"Nome sem indicação interna",IF(AND(G2181=1,F2181=""),"Fechamento sem conversa",IF(OR(AND(E2181&lt;&gt;"",E2181&lt;B2181),AND(F2181&lt;&gt;"",F2181&lt;B2181)),"Evento anterior à entrada",IF(AND(F2181&lt;&gt;"",E2181=""),"Conversa sem agendamento",IF(OR(E2181&gt;TODAY(),F2181&gt;TODAY()),"Verificar evento futuro","OK"))))))))))</f>
        <v/>
      </c>
    </row>
    <row r="2182" spans="12:15">
      <c r="L2182" s="5">
        <f>IF(OR(A2182="",B2182=""),"",B2182-WEEKDAY(B2182,2)+1)</f>
        <v/>
      </c>
      <c r="M2182" s="5">
        <f>IF(L2182="","",L2182+6)</f>
        <v/>
      </c>
      <c r="N2182" s="6">
        <f>IF(OR(A2182="",B2182=""),"",DATE(YEAR(B2182),MONTH(B2182),1))</f>
        <v/>
      </c>
      <c r="O2182" s="7">
        <f>IF(COUNTA(A2182:K2182)=0,"",IF(OR(A2182="",B2182=""),"Preencher CPF e entrada",IF(COUNTIFS($A$12:$A$5011,A2182,$B$12:$B$5011,B2182)&gt;1,"CPF + dia duplicado",IF(OR(AND(G2182&lt;&gt;"",G2182&lt;&gt;0,G2182&lt;&gt;1),AND(H2182&lt;&gt;"",H2182&lt;&gt;0,H2182&lt;&gt;1)),"Flags devem ser 0 ou 1",IF(AND(H2182=1,LEN(TRIM(I2182))=0),"Preencher nome do indicante",IF(AND(H2182&lt;&gt;1,I2182&lt;&gt;""),"Nome sem indicação interna",IF(AND(G2182=1,F2182=""),"Fechamento sem conversa",IF(OR(AND(E2182&lt;&gt;"",E2182&lt;B2182),AND(F2182&lt;&gt;"",F2182&lt;B2182)),"Evento anterior à entrada",IF(AND(F2182&lt;&gt;"",E2182=""),"Conversa sem agendamento",IF(OR(E2182&gt;TODAY(),F2182&gt;TODAY()),"Verificar evento futuro","OK"))))))))))</f>
        <v/>
      </c>
    </row>
    <row r="2183" spans="12:15">
      <c r="L2183" s="5">
        <f>IF(OR(A2183="",B2183=""),"",B2183-WEEKDAY(B2183,2)+1)</f>
        <v/>
      </c>
      <c r="M2183" s="5">
        <f>IF(L2183="","",L2183+6)</f>
        <v/>
      </c>
      <c r="N2183" s="6">
        <f>IF(OR(A2183="",B2183=""),"",DATE(YEAR(B2183),MONTH(B2183),1))</f>
        <v/>
      </c>
      <c r="O2183" s="7">
        <f>IF(COUNTA(A2183:K2183)=0,"",IF(OR(A2183="",B2183=""),"Preencher CPF e entrada",IF(COUNTIFS($A$12:$A$5011,A2183,$B$12:$B$5011,B2183)&gt;1,"CPF + dia duplicado",IF(OR(AND(G2183&lt;&gt;"",G2183&lt;&gt;0,G2183&lt;&gt;1),AND(H2183&lt;&gt;"",H2183&lt;&gt;0,H2183&lt;&gt;1)),"Flags devem ser 0 ou 1",IF(AND(H2183=1,LEN(TRIM(I2183))=0),"Preencher nome do indicante",IF(AND(H2183&lt;&gt;1,I2183&lt;&gt;""),"Nome sem indicação interna",IF(AND(G2183=1,F2183=""),"Fechamento sem conversa",IF(OR(AND(E2183&lt;&gt;"",E2183&lt;B2183),AND(F2183&lt;&gt;"",F2183&lt;B2183)),"Evento anterior à entrada",IF(AND(F2183&lt;&gt;"",E2183=""),"Conversa sem agendamento",IF(OR(E2183&gt;TODAY(),F2183&gt;TODAY()),"Verificar evento futuro","OK"))))))))))</f>
        <v/>
      </c>
    </row>
    <row r="2184" spans="12:15">
      <c r="L2184" s="5">
        <f>IF(OR(A2184="",B2184=""),"",B2184-WEEKDAY(B2184,2)+1)</f>
        <v/>
      </c>
      <c r="M2184" s="5">
        <f>IF(L2184="","",L2184+6)</f>
        <v/>
      </c>
      <c r="N2184" s="6">
        <f>IF(OR(A2184="",B2184=""),"",DATE(YEAR(B2184),MONTH(B2184),1))</f>
        <v/>
      </c>
      <c r="O2184" s="7">
        <f>IF(COUNTA(A2184:K2184)=0,"",IF(OR(A2184="",B2184=""),"Preencher CPF e entrada",IF(COUNTIFS($A$12:$A$5011,A2184,$B$12:$B$5011,B2184)&gt;1,"CPF + dia duplicado",IF(OR(AND(G2184&lt;&gt;"",G2184&lt;&gt;0,G2184&lt;&gt;1),AND(H2184&lt;&gt;"",H2184&lt;&gt;0,H2184&lt;&gt;1)),"Flags devem ser 0 ou 1",IF(AND(H2184=1,LEN(TRIM(I2184))=0),"Preencher nome do indicante",IF(AND(H2184&lt;&gt;1,I2184&lt;&gt;""),"Nome sem indicação interna",IF(AND(G2184=1,F2184=""),"Fechamento sem conversa",IF(OR(AND(E2184&lt;&gt;"",E2184&lt;B2184),AND(F2184&lt;&gt;"",F2184&lt;B2184)),"Evento anterior à entrada",IF(AND(F2184&lt;&gt;"",E2184=""),"Conversa sem agendamento",IF(OR(E2184&gt;TODAY(),F2184&gt;TODAY()),"Verificar evento futuro","OK"))))))))))</f>
        <v/>
      </c>
    </row>
    <row r="2185" spans="12:15">
      <c r="L2185" s="5">
        <f>IF(OR(A2185="",B2185=""),"",B2185-WEEKDAY(B2185,2)+1)</f>
        <v/>
      </c>
      <c r="M2185" s="5">
        <f>IF(L2185="","",L2185+6)</f>
        <v/>
      </c>
      <c r="N2185" s="6">
        <f>IF(OR(A2185="",B2185=""),"",DATE(YEAR(B2185),MONTH(B2185),1))</f>
        <v/>
      </c>
      <c r="O2185" s="7">
        <f>IF(COUNTA(A2185:K2185)=0,"",IF(OR(A2185="",B2185=""),"Preencher CPF e entrada",IF(COUNTIFS($A$12:$A$5011,A2185,$B$12:$B$5011,B2185)&gt;1,"CPF + dia duplicado",IF(OR(AND(G2185&lt;&gt;"",G2185&lt;&gt;0,G2185&lt;&gt;1),AND(H2185&lt;&gt;"",H2185&lt;&gt;0,H2185&lt;&gt;1)),"Flags devem ser 0 ou 1",IF(AND(H2185=1,LEN(TRIM(I2185))=0),"Preencher nome do indicante",IF(AND(H2185&lt;&gt;1,I2185&lt;&gt;""),"Nome sem indicação interna",IF(AND(G2185=1,F2185=""),"Fechamento sem conversa",IF(OR(AND(E2185&lt;&gt;"",E2185&lt;B2185),AND(F2185&lt;&gt;"",F2185&lt;B2185)),"Evento anterior à entrada",IF(AND(F2185&lt;&gt;"",E2185=""),"Conversa sem agendamento",IF(OR(E2185&gt;TODAY(),F2185&gt;TODAY()),"Verificar evento futuro","OK"))))))))))</f>
        <v/>
      </c>
    </row>
    <row r="2186" spans="12:15">
      <c r="L2186" s="5">
        <f>IF(OR(A2186="",B2186=""),"",B2186-WEEKDAY(B2186,2)+1)</f>
        <v/>
      </c>
      <c r="M2186" s="5">
        <f>IF(L2186="","",L2186+6)</f>
        <v/>
      </c>
      <c r="N2186" s="6">
        <f>IF(OR(A2186="",B2186=""),"",DATE(YEAR(B2186),MONTH(B2186),1))</f>
        <v/>
      </c>
      <c r="O2186" s="7">
        <f>IF(COUNTA(A2186:K2186)=0,"",IF(OR(A2186="",B2186=""),"Preencher CPF e entrada",IF(COUNTIFS($A$12:$A$5011,A2186,$B$12:$B$5011,B2186)&gt;1,"CPF + dia duplicado",IF(OR(AND(G2186&lt;&gt;"",G2186&lt;&gt;0,G2186&lt;&gt;1),AND(H2186&lt;&gt;"",H2186&lt;&gt;0,H2186&lt;&gt;1)),"Flags devem ser 0 ou 1",IF(AND(H2186=1,LEN(TRIM(I2186))=0),"Preencher nome do indicante",IF(AND(H2186&lt;&gt;1,I2186&lt;&gt;""),"Nome sem indicação interna",IF(AND(G2186=1,F2186=""),"Fechamento sem conversa",IF(OR(AND(E2186&lt;&gt;"",E2186&lt;B2186),AND(F2186&lt;&gt;"",F2186&lt;B2186)),"Evento anterior à entrada",IF(AND(F2186&lt;&gt;"",E2186=""),"Conversa sem agendamento",IF(OR(E2186&gt;TODAY(),F2186&gt;TODAY()),"Verificar evento futuro","OK"))))))))))</f>
        <v/>
      </c>
    </row>
    <row r="2187" spans="12:15">
      <c r="L2187" s="5">
        <f>IF(OR(A2187="",B2187=""),"",B2187-WEEKDAY(B2187,2)+1)</f>
        <v/>
      </c>
      <c r="M2187" s="5">
        <f>IF(L2187="","",L2187+6)</f>
        <v/>
      </c>
      <c r="N2187" s="6">
        <f>IF(OR(A2187="",B2187=""),"",DATE(YEAR(B2187),MONTH(B2187),1))</f>
        <v/>
      </c>
      <c r="O2187" s="7">
        <f>IF(COUNTA(A2187:K2187)=0,"",IF(OR(A2187="",B2187=""),"Preencher CPF e entrada",IF(COUNTIFS($A$12:$A$5011,A2187,$B$12:$B$5011,B2187)&gt;1,"CPF + dia duplicado",IF(OR(AND(G2187&lt;&gt;"",G2187&lt;&gt;0,G2187&lt;&gt;1),AND(H2187&lt;&gt;"",H2187&lt;&gt;0,H2187&lt;&gt;1)),"Flags devem ser 0 ou 1",IF(AND(H2187=1,LEN(TRIM(I2187))=0),"Preencher nome do indicante",IF(AND(H2187&lt;&gt;1,I2187&lt;&gt;""),"Nome sem indicação interna",IF(AND(G2187=1,F2187=""),"Fechamento sem conversa",IF(OR(AND(E2187&lt;&gt;"",E2187&lt;B2187),AND(F2187&lt;&gt;"",F2187&lt;B2187)),"Evento anterior à entrada",IF(AND(F2187&lt;&gt;"",E2187=""),"Conversa sem agendamento",IF(OR(E2187&gt;TODAY(),F2187&gt;TODAY()),"Verificar evento futuro","OK"))))))))))</f>
        <v/>
      </c>
    </row>
    <row r="2188" spans="12:15">
      <c r="L2188" s="5">
        <f>IF(OR(A2188="",B2188=""),"",B2188-WEEKDAY(B2188,2)+1)</f>
        <v/>
      </c>
      <c r="M2188" s="5">
        <f>IF(L2188="","",L2188+6)</f>
        <v/>
      </c>
      <c r="N2188" s="6">
        <f>IF(OR(A2188="",B2188=""),"",DATE(YEAR(B2188),MONTH(B2188),1))</f>
        <v/>
      </c>
      <c r="O2188" s="7">
        <f>IF(COUNTA(A2188:K2188)=0,"",IF(OR(A2188="",B2188=""),"Preencher CPF e entrada",IF(COUNTIFS($A$12:$A$5011,A2188,$B$12:$B$5011,B2188)&gt;1,"CPF + dia duplicado",IF(OR(AND(G2188&lt;&gt;"",G2188&lt;&gt;0,G2188&lt;&gt;1),AND(H2188&lt;&gt;"",H2188&lt;&gt;0,H2188&lt;&gt;1)),"Flags devem ser 0 ou 1",IF(AND(H2188=1,LEN(TRIM(I2188))=0),"Preencher nome do indicante",IF(AND(H2188&lt;&gt;1,I2188&lt;&gt;""),"Nome sem indicação interna",IF(AND(G2188=1,F2188=""),"Fechamento sem conversa",IF(OR(AND(E2188&lt;&gt;"",E2188&lt;B2188),AND(F2188&lt;&gt;"",F2188&lt;B2188)),"Evento anterior à entrada",IF(AND(F2188&lt;&gt;"",E2188=""),"Conversa sem agendamento",IF(OR(E2188&gt;TODAY(),F2188&gt;TODAY()),"Verificar evento futuro","OK"))))))))))</f>
        <v/>
      </c>
    </row>
    <row r="2189" spans="12:15">
      <c r="L2189" s="5">
        <f>IF(OR(A2189="",B2189=""),"",B2189-WEEKDAY(B2189,2)+1)</f>
        <v/>
      </c>
      <c r="M2189" s="5">
        <f>IF(L2189="","",L2189+6)</f>
        <v/>
      </c>
      <c r="N2189" s="6">
        <f>IF(OR(A2189="",B2189=""),"",DATE(YEAR(B2189),MONTH(B2189),1))</f>
        <v/>
      </c>
      <c r="O2189" s="7">
        <f>IF(COUNTA(A2189:K2189)=0,"",IF(OR(A2189="",B2189=""),"Preencher CPF e entrada",IF(COUNTIFS($A$12:$A$5011,A2189,$B$12:$B$5011,B2189)&gt;1,"CPF + dia duplicado",IF(OR(AND(G2189&lt;&gt;"",G2189&lt;&gt;0,G2189&lt;&gt;1),AND(H2189&lt;&gt;"",H2189&lt;&gt;0,H2189&lt;&gt;1)),"Flags devem ser 0 ou 1",IF(AND(H2189=1,LEN(TRIM(I2189))=0),"Preencher nome do indicante",IF(AND(H2189&lt;&gt;1,I2189&lt;&gt;""),"Nome sem indicação interna",IF(AND(G2189=1,F2189=""),"Fechamento sem conversa",IF(OR(AND(E2189&lt;&gt;"",E2189&lt;B2189),AND(F2189&lt;&gt;"",F2189&lt;B2189)),"Evento anterior à entrada",IF(AND(F2189&lt;&gt;"",E2189=""),"Conversa sem agendamento",IF(OR(E2189&gt;TODAY(),F2189&gt;TODAY()),"Verificar evento futuro","OK"))))))))))</f>
        <v/>
      </c>
    </row>
    <row r="2190" spans="12:15">
      <c r="L2190" s="5">
        <f>IF(OR(A2190="",B2190=""),"",B2190-WEEKDAY(B2190,2)+1)</f>
        <v/>
      </c>
      <c r="M2190" s="5">
        <f>IF(L2190="","",L2190+6)</f>
        <v/>
      </c>
      <c r="N2190" s="6">
        <f>IF(OR(A2190="",B2190=""),"",DATE(YEAR(B2190),MONTH(B2190),1))</f>
        <v/>
      </c>
      <c r="O2190" s="7">
        <f>IF(COUNTA(A2190:K2190)=0,"",IF(OR(A2190="",B2190=""),"Preencher CPF e entrada",IF(COUNTIFS($A$12:$A$5011,A2190,$B$12:$B$5011,B2190)&gt;1,"CPF + dia duplicado",IF(OR(AND(G2190&lt;&gt;"",G2190&lt;&gt;0,G2190&lt;&gt;1),AND(H2190&lt;&gt;"",H2190&lt;&gt;0,H2190&lt;&gt;1)),"Flags devem ser 0 ou 1",IF(AND(H2190=1,LEN(TRIM(I2190))=0),"Preencher nome do indicante",IF(AND(H2190&lt;&gt;1,I2190&lt;&gt;""),"Nome sem indicação interna",IF(AND(G2190=1,F2190=""),"Fechamento sem conversa",IF(OR(AND(E2190&lt;&gt;"",E2190&lt;B2190),AND(F2190&lt;&gt;"",F2190&lt;B2190)),"Evento anterior à entrada",IF(AND(F2190&lt;&gt;"",E2190=""),"Conversa sem agendamento",IF(OR(E2190&gt;TODAY(),F2190&gt;TODAY()),"Verificar evento futuro","OK"))))))))))</f>
        <v/>
      </c>
    </row>
    <row r="2191" spans="12:15">
      <c r="L2191" s="5">
        <f>IF(OR(A2191="",B2191=""),"",B2191-WEEKDAY(B2191,2)+1)</f>
        <v/>
      </c>
      <c r="M2191" s="5">
        <f>IF(L2191="","",L2191+6)</f>
        <v/>
      </c>
      <c r="N2191" s="6">
        <f>IF(OR(A2191="",B2191=""),"",DATE(YEAR(B2191),MONTH(B2191),1))</f>
        <v/>
      </c>
      <c r="O2191" s="7">
        <f>IF(COUNTA(A2191:K2191)=0,"",IF(OR(A2191="",B2191=""),"Preencher CPF e entrada",IF(COUNTIFS($A$12:$A$5011,A2191,$B$12:$B$5011,B2191)&gt;1,"CPF + dia duplicado",IF(OR(AND(G2191&lt;&gt;"",G2191&lt;&gt;0,G2191&lt;&gt;1),AND(H2191&lt;&gt;"",H2191&lt;&gt;0,H2191&lt;&gt;1)),"Flags devem ser 0 ou 1",IF(AND(H2191=1,LEN(TRIM(I2191))=0),"Preencher nome do indicante",IF(AND(H2191&lt;&gt;1,I2191&lt;&gt;""),"Nome sem indicação interna",IF(AND(G2191=1,F2191=""),"Fechamento sem conversa",IF(OR(AND(E2191&lt;&gt;"",E2191&lt;B2191),AND(F2191&lt;&gt;"",F2191&lt;B2191)),"Evento anterior à entrada",IF(AND(F2191&lt;&gt;"",E2191=""),"Conversa sem agendamento",IF(OR(E2191&gt;TODAY(),F2191&gt;TODAY()),"Verificar evento futuro","OK"))))))))))</f>
        <v/>
      </c>
    </row>
    <row r="2192" spans="12:15">
      <c r="L2192" s="5">
        <f>IF(OR(A2192="",B2192=""),"",B2192-WEEKDAY(B2192,2)+1)</f>
        <v/>
      </c>
      <c r="M2192" s="5">
        <f>IF(L2192="","",L2192+6)</f>
        <v/>
      </c>
      <c r="N2192" s="6">
        <f>IF(OR(A2192="",B2192=""),"",DATE(YEAR(B2192),MONTH(B2192),1))</f>
        <v/>
      </c>
      <c r="O2192" s="7">
        <f>IF(COUNTA(A2192:K2192)=0,"",IF(OR(A2192="",B2192=""),"Preencher CPF e entrada",IF(COUNTIFS($A$12:$A$5011,A2192,$B$12:$B$5011,B2192)&gt;1,"CPF + dia duplicado",IF(OR(AND(G2192&lt;&gt;"",G2192&lt;&gt;0,G2192&lt;&gt;1),AND(H2192&lt;&gt;"",H2192&lt;&gt;0,H2192&lt;&gt;1)),"Flags devem ser 0 ou 1",IF(AND(H2192=1,LEN(TRIM(I2192))=0),"Preencher nome do indicante",IF(AND(H2192&lt;&gt;1,I2192&lt;&gt;""),"Nome sem indicação interna",IF(AND(G2192=1,F2192=""),"Fechamento sem conversa",IF(OR(AND(E2192&lt;&gt;"",E2192&lt;B2192),AND(F2192&lt;&gt;"",F2192&lt;B2192)),"Evento anterior à entrada",IF(AND(F2192&lt;&gt;"",E2192=""),"Conversa sem agendamento",IF(OR(E2192&gt;TODAY(),F2192&gt;TODAY()),"Verificar evento futuro","OK"))))))))))</f>
        <v/>
      </c>
    </row>
    <row r="2193" spans="12:15">
      <c r="L2193" s="5">
        <f>IF(OR(A2193="",B2193=""),"",B2193-WEEKDAY(B2193,2)+1)</f>
        <v/>
      </c>
      <c r="M2193" s="5">
        <f>IF(L2193="","",L2193+6)</f>
        <v/>
      </c>
      <c r="N2193" s="6">
        <f>IF(OR(A2193="",B2193=""),"",DATE(YEAR(B2193),MONTH(B2193),1))</f>
        <v/>
      </c>
      <c r="O2193" s="7">
        <f>IF(COUNTA(A2193:K2193)=0,"",IF(OR(A2193="",B2193=""),"Preencher CPF e entrada",IF(COUNTIFS($A$12:$A$5011,A2193,$B$12:$B$5011,B2193)&gt;1,"CPF + dia duplicado",IF(OR(AND(G2193&lt;&gt;"",G2193&lt;&gt;0,G2193&lt;&gt;1),AND(H2193&lt;&gt;"",H2193&lt;&gt;0,H2193&lt;&gt;1)),"Flags devem ser 0 ou 1",IF(AND(H2193=1,LEN(TRIM(I2193))=0),"Preencher nome do indicante",IF(AND(H2193&lt;&gt;1,I2193&lt;&gt;""),"Nome sem indicação interna",IF(AND(G2193=1,F2193=""),"Fechamento sem conversa",IF(OR(AND(E2193&lt;&gt;"",E2193&lt;B2193),AND(F2193&lt;&gt;"",F2193&lt;B2193)),"Evento anterior à entrada",IF(AND(F2193&lt;&gt;"",E2193=""),"Conversa sem agendamento",IF(OR(E2193&gt;TODAY(),F2193&gt;TODAY()),"Verificar evento futuro","OK"))))))))))</f>
        <v/>
      </c>
    </row>
    <row r="2194" spans="12:15">
      <c r="L2194" s="5">
        <f>IF(OR(A2194="",B2194=""),"",B2194-WEEKDAY(B2194,2)+1)</f>
        <v/>
      </c>
      <c r="M2194" s="5">
        <f>IF(L2194="","",L2194+6)</f>
        <v/>
      </c>
      <c r="N2194" s="6">
        <f>IF(OR(A2194="",B2194=""),"",DATE(YEAR(B2194),MONTH(B2194),1))</f>
        <v/>
      </c>
      <c r="O2194" s="7">
        <f>IF(COUNTA(A2194:K2194)=0,"",IF(OR(A2194="",B2194=""),"Preencher CPF e entrada",IF(COUNTIFS($A$12:$A$5011,A2194,$B$12:$B$5011,B2194)&gt;1,"CPF + dia duplicado",IF(OR(AND(G2194&lt;&gt;"",G2194&lt;&gt;0,G2194&lt;&gt;1),AND(H2194&lt;&gt;"",H2194&lt;&gt;0,H2194&lt;&gt;1)),"Flags devem ser 0 ou 1",IF(AND(H2194=1,LEN(TRIM(I2194))=0),"Preencher nome do indicante",IF(AND(H2194&lt;&gt;1,I2194&lt;&gt;""),"Nome sem indicação interna",IF(AND(G2194=1,F2194=""),"Fechamento sem conversa",IF(OR(AND(E2194&lt;&gt;"",E2194&lt;B2194),AND(F2194&lt;&gt;"",F2194&lt;B2194)),"Evento anterior à entrada",IF(AND(F2194&lt;&gt;"",E2194=""),"Conversa sem agendamento",IF(OR(E2194&gt;TODAY(),F2194&gt;TODAY()),"Verificar evento futuro","OK"))))))))))</f>
        <v/>
      </c>
    </row>
    <row r="2195" spans="12:15">
      <c r="L2195" s="5">
        <f>IF(OR(A2195="",B2195=""),"",B2195-WEEKDAY(B2195,2)+1)</f>
        <v/>
      </c>
      <c r="M2195" s="5">
        <f>IF(L2195="","",L2195+6)</f>
        <v/>
      </c>
      <c r="N2195" s="6">
        <f>IF(OR(A2195="",B2195=""),"",DATE(YEAR(B2195),MONTH(B2195),1))</f>
        <v/>
      </c>
      <c r="O2195" s="7">
        <f>IF(COUNTA(A2195:K2195)=0,"",IF(OR(A2195="",B2195=""),"Preencher CPF e entrada",IF(COUNTIFS($A$12:$A$5011,A2195,$B$12:$B$5011,B2195)&gt;1,"CPF + dia duplicado",IF(OR(AND(G2195&lt;&gt;"",G2195&lt;&gt;0,G2195&lt;&gt;1),AND(H2195&lt;&gt;"",H2195&lt;&gt;0,H2195&lt;&gt;1)),"Flags devem ser 0 ou 1",IF(AND(H2195=1,LEN(TRIM(I2195))=0),"Preencher nome do indicante",IF(AND(H2195&lt;&gt;1,I2195&lt;&gt;""),"Nome sem indicação interna",IF(AND(G2195=1,F2195=""),"Fechamento sem conversa",IF(OR(AND(E2195&lt;&gt;"",E2195&lt;B2195),AND(F2195&lt;&gt;"",F2195&lt;B2195)),"Evento anterior à entrada",IF(AND(F2195&lt;&gt;"",E2195=""),"Conversa sem agendamento",IF(OR(E2195&gt;TODAY(),F2195&gt;TODAY()),"Verificar evento futuro","OK"))))))))))</f>
        <v/>
      </c>
    </row>
    <row r="2196" spans="12:15">
      <c r="L2196" s="5">
        <f>IF(OR(A2196="",B2196=""),"",B2196-WEEKDAY(B2196,2)+1)</f>
        <v/>
      </c>
      <c r="M2196" s="5">
        <f>IF(L2196="","",L2196+6)</f>
        <v/>
      </c>
      <c r="N2196" s="6">
        <f>IF(OR(A2196="",B2196=""),"",DATE(YEAR(B2196),MONTH(B2196),1))</f>
        <v/>
      </c>
      <c r="O2196" s="7">
        <f>IF(COUNTA(A2196:K2196)=0,"",IF(OR(A2196="",B2196=""),"Preencher CPF e entrada",IF(COUNTIFS($A$12:$A$5011,A2196,$B$12:$B$5011,B2196)&gt;1,"CPF + dia duplicado",IF(OR(AND(G2196&lt;&gt;"",G2196&lt;&gt;0,G2196&lt;&gt;1),AND(H2196&lt;&gt;"",H2196&lt;&gt;0,H2196&lt;&gt;1)),"Flags devem ser 0 ou 1",IF(AND(H2196=1,LEN(TRIM(I2196))=0),"Preencher nome do indicante",IF(AND(H2196&lt;&gt;1,I2196&lt;&gt;""),"Nome sem indicação interna",IF(AND(G2196=1,F2196=""),"Fechamento sem conversa",IF(OR(AND(E2196&lt;&gt;"",E2196&lt;B2196),AND(F2196&lt;&gt;"",F2196&lt;B2196)),"Evento anterior à entrada",IF(AND(F2196&lt;&gt;"",E2196=""),"Conversa sem agendamento",IF(OR(E2196&gt;TODAY(),F2196&gt;TODAY()),"Verificar evento futuro","OK"))))))))))</f>
        <v/>
      </c>
    </row>
    <row r="2197" spans="12:15">
      <c r="L2197" s="5">
        <f>IF(OR(A2197="",B2197=""),"",B2197-WEEKDAY(B2197,2)+1)</f>
        <v/>
      </c>
      <c r="M2197" s="5">
        <f>IF(L2197="","",L2197+6)</f>
        <v/>
      </c>
      <c r="N2197" s="6">
        <f>IF(OR(A2197="",B2197=""),"",DATE(YEAR(B2197),MONTH(B2197),1))</f>
        <v/>
      </c>
      <c r="O2197" s="7">
        <f>IF(COUNTA(A2197:K2197)=0,"",IF(OR(A2197="",B2197=""),"Preencher CPF e entrada",IF(COUNTIFS($A$12:$A$5011,A2197,$B$12:$B$5011,B2197)&gt;1,"CPF + dia duplicado",IF(OR(AND(G2197&lt;&gt;"",G2197&lt;&gt;0,G2197&lt;&gt;1),AND(H2197&lt;&gt;"",H2197&lt;&gt;0,H2197&lt;&gt;1)),"Flags devem ser 0 ou 1",IF(AND(H2197=1,LEN(TRIM(I2197))=0),"Preencher nome do indicante",IF(AND(H2197&lt;&gt;1,I2197&lt;&gt;""),"Nome sem indicação interna",IF(AND(G2197=1,F2197=""),"Fechamento sem conversa",IF(OR(AND(E2197&lt;&gt;"",E2197&lt;B2197),AND(F2197&lt;&gt;"",F2197&lt;B2197)),"Evento anterior à entrada",IF(AND(F2197&lt;&gt;"",E2197=""),"Conversa sem agendamento",IF(OR(E2197&gt;TODAY(),F2197&gt;TODAY()),"Verificar evento futuro","OK"))))))))))</f>
        <v/>
      </c>
    </row>
    <row r="2198" spans="12:15">
      <c r="L2198" s="5">
        <f>IF(OR(A2198="",B2198=""),"",B2198-WEEKDAY(B2198,2)+1)</f>
        <v/>
      </c>
      <c r="M2198" s="5">
        <f>IF(L2198="","",L2198+6)</f>
        <v/>
      </c>
      <c r="N2198" s="6">
        <f>IF(OR(A2198="",B2198=""),"",DATE(YEAR(B2198),MONTH(B2198),1))</f>
        <v/>
      </c>
      <c r="O2198" s="7">
        <f>IF(COUNTA(A2198:K2198)=0,"",IF(OR(A2198="",B2198=""),"Preencher CPF e entrada",IF(COUNTIFS($A$12:$A$5011,A2198,$B$12:$B$5011,B2198)&gt;1,"CPF + dia duplicado",IF(OR(AND(G2198&lt;&gt;"",G2198&lt;&gt;0,G2198&lt;&gt;1),AND(H2198&lt;&gt;"",H2198&lt;&gt;0,H2198&lt;&gt;1)),"Flags devem ser 0 ou 1",IF(AND(H2198=1,LEN(TRIM(I2198))=0),"Preencher nome do indicante",IF(AND(H2198&lt;&gt;1,I2198&lt;&gt;""),"Nome sem indicação interna",IF(AND(G2198=1,F2198=""),"Fechamento sem conversa",IF(OR(AND(E2198&lt;&gt;"",E2198&lt;B2198),AND(F2198&lt;&gt;"",F2198&lt;B2198)),"Evento anterior à entrada",IF(AND(F2198&lt;&gt;"",E2198=""),"Conversa sem agendamento",IF(OR(E2198&gt;TODAY(),F2198&gt;TODAY()),"Verificar evento futuro","OK"))))))))))</f>
        <v/>
      </c>
    </row>
    <row r="2199" spans="12:15">
      <c r="L2199" s="5">
        <f>IF(OR(A2199="",B2199=""),"",B2199-WEEKDAY(B2199,2)+1)</f>
        <v/>
      </c>
      <c r="M2199" s="5">
        <f>IF(L2199="","",L2199+6)</f>
        <v/>
      </c>
      <c r="N2199" s="6">
        <f>IF(OR(A2199="",B2199=""),"",DATE(YEAR(B2199),MONTH(B2199),1))</f>
        <v/>
      </c>
      <c r="O2199" s="7">
        <f>IF(COUNTA(A2199:K2199)=0,"",IF(OR(A2199="",B2199=""),"Preencher CPF e entrada",IF(COUNTIFS($A$12:$A$5011,A2199,$B$12:$B$5011,B2199)&gt;1,"CPF + dia duplicado",IF(OR(AND(G2199&lt;&gt;"",G2199&lt;&gt;0,G2199&lt;&gt;1),AND(H2199&lt;&gt;"",H2199&lt;&gt;0,H2199&lt;&gt;1)),"Flags devem ser 0 ou 1",IF(AND(H2199=1,LEN(TRIM(I2199))=0),"Preencher nome do indicante",IF(AND(H2199&lt;&gt;1,I2199&lt;&gt;""),"Nome sem indicação interna",IF(AND(G2199=1,F2199=""),"Fechamento sem conversa",IF(OR(AND(E2199&lt;&gt;"",E2199&lt;B2199),AND(F2199&lt;&gt;"",F2199&lt;B2199)),"Evento anterior à entrada",IF(AND(F2199&lt;&gt;"",E2199=""),"Conversa sem agendamento",IF(OR(E2199&gt;TODAY(),F2199&gt;TODAY()),"Verificar evento futuro","OK"))))))))))</f>
        <v/>
      </c>
    </row>
    <row r="2200" spans="12:15">
      <c r="L2200" s="5">
        <f>IF(OR(A2200="",B2200=""),"",B2200-WEEKDAY(B2200,2)+1)</f>
        <v/>
      </c>
      <c r="M2200" s="5">
        <f>IF(L2200="","",L2200+6)</f>
        <v/>
      </c>
      <c r="N2200" s="6">
        <f>IF(OR(A2200="",B2200=""),"",DATE(YEAR(B2200),MONTH(B2200),1))</f>
        <v/>
      </c>
      <c r="O2200" s="7">
        <f>IF(COUNTA(A2200:K2200)=0,"",IF(OR(A2200="",B2200=""),"Preencher CPF e entrada",IF(COUNTIFS($A$12:$A$5011,A2200,$B$12:$B$5011,B2200)&gt;1,"CPF + dia duplicado",IF(OR(AND(G2200&lt;&gt;"",G2200&lt;&gt;0,G2200&lt;&gt;1),AND(H2200&lt;&gt;"",H2200&lt;&gt;0,H2200&lt;&gt;1)),"Flags devem ser 0 ou 1",IF(AND(H2200=1,LEN(TRIM(I2200))=0),"Preencher nome do indicante",IF(AND(H2200&lt;&gt;1,I2200&lt;&gt;""),"Nome sem indicação interna",IF(AND(G2200=1,F2200=""),"Fechamento sem conversa",IF(OR(AND(E2200&lt;&gt;"",E2200&lt;B2200),AND(F2200&lt;&gt;"",F2200&lt;B2200)),"Evento anterior à entrada",IF(AND(F2200&lt;&gt;"",E2200=""),"Conversa sem agendamento",IF(OR(E2200&gt;TODAY(),F2200&gt;TODAY()),"Verificar evento futuro","OK"))))))))))</f>
        <v/>
      </c>
    </row>
    <row r="2201" spans="12:15">
      <c r="L2201" s="5">
        <f>IF(OR(A2201="",B2201=""),"",B2201-WEEKDAY(B2201,2)+1)</f>
        <v/>
      </c>
      <c r="M2201" s="5">
        <f>IF(L2201="","",L2201+6)</f>
        <v/>
      </c>
      <c r="N2201" s="6">
        <f>IF(OR(A2201="",B2201=""),"",DATE(YEAR(B2201),MONTH(B2201),1))</f>
        <v/>
      </c>
      <c r="O2201" s="7">
        <f>IF(COUNTA(A2201:K2201)=0,"",IF(OR(A2201="",B2201=""),"Preencher CPF e entrada",IF(COUNTIFS($A$12:$A$5011,A2201,$B$12:$B$5011,B2201)&gt;1,"CPF + dia duplicado",IF(OR(AND(G2201&lt;&gt;"",G2201&lt;&gt;0,G2201&lt;&gt;1),AND(H2201&lt;&gt;"",H2201&lt;&gt;0,H2201&lt;&gt;1)),"Flags devem ser 0 ou 1",IF(AND(H2201=1,LEN(TRIM(I2201))=0),"Preencher nome do indicante",IF(AND(H2201&lt;&gt;1,I2201&lt;&gt;""),"Nome sem indicação interna",IF(AND(G2201=1,F2201=""),"Fechamento sem conversa",IF(OR(AND(E2201&lt;&gt;"",E2201&lt;B2201),AND(F2201&lt;&gt;"",F2201&lt;B2201)),"Evento anterior à entrada",IF(AND(F2201&lt;&gt;"",E2201=""),"Conversa sem agendamento",IF(OR(E2201&gt;TODAY(),F2201&gt;TODAY()),"Verificar evento futuro","OK"))))))))))</f>
        <v/>
      </c>
    </row>
    <row r="2202" spans="12:15">
      <c r="L2202" s="5">
        <f>IF(OR(A2202="",B2202=""),"",B2202-WEEKDAY(B2202,2)+1)</f>
        <v/>
      </c>
      <c r="M2202" s="5">
        <f>IF(L2202="","",L2202+6)</f>
        <v/>
      </c>
      <c r="N2202" s="6">
        <f>IF(OR(A2202="",B2202=""),"",DATE(YEAR(B2202),MONTH(B2202),1))</f>
        <v/>
      </c>
      <c r="O2202" s="7">
        <f>IF(COUNTA(A2202:K2202)=0,"",IF(OR(A2202="",B2202=""),"Preencher CPF e entrada",IF(COUNTIFS($A$12:$A$5011,A2202,$B$12:$B$5011,B2202)&gt;1,"CPF + dia duplicado",IF(OR(AND(G2202&lt;&gt;"",G2202&lt;&gt;0,G2202&lt;&gt;1),AND(H2202&lt;&gt;"",H2202&lt;&gt;0,H2202&lt;&gt;1)),"Flags devem ser 0 ou 1",IF(AND(H2202=1,LEN(TRIM(I2202))=0),"Preencher nome do indicante",IF(AND(H2202&lt;&gt;1,I2202&lt;&gt;""),"Nome sem indicação interna",IF(AND(G2202=1,F2202=""),"Fechamento sem conversa",IF(OR(AND(E2202&lt;&gt;"",E2202&lt;B2202),AND(F2202&lt;&gt;"",F2202&lt;B2202)),"Evento anterior à entrada",IF(AND(F2202&lt;&gt;"",E2202=""),"Conversa sem agendamento",IF(OR(E2202&gt;TODAY(),F2202&gt;TODAY()),"Verificar evento futuro","OK"))))))))))</f>
        <v/>
      </c>
    </row>
    <row r="2203" spans="12:15">
      <c r="L2203" s="5">
        <f>IF(OR(A2203="",B2203=""),"",B2203-WEEKDAY(B2203,2)+1)</f>
        <v/>
      </c>
      <c r="M2203" s="5">
        <f>IF(L2203="","",L2203+6)</f>
        <v/>
      </c>
      <c r="N2203" s="6">
        <f>IF(OR(A2203="",B2203=""),"",DATE(YEAR(B2203),MONTH(B2203),1))</f>
        <v/>
      </c>
      <c r="O2203" s="7">
        <f>IF(COUNTA(A2203:K2203)=0,"",IF(OR(A2203="",B2203=""),"Preencher CPF e entrada",IF(COUNTIFS($A$12:$A$5011,A2203,$B$12:$B$5011,B2203)&gt;1,"CPF + dia duplicado",IF(OR(AND(G2203&lt;&gt;"",G2203&lt;&gt;0,G2203&lt;&gt;1),AND(H2203&lt;&gt;"",H2203&lt;&gt;0,H2203&lt;&gt;1)),"Flags devem ser 0 ou 1",IF(AND(H2203=1,LEN(TRIM(I2203))=0),"Preencher nome do indicante",IF(AND(H2203&lt;&gt;1,I2203&lt;&gt;""),"Nome sem indicação interna",IF(AND(G2203=1,F2203=""),"Fechamento sem conversa",IF(OR(AND(E2203&lt;&gt;"",E2203&lt;B2203),AND(F2203&lt;&gt;"",F2203&lt;B2203)),"Evento anterior à entrada",IF(AND(F2203&lt;&gt;"",E2203=""),"Conversa sem agendamento",IF(OR(E2203&gt;TODAY(),F2203&gt;TODAY()),"Verificar evento futuro","OK"))))))))))</f>
        <v/>
      </c>
    </row>
    <row r="2204" spans="12:15">
      <c r="L2204" s="5">
        <f>IF(OR(A2204="",B2204=""),"",B2204-WEEKDAY(B2204,2)+1)</f>
        <v/>
      </c>
      <c r="M2204" s="5">
        <f>IF(L2204="","",L2204+6)</f>
        <v/>
      </c>
      <c r="N2204" s="6">
        <f>IF(OR(A2204="",B2204=""),"",DATE(YEAR(B2204),MONTH(B2204),1))</f>
        <v/>
      </c>
      <c r="O2204" s="7">
        <f>IF(COUNTA(A2204:K2204)=0,"",IF(OR(A2204="",B2204=""),"Preencher CPF e entrada",IF(COUNTIFS($A$12:$A$5011,A2204,$B$12:$B$5011,B2204)&gt;1,"CPF + dia duplicado",IF(OR(AND(G2204&lt;&gt;"",G2204&lt;&gt;0,G2204&lt;&gt;1),AND(H2204&lt;&gt;"",H2204&lt;&gt;0,H2204&lt;&gt;1)),"Flags devem ser 0 ou 1",IF(AND(H2204=1,LEN(TRIM(I2204))=0),"Preencher nome do indicante",IF(AND(H2204&lt;&gt;1,I2204&lt;&gt;""),"Nome sem indicação interna",IF(AND(G2204=1,F2204=""),"Fechamento sem conversa",IF(OR(AND(E2204&lt;&gt;"",E2204&lt;B2204),AND(F2204&lt;&gt;"",F2204&lt;B2204)),"Evento anterior à entrada",IF(AND(F2204&lt;&gt;"",E2204=""),"Conversa sem agendamento",IF(OR(E2204&gt;TODAY(),F2204&gt;TODAY()),"Verificar evento futuro","OK"))))))))))</f>
        <v/>
      </c>
    </row>
    <row r="2205" spans="12:15">
      <c r="L2205" s="5">
        <f>IF(OR(A2205="",B2205=""),"",B2205-WEEKDAY(B2205,2)+1)</f>
        <v/>
      </c>
      <c r="M2205" s="5">
        <f>IF(L2205="","",L2205+6)</f>
        <v/>
      </c>
      <c r="N2205" s="6">
        <f>IF(OR(A2205="",B2205=""),"",DATE(YEAR(B2205),MONTH(B2205),1))</f>
        <v/>
      </c>
      <c r="O2205" s="7">
        <f>IF(COUNTA(A2205:K2205)=0,"",IF(OR(A2205="",B2205=""),"Preencher CPF e entrada",IF(COUNTIFS($A$12:$A$5011,A2205,$B$12:$B$5011,B2205)&gt;1,"CPF + dia duplicado",IF(OR(AND(G2205&lt;&gt;"",G2205&lt;&gt;0,G2205&lt;&gt;1),AND(H2205&lt;&gt;"",H2205&lt;&gt;0,H2205&lt;&gt;1)),"Flags devem ser 0 ou 1",IF(AND(H2205=1,LEN(TRIM(I2205))=0),"Preencher nome do indicante",IF(AND(H2205&lt;&gt;1,I2205&lt;&gt;""),"Nome sem indicação interna",IF(AND(G2205=1,F2205=""),"Fechamento sem conversa",IF(OR(AND(E2205&lt;&gt;"",E2205&lt;B2205),AND(F2205&lt;&gt;"",F2205&lt;B2205)),"Evento anterior à entrada",IF(AND(F2205&lt;&gt;"",E2205=""),"Conversa sem agendamento",IF(OR(E2205&gt;TODAY(),F2205&gt;TODAY()),"Verificar evento futuro","OK"))))))))))</f>
        <v/>
      </c>
    </row>
    <row r="2206" spans="12:15">
      <c r="L2206" s="5">
        <f>IF(OR(A2206="",B2206=""),"",B2206-WEEKDAY(B2206,2)+1)</f>
        <v/>
      </c>
      <c r="M2206" s="5">
        <f>IF(L2206="","",L2206+6)</f>
        <v/>
      </c>
      <c r="N2206" s="6">
        <f>IF(OR(A2206="",B2206=""),"",DATE(YEAR(B2206),MONTH(B2206),1))</f>
        <v/>
      </c>
      <c r="O2206" s="7">
        <f>IF(COUNTA(A2206:K2206)=0,"",IF(OR(A2206="",B2206=""),"Preencher CPF e entrada",IF(COUNTIFS($A$12:$A$5011,A2206,$B$12:$B$5011,B2206)&gt;1,"CPF + dia duplicado",IF(OR(AND(G2206&lt;&gt;"",G2206&lt;&gt;0,G2206&lt;&gt;1),AND(H2206&lt;&gt;"",H2206&lt;&gt;0,H2206&lt;&gt;1)),"Flags devem ser 0 ou 1",IF(AND(H2206=1,LEN(TRIM(I2206))=0),"Preencher nome do indicante",IF(AND(H2206&lt;&gt;1,I2206&lt;&gt;""),"Nome sem indicação interna",IF(AND(G2206=1,F2206=""),"Fechamento sem conversa",IF(OR(AND(E2206&lt;&gt;"",E2206&lt;B2206),AND(F2206&lt;&gt;"",F2206&lt;B2206)),"Evento anterior à entrada",IF(AND(F2206&lt;&gt;"",E2206=""),"Conversa sem agendamento",IF(OR(E2206&gt;TODAY(),F2206&gt;TODAY()),"Verificar evento futuro","OK"))))))))))</f>
        <v/>
      </c>
    </row>
    <row r="2207" spans="12:15">
      <c r="L2207" s="5">
        <f>IF(OR(A2207="",B2207=""),"",B2207-WEEKDAY(B2207,2)+1)</f>
        <v/>
      </c>
      <c r="M2207" s="5">
        <f>IF(L2207="","",L2207+6)</f>
        <v/>
      </c>
      <c r="N2207" s="6">
        <f>IF(OR(A2207="",B2207=""),"",DATE(YEAR(B2207),MONTH(B2207),1))</f>
        <v/>
      </c>
      <c r="O2207" s="7">
        <f>IF(COUNTA(A2207:K2207)=0,"",IF(OR(A2207="",B2207=""),"Preencher CPF e entrada",IF(COUNTIFS($A$12:$A$5011,A2207,$B$12:$B$5011,B2207)&gt;1,"CPF + dia duplicado",IF(OR(AND(G2207&lt;&gt;"",G2207&lt;&gt;0,G2207&lt;&gt;1),AND(H2207&lt;&gt;"",H2207&lt;&gt;0,H2207&lt;&gt;1)),"Flags devem ser 0 ou 1",IF(AND(H2207=1,LEN(TRIM(I2207))=0),"Preencher nome do indicante",IF(AND(H2207&lt;&gt;1,I2207&lt;&gt;""),"Nome sem indicação interna",IF(AND(G2207=1,F2207=""),"Fechamento sem conversa",IF(OR(AND(E2207&lt;&gt;"",E2207&lt;B2207),AND(F2207&lt;&gt;"",F2207&lt;B2207)),"Evento anterior à entrada",IF(AND(F2207&lt;&gt;"",E2207=""),"Conversa sem agendamento",IF(OR(E2207&gt;TODAY(),F2207&gt;TODAY()),"Verificar evento futuro","OK"))))))))))</f>
        <v/>
      </c>
    </row>
    <row r="2208" spans="12:15">
      <c r="L2208" s="5">
        <f>IF(OR(A2208="",B2208=""),"",B2208-WEEKDAY(B2208,2)+1)</f>
        <v/>
      </c>
      <c r="M2208" s="5">
        <f>IF(L2208="","",L2208+6)</f>
        <v/>
      </c>
      <c r="N2208" s="6">
        <f>IF(OR(A2208="",B2208=""),"",DATE(YEAR(B2208),MONTH(B2208),1))</f>
        <v/>
      </c>
      <c r="O2208" s="7">
        <f>IF(COUNTA(A2208:K2208)=0,"",IF(OR(A2208="",B2208=""),"Preencher CPF e entrada",IF(COUNTIFS($A$12:$A$5011,A2208,$B$12:$B$5011,B2208)&gt;1,"CPF + dia duplicado",IF(OR(AND(G2208&lt;&gt;"",G2208&lt;&gt;0,G2208&lt;&gt;1),AND(H2208&lt;&gt;"",H2208&lt;&gt;0,H2208&lt;&gt;1)),"Flags devem ser 0 ou 1",IF(AND(H2208=1,LEN(TRIM(I2208))=0),"Preencher nome do indicante",IF(AND(H2208&lt;&gt;1,I2208&lt;&gt;""),"Nome sem indicação interna",IF(AND(G2208=1,F2208=""),"Fechamento sem conversa",IF(OR(AND(E2208&lt;&gt;"",E2208&lt;B2208),AND(F2208&lt;&gt;"",F2208&lt;B2208)),"Evento anterior à entrada",IF(AND(F2208&lt;&gt;"",E2208=""),"Conversa sem agendamento",IF(OR(E2208&gt;TODAY(),F2208&gt;TODAY()),"Verificar evento futuro","OK"))))))))))</f>
        <v/>
      </c>
    </row>
    <row r="2209" spans="12:15">
      <c r="L2209" s="5">
        <f>IF(OR(A2209="",B2209=""),"",B2209-WEEKDAY(B2209,2)+1)</f>
        <v/>
      </c>
      <c r="M2209" s="5">
        <f>IF(L2209="","",L2209+6)</f>
        <v/>
      </c>
      <c r="N2209" s="6">
        <f>IF(OR(A2209="",B2209=""),"",DATE(YEAR(B2209),MONTH(B2209),1))</f>
        <v/>
      </c>
      <c r="O2209" s="7">
        <f>IF(COUNTA(A2209:K2209)=0,"",IF(OR(A2209="",B2209=""),"Preencher CPF e entrada",IF(COUNTIFS($A$12:$A$5011,A2209,$B$12:$B$5011,B2209)&gt;1,"CPF + dia duplicado",IF(OR(AND(G2209&lt;&gt;"",G2209&lt;&gt;0,G2209&lt;&gt;1),AND(H2209&lt;&gt;"",H2209&lt;&gt;0,H2209&lt;&gt;1)),"Flags devem ser 0 ou 1",IF(AND(H2209=1,LEN(TRIM(I2209))=0),"Preencher nome do indicante",IF(AND(H2209&lt;&gt;1,I2209&lt;&gt;""),"Nome sem indicação interna",IF(AND(G2209=1,F2209=""),"Fechamento sem conversa",IF(OR(AND(E2209&lt;&gt;"",E2209&lt;B2209),AND(F2209&lt;&gt;"",F2209&lt;B2209)),"Evento anterior à entrada",IF(AND(F2209&lt;&gt;"",E2209=""),"Conversa sem agendamento",IF(OR(E2209&gt;TODAY(),F2209&gt;TODAY()),"Verificar evento futuro","OK"))))))))))</f>
        <v/>
      </c>
    </row>
    <row r="2210" spans="12:15">
      <c r="L2210" s="5">
        <f>IF(OR(A2210="",B2210=""),"",B2210-WEEKDAY(B2210,2)+1)</f>
        <v/>
      </c>
      <c r="M2210" s="5">
        <f>IF(L2210="","",L2210+6)</f>
        <v/>
      </c>
      <c r="N2210" s="6">
        <f>IF(OR(A2210="",B2210=""),"",DATE(YEAR(B2210),MONTH(B2210),1))</f>
        <v/>
      </c>
      <c r="O2210" s="7">
        <f>IF(COUNTA(A2210:K2210)=0,"",IF(OR(A2210="",B2210=""),"Preencher CPF e entrada",IF(COUNTIFS($A$12:$A$5011,A2210,$B$12:$B$5011,B2210)&gt;1,"CPF + dia duplicado",IF(OR(AND(G2210&lt;&gt;"",G2210&lt;&gt;0,G2210&lt;&gt;1),AND(H2210&lt;&gt;"",H2210&lt;&gt;0,H2210&lt;&gt;1)),"Flags devem ser 0 ou 1",IF(AND(H2210=1,LEN(TRIM(I2210))=0),"Preencher nome do indicante",IF(AND(H2210&lt;&gt;1,I2210&lt;&gt;""),"Nome sem indicação interna",IF(AND(G2210=1,F2210=""),"Fechamento sem conversa",IF(OR(AND(E2210&lt;&gt;"",E2210&lt;B2210),AND(F2210&lt;&gt;"",F2210&lt;B2210)),"Evento anterior à entrada",IF(AND(F2210&lt;&gt;"",E2210=""),"Conversa sem agendamento",IF(OR(E2210&gt;TODAY(),F2210&gt;TODAY()),"Verificar evento futuro","OK"))))))))))</f>
        <v/>
      </c>
    </row>
    <row r="2211" spans="12:15">
      <c r="L2211" s="5">
        <f>IF(OR(A2211="",B2211=""),"",B2211-WEEKDAY(B2211,2)+1)</f>
        <v/>
      </c>
      <c r="M2211" s="5">
        <f>IF(L2211="","",L2211+6)</f>
        <v/>
      </c>
      <c r="N2211" s="6">
        <f>IF(OR(A2211="",B2211=""),"",DATE(YEAR(B2211),MONTH(B2211),1))</f>
        <v/>
      </c>
      <c r="O2211" s="7">
        <f>IF(COUNTA(A2211:K2211)=0,"",IF(OR(A2211="",B2211=""),"Preencher CPF e entrada",IF(COUNTIFS($A$12:$A$5011,A2211,$B$12:$B$5011,B2211)&gt;1,"CPF + dia duplicado",IF(OR(AND(G2211&lt;&gt;"",G2211&lt;&gt;0,G2211&lt;&gt;1),AND(H2211&lt;&gt;"",H2211&lt;&gt;0,H2211&lt;&gt;1)),"Flags devem ser 0 ou 1",IF(AND(H2211=1,LEN(TRIM(I2211))=0),"Preencher nome do indicante",IF(AND(H2211&lt;&gt;1,I2211&lt;&gt;""),"Nome sem indicação interna",IF(AND(G2211=1,F2211=""),"Fechamento sem conversa",IF(OR(AND(E2211&lt;&gt;"",E2211&lt;B2211),AND(F2211&lt;&gt;"",F2211&lt;B2211)),"Evento anterior à entrada",IF(AND(F2211&lt;&gt;"",E2211=""),"Conversa sem agendamento",IF(OR(E2211&gt;TODAY(),F2211&gt;TODAY()),"Verificar evento futuro","OK"))))))))))</f>
        <v/>
      </c>
    </row>
    <row r="2212" spans="12:15">
      <c r="L2212" s="5">
        <f>IF(OR(A2212="",B2212=""),"",B2212-WEEKDAY(B2212,2)+1)</f>
        <v/>
      </c>
      <c r="M2212" s="5">
        <f>IF(L2212="","",L2212+6)</f>
        <v/>
      </c>
      <c r="N2212" s="6">
        <f>IF(OR(A2212="",B2212=""),"",DATE(YEAR(B2212),MONTH(B2212),1))</f>
        <v/>
      </c>
      <c r="O2212" s="7">
        <f>IF(COUNTA(A2212:K2212)=0,"",IF(OR(A2212="",B2212=""),"Preencher CPF e entrada",IF(COUNTIFS($A$12:$A$5011,A2212,$B$12:$B$5011,B2212)&gt;1,"CPF + dia duplicado",IF(OR(AND(G2212&lt;&gt;"",G2212&lt;&gt;0,G2212&lt;&gt;1),AND(H2212&lt;&gt;"",H2212&lt;&gt;0,H2212&lt;&gt;1)),"Flags devem ser 0 ou 1",IF(AND(H2212=1,LEN(TRIM(I2212))=0),"Preencher nome do indicante",IF(AND(H2212&lt;&gt;1,I2212&lt;&gt;""),"Nome sem indicação interna",IF(AND(G2212=1,F2212=""),"Fechamento sem conversa",IF(OR(AND(E2212&lt;&gt;"",E2212&lt;B2212),AND(F2212&lt;&gt;"",F2212&lt;B2212)),"Evento anterior à entrada",IF(AND(F2212&lt;&gt;"",E2212=""),"Conversa sem agendamento",IF(OR(E2212&gt;TODAY(),F2212&gt;TODAY()),"Verificar evento futuro","OK"))))))))))</f>
        <v/>
      </c>
    </row>
    <row r="2213" spans="12:15">
      <c r="L2213" s="5">
        <f>IF(OR(A2213="",B2213=""),"",B2213-WEEKDAY(B2213,2)+1)</f>
        <v/>
      </c>
      <c r="M2213" s="5">
        <f>IF(L2213="","",L2213+6)</f>
        <v/>
      </c>
      <c r="N2213" s="6">
        <f>IF(OR(A2213="",B2213=""),"",DATE(YEAR(B2213),MONTH(B2213),1))</f>
        <v/>
      </c>
      <c r="O2213" s="7">
        <f>IF(COUNTA(A2213:K2213)=0,"",IF(OR(A2213="",B2213=""),"Preencher CPF e entrada",IF(COUNTIFS($A$12:$A$5011,A2213,$B$12:$B$5011,B2213)&gt;1,"CPF + dia duplicado",IF(OR(AND(G2213&lt;&gt;"",G2213&lt;&gt;0,G2213&lt;&gt;1),AND(H2213&lt;&gt;"",H2213&lt;&gt;0,H2213&lt;&gt;1)),"Flags devem ser 0 ou 1",IF(AND(H2213=1,LEN(TRIM(I2213))=0),"Preencher nome do indicante",IF(AND(H2213&lt;&gt;1,I2213&lt;&gt;""),"Nome sem indicação interna",IF(AND(G2213=1,F2213=""),"Fechamento sem conversa",IF(OR(AND(E2213&lt;&gt;"",E2213&lt;B2213),AND(F2213&lt;&gt;"",F2213&lt;B2213)),"Evento anterior à entrada",IF(AND(F2213&lt;&gt;"",E2213=""),"Conversa sem agendamento",IF(OR(E2213&gt;TODAY(),F2213&gt;TODAY()),"Verificar evento futuro","OK"))))))))))</f>
        <v/>
      </c>
    </row>
    <row r="2214" spans="12:15">
      <c r="L2214" s="5">
        <f>IF(OR(A2214="",B2214=""),"",B2214-WEEKDAY(B2214,2)+1)</f>
        <v/>
      </c>
      <c r="M2214" s="5">
        <f>IF(L2214="","",L2214+6)</f>
        <v/>
      </c>
      <c r="N2214" s="6">
        <f>IF(OR(A2214="",B2214=""),"",DATE(YEAR(B2214),MONTH(B2214),1))</f>
        <v/>
      </c>
      <c r="O2214" s="7">
        <f>IF(COUNTA(A2214:K2214)=0,"",IF(OR(A2214="",B2214=""),"Preencher CPF e entrada",IF(COUNTIFS($A$12:$A$5011,A2214,$B$12:$B$5011,B2214)&gt;1,"CPF + dia duplicado",IF(OR(AND(G2214&lt;&gt;"",G2214&lt;&gt;0,G2214&lt;&gt;1),AND(H2214&lt;&gt;"",H2214&lt;&gt;0,H2214&lt;&gt;1)),"Flags devem ser 0 ou 1",IF(AND(H2214=1,LEN(TRIM(I2214))=0),"Preencher nome do indicante",IF(AND(H2214&lt;&gt;1,I2214&lt;&gt;""),"Nome sem indicação interna",IF(AND(G2214=1,F2214=""),"Fechamento sem conversa",IF(OR(AND(E2214&lt;&gt;"",E2214&lt;B2214),AND(F2214&lt;&gt;"",F2214&lt;B2214)),"Evento anterior à entrada",IF(AND(F2214&lt;&gt;"",E2214=""),"Conversa sem agendamento",IF(OR(E2214&gt;TODAY(),F2214&gt;TODAY()),"Verificar evento futuro","OK"))))))))))</f>
        <v/>
      </c>
    </row>
    <row r="2215" spans="12:15">
      <c r="L2215" s="5">
        <f>IF(OR(A2215="",B2215=""),"",B2215-WEEKDAY(B2215,2)+1)</f>
        <v/>
      </c>
      <c r="M2215" s="5">
        <f>IF(L2215="","",L2215+6)</f>
        <v/>
      </c>
      <c r="N2215" s="6">
        <f>IF(OR(A2215="",B2215=""),"",DATE(YEAR(B2215),MONTH(B2215),1))</f>
        <v/>
      </c>
      <c r="O2215" s="7">
        <f>IF(COUNTA(A2215:K2215)=0,"",IF(OR(A2215="",B2215=""),"Preencher CPF e entrada",IF(COUNTIFS($A$12:$A$5011,A2215,$B$12:$B$5011,B2215)&gt;1,"CPF + dia duplicado",IF(OR(AND(G2215&lt;&gt;"",G2215&lt;&gt;0,G2215&lt;&gt;1),AND(H2215&lt;&gt;"",H2215&lt;&gt;0,H2215&lt;&gt;1)),"Flags devem ser 0 ou 1",IF(AND(H2215=1,LEN(TRIM(I2215))=0),"Preencher nome do indicante",IF(AND(H2215&lt;&gt;1,I2215&lt;&gt;""),"Nome sem indicação interna",IF(AND(G2215=1,F2215=""),"Fechamento sem conversa",IF(OR(AND(E2215&lt;&gt;"",E2215&lt;B2215),AND(F2215&lt;&gt;"",F2215&lt;B2215)),"Evento anterior à entrada",IF(AND(F2215&lt;&gt;"",E2215=""),"Conversa sem agendamento",IF(OR(E2215&gt;TODAY(),F2215&gt;TODAY()),"Verificar evento futuro","OK"))))))))))</f>
        <v/>
      </c>
    </row>
    <row r="2216" spans="12:15">
      <c r="L2216" s="5">
        <f>IF(OR(A2216="",B2216=""),"",B2216-WEEKDAY(B2216,2)+1)</f>
        <v/>
      </c>
      <c r="M2216" s="5">
        <f>IF(L2216="","",L2216+6)</f>
        <v/>
      </c>
      <c r="N2216" s="6">
        <f>IF(OR(A2216="",B2216=""),"",DATE(YEAR(B2216),MONTH(B2216),1))</f>
        <v/>
      </c>
      <c r="O2216" s="7">
        <f>IF(COUNTA(A2216:K2216)=0,"",IF(OR(A2216="",B2216=""),"Preencher CPF e entrada",IF(COUNTIFS($A$12:$A$5011,A2216,$B$12:$B$5011,B2216)&gt;1,"CPF + dia duplicado",IF(OR(AND(G2216&lt;&gt;"",G2216&lt;&gt;0,G2216&lt;&gt;1),AND(H2216&lt;&gt;"",H2216&lt;&gt;0,H2216&lt;&gt;1)),"Flags devem ser 0 ou 1",IF(AND(H2216=1,LEN(TRIM(I2216))=0),"Preencher nome do indicante",IF(AND(H2216&lt;&gt;1,I2216&lt;&gt;""),"Nome sem indicação interna",IF(AND(G2216=1,F2216=""),"Fechamento sem conversa",IF(OR(AND(E2216&lt;&gt;"",E2216&lt;B2216),AND(F2216&lt;&gt;"",F2216&lt;B2216)),"Evento anterior à entrada",IF(AND(F2216&lt;&gt;"",E2216=""),"Conversa sem agendamento",IF(OR(E2216&gt;TODAY(),F2216&gt;TODAY()),"Verificar evento futuro","OK"))))))))))</f>
        <v/>
      </c>
    </row>
    <row r="2217" spans="12:15">
      <c r="L2217" s="5">
        <f>IF(OR(A2217="",B2217=""),"",B2217-WEEKDAY(B2217,2)+1)</f>
        <v/>
      </c>
      <c r="M2217" s="5">
        <f>IF(L2217="","",L2217+6)</f>
        <v/>
      </c>
      <c r="N2217" s="6">
        <f>IF(OR(A2217="",B2217=""),"",DATE(YEAR(B2217),MONTH(B2217),1))</f>
        <v/>
      </c>
      <c r="O2217" s="7">
        <f>IF(COUNTA(A2217:K2217)=0,"",IF(OR(A2217="",B2217=""),"Preencher CPF e entrada",IF(COUNTIFS($A$12:$A$5011,A2217,$B$12:$B$5011,B2217)&gt;1,"CPF + dia duplicado",IF(OR(AND(G2217&lt;&gt;"",G2217&lt;&gt;0,G2217&lt;&gt;1),AND(H2217&lt;&gt;"",H2217&lt;&gt;0,H2217&lt;&gt;1)),"Flags devem ser 0 ou 1",IF(AND(H2217=1,LEN(TRIM(I2217))=0),"Preencher nome do indicante",IF(AND(H2217&lt;&gt;1,I2217&lt;&gt;""),"Nome sem indicação interna",IF(AND(G2217=1,F2217=""),"Fechamento sem conversa",IF(OR(AND(E2217&lt;&gt;"",E2217&lt;B2217),AND(F2217&lt;&gt;"",F2217&lt;B2217)),"Evento anterior à entrada",IF(AND(F2217&lt;&gt;"",E2217=""),"Conversa sem agendamento",IF(OR(E2217&gt;TODAY(),F2217&gt;TODAY()),"Verificar evento futuro","OK"))))))))))</f>
        <v/>
      </c>
    </row>
    <row r="2218" spans="12:15">
      <c r="L2218" s="5">
        <f>IF(OR(A2218="",B2218=""),"",B2218-WEEKDAY(B2218,2)+1)</f>
        <v/>
      </c>
      <c r="M2218" s="5">
        <f>IF(L2218="","",L2218+6)</f>
        <v/>
      </c>
      <c r="N2218" s="6">
        <f>IF(OR(A2218="",B2218=""),"",DATE(YEAR(B2218),MONTH(B2218),1))</f>
        <v/>
      </c>
      <c r="O2218" s="7">
        <f>IF(COUNTA(A2218:K2218)=0,"",IF(OR(A2218="",B2218=""),"Preencher CPF e entrada",IF(COUNTIFS($A$12:$A$5011,A2218,$B$12:$B$5011,B2218)&gt;1,"CPF + dia duplicado",IF(OR(AND(G2218&lt;&gt;"",G2218&lt;&gt;0,G2218&lt;&gt;1),AND(H2218&lt;&gt;"",H2218&lt;&gt;0,H2218&lt;&gt;1)),"Flags devem ser 0 ou 1",IF(AND(H2218=1,LEN(TRIM(I2218))=0),"Preencher nome do indicante",IF(AND(H2218&lt;&gt;1,I2218&lt;&gt;""),"Nome sem indicação interna",IF(AND(G2218=1,F2218=""),"Fechamento sem conversa",IF(OR(AND(E2218&lt;&gt;"",E2218&lt;B2218),AND(F2218&lt;&gt;"",F2218&lt;B2218)),"Evento anterior à entrada",IF(AND(F2218&lt;&gt;"",E2218=""),"Conversa sem agendamento",IF(OR(E2218&gt;TODAY(),F2218&gt;TODAY()),"Verificar evento futuro","OK"))))))))))</f>
        <v/>
      </c>
    </row>
    <row r="2219" spans="12:15">
      <c r="L2219" s="5">
        <f>IF(OR(A2219="",B2219=""),"",B2219-WEEKDAY(B2219,2)+1)</f>
        <v/>
      </c>
      <c r="M2219" s="5">
        <f>IF(L2219="","",L2219+6)</f>
        <v/>
      </c>
      <c r="N2219" s="6">
        <f>IF(OR(A2219="",B2219=""),"",DATE(YEAR(B2219),MONTH(B2219),1))</f>
        <v/>
      </c>
      <c r="O2219" s="7">
        <f>IF(COUNTA(A2219:K2219)=0,"",IF(OR(A2219="",B2219=""),"Preencher CPF e entrada",IF(COUNTIFS($A$12:$A$5011,A2219,$B$12:$B$5011,B2219)&gt;1,"CPF + dia duplicado",IF(OR(AND(G2219&lt;&gt;"",G2219&lt;&gt;0,G2219&lt;&gt;1),AND(H2219&lt;&gt;"",H2219&lt;&gt;0,H2219&lt;&gt;1)),"Flags devem ser 0 ou 1",IF(AND(H2219=1,LEN(TRIM(I2219))=0),"Preencher nome do indicante",IF(AND(H2219&lt;&gt;1,I2219&lt;&gt;""),"Nome sem indicação interna",IF(AND(G2219=1,F2219=""),"Fechamento sem conversa",IF(OR(AND(E2219&lt;&gt;"",E2219&lt;B2219),AND(F2219&lt;&gt;"",F2219&lt;B2219)),"Evento anterior à entrada",IF(AND(F2219&lt;&gt;"",E2219=""),"Conversa sem agendamento",IF(OR(E2219&gt;TODAY(),F2219&gt;TODAY()),"Verificar evento futuro","OK"))))))))))</f>
        <v/>
      </c>
    </row>
    <row r="2220" spans="12:15">
      <c r="L2220" s="5">
        <f>IF(OR(A2220="",B2220=""),"",B2220-WEEKDAY(B2220,2)+1)</f>
        <v/>
      </c>
      <c r="M2220" s="5">
        <f>IF(L2220="","",L2220+6)</f>
        <v/>
      </c>
      <c r="N2220" s="6">
        <f>IF(OR(A2220="",B2220=""),"",DATE(YEAR(B2220),MONTH(B2220),1))</f>
        <v/>
      </c>
      <c r="O2220" s="7">
        <f>IF(COUNTA(A2220:K2220)=0,"",IF(OR(A2220="",B2220=""),"Preencher CPF e entrada",IF(COUNTIFS($A$12:$A$5011,A2220,$B$12:$B$5011,B2220)&gt;1,"CPF + dia duplicado",IF(OR(AND(G2220&lt;&gt;"",G2220&lt;&gt;0,G2220&lt;&gt;1),AND(H2220&lt;&gt;"",H2220&lt;&gt;0,H2220&lt;&gt;1)),"Flags devem ser 0 ou 1",IF(AND(H2220=1,LEN(TRIM(I2220))=0),"Preencher nome do indicante",IF(AND(H2220&lt;&gt;1,I2220&lt;&gt;""),"Nome sem indicação interna",IF(AND(G2220=1,F2220=""),"Fechamento sem conversa",IF(OR(AND(E2220&lt;&gt;"",E2220&lt;B2220),AND(F2220&lt;&gt;"",F2220&lt;B2220)),"Evento anterior à entrada",IF(AND(F2220&lt;&gt;"",E2220=""),"Conversa sem agendamento",IF(OR(E2220&gt;TODAY(),F2220&gt;TODAY()),"Verificar evento futuro","OK"))))))))))</f>
        <v/>
      </c>
    </row>
    <row r="2221" spans="12:15">
      <c r="L2221" s="5">
        <f>IF(OR(A2221="",B2221=""),"",B2221-WEEKDAY(B2221,2)+1)</f>
        <v/>
      </c>
      <c r="M2221" s="5">
        <f>IF(L2221="","",L2221+6)</f>
        <v/>
      </c>
      <c r="N2221" s="6">
        <f>IF(OR(A2221="",B2221=""),"",DATE(YEAR(B2221),MONTH(B2221),1))</f>
        <v/>
      </c>
      <c r="O2221" s="7">
        <f>IF(COUNTA(A2221:K2221)=0,"",IF(OR(A2221="",B2221=""),"Preencher CPF e entrada",IF(COUNTIFS($A$12:$A$5011,A2221,$B$12:$B$5011,B2221)&gt;1,"CPF + dia duplicado",IF(OR(AND(G2221&lt;&gt;"",G2221&lt;&gt;0,G2221&lt;&gt;1),AND(H2221&lt;&gt;"",H2221&lt;&gt;0,H2221&lt;&gt;1)),"Flags devem ser 0 ou 1",IF(AND(H2221=1,LEN(TRIM(I2221))=0),"Preencher nome do indicante",IF(AND(H2221&lt;&gt;1,I2221&lt;&gt;""),"Nome sem indicação interna",IF(AND(G2221=1,F2221=""),"Fechamento sem conversa",IF(OR(AND(E2221&lt;&gt;"",E2221&lt;B2221),AND(F2221&lt;&gt;"",F2221&lt;B2221)),"Evento anterior à entrada",IF(AND(F2221&lt;&gt;"",E2221=""),"Conversa sem agendamento",IF(OR(E2221&gt;TODAY(),F2221&gt;TODAY()),"Verificar evento futuro","OK"))))))))))</f>
        <v/>
      </c>
    </row>
    <row r="2222" spans="12:15">
      <c r="L2222" s="5">
        <f>IF(OR(A2222="",B2222=""),"",B2222-WEEKDAY(B2222,2)+1)</f>
        <v/>
      </c>
      <c r="M2222" s="5">
        <f>IF(L2222="","",L2222+6)</f>
        <v/>
      </c>
      <c r="N2222" s="6">
        <f>IF(OR(A2222="",B2222=""),"",DATE(YEAR(B2222),MONTH(B2222),1))</f>
        <v/>
      </c>
      <c r="O2222" s="7">
        <f>IF(COUNTA(A2222:K2222)=0,"",IF(OR(A2222="",B2222=""),"Preencher CPF e entrada",IF(COUNTIFS($A$12:$A$5011,A2222,$B$12:$B$5011,B2222)&gt;1,"CPF + dia duplicado",IF(OR(AND(G2222&lt;&gt;"",G2222&lt;&gt;0,G2222&lt;&gt;1),AND(H2222&lt;&gt;"",H2222&lt;&gt;0,H2222&lt;&gt;1)),"Flags devem ser 0 ou 1",IF(AND(H2222=1,LEN(TRIM(I2222))=0),"Preencher nome do indicante",IF(AND(H2222&lt;&gt;1,I2222&lt;&gt;""),"Nome sem indicação interna",IF(AND(G2222=1,F2222=""),"Fechamento sem conversa",IF(OR(AND(E2222&lt;&gt;"",E2222&lt;B2222),AND(F2222&lt;&gt;"",F2222&lt;B2222)),"Evento anterior à entrada",IF(AND(F2222&lt;&gt;"",E2222=""),"Conversa sem agendamento",IF(OR(E2222&gt;TODAY(),F2222&gt;TODAY()),"Verificar evento futuro","OK"))))))))))</f>
        <v/>
      </c>
    </row>
    <row r="2223" spans="12:15">
      <c r="L2223" s="5">
        <f>IF(OR(A2223="",B2223=""),"",B2223-WEEKDAY(B2223,2)+1)</f>
        <v/>
      </c>
      <c r="M2223" s="5">
        <f>IF(L2223="","",L2223+6)</f>
        <v/>
      </c>
      <c r="N2223" s="6">
        <f>IF(OR(A2223="",B2223=""),"",DATE(YEAR(B2223),MONTH(B2223),1))</f>
        <v/>
      </c>
      <c r="O2223" s="7">
        <f>IF(COUNTA(A2223:K2223)=0,"",IF(OR(A2223="",B2223=""),"Preencher CPF e entrada",IF(COUNTIFS($A$12:$A$5011,A2223,$B$12:$B$5011,B2223)&gt;1,"CPF + dia duplicado",IF(OR(AND(G2223&lt;&gt;"",G2223&lt;&gt;0,G2223&lt;&gt;1),AND(H2223&lt;&gt;"",H2223&lt;&gt;0,H2223&lt;&gt;1)),"Flags devem ser 0 ou 1",IF(AND(H2223=1,LEN(TRIM(I2223))=0),"Preencher nome do indicante",IF(AND(H2223&lt;&gt;1,I2223&lt;&gt;""),"Nome sem indicação interna",IF(AND(G2223=1,F2223=""),"Fechamento sem conversa",IF(OR(AND(E2223&lt;&gt;"",E2223&lt;B2223),AND(F2223&lt;&gt;"",F2223&lt;B2223)),"Evento anterior à entrada",IF(AND(F2223&lt;&gt;"",E2223=""),"Conversa sem agendamento",IF(OR(E2223&gt;TODAY(),F2223&gt;TODAY()),"Verificar evento futuro","OK"))))))))))</f>
        <v/>
      </c>
    </row>
    <row r="2224" spans="12:15">
      <c r="L2224" s="5">
        <f>IF(OR(A2224="",B2224=""),"",B2224-WEEKDAY(B2224,2)+1)</f>
        <v/>
      </c>
      <c r="M2224" s="5">
        <f>IF(L2224="","",L2224+6)</f>
        <v/>
      </c>
      <c r="N2224" s="6">
        <f>IF(OR(A2224="",B2224=""),"",DATE(YEAR(B2224),MONTH(B2224),1))</f>
        <v/>
      </c>
      <c r="O2224" s="7">
        <f>IF(COUNTA(A2224:K2224)=0,"",IF(OR(A2224="",B2224=""),"Preencher CPF e entrada",IF(COUNTIFS($A$12:$A$5011,A2224,$B$12:$B$5011,B2224)&gt;1,"CPF + dia duplicado",IF(OR(AND(G2224&lt;&gt;"",G2224&lt;&gt;0,G2224&lt;&gt;1),AND(H2224&lt;&gt;"",H2224&lt;&gt;0,H2224&lt;&gt;1)),"Flags devem ser 0 ou 1",IF(AND(H2224=1,LEN(TRIM(I2224))=0),"Preencher nome do indicante",IF(AND(H2224&lt;&gt;1,I2224&lt;&gt;""),"Nome sem indicação interna",IF(AND(G2224=1,F2224=""),"Fechamento sem conversa",IF(OR(AND(E2224&lt;&gt;"",E2224&lt;B2224),AND(F2224&lt;&gt;"",F2224&lt;B2224)),"Evento anterior à entrada",IF(AND(F2224&lt;&gt;"",E2224=""),"Conversa sem agendamento",IF(OR(E2224&gt;TODAY(),F2224&gt;TODAY()),"Verificar evento futuro","OK"))))))))))</f>
        <v/>
      </c>
    </row>
    <row r="2225" spans="12:15">
      <c r="L2225" s="5">
        <f>IF(OR(A2225="",B2225=""),"",B2225-WEEKDAY(B2225,2)+1)</f>
        <v/>
      </c>
      <c r="M2225" s="5">
        <f>IF(L2225="","",L2225+6)</f>
        <v/>
      </c>
      <c r="N2225" s="6">
        <f>IF(OR(A2225="",B2225=""),"",DATE(YEAR(B2225),MONTH(B2225),1))</f>
        <v/>
      </c>
      <c r="O2225" s="7">
        <f>IF(COUNTA(A2225:K2225)=0,"",IF(OR(A2225="",B2225=""),"Preencher CPF e entrada",IF(COUNTIFS($A$12:$A$5011,A2225,$B$12:$B$5011,B2225)&gt;1,"CPF + dia duplicado",IF(OR(AND(G2225&lt;&gt;"",G2225&lt;&gt;0,G2225&lt;&gt;1),AND(H2225&lt;&gt;"",H2225&lt;&gt;0,H2225&lt;&gt;1)),"Flags devem ser 0 ou 1",IF(AND(H2225=1,LEN(TRIM(I2225))=0),"Preencher nome do indicante",IF(AND(H2225&lt;&gt;1,I2225&lt;&gt;""),"Nome sem indicação interna",IF(AND(G2225=1,F2225=""),"Fechamento sem conversa",IF(OR(AND(E2225&lt;&gt;"",E2225&lt;B2225),AND(F2225&lt;&gt;"",F2225&lt;B2225)),"Evento anterior à entrada",IF(AND(F2225&lt;&gt;"",E2225=""),"Conversa sem agendamento",IF(OR(E2225&gt;TODAY(),F2225&gt;TODAY()),"Verificar evento futuro","OK"))))))))))</f>
        <v/>
      </c>
    </row>
    <row r="2226" spans="12:15">
      <c r="L2226" s="5">
        <f>IF(OR(A2226="",B2226=""),"",B2226-WEEKDAY(B2226,2)+1)</f>
        <v/>
      </c>
      <c r="M2226" s="5">
        <f>IF(L2226="","",L2226+6)</f>
        <v/>
      </c>
      <c r="N2226" s="6">
        <f>IF(OR(A2226="",B2226=""),"",DATE(YEAR(B2226),MONTH(B2226),1))</f>
        <v/>
      </c>
      <c r="O2226" s="7">
        <f>IF(COUNTA(A2226:K2226)=0,"",IF(OR(A2226="",B2226=""),"Preencher CPF e entrada",IF(COUNTIFS($A$12:$A$5011,A2226,$B$12:$B$5011,B2226)&gt;1,"CPF + dia duplicado",IF(OR(AND(G2226&lt;&gt;"",G2226&lt;&gt;0,G2226&lt;&gt;1),AND(H2226&lt;&gt;"",H2226&lt;&gt;0,H2226&lt;&gt;1)),"Flags devem ser 0 ou 1",IF(AND(H2226=1,LEN(TRIM(I2226))=0),"Preencher nome do indicante",IF(AND(H2226&lt;&gt;1,I2226&lt;&gt;""),"Nome sem indicação interna",IF(AND(G2226=1,F2226=""),"Fechamento sem conversa",IF(OR(AND(E2226&lt;&gt;"",E2226&lt;B2226),AND(F2226&lt;&gt;"",F2226&lt;B2226)),"Evento anterior à entrada",IF(AND(F2226&lt;&gt;"",E2226=""),"Conversa sem agendamento",IF(OR(E2226&gt;TODAY(),F2226&gt;TODAY()),"Verificar evento futuro","OK"))))))))))</f>
        <v/>
      </c>
    </row>
    <row r="2227" spans="12:15">
      <c r="L2227" s="5">
        <f>IF(OR(A2227="",B2227=""),"",B2227-WEEKDAY(B2227,2)+1)</f>
        <v/>
      </c>
      <c r="M2227" s="5">
        <f>IF(L2227="","",L2227+6)</f>
        <v/>
      </c>
      <c r="N2227" s="6">
        <f>IF(OR(A2227="",B2227=""),"",DATE(YEAR(B2227),MONTH(B2227),1))</f>
        <v/>
      </c>
      <c r="O2227" s="7">
        <f>IF(COUNTA(A2227:K2227)=0,"",IF(OR(A2227="",B2227=""),"Preencher CPF e entrada",IF(COUNTIFS($A$12:$A$5011,A2227,$B$12:$B$5011,B2227)&gt;1,"CPF + dia duplicado",IF(OR(AND(G2227&lt;&gt;"",G2227&lt;&gt;0,G2227&lt;&gt;1),AND(H2227&lt;&gt;"",H2227&lt;&gt;0,H2227&lt;&gt;1)),"Flags devem ser 0 ou 1",IF(AND(H2227=1,LEN(TRIM(I2227))=0),"Preencher nome do indicante",IF(AND(H2227&lt;&gt;1,I2227&lt;&gt;""),"Nome sem indicação interna",IF(AND(G2227=1,F2227=""),"Fechamento sem conversa",IF(OR(AND(E2227&lt;&gt;"",E2227&lt;B2227),AND(F2227&lt;&gt;"",F2227&lt;B2227)),"Evento anterior à entrada",IF(AND(F2227&lt;&gt;"",E2227=""),"Conversa sem agendamento",IF(OR(E2227&gt;TODAY(),F2227&gt;TODAY()),"Verificar evento futuro","OK"))))))))))</f>
        <v/>
      </c>
    </row>
    <row r="2228" spans="12:15">
      <c r="L2228" s="5">
        <f>IF(OR(A2228="",B2228=""),"",B2228-WEEKDAY(B2228,2)+1)</f>
        <v/>
      </c>
      <c r="M2228" s="5">
        <f>IF(L2228="","",L2228+6)</f>
        <v/>
      </c>
      <c r="N2228" s="6">
        <f>IF(OR(A2228="",B2228=""),"",DATE(YEAR(B2228),MONTH(B2228),1))</f>
        <v/>
      </c>
      <c r="O2228" s="7">
        <f>IF(COUNTA(A2228:K2228)=0,"",IF(OR(A2228="",B2228=""),"Preencher CPF e entrada",IF(COUNTIFS($A$12:$A$5011,A2228,$B$12:$B$5011,B2228)&gt;1,"CPF + dia duplicado",IF(OR(AND(G2228&lt;&gt;"",G2228&lt;&gt;0,G2228&lt;&gt;1),AND(H2228&lt;&gt;"",H2228&lt;&gt;0,H2228&lt;&gt;1)),"Flags devem ser 0 ou 1",IF(AND(H2228=1,LEN(TRIM(I2228))=0),"Preencher nome do indicante",IF(AND(H2228&lt;&gt;1,I2228&lt;&gt;""),"Nome sem indicação interna",IF(AND(G2228=1,F2228=""),"Fechamento sem conversa",IF(OR(AND(E2228&lt;&gt;"",E2228&lt;B2228),AND(F2228&lt;&gt;"",F2228&lt;B2228)),"Evento anterior à entrada",IF(AND(F2228&lt;&gt;"",E2228=""),"Conversa sem agendamento",IF(OR(E2228&gt;TODAY(),F2228&gt;TODAY()),"Verificar evento futuro","OK"))))))))))</f>
        <v/>
      </c>
    </row>
    <row r="2229" spans="12:15">
      <c r="L2229" s="5">
        <f>IF(OR(A2229="",B2229=""),"",B2229-WEEKDAY(B2229,2)+1)</f>
        <v/>
      </c>
      <c r="M2229" s="5">
        <f>IF(L2229="","",L2229+6)</f>
        <v/>
      </c>
      <c r="N2229" s="6">
        <f>IF(OR(A2229="",B2229=""),"",DATE(YEAR(B2229),MONTH(B2229),1))</f>
        <v/>
      </c>
      <c r="O2229" s="7">
        <f>IF(COUNTA(A2229:K2229)=0,"",IF(OR(A2229="",B2229=""),"Preencher CPF e entrada",IF(COUNTIFS($A$12:$A$5011,A2229,$B$12:$B$5011,B2229)&gt;1,"CPF + dia duplicado",IF(OR(AND(G2229&lt;&gt;"",G2229&lt;&gt;0,G2229&lt;&gt;1),AND(H2229&lt;&gt;"",H2229&lt;&gt;0,H2229&lt;&gt;1)),"Flags devem ser 0 ou 1",IF(AND(H2229=1,LEN(TRIM(I2229))=0),"Preencher nome do indicante",IF(AND(H2229&lt;&gt;1,I2229&lt;&gt;""),"Nome sem indicação interna",IF(AND(G2229=1,F2229=""),"Fechamento sem conversa",IF(OR(AND(E2229&lt;&gt;"",E2229&lt;B2229),AND(F2229&lt;&gt;"",F2229&lt;B2229)),"Evento anterior à entrada",IF(AND(F2229&lt;&gt;"",E2229=""),"Conversa sem agendamento",IF(OR(E2229&gt;TODAY(),F2229&gt;TODAY()),"Verificar evento futuro","OK"))))))))))</f>
        <v/>
      </c>
    </row>
    <row r="2230" spans="12:15">
      <c r="L2230" s="5">
        <f>IF(OR(A2230="",B2230=""),"",B2230-WEEKDAY(B2230,2)+1)</f>
        <v/>
      </c>
      <c r="M2230" s="5">
        <f>IF(L2230="","",L2230+6)</f>
        <v/>
      </c>
      <c r="N2230" s="6">
        <f>IF(OR(A2230="",B2230=""),"",DATE(YEAR(B2230),MONTH(B2230),1))</f>
        <v/>
      </c>
      <c r="O2230" s="7">
        <f>IF(COUNTA(A2230:K2230)=0,"",IF(OR(A2230="",B2230=""),"Preencher CPF e entrada",IF(COUNTIFS($A$12:$A$5011,A2230,$B$12:$B$5011,B2230)&gt;1,"CPF + dia duplicado",IF(OR(AND(G2230&lt;&gt;"",G2230&lt;&gt;0,G2230&lt;&gt;1),AND(H2230&lt;&gt;"",H2230&lt;&gt;0,H2230&lt;&gt;1)),"Flags devem ser 0 ou 1",IF(AND(H2230=1,LEN(TRIM(I2230))=0),"Preencher nome do indicante",IF(AND(H2230&lt;&gt;1,I2230&lt;&gt;""),"Nome sem indicação interna",IF(AND(G2230=1,F2230=""),"Fechamento sem conversa",IF(OR(AND(E2230&lt;&gt;"",E2230&lt;B2230),AND(F2230&lt;&gt;"",F2230&lt;B2230)),"Evento anterior à entrada",IF(AND(F2230&lt;&gt;"",E2230=""),"Conversa sem agendamento",IF(OR(E2230&gt;TODAY(),F2230&gt;TODAY()),"Verificar evento futuro","OK"))))))))))</f>
        <v/>
      </c>
    </row>
    <row r="2231" spans="12:15">
      <c r="L2231" s="5">
        <f>IF(OR(A2231="",B2231=""),"",B2231-WEEKDAY(B2231,2)+1)</f>
        <v/>
      </c>
      <c r="M2231" s="5">
        <f>IF(L2231="","",L2231+6)</f>
        <v/>
      </c>
      <c r="N2231" s="6">
        <f>IF(OR(A2231="",B2231=""),"",DATE(YEAR(B2231),MONTH(B2231),1))</f>
        <v/>
      </c>
      <c r="O2231" s="7">
        <f>IF(COUNTA(A2231:K2231)=0,"",IF(OR(A2231="",B2231=""),"Preencher CPF e entrada",IF(COUNTIFS($A$12:$A$5011,A2231,$B$12:$B$5011,B2231)&gt;1,"CPF + dia duplicado",IF(OR(AND(G2231&lt;&gt;"",G2231&lt;&gt;0,G2231&lt;&gt;1),AND(H2231&lt;&gt;"",H2231&lt;&gt;0,H2231&lt;&gt;1)),"Flags devem ser 0 ou 1",IF(AND(H2231=1,LEN(TRIM(I2231))=0),"Preencher nome do indicante",IF(AND(H2231&lt;&gt;1,I2231&lt;&gt;""),"Nome sem indicação interna",IF(AND(G2231=1,F2231=""),"Fechamento sem conversa",IF(OR(AND(E2231&lt;&gt;"",E2231&lt;B2231),AND(F2231&lt;&gt;"",F2231&lt;B2231)),"Evento anterior à entrada",IF(AND(F2231&lt;&gt;"",E2231=""),"Conversa sem agendamento",IF(OR(E2231&gt;TODAY(),F2231&gt;TODAY()),"Verificar evento futuro","OK"))))))))))</f>
        <v/>
      </c>
    </row>
    <row r="2232" spans="12:15">
      <c r="L2232" s="5">
        <f>IF(OR(A2232="",B2232=""),"",B2232-WEEKDAY(B2232,2)+1)</f>
        <v/>
      </c>
      <c r="M2232" s="5">
        <f>IF(L2232="","",L2232+6)</f>
        <v/>
      </c>
      <c r="N2232" s="6">
        <f>IF(OR(A2232="",B2232=""),"",DATE(YEAR(B2232),MONTH(B2232),1))</f>
        <v/>
      </c>
      <c r="O2232" s="7">
        <f>IF(COUNTA(A2232:K2232)=0,"",IF(OR(A2232="",B2232=""),"Preencher CPF e entrada",IF(COUNTIFS($A$12:$A$5011,A2232,$B$12:$B$5011,B2232)&gt;1,"CPF + dia duplicado",IF(OR(AND(G2232&lt;&gt;"",G2232&lt;&gt;0,G2232&lt;&gt;1),AND(H2232&lt;&gt;"",H2232&lt;&gt;0,H2232&lt;&gt;1)),"Flags devem ser 0 ou 1",IF(AND(H2232=1,LEN(TRIM(I2232))=0),"Preencher nome do indicante",IF(AND(H2232&lt;&gt;1,I2232&lt;&gt;""),"Nome sem indicação interna",IF(AND(G2232=1,F2232=""),"Fechamento sem conversa",IF(OR(AND(E2232&lt;&gt;"",E2232&lt;B2232),AND(F2232&lt;&gt;"",F2232&lt;B2232)),"Evento anterior à entrada",IF(AND(F2232&lt;&gt;"",E2232=""),"Conversa sem agendamento",IF(OR(E2232&gt;TODAY(),F2232&gt;TODAY()),"Verificar evento futuro","OK"))))))))))</f>
        <v/>
      </c>
    </row>
    <row r="2233" spans="12:15">
      <c r="L2233" s="5">
        <f>IF(OR(A2233="",B2233=""),"",B2233-WEEKDAY(B2233,2)+1)</f>
        <v/>
      </c>
      <c r="M2233" s="5">
        <f>IF(L2233="","",L2233+6)</f>
        <v/>
      </c>
      <c r="N2233" s="6">
        <f>IF(OR(A2233="",B2233=""),"",DATE(YEAR(B2233),MONTH(B2233),1))</f>
        <v/>
      </c>
      <c r="O2233" s="7">
        <f>IF(COUNTA(A2233:K2233)=0,"",IF(OR(A2233="",B2233=""),"Preencher CPF e entrada",IF(COUNTIFS($A$12:$A$5011,A2233,$B$12:$B$5011,B2233)&gt;1,"CPF + dia duplicado",IF(OR(AND(G2233&lt;&gt;"",G2233&lt;&gt;0,G2233&lt;&gt;1),AND(H2233&lt;&gt;"",H2233&lt;&gt;0,H2233&lt;&gt;1)),"Flags devem ser 0 ou 1",IF(AND(H2233=1,LEN(TRIM(I2233))=0),"Preencher nome do indicante",IF(AND(H2233&lt;&gt;1,I2233&lt;&gt;""),"Nome sem indicação interna",IF(AND(G2233=1,F2233=""),"Fechamento sem conversa",IF(OR(AND(E2233&lt;&gt;"",E2233&lt;B2233),AND(F2233&lt;&gt;"",F2233&lt;B2233)),"Evento anterior à entrada",IF(AND(F2233&lt;&gt;"",E2233=""),"Conversa sem agendamento",IF(OR(E2233&gt;TODAY(),F2233&gt;TODAY()),"Verificar evento futuro","OK"))))))))))</f>
        <v/>
      </c>
    </row>
    <row r="2234" spans="12:15">
      <c r="L2234" s="5">
        <f>IF(OR(A2234="",B2234=""),"",B2234-WEEKDAY(B2234,2)+1)</f>
        <v/>
      </c>
      <c r="M2234" s="5">
        <f>IF(L2234="","",L2234+6)</f>
        <v/>
      </c>
      <c r="N2234" s="6">
        <f>IF(OR(A2234="",B2234=""),"",DATE(YEAR(B2234),MONTH(B2234),1))</f>
        <v/>
      </c>
      <c r="O2234" s="7">
        <f>IF(COUNTA(A2234:K2234)=0,"",IF(OR(A2234="",B2234=""),"Preencher CPF e entrada",IF(COUNTIFS($A$12:$A$5011,A2234,$B$12:$B$5011,B2234)&gt;1,"CPF + dia duplicado",IF(OR(AND(G2234&lt;&gt;"",G2234&lt;&gt;0,G2234&lt;&gt;1),AND(H2234&lt;&gt;"",H2234&lt;&gt;0,H2234&lt;&gt;1)),"Flags devem ser 0 ou 1",IF(AND(H2234=1,LEN(TRIM(I2234))=0),"Preencher nome do indicante",IF(AND(H2234&lt;&gt;1,I2234&lt;&gt;""),"Nome sem indicação interna",IF(AND(G2234=1,F2234=""),"Fechamento sem conversa",IF(OR(AND(E2234&lt;&gt;"",E2234&lt;B2234),AND(F2234&lt;&gt;"",F2234&lt;B2234)),"Evento anterior à entrada",IF(AND(F2234&lt;&gt;"",E2234=""),"Conversa sem agendamento",IF(OR(E2234&gt;TODAY(),F2234&gt;TODAY()),"Verificar evento futuro","OK"))))))))))</f>
        <v/>
      </c>
    </row>
    <row r="2235" spans="12:15">
      <c r="L2235" s="5">
        <f>IF(OR(A2235="",B2235=""),"",B2235-WEEKDAY(B2235,2)+1)</f>
        <v/>
      </c>
      <c r="M2235" s="5">
        <f>IF(L2235="","",L2235+6)</f>
        <v/>
      </c>
      <c r="N2235" s="6">
        <f>IF(OR(A2235="",B2235=""),"",DATE(YEAR(B2235),MONTH(B2235),1))</f>
        <v/>
      </c>
      <c r="O2235" s="7">
        <f>IF(COUNTA(A2235:K2235)=0,"",IF(OR(A2235="",B2235=""),"Preencher CPF e entrada",IF(COUNTIFS($A$12:$A$5011,A2235,$B$12:$B$5011,B2235)&gt;1,"CPF + dia duplicado",IF(OR(AND(G2235&lt;&gt;"",G2235&lt;&gt;0,G2235&lt;&gt;1),AND(H2235&lt;&gt;"",H2235&lt;&gt;0,H2235&lt;&gt;1)),"Flags devem ser 0 ou 1",IF(AND(H2235=1,LEN(TRIM(I2235))=0),"Preencher nome do indicante",IF(AND(H2235&lt;&gt;1,I2235&lt;&gt;""),"Nome sem indicação interna",IF(AND(G2235=1,F2235=""),"Fechamento sem conversa",IF(OR(AND(E2235&lt;&gt;"",E2235&lt;B2235),AND(F2235&lt;&gt;"",F2235&lt;B2235)),"Evento anterior à entrada",IF(AND(F2235&lt;&gt;"",E2235=""),"Conversa sem agendamento",IF(OR(E2235&gt;TODAY(),F2235&gt;TODAY()),"Verificar evento futuro","OK"))))))))))</f>
        <v/>
      </c>
    </row>
    <row r="2236" spans="12:15">
      <c r="L2236" s="5">
        <f>IF(OR(A2236="",B2236=""),"",B2236-WEEKDAY(B2236,2)+1)</f>
        <v/>
      </c>
      <c r="M2236" s="5">
        <f>IF(L2236="","",L2236+6)</f>
        <v/>
      </c>
      <c r="N2236" s="6">
        <f>IF(OR(A2236="",B2236=""),"",DATE(YEAR(B2236),MONTH(B2236),1))</f>
        <v/>
      </c>
      <c r="O2236" s="7">
        <f>IF(COUNTA(A2236:K2236)=0,"",IF(OR(A2236="",B2236=""),"Preencher CPF e entrada",IF(COUNTIFS($A$12:$A$5011,A2236,$B$12:$B$5011,B2236)&gt;1,"CPF + dia duplicado",IF(OR(AND(G2236&lt;&gt;"",G2236&lt;&gt;0,G2236&lt;&gt;1),AND(H2236&lt;&gt;"",H2236&lt;&gt;0,H2236&lt;&gt;1)),"Flags devem ser 0 ou 1",IF(AND(H2236=1,LEN(TRIM(I2236))=0),"Preencher nome do indicante",IF(AND(H2236&lt;&gt;1,I2236&lt;&gt;""),"Nome sem indicação interna",IF(AND(G2236=1,F2236=""),"Fechamento sem conversa",IF(OR(AND(E2236&lt;&gt;"",E2236&lt;B2236),AND(F2236&lt;&gt;"",F2236&lt;B2236)),"Evento anterior à entrada",IF(AND(F2236&lt;&gt;"",E2236=""),"Conversa sem agendamento",IF(OR(E2236&gt;TODAY(),F2236&gt;TODAY()),"Verificar evento futuro","OK"))))))))))</f>
        <v/>
      </c>
    </row>
    <row r="2237" spans="12:15">
      <c r="L2237" s="5">
        <f>IF(OR(A2237="",B2237=""),"",B2237-WEEKDAY(B2237,2)+1)</f>
        <v/>
      </c>
      <c r="M2237" s="5">
        <f>IF(L2237="","",L2237+6)</f>
        <v/>
      </c>
      <c r="N2237" s="6">
        <f>IF(OR(A2237="",B2237=""),"",DATE(YEAR(B2237),MONTH(B2237),1))</f>
        <v/>
      </c>
      <c r="O2237" s="7">
        <f>IF(COUNTA(A2237:K2237)=0,"",IF(OR(A2237="",B2237=""),"Preencher CPF e entrada",IF(COUNTIFS($A$12:$A$5011,A2237,$B$12:$B$5011,B2237)&gt;1,"CPF + dia duplicado",IF(OR(AND(G2237&lt;&gt;"",G2237&lt;&gt;0,G2237&lt;&gt;1),AND(H2237&lt;&gt;"",H2237&lt;&gt;0,H2237&lt;&gt;1)),"Flags devem ser 0 ou 1",IF(AND(H2237=1,LEN(TRIM(I2237))=0),"Preencher nome do indicante",IF(AND(H2237&lt;&gt;1,I2237&lt;&gt;""),"Nome sem indicação interna",IF(AND(G2237=1,F2237=""),"Fechamento sem conversa",IF(OR(AND(E2237&lt;&gt;"",E2237&lt;B2237),AND(F2237&lt;&gt;"",F2237&lt;B2237)),"Evento anterior à entrada",IF(AND(F2237&lt;&gt;"",E2237=""),"Conversa sem agendamento",IF(OR(E2237&gt;TODAY(),F2237&gt;TODAY()),"Verificar evento futuro","OK"))))))))))</f>
        <v/>
      </c>
    </row>
    <row r="2238" spans="12:15">
      <c r="L2238" s="5">
        <f>IF(OR(A2238="",B2238=""),"",B2238-WEEKDAY(B2238,2)+1)</f>
        <v/>
      </c>
      <c r="M2238" s="5">
        <f>IF(L2238="","",L2238+6)</f>
        <v/>
      </c>
      <c r="N2238" s="6">
        <f>IF(OR(A2238="",B2238=""),"",DATE(YEAR(B2238),MONTH(B2238),1))</f>
        <v/>
      </c>
      <c r="O2238" s="7">
        <f>IF(COUNTA(A2238:K2238)=0,"",IF(OR(A2238="",B2238=""),"Preencher CPF e entrada",IF(COUNTIFS($A$12:$A$5011,A2238,$B$12:$B$5011,B2238)&gt;1,"CPF + dia duplicado",IF(OR(AND(G2238&lt;&gt;"",G2238&lt;&gt;0,G2238&lt;&gt;1),AND(H2238&lt;&gt;"",H2238&lt;&gt;0,H2238&lt;&gt;1)),"Flags devem ser 0 ou 1",IF(AND(H2238=1,LEN(TRIM(I2238))=0),"Preencher nome do indicante",IF(AND(H2238&lt;&gt;1,I2238&lt;&gt;""),"Nome sem indicação interna",IF(AND(G2238=1,F2238=""),"Fechamento sem conversa",IF(OR(AND(E2238&lt;&gt;"",E2238&lt;B2238),AND(F2238&lt;&gt;"",F2238&lt;B2238)),"Evento anterior à entrada",IF(AND(F2238&lt;&gt;"",E2238=""),"Conversa sem agendamento",IF(OR(E2238&gt;TODAY(),F2238&gt;TODAY()),"Verificar evento futuro","OK"))))))))))</f>
        <v/>
      </c>
    </row>
    <row r="2239" spans="12:15">
      <c r="L2239" s="5">
        <f>IF(OR(A2239="",B2239=""),"",B2239-WEEKDAY(B2239,2)+1)</f>
        <v/>
      </c>
      <c r="M2239" s="5">
        <f>IF(L2239="","",L2239+6)</f>
        <v/>
      </c>
      <c r="N2239" s="6">
        <f>IF(OR(A2239="",B2239=""),"",DATE(YEAR(B2239),MONTH(B2239),1))</f>
        <v/>
      </c>
      <c r="O2239" s="7">
        <f>IF(COUNTA(A2239:K2239)=0,"",IF(OR(A2239="",B2239=""),"Preencher CPF e entrada",IF(COUNTIFS($A$12:$A$5011,A2239,$B$12:$B$5011,B2239)&gt;1,"CPF + dia duplicado",IF(OR(AND(G2239&lt;&gt;"",G2239&lt;&gt;0,G2239&lt;&gt;1),AND(H2239&lt;&gt;"",H2239&lt;&gt;0,H2239&lt;&gt;1)),"Flags devem ser 0 ou 1",IF(AND(H2239=1,LEN(TRIM(I2239))=0),"Preencher nome do indicante",IF(AND(H2239&lt;&gt;1,I2239&lt;&gt;""),"Nome sem indicação interna",IF(AND(G2239=1,F2239=""),"Fechamento sem conversa",IF(OR(AND(E2239&lt;&gt;"",E2239&lt;B2239),AND(F2239&lt;&gt;"",F2239&lt;B2239)),"Evento anterior à entrada",IF(AND(F2239&lt;&gt;"",E2239=""),"Conversa sem agendamento",IF(OR(E2239&gt;TODAY(),F2239&gt;TODAY()),"Verificar evento futuro","OK"))))))))))</f>
        <v/>
      </c>
    </row>
    <row r="2240" spans="12:15">
      <c r="L2240" s="5">
        <f>IF(OR(A2240="",B2240=""),"",B2240-WEEKDAY(B2240,2)+1)</f>
        <v/>
      </c>
      <c r="M2240" s="5">
        <f>IF(L2240="","",L2240+6)</f>
        <v/>
      </c>
      <c r="N2240" s="6">
        <f>IF(OR(A2240="",B2240=""),"",DATE(YEAR(B2240),MONTH(B2240),1))</f>
        <v/>
      </c>
      <c r="O2240" s="7">
        <f>IF(COUNTA(A2240:K2240)=0,"",IF(OR(A2240="",B2240=""),"Preencher CPF e entrada",IF(COUNTIFS($A$12:$A$5011,A2240,$B$12:$B$5011,B2240)&gt;1,"CPF + dia duplicado",IF(OR(AND(G2240&lt;&gt;"",G2240&lt;&gt;0,G2240&lt;&gt;1),AND(H2240&lt;&gt;"",H2240&lt;&gt;0,H2240&lt;&gt;1)),"Flags devem ser 0 ou 1",IF(AND(H2240=1,LEN(TRIM(I2240))=0),"Preencher nome do indicante",IF(AND(H2240&lt;&gt;1,I2240&lt;&gt;""),"Nome sem indicação interna",IF(AND(G2240=1,F2240=""),"Fechamento sem conversa",IF(OR(AND(E2240&lt;&gt;"",E2240&lt;B2240),AND(F2240&lt;&gt;"",F2240&lt;B2240)),"Evento anterior à entrada",IF(AND(F2240&lt;&gt;"",E2240=""),"Conversa sem agendamento",IF(OR(E2240&gt;TODAY(),F2240&gt;TODAY()),"Verificar evento futuro","OK"))))))))))</f>
        <v/>
      </c>
    </row>
    <row r="2241" spans="12:15">
      <c r="L2241" s="5">
        <f>IF(OR(A2241="",B2241=""),"",B2241-WEEKDAY(B2241,2)+1)</f>
        <v/>
      </c>
      <c r="M2241" s="5">
        <f>IF(L2241="","",L2241+6)</f>
        <v/>
      </c>
      <c r="N2241" s="6">
        <f>IF(OR(A2241="",B2241=""),"",DATE(YEAR(B2241),MONTH(B2241),1))</f>
        <v/>
      </c>
      <c r="O2241" s="7">
        <f>IF(COUNTA(A2241:K2241)=0,"",IF(OR(A2241="",B2241=""),"Preencher CPF e entrada",IF(COUNTIFS($A$12:$A$5011,A2241,$B$12:$B$5011,B2241)&gt;1,"CPF + dia duplicado",IF(OR(AND(G2241&lt;&gt;"",G2241&lt;&gt;0,G2241&lt;&gt;1),AND(H2241&lt;&gt;"",H2241&lt;&gt;0,H2241&lt;&gt;1)),"Flags devem ser 0 ou 1",IF(AND(H2241=1,LEN(TRIM(I2241))=0),"Preencher nome do indicante",IF(AND(H2241&lt;&gt;1,I2241&lt;&gt;""),"Nome sem indicação interna",IF(AND(G2241=1,F2241=""),"Fechamento sem conversa",IF(OR(AND(E2241&lt;&gt;"",E2241&lt;B2241),AND(F2241&lt;&gt;"",F2241&lt;B2241)),"Evento anterior à entrada",IF(AND(F2241&lt;&gt;"",E2241=""),"Conversa sem agendamento",IF(OR(E2241&gt;TODAY(),F2241&gt;TODAY()),"Verificar evento futuro","OK"))))))))))</f>
        <v/>
      </c>
    </row>
    <row r="2242" spans="12:15">
      <c r="L2242" s="5">
        <f>IF(OR(A2242="",B2242=""),"",B2242-WEEKDAY(B2242,2)+1)</f>
        <v/>
      </c>
      <c r="M2242" s="5">
        <f>IF(L2242="","",L2242+6)</f>
        <v/>
      </c>
      <c r="N2242" s="6">
        <f>IF(OR(A2242="",B2242=""),"",DATE(YEAR(B2242),MONTH(B2242),1))</f>
        <v/>
      </c>
      <c r="O2242" s="7">
        <f>IF(COUNTA(A2242:K2242)=0,"",IF(OR(A2242="",B2242=""),"Preencher CPF e entrada",IF(COUNTIFS($A$12:$A$5011,A2242,$B$12:$B$5011,B2242)&gt;1,"CPF + dia duplicado",IF(OR(AND(G2242&lt;&gt;"",G2242&lt;&gt;0,G2242&lt;&gt;1),AND(H2242&lt;&gt;"",H2242&lt;&gt;0,H2242&lt;&gt;1)),"Flags devem ser 0 ou 1",IF(AND(H2242=1,LEN(TRIM(I2242))=0),"Preencher nome do indicante",IF(AND(H2242&lt;&gt;1,I2242&lt;&gt;""),"Nome sem indicação interna",IF(AND(G2242=1,F2242=""),"Fechamento sem conversa",IF(OR(AND(E2242&lt;&gt;"",E2242&lt;B2242),AND(F2242&lt;&gt;"",F2242&lt;B2242)),"Evento anterior à entrada",IF(AND(F2242&lt;&gt;"",E2242=""),"Conversa sem agendamento",IF(OR(E2242&gt;TODAY(),F2242&gt;TODAY()),"Verificar evento futuro","OK"))))))))))</f>
        <v/>
      </c>
    </row>
    <row r="2243" spans="12:15">
      <c r="L2243" s="5">
        <f>IF(OR(A2243="",B2243=""),"",B2243-WEEKDAY(B2243,2)+1)</f>
        <v/>
      </c>
      <c r="M2243" s="5">
        <f>IF(L2243="","",L2243+6)</f>
        <v/>
      </c>
      <c r="N2243" s="6">
        <f>IF(OR(A2243="",B2243=""),"",DATE(YEAR(B2243),MONTH(B2243),1))</f>
        <v/>
      </c>
      <c r="O2243" s="7">
        <f>IF(COUNTA(A2243:K2243)=0,"",IF(OR(A2243="",B2243=""),"Preencher CPF e entrada",IF(COUNTIFS($A$12:$A$5011,A2243,$B$12:$B$5011,B2243)&gt;1,"CPF + dia duplicado",IF(OR(AND(G2243&lt;&gt;"",G2243&lt;&gt;0,G2243&lt;&gt;1),AND(H2243&lt;&gt;"",H2243&lt;&gt;0,H2243&lt;&gt;1)),"Flags devem ser 0 ou 1",IF(AND(H2243=1,LEN(TRIM(I2243))=0),"Preencher nome do indicante",IF(AND(H2243&lt;&gt;1,I2243&lt;&gt;""),"Nome sem indicação interna",IF(AND(G2243=1,F2243=""),"Fechamento sem conversa",IF(OR(AND(E2243&lt;&gt;"",E2243&lt;B2243),AND(F2243&lt;&gt;"",F2243&lt;B2243)),"Evento anterior à entrada",IF(AND(F2243&lt;&gt;"",E2243=""),"Conversa sem agendamento",IF(OR(E2243&gt;TODAY(),F2243&gt;TODAY()),"Verificar evento futuro","OK"))))))))))</f>
        <v/>
      </c>
    </row>
    <row r="2244" spans="12:15">
      <c r="L2244" s="5">
        <f>IF(OR(A2244="",B2244=""),"",B2244-WEEKDAY(B2244,2)+1)</f>
        <v/>
      </c>
      <c r="M2244" s="5">
        <f>IF(L2244="","",L2244+6)</f>
        <v/>
      </c>
      <c r="N2244" s="6">
        <f>IF(OR(A2244="",B2244=""),"",DATE(YEAR(B2244),MONTH(B2244),1))</f>
        <v/>
      </c>
      <c r="O2244" s="7">
        <f>IF(COUNTA(A2244:K2244)=0,"",IF(OR(A2244="",B2244=""),"Preencher CPF e entrada",IF(COUNTIFS($A$12:$A$5011,A2244,$B$12:$B$5011,B2244)&gt;1,"CPF + dia duplicado",IF(OR(AND(G2244&lt;&gt;"",G2244&lt;&gt;0,G2244&lt;&gt;1),AND(H2244&lt;&gt;"",H2244&lt;&gt;0,H2244&lt;&gt;1)),"Flags devem ser 0 ou 1",IF(AND(H2244=1,LEN(TRIM(I2244))=0),"Preencher nome do indicante",IF(AND(H2244&lt;&gt;1,I2244&lt;&gt;""),"Nome sem indicação interna",IF(AND(G2244=1,F2244=""),"Fechamento sem conversa",IF(OR(AND(E2244&lt;&gt;"",E2244&lt;B2244),AND(F2244&lt;&gt;"",F2244&lt;B2244)),"Evento anterior à entrada",IF(AND(F2244&lt;&gt;"",E2244=""),"Conversa sem agendamento",IF(OR(E2244&gt;TODAY(),F2244&gt;TODAY()),"Verificar evento futuro","OK"))))))))))</f>
        <v/>
      </c>
    </row>
    <row r="2245" spans="12:15">
      <c r="L2245" s="5">
        <f>IF(OR(A2245="",B2245=""),"",B2245-WEEKDAY(B2245,2)+1)</f>
        <v/>
      </c>
      <c r="M2245" s="5">
        <f>IF(L2245="","",L2245+6)</f>
        <v/>
      </c>
      <c r="N2245" s="6">
        <f>IF(OR(A2245="",B2245=""),"",DATE(YEAR(B2245),MONTH(B2245),1))</f>
        <v/>
      </c>
      <c r="O2245" s="7">
        <f>IF(COUNTA(A2245:K2245)=0,"",IF(OR(A2245="",B2245=""),"Preencher CPF e entrada",IF(COUNTIFS($A$12:$A$5011,A2245,$B$12:$B$5011,B2245)&gt;1,"CPF + dia duplicado",IF(OR(AND(G2245&lt;&gt;"",G2245&lt;&gt;0,G2245&lt;&gt;1),AND(H2245&lt;&gt;"",H2245&lt;&gt;0,H2245&lt;&gt;1)),"Flags devem ser 0 ou 1",IF(AND(H2245=1,LEN(TRIM(I2245))=0),"Preencher nome do indicante",IF(AND(H2245&lt;&gt;1,I2245&lt;&gt;""),"Nome sem indicação interna",IF(AND(G2245=1,F2245=""),"Fechamento sem conversa",IF(OR(AND(E2245&lt;&gt;"",E2245&lt;B2245),AND(F2245&lt;&gt;"",F2245&lt;B2245)),"Evento anterior à entrada",IF(AND(F2245&lt;&gt;"",E2245=""),"Conversa sem agendamento",IF(OR(E2245&gt;TODAY(),F2245&gt;TODAY()),"Verificar evento futuro","OK"))))))))))</f>
        <v/>
      </c>
    </row>
    <row r="2246" spans="12:15">
      <c r="L2246" s="5">
        <f>IF(OR(A2246="",B2246=""),"",B2246-WEEKDAY(B2246,2)+1)</f>
        <v/>
      </c>
      <c r="M2246" s="5">
        <f>IF(L2246="","",L2246+6)</f>
        <v/>
      </c>
      <c r="N2246" s="6">
        <f>IF(OR(A2246="",B2246=""),"",DATE(YEAR(B2246),MONTH(B2246),1))</f>
        <v/>
      </c>
      <c r="O2246" s="7">
        <f>IF(COUNTA(A2246:K2246)=0,"",IF(OR(A2246="",B2246=""),"Preencher CPF e entrada",IF(COUNTIFS($A$12:$A$5011,A2246,$B$12:$B$5011,B2246)&gt;1,"CPF + dia duplicado",IF(OR(AND(G2246&lt;&gt;"",G2246&lt;&gt;0,G2246&lt;&gt;1),AND(H2246&lt;&gt;"",H2246&lt;&gt;0,H2246&lt;&gt;1)),"Flags devem ser 0 ou 1",IF(AND(H2246=1,LEN(TRIM(I2246))=0),"Preencher nome do indicante",IF(AND(H2246&lt;&gt;1,I2246&lt;&gt;""),"Nome sem indicação interna",IF(AND(G2246=1,F2246=""),"Fechamento sem conversa",IF(OR(AND(E2246&lt;&gt;"",E2246&lt;B2246),AND(F2246&lt;&gt;"",F2246&lt;B2246)),"Evento anterior à entrada",IF(AND(F2246&lt;&gt;"",E2246=""),"Conversa sem agendamento",IF(OR(E2246&gt;TODAY(),F2246&gt;TODAY()),"Verificar evento futuro","OK"))))))))))</f>
        <v/>
      </c>
    </row>
    <row r="2247" spans="12:15">
      <c r="L2247" s="5">
        <f>IF(OR(A2247="",B2247=""),"",B2247-WEEKDAY(B2247,2)+1)</f>
        <v/>
      </c>
      <c r="M2247" s="5">
        <f>IF(L2247="","",L2247+6)</f>
        <v/>
      </c>
      <c r="N2247" s="6">
        <f>IF(OR(A2247="",B2247=""),"",DATE(YEAR(B2247),MONTH(B2247),1))</f>
        <v/>
      </c>
      <c r="O2247" s="7">
        <f>IF(COUNTA(A2247:K2247)=0,"",IF(OR(A2247="",B2247=""),"Preencher CPF e entrada",IF(COUNTIFS($A$12:$A$5011,A2247,$B$12:$B$5011,B2247)&gt;1,"CPF + dia duplicado",IF(OR(AND(G2247&lt;&gt;"",G2247&lt;&gt;0,G2247&lt;&gt;1),AND(H2247&lt;&gt;"",H2247&lt;&gt;0,H2247&lt;&gt;1)),"Flags devem ser 0 ou 1",IF(AND(H2247=1,LEN(TRIM(I2247))=0),"Preencher nome do indicante",IF(AND(H2247&lt;&gt;1,I2247&lt;&gt;""),"Nome sem indicação interna",IF(AND(G2247=1,F2247=""),"Fechamento sem conversa",IF(OR(AND(E2247&lt;&gt;"",E2247&lt;B2247),AND(F2247&lt;&gt;"",F2247&lt;B2247)),"Evento anterior à entrada",IF(AND(F2247&lt;&gt;"",E2247=""),"Conversa sem agendamento",IF(OR(E2247&gt;TODAY(),F2247&gt;TODAY()),"Verificar evento futuro","OK"))))))))))</f>
        <v/>
      </c>
    </row>
    <row r="2248" spans="12:15">
      <c r="L2248" s="5">
        <f>IF(OR(A2248="",B2248=""),"",B2248-WEEKDAY(B2248,2)+1)</f>
        <v/>
      </c>
      <c r="M2248" s="5">
        <f>IF(L2248="","",L2248+6)</f>
        <v/>
      </c>
      <c r="N2248" s="6">
        <f>IF(OR(A2248="",B2248=""),"",DATE(YEAR(B2248),MONTH(B2248),1))</f>
        <v/>
      </c>
      <c r="O2248" s="7">
        <f>IF(COUNTA(A2248:K2248)=0,"",IF(OR(A2248="",B2248=""),"Preencher CPF e entrada",IF(COUNTIFS($A$12:$A$5011,A2248,$B$12:$B$5011,B2248)&gt;1,"CPF + dia duplicado",IF(OR(AND(G2248&lt;&gt;"",G2248&lt;&gt;0,G2248&lt;&gt;1),AND(H2248&lt;&gt;"",H2248&lt;&gt;0,H2248&lt;&gt;1)),"Flags devem ser 0 ou 1",IF(AND(H2248=1,LEN(TRIM(I2248))=0),"Preencher nome do indicante",IF(AND(H2248&lt;&gt;1,I2248&lt;&gt;""),"Nome sem indicação interna",IF(AND(G2248=1,F2248=""),"Fechamento sem conversa",IF(OR(AND(E2248&lt;&gt;"",E2248&lt;B2248),AND(F2248&lt;&gt;"",F2248&lt;B2248)),"Evento anterior à entrada",IF(AND(F2248&lt;&gt;"",E2248=""),"Conversa sem agendamento",IF(OR(E2248&gt;TODAY(),F2248&gt;TODAY()),"Verificar evento futuro","OK"))))))))))</f>
        <v/>
      </c>
    </row>
    <row r="2249" spans="12:15">
      <c r="L2249" s="5">
        <f>IF(OR(A2249="",B2249=""),"",B2249-WEEKDAY(B2249,2)+1)</f>
        <v/>
      </c>
      <c r="M2249" s="5">
        <f>IF(L2249="","",L2249+6)</f>
        <v/>
      </c>
      <c r="N2249" s="6">
        <f>IF(OR(A2249="",B2249=""),"",DATE(YEAR(B2249),MONTH(B2249),1))</f>
        <v/>
      </c>
      <c r="O2249" s="7">
        <f>IF(COUNTA(A2249:K2249)=0,"",IF(OR(A2249="",B2249=""),"Preencher CPF e entrada",IF(COUNTIFS($A$12:$A$5011,A2249,$B$12:$B$5011,B2249)&gt;1,"CPF + dia duplicado",IF(OR(AND(G2249&lt;&gt;"",G2249&lt;&gt;0,G2249&lt;&gt;1),AND(H2249&lt;&gt;"",H2249&lt;&gt;0,H2249&lt;&gt;1)),"Flags devem ser 0 ou 1",IF(AND(H2249=1,LEN(TRIM(I2249))=0),"Preencher nome do indicante",IF(AND(H2249&lt;&gt;1,I2249&lt;&gt;""),"Nome sem indicação interna",IF(AND(G2249=1,F2249=""),"Fechamento sem conversa",IF(OR(AND(E2249&lt;&gt;"",E2249&lt;B2249),AND(F2249&lt;&gt;"",F2249&lt;B2249)),"Evento anterior à entrada",IF(AND(F2249&lt;&gt;"",E2249=""),"Conversa sem agendamento",IF(OR(E2249&gt;TODAY(),F2249&gt;TODAY()),"Verificar evento futuro","OK"))))))))))</f>
        <v/>
      </c>
    </row>
    <row r="2250" spans="12:15">
      <c r="L2250" s="5">
        <f>IF(OR(A2250="",B2250=""),"",B2250-WEEKDAY(B2250,2)+1)</f>
        <v/>
      </c>
      <c r="M2250" s="5">
        <f>IF(L2250="","",L2250+6)</f>
        <v/>
      </c>
      <c r="N2250" s="6">
        <f>IF(OR(A2250="",B2250=""),"",DATE(YEAR(B2250),MONTH(B2250),1))</f>
        <v/>
      </c>
      <c r="O2250" s="7">
        <f>IF(COUNTA(A2250:K2250)=0,"",IF(OR(A2250="",B2250=""),"Preencher CPF e entrada",IF(COUNTIFS($A$12:$A$5011,A2250,$B$12:$B$5011,B2250)&gt;1,"CPF + dia duplicado",IF(OR(AND(G2250&lt;&gt;"",G2250&lt;&gt;0,G2250&lt;&gt;1),AND(H2250&lt;&gt;"",H2250&lt;&gt;0,H2250&lt;&gt;1)),"Flags devem ser 0 ou 1",IF(AND(H2250=1,LEN(TRIM(I2250))=0),"Preencher nome do indicante",IF(AND(H2250&lt;&gt;1,I2250&lt;&gt;""),"Nome sem indicação interna",IF(AND(G2250=1,F2250=""),"Fechamento sem conversa",IF(OR(AND(E2250&lt;&gt;"",E2250&lt;B2250),AND(F2250&lt;&gt;"",F2250&lt;B2250)),"Evento anterior à entrada",IF(AND(F2250&lt;&gt;"",E2250=""),"Conversa sem agendamento",IF(OR(E2250&gt;TODAY(),F2250&gt;TODAY()),"Verificar evento futuro","OK"))))))))))</f>
        <v/>
      </c>
    </row>
    <row r="2251" spans="12:15">
      <c r="L2251" s="5">
        <f>IF(OR(A2251="",B2251=""),"",B2251-WEEKDAY(B2251,2)+1)</f>
        <v/>
      </c>
      <c r="M2251" s="5">
        <f>IF(L2251="","",L2251+6)</f>
        <v/>
      </c>
      <c r="N2251" s="6">
        <f>IF(OR(A2251="",B2251=""),"",DATE(YEAR(B2251),MONTH(B2251),1))</f>
        <v/>
      </c>
      <c r="O2251" s="7">
        <f>IF(COUNTA(A2251:K2251)=0,"",IF(OR(A2251="",B2251=""),"Preencher CPF e entrada",IF(COUNTIFS($A$12:$A$5011,A2251,$B$12:$B$5011,B2251)&gt;1,"CPF + dia duplicado",IF(OR(AND(G2251&lt;&gt;"",G2251&lt;&gt;0,G2251&lt;&gt;1),AND(H2251&lt;&gt;"",H2251&lt;&gt;0,H2251&lt;&gt;1)),"Flags devem ser 0 ou 1",IF(AND(H2251=1,LEN(TRIM(I2251))=0),"Preencher nome do indicante",IF(AND(H2251&lt;&gt;1,I2251&lt;&gt;""),"Nome sem indicação interna",IF(AND(G2251=1,F2251=""),"Fechamento sem conversa",IF(OR(AND(E2251&lt;&gt;"",E2251&lt;B2251),AND(F2251&lt;&gt;"",F2251&lt;B2251)),"Evento anterior à entrada",IF(AND(F2251&lt;&gt;"",E2251=""),"Conversa sem agendamento",IF(OR(E2251&gt;TODAY(),F2251&gt;TODAY()),"Verificar evento futuro","OK"))))))))))</f>
        <v/>
      </c>
    </row>
    <row r="2252" spans="12:15">
      <c r="L2252" s="5">
        <f>IF(OR(A2252="",B2252=""),"",B2252-WEEKDAY(B2252,2)+1)</f>
        <v/>
      </c>
      <c r="M2252" s="5">
        <f>IF(L2252="","",L2252+6)</f>
        <v/>
      </c>
      <c r="N2252" s="6">
        <f>IF(OR(A2252="",B2252=""),"",DATE(YEAR(B2252),MONTH(B2252),1))</f>
        <v/>
      </c>
      <c r="O2252" s="7">
        <f>IF(COUNTA(A2252:K2252)=0,"",IF(OR(A2252="",B2252=""),"Preencher CPF e entrada",IF(COUNTIFS($A$12:$A$5011,A2252,$B$12:$B$5011,B2252)&gt;1,"CPF + dia duplicado",IF(OR(AND(G2252&lt;&gt;"",G2252&lt;&gt;0,G2252&lt;&gt;1),AND(H2252&lt;&gt;"",H2252&lt;&gt;0,H2252&lt;&gt;1)),"Flags devem ser 0 ou 1",IF(AND(H2252=1,LEN(TRIM(I2252))=0),"Preencher nome do indicante",IF(AND(H2252&lt;&gt;1,I2252&lt;&gt;""),"Nome sem indicação interna",IF(AND(G2252=1,F2252=""),"Fechamento sem conversa",IF(OR(AND(E2252&lt;&gt;"",E2252&lt;B2252),AND(F2252&lt;&gt;"",F2252&lt;B2252)),"Evento anterior à entrada",IF(AND(F2252&lt;&gt;"",E2252=""),"Conversa sem agendamento",IF(OR(E2252&gt;TODAY(),F2252&gt;TODAY()),"Verificar evento futuro","OK"))))))))))</f>
        <v/>
      </c>
    </row>
    <row r="2253" spans="12:15">
      <c r="L2253" s="5">
        <f>IF(OR(A2253="",B2253=""),"",B2253-WEEKDAY(B2253,2)+1)</f>
        <v/>
      </c>
      <c r="M2253" s="5">
        <f>IF(L2253="","",L2253+6)</f>
        <v/>
      </c>
      <c r="N2253" s="6">
        <f>IF(OR(A2253="",B2253=""),"",DATE(YEAR(B2253),MONTH(B2253),1))</f>
        <v/>
      </c>
      <c r="O2253" s="7">
        <f>IF(COUNTA(A2253:K2253)=0,"",IF(OR(A2253="",B2253=""),"Preencher CPF e entrada",IF(COUNTIFS($A$12:$A$5011,A2253,$B$12:$B$5011,B2253)&gt;1,"CPF + dia duplicado",IF(OR(AND(G2253&lt;&gt;"",G2253&lt;&gt;0,G2253&lt;&gt;1),AND(H2253&lt;&gt;"",H2253&lt;&gt;0,H2253&lt;&gt;1)),"Flags devem ser 0 ou 1",IF(AND(H2253=1,LEN(TRIM(I2253))=0),"Preencher nome do indicante",IF(AND(H2253&lt;&gt;1,I2253&lt;&gt;""),"Nome sem indicação interna",IF(AND(G2253=1,F2253=""),"Fechamento sem conversa",IF(OR(AND(E2253&lt;&gt;"",E2253&lt;B2253),AND(F2253&lt;&gt;"",F2253&lt;B2253)),"Evento anterior à entrada",IF(AND(F2253&lt;&gt;"",E2253=""),"Conversa sem agendamento",IF(OR(E2253&gt;TODAY(),F2253&gt;TODAY()),"Verificar evento futuro","OK"))))))))))</f>
        <v/>
      </c>
    </row>
    <row r="2254" spans="12:15">
      <c r="L2254" s="5">
        <f>IF(OR(A2254="",B2254=""),"",B2254-WEEKDAY(B2254,2)+1)</f>
        <v/>
      </c>
      <c r="M2254" s="5">
        <f>IF(L2254="","",L2254+6)</f>
        <v/>
      </c>
      <c r="N2254" s="6">
        <f>IF(OR(A2254="",B2254=""),"",DATE(YEAR(B2254),MONTH(B2254),1))</f>
        <v/>
      </c>
      <c r="O2254" s="7">
        <f>IF(COUNTA(A2254:K2254)=0,"",IF(OR(A2254="",B2254=""),"Preencher CPF e entrada",IF(COUNTIFS($A$12:$A$5011,A2254,$B$12:$B$5011,B2254)&gt;1,"CPF + dia duplicado",IF(OR(AND(G2254&lt;&gt;"",G2254&lt;&gt;0,G2254&lt;&gt;1),AND(H2254&lt;&gt;"",H2254&lt;&gt;0,H2254&lt;&gt;1)),"Flags devem ser 0 ou 1",IF(AND(H2254=1,LEN(TRIM(I2254))=0),"Preencher nome do indicante",IF(AND(H2254&lt;&gt;1,I2254&lt;&gt;""),"Nome sem indicação interna",IF(AND(G2254=1,F2254=""),"Fechamento sem conversa",IF(OR(AND(E2254&lt;&gt;"",E2254&lt;B2254),AND(F2254&lt;&gt;"",F2254&lt;B2254)),"Evento anterior à entrada",IF(AND(F2254&lt;&gt;"",E2254=""),"Conversa sem agendamento",IF(OR(E2254&gt;TODAY(),F2254&gt;TODAY()),"Verificar evento futuro","OK"))))))))))</f>
        <v/>
      </c>
    </row>
    <row r="2255" spans="12:15">
      <c r="L2255" s="5">
        <f>IF(OR(A2255="",B2255=""),"",B2255-WEEKDAY(B2255,2)+1)</f>
        <v/>
      </c>
      <c r="M2255" s="5">
        <f>IF(L2255="","",L2255+6)</f>
        <v/>
      </c>
      <c r="N2255" s="6">
        <f>IF(OR(A2255="",B2255=""),"",DATE(YEAR(B2255),MONTH(B2255),1))</f>
        <v/>
      </c>
      <c r="O2255" s="7">
        <f>IF(COUNTA(A2255:K2255)=0,"",IF(OR(A2255="",B2255=""),"Preencher CPF e entrada",IF(COUNTIFS($A$12:$A$5011,A2255,$B$12:$B$5011,B2255)&gt;1,"CPF + dia duplicado",IF(OR(AND(G2255&lt;&gt;"",G2255&lt;&gt;0,G2255&lt;&gt;1),AND(H2255&lt;&gt;"",H2255&lt;&gt;0,H2255&lt;&gt;1)),"Flags devem ser 0 ou 1",IF(AND(H2255=1,LEN(TRIM(I2255))=0),"Preencher nome do indicante",IF(AND(H2255&lt;&gt;1,I2255&lt;&gt;""),"Nome sem indicação interna",IF(AND(G2255=1,F2255=""),"Fechamento sem conversa",IF(OR(AND(E2255&lt;&gt;"",E2255&lt;B2255),AND(F2255&lt;&gt;"",F2255&lt;B2255)),"Evento anterior à entrada",IF(AND(F2255&lt;&gt;"",E2255=""),"Conversa sem agendamento",IF(OR(E2255&gt;TODAY(),F2255&gt;TODAY()),"Verificar evento futuro","OK"))))))))))</f>
        <v/>
      </c>
    </row>
    <row r="2256" spans="12:15">
      <c r="L2256" s="5">
        <f>IF(OR(A2256="",B2256=""),"",B2256-WEEKDAY(B2256,2)+1)</f>
        <v/>
      </c>
      <c r="M2256" s="5">
        <f>IF(L2256="","",L2256+6)</f>
        <v/>
      </c>
      <c r="N2256" s="6">
        <f>IF(OR(A2256="",B2256=""),"",DATE(YEAR(B2256),MONTH(B2256),1))</f>
        <v/>
      </c>
      <c r="O2256" s="7">
        <f>IF(COUNTA(A2256:K2256)=0,"",IF(OR(A2256="",B2256=""),"Preencher CPF e entrada",IF(COUNTIFS($A$12:$A$5011,A2256,$B$12:$B$5011,B2256)&gt;1,"CPF + dia duplicado",IF(OR(AND(G2256&lt;&gt;"",G2256&lt;&gt;0,G2256&lt;&gt;1),AND(H2256&lt;&gt;"",H2256&lt;&gt;0,H2256&lt;&gt;1)),"Flags devem ser 0 ou 1",IF(AND(H2256=1,LEN(TRIM(I2256))=0),"Preencher nome do indicante",IF(AND(H2256&lt;&gt;1,I2256&lt;&gt;""),"Nome sem indicação interna",IF(AND(G2256=1,F2256=""),"Fechamento sem conversa",IF(OR(AND(E2256&lt;&gt;"",E2256&lt;B2256),AND(F2256&lt;&gt;"",F2256&lt;B2256)),"Evento anterior à entrada",IF(AND(F2256&lt;&gt;"",E2256=""),"Conversa sem agendamento",IF(OR(E2256&gt;TODAY(),F2256&gt;TODAY()),"Verificar evento futuro","OK"))))))))))</f>
        <v/>
      </c>
    </row>
    <row r="2257" spans="12:15">
      <c r="L2257" s="5">
        <f>IF(OR(A2257="",B2257=""),"",B2257-WEEKDAY(B2257,2)+1)</f>
        <v/>
      </c>
      <c r="M2257" s="5">
        <f>IF(L2257="","",L2257+6)</f>
        <v/>
      </c>
      <c r="N2257" s="6">
        <f>IF(OR(A2257="",B2257=""),"",DATE(YEAR(B2257),MONTH(B2257),1))</f>
        <v/>
      </c>
      <c r="O2257" s="7">
        <f>IF(COUNTA(A2257:K2257)=0,"",IF(OR(A2257="",B2257=""),"Preencher CPF e entrada",IF(COUNTIFS($A$12:$A$5011,A2257,$B$12:$B$5011,B2257)&gt;1,"CPF + dia duplicado",IF(OR(AND(G2257&lt;&gt;"",G2257&lt;&gt;0,G2257&lt;&gt;1),AND(H2257&lt;&gt;"",H2257&lt;&gt;0,H2257&lt;&gt;1)),"Flags devem ser 0 ou 1",IF(AND(H2257=1,LEN(TRIM(I2257))=0),"Preencher nome do indicante",IF(AND(H2257&lt;&gt;1,I2257&lt;&gt;""),"Nome sem indicação interna",IF(AND(G2257=1,F2257=""),"Fechamento sem conversa",IF(OR(AND(E2257&lt;&gt;"",E2257&lt;B2257),AND(F2257&lt;&gt;"",F2257&lt;B2257)),"Evento anterior à entrada",IF(AND(F2257&lt;&gt;"",E2257=""),"Conversa sem agendamento",IF(OR(E2257&gt;TODAY(),F2257&gt;TODAY()),"Verificar evento futuro","OK"))))))))))</f>
        <v/>
      </c>
    </row>
    <row r="2258" spans="12:15">
      <c r="L2258" s="5">
        <f>IF(OR(A2258="",B2258=""),"",B2258-WEEKDAY(B2258,2)+1)</f>
        <v/>
      </c>
      <c r="M2258" s="5">
        <f>IF(L2258="","",L2258+6)</f>
        <v/>
      </c>
      <c r="N2258" s="6">
        <f>IF(OR(A2258="",B2258=""),"",DATE(YEAR(B2258),MONTH(B2258),1))</f>
        <v/>
      </c>
      <c r="O2258" s="7">
        <f>IF(COUNTA(A2258:K2258)=0,"",IF(OR(A2258="",B2258=""),"Preencher CPF e entrada",IF(COUNTIFS($A$12:$A$5011,A2258,$B$12:$B$5011,B2258)&gt;1,"CPF + dia duplicado",IF(OR(AND(G2258&lt;&gt;"",G2258&lt;&gt;0,G2258&lt;&gt;1),AND(H2258&lt;&gt;"",H2258&lt;&gt;0,H2258&lt;&gt;1)),"Flags devem ser 0 ou 1",IF(AND(H2258=1,LEN(TRIM(I2258))=0),"Preencher nome do indicante",IF(AND(H2258&lt;&gt;1,I2258&lt;&gt;""),"Nome sem indicação interna",IF(AND(G2258=1,F2258=""),"Fechamento sem conversa",IF(OR(AND(E2258&lt;&gt;"",E2258&lt;B2258),AND(F2258&lt;&gt;"",F2258&lt;B2258)),"Evento anterior à entrada",IF(AND(F2258&lt;&gt;"",E2258=""),"Conversa sem agendamento",IF(OR(E2258&gt;TODAY(),F2258&gt;TODAY()),"Verificar evento futuro","OK"))))))))))</f>
        <v/>
      </c>
    </row>
    <row r="2259" spans="12:15">
      <c r="L2259" s="5">
        <f>IF(OR(A2259="",B2259=""),"",B2259-WEEKDAY(B2259,2)+1)</f>
        <v/>
      </c>
      <c r="M2259" s="5">
        <f>IF(L2259="","",L2259+6)</f>
        <v/>
      </c>
      <c r="N2259" s="6">
        <f>IF(OR(A2259="",B2259=""),"",DATE(YEAR(B2259),MONTH(B2259),1))</f>
        <v/>
      </c>
      <c r="O2259" s="7">
        <f>IF(COUNTA(A2259:K2259)=0,"",IF(OR(A2259="",B2259=""),"Preencher CPF e entrada",IF(COUNTIFS($A$12:$A$5011,A2259,$B$12:$B$5011,B2259)&gt;1,"CPF + dia duplicado",IF(OR(AND(G2259&lt;&gt;"",G2259&lt;&gt;0,G2259&lt;&gt;1),AND(H2259&lt;&gt;"",H2259&lt;&gt;0,H2259&lt;&gt;1)),"Flags devem ser 0 ou 1",IF(AND(H2259=1,LEN(TRIM(I2259))=0),"Preencher nome do indicante",IF(AND(H2259&lt;&gt;1,I2259&lt;&gt;""),"Nome sem indicação interna",IF(AND(G2259=1,F2259=""),"Fechamento sem conversa",IF(OR(AND(E2259&lt;&gt;"",E2259&lt;B2259),AND(F2259&lt;&gt;"",F2259&lt;B2259)),"Evento anterior à entrada",IF(AND(F2259&lt;&gt;"",E2259=""),"Conversa sem agendamento",IF(OR(E2259&gt;TODAY(),F2259&gt;TODAY()),"Verificar evento futuro","OK"))))))))))</f>
        <v/>
      </c>
    </row>
    <row r="2260" spans="12:15">
      <c r="L2260" s="5">
        <f>IF(OR(A2260="",B2260=""),"",B2260-WEEKDAY(B2260,2)+1)</f>
        <v/>
      </c>
      <c r="M2260" s="5">
        <f>IF(L2260="","",L2260+6)</f>
        <v/>
      </c>
      <c r="N2260" s="6">
        <f>IF(OR(A2260="",B2260=""),"",DATE(YEAR(B2260),MONTH(B2260),1))</f>
        <v/>
      </c>
      <c r="O2260" s="7">
        <f>IF(COUNTA(A2260:K2260)=0,"",IF(OR(A2260="",B2260=""),"Preencher CPF e entrada",IF(COUNTIFS($A$12:$A$5011,A2260,$B$12:$B$5011,B2260)&gt;1,"CPF + dia duplicado",IF(OR(AND(G2260&lt;&gt;"",G2260&lt;&gt;0,G2260&lt;&gt;1),AND(H2260&lt;&gt;"",H2260&lt;&gt;0,H2260&lt;&gt;1)),"Flags devem ser 0 ou 1",IF(AND(H2260=1,LEN(TRIM(I2260))=0),"Preencher nome do indicante",IF(AND(H2260&lt;&gt;1,I2260&lt;&gt;""),"Nome sem indicação interna",IF(AND(G2260=1,F2260=""),"Fechamento sem conversa",IF(OR(AND(E2260&lt;&gt;"",E2260&lt;B2260),AND(F2260&lt;&gt;"",F2260&lt;B2260)),"Evento anterior à entrada",IF(AND(F2260&lt;&gt;"",E2260=""),"Conversa sem agendamento",IF(OR(E2260&gt;TODAY(),F2260&gt;TODAY()),"Verificar evento futuro","OK"))))))))))</f>
        <v/>
      </c>
    </row>
    <row r="2261" spans="12:15">
      <c r="L2261" s="5">
        <f>IF(OR(A2261="",B2261=""),"",B2261-WEEKDAY(B2261,2)+1)</f>
        <v/>
      </c>
      <c r="M2261" s="5">
        <f>IF(L2261="","",L2261+6)</f>
        <v/>
      </c>
      <c r="N2261" s="6">
        <f>IF(OR(A2261="",B2261=""),"",DATE(YEAR(B2261),MONTH(B2261),1))</f>
        <v/>
      </c>
      <c r="O2261" s="7">
        <f>IF(COUNTA(A2261:K2261)=0,"",IF(OR(A2261="",B2261=""),"Preencher CPF e entrada",IF(COUNTIFS($A$12:$A$5011,A2261,$B$12:$B$5011,B2261)&gt;1,"CPF + dia duplicado",IF(OR(AND(G2261&lt;&gt;"",G2261&lt;&gt;0,G2261&lt;&gt;1),AND(H2261&lt;&gt;"",H2261&lt;&gt;0,H2261&lt;&gt;1)),"Flags devem ser 0 ou 1",IF(AND(H2261=1,LEN(TRIM(I2261))=0),"Preencher nome do indicante",IF(AND(H2261&lt;&gt;1,I2261&lt;&gt;""),"Nome sem indicação interna",IF(AND(G2261=1,F2261=""),"Fechamento sem conversa",IF(OR(AND(E2261&lt;&gt;"",E2261&lt;B2261),AND(F2261&lt;&gt;"",F2261&lt;B2261)),"Evento anterior à entrada",IF(AND(F2261&lt;&gt;"",E2261=""),"Conversa sem agendamento",IF(OR(E2261&gt;TODAY(),F2261&gt;TODAY()),"Verificar evento futuro","OK"))))))))))</f>
        <v/>
      </c>
    </row>
    <row r="2262" spans="12:15">
      <c r="L2262" s="5">
        <f>IF(OR(A2262="",B2262=""),"",B2262-WEEKDAY(B2262,2)+1)</f>
        <v/>
      </c>
      <c r="M2262" s="5">
        <f>IF(L2262="","",L2262+6)</f>
        <v/>
      </c>
      <c r="N2262" s="6">
        <f>IF(OR(A2262="",B2262=""),"",DATE(YEAR(B2262),MONTH(B2262),1))</f>
        <v/>
      </c>
      <c r="O2262" s="7">
        <f>IF(COUNTA(A2262:K2262)=0,"",IF(OR(A2262="",B2262=""),"Preencher CPF e entrada",IF(COUNTIFS($A$12:$A$5011,A2262,$B$12:$B$5011,B2262)&gt;1,"CPF + dia duplicado",IF(OR(AND(G2262&lt;&gt;"",G2262&lt;&gt;0,G2262&lt;&gt;1),AND(H2262&lt;&gt;"",H2262&lt;&gt;0,H2262&lt;&gt;1)),"Flags devem ser 0 ou 1",IF(AND(H2262=1,LEN(TRIM(I2262))=0),"Preencher nome do indicante",IF(AND(H2262&lt;&gt;1,I2262&lt;&gt;""),"Nome sem indicação interna",IF(AND(G2262=1,F2262=""),"Fechamento sem conversa",IF(OR(AND(E2262&lt;&gt;"",E2262&lt;B2262),AND(F2262&lt;&gt;"",F2262&lt;B2262)),"Evento anterior à entrada",IF(AND(F2262&lt;&gt;"",E2262=""),"Conversa sem agendamento",IF(OR(E2262&gt;TODAY(),F2262&gt;TODAY()),"Verificar evento futuro","OK"))))))))))</f>
        <v/>
      </c>
    </row>
    <row r="2263" spans="12:15">
      <c r="L2263" s="5">
        <f>IF(OR(A2263="",B2263=""),"",B2263-WEEKDAY(B2263,2)+1)</f>
        <v/>
      </c>
      <c r="M2263" s="5">
        <f>IF(L2263="","",L2263+6)</f>
        <v/>
      </c>
      <c r="N2263" s="6">
        <f>IF(OR(A2263="",B2263=""),"",DATE(YEAR(B2263),MONTH(B2263),1))</f>
        <v/>
      </c>
      <c r="O2263" s="7">
        <f>IF(COUNTA(A2263:K2263)=0,"",IF(OR(A2263="",B2263=""),"Preencher CPF e entrada",IF(COUNTIFS($A$12:$A$5011,A2263,$B$12:$B$5011,B2263)&gt;1,"CPF + dia duplicado",IF(OR(AND(G2263&lt;&gt;"",G2263&lt;&gt;0,G2263&lt;&gt;1),AND(H2263&lt;&gt;"",H2263&lt;&gt;0,H2263&lt;&gt;1)),"Flags devem ser 0 ou 1",IF(AND(H2263=1,LEN(TRIM(I2263))=0),"Preencher nome do indicante",IF(AND(H2263&lt;&gt;1,I2263&lt;&gt;""),"Nome sem indicação interna",IF(AND(G2263=1,F2263=""),"Fechamento sem conversa",IF(OR(AND(E2263&lt;&gt;"",E2263&lt;B2263),AND(F2263&lt;&gt;"",F2263&lt;B2263)),"Evento anterior à entrada",IF(AND(F2263&lt;&gt;"",E2263=""),"Conversa sem agendamento",IF(OR(E2263&gt;TODAY(),F2263&gt;TODAY()),"Verificar evento futuro","OK"))))))))))</f>
        <v/>
      </c>
    </row>
    <row r="2264" spans="12:15">
      <c r="L2264" s="5">
        <f>IF(OR(A2264="",B2264=""),"",B2264-WEEKDAY(B2264,2)+1)</f>
        <v/>
      </c>
      <c r="M2264" s="5">
        <f>IF(L2264="","",L2264+6)</f>
        <v/>
      </c>
      <c r="N2264" s="6">
        <f>IF(OR(A2264="",B2264=""),"",DATE(YEAR(B2264),MONTH(B2264),1))</f>
        <v/>
      </c>
      <c r="O2264" s="7">
        <f>IF(COUNTA(A2264:K2264)=0,"",IF(OR(A2264="",B2264=""),"Preencher CPF e entrada",IF(COUNTIFS($A$12:$A$5011,A2264,$B$12:$B$5011,B2264)&gt;1,"CPF + dia duplicado",IF(OR(AND(G2264&lt;&gt;"",G2264&lt;&gt;0,G2264&lt;&gt;1),AND(H2264&lt;&gt;"",H2264&lt;&gt;0,H2264&lt;&gt;1)),"Flags devem ser 0 ou 1",IF(AND(H2264=1,LEN(TRIM(I2264))=0),"Preencher nome do indicante",IF(AND(H2264&lt;&gt;1,I2264&lt;&gt;""),"Nome sem indicação interna",IF(AND(G2264=1,F2264=""),"Fechamento sem conversa",IF(OR(AND(E2264&lt;&gt;"",E2264&lt;B2264),AND(F2264&lt;&gt;"",F2264&lt;B2264)),"Evento anterior à entrada",IF(AND(F2264&lt;&gt;"",E2264=""),"Conversa sem agendamento",IF(OR(E2264&gt;TODAY(),F2264&gt;TODAY()),"Verificar evento futuro","OK"))))))))))</f>
        <v/>
      </c>
    </row>
    <row r="2265" spans="12:15">
      <c r="L2265" s="5">
        <f>IF(OR(A2265="",B2265=""),"",B2265-WEEKDAY(B2265,2)+1)</f>
        <v/>
      </c>
      <c r="M2265" s="5">
        <f>IF(L2265="","",L2265+6)</f>
        <v/>
      </c>
      <c r="N2265" s="6">
        <f>IF(OR(A2265="",B2265=""),"",DATE(YEAR(B2265),MONTH(B2265),1))</f>
        <v/>
      </c>
      <c r="O2265" s="7">
        <f>IF(COUNTA(A2265:K2265)=0,"",IF(OR(A2265="",B2265=""),"Preencher CPF e entrada",IF(COUNTIFS($A$12:$A$5011,A2265,$B$12:$B$5011,B2265)&gt;1,"CPF + dia duplicado",IF(OR(AND(G2265&lt;&gt;"",G2265&lt;&gt;0,G2265&lt;&gt;1),AND(H2265&lt;&gt;"",H2265&lt;&gt;0,H2265&lt;&gt;1)),"Flags devem ser 0 ou 1",IF(AND(H2265=1,LEN(TRIM(I2265))=0),"Preencher nome do indicante",IF(AND(H2265&lt;&gt;1,I2265&lt;&gt;""),"Nome sem indicação interna",IF(AND(G2265=1,F2265=""),"Fechamento sem conversa",IF(OR(AND(E2265&lt;&gt;"",E2265&lt;B2265),AND(F2265&lt;&gt;"",F2265&lt;B2265)),"Evento anterior à entrada",IF(AND(F2265&lt;&gt;"",E2265=""),"Conversa sem agendamento",IF(OR(E2265&gt;TODAY(),F2265&gt;TODAY()),"Verificar evento futuro","OK"))))))))))</f>
        <v/>
      </c>
    </row>
    <row r="2266" spans="12:15">
      <c r="L2266" s="5">
        <f>IF(OR(A2266="",B2266=""),"",B2266-WEEKDAY(B2266,2)+1)</f>
        <v/>
      </c>
      <c r="M2266" s="5">
        <f>IF(L2266="","",L2266+6)</f>
        <v/>
      </c>
      <c r="N2266" s="6">
        <f>IF(OR(A2266="",B2266=""),"",DATE(YEAR(B2266),MONTH(B2266),1))</f>
        <v/>
      </c>
      <c r="O2266" s="7">
        <f>IF(COUNTA(A2266:K2266)=0,"",IF(OR(A2266="",B2266=""),"Preencher CPF e entrada",IF(COUNTIFS($A$12:$A$5011,A2266,$B$12:$B$5011,B2266)&gt;1,"CPF + dia duplicado",IF(OR(AND(G2266&lt;&gt;"",G2266&lt;&gt;0,G2266&lt;&gt;1),AND(H2266&lt;&gt;"",H2266&lt;&gt;0,H2266&lt;&gt;1)),"Flags devem ser 0 ou 1",IF(AND(H2266=1,LEN(TRIM(I2266))=0),"Preencher nome do indicante",IF(AND(H2266&lt;&gt;1,I2266&lt;&gt;""),"Nome sem indicação interna",IF(AND(G2266=1,F2266=""),"Fechamento sem conversa",IF(OR(AND(E2266&lt;&gt;"",E2266&lt;B2266),AND(F2266&lt;&gt;"",F2266&lt;B2266)),"Evento anterior à entrada",IF(AND(F2266&lt;&gt;"",E2266=""),"Conversa sem agendamento",IF(OR(E2266&gt;TODAY(),F2266&gt;TODAY()),"Verificar evento futuro","OK"))))))))))</f>
        <v/>
      </c>
    </row>
    <row r="2267" spans="12:15">
      <c r="L2267" s="5">
        <f>IF(OR(A2267="",B2267=""),"",B2267-WEEKDAY(B2267,2)+1)</f>
        <v/>
      </c>
      <c r="M2267" s="5">
        <f>IF(L2267="","",L2267+6)</f>
        <v/>
      </c>
      <c r="N2267" s="6">
        <f>IF(OR(A2267="",B2267=""),"",DATE(YEAR(B2267),MONTH(B2267),1))</f>
        <v/>
      </c>
      <c r="O2267" s="7">
        <f>IF(COUNTA(A2267:K2267)=0,"",IF(OR(A2267="",B2267=""),"Preencher CPF e entrada",IF(COUNTIFS($A$12:$A$5011,A2267,$B$12:$B$5011,B2267)&gt;1,"CPF + dia duplicado",IF(OR(AND(G2267&lt;&gt;"",G2267&lt;&gt;0,G2267&lt;&gt;1),AND(H2267&lt;&gt;"",H2267&lt;&gt;0,H2267&lt;&gt;1)),"Flags devem ser 0 ou 1",IF(AND(H2267=1,LEN(TRIM(I2267))=0),"Preencher nome do indicante",IF(AND(H2267&lt;&gt;1,I2267&lt;&gt;""),"Nome sem indicação interna",IF(AND(G2267=1,F2267=""),"Fechamento sem conversa",IF(OR(AND(E2267&lt;&gt;"",E2267&lt;B2267),AND(F2267&lt;&gt;"",F2267&lt;B2267)),"Evento anterior à entrada",IF(AND(F2267&lt;&gt;"",E2267=""),"Conversa sem agendamento",IF(OR(E2267&gt;TODAY(),F2267&gt;TODAY()),"Verificar evento futuro","OK"))))))))))</f>
        <v/>
      </c>
    </row>
    <row r="2268" spans="12:15">
      <c r="L2268" s="5">
        <f>IF(OR(A2268="",B2268=""),"",B2268-WEEKDAY(B2268,2)+1)</f>
        <v/>
      </c>
      <c r="M2268" s="5">
        <f>IF(L2268="","",L2268+6)</f>
        <v/>
      </c>
      <c r="N2268" s="6">
        <f>IF(OR(A2268="",B2268=""),"",DATE(YEAR(B2268),MONTH(B2268),1))</f>
        <v/>
      </c>
      <c r="O2268" s="7">
        <f>IF(COUNTA(A2268:K2268)=0,"",IF(OR(A2268="",B2268=""),"Preencher CPF e entrada",IF(COUNTIFS($A$12:$A$5011,A2268,$B$12:$B$5011,B2268)&gt;1,"CPF + dia duplicado",IF(OR(AND(G2268&lt;&gt;"",G2268&lt;&gt;0,G2268&lt;&gt;1),AND(H2268&lt;&gt;"",H2268&lt;&gt;0,H2268&lt;&gt;1)),"Flags devem ser 0 ou 1",IF(AND(H2268=1,LEN(TRIM(I2268))=0),"Preencher nome do indicante",IF(AND(H2268&lt;&gt;1,I2268&lt;&gt;""),"Nome sem indicação interna",IF(AND(G2268=1,F2268=""),"Fechamento sem conversa",IF(OR(AND(E2268&lt;&gt;"",E2268&lt;B2268),AND(F2268&lt;&gt;"",F2268&lt;B2268)),"Evento anterior à entrada",IF(AND(F2268&lt;&gt;"",E2268=""),"Conversa sem agendamento",IF(OR(E2268&gt;TODAY(),F2268&gt;TODAY()),"Verificar evento futuro","OK"))))))))))</f>
        <v/>
      </c>
    </row>
    <row r="2269" spans="12:15">
      <c r="L2269" s="5">
        <f>IF(OR(A2269="",B2269=""),"",B2269-WEEKDAY(B2269,2)+1)</f>
        <v/>
      </c>
      <c r="M2269" s="5">
        <f>IF(L2269="","",L2269+6)</f>
        <v/>
      </c>
      <c r="N2269" s="6">
        <f>IF(OR(A2269="",B2269=""),"",DATE(YEAR(B2269),MONTH(B2269),1))</f>
        <v/>
      </c>
      <c r="O2269" s="7">
        <f>IF(COUNTA(A2269:K2269)=0,"",IF(OR(A2269="",B2269=""),"Preencher CPF e entrada",IF(COUNTIFS($A$12:$A$5011,A2269,$B$12:$B$5011,B2269)&gt;1,"CPF + dia duplicado",IF(OR(AND(G2269&lt;&gt;"",G2269&lt;&gt;0,G2269&lt;&gt;1),AND(H2269&lt;&gt;"",H2269&lt;&gt;0,H2269&lt;&gt;1)),"Flags devem ser 0 ou 1",IF(AND(H2269=1,LEN(TRIM(I2269))=0),"Preencher nome do indicante",IF(AND(H2269&lt;&gt;1,I2269&lt;&gt;""),"Nome sem indicação interna",IF(AND(G2269=1,F2269=""),"Fechamento sem conversa",IF(OR(AND(E2269&lt;&gt;"",E2269&lt;B2269),AND(F2269&lt;&gt;"",F2269&lt;B2269)),"Evento anterior à entrada",IF(AND(F2269&lt;&gt;"",E2269=""),"Conversa sem agendamento",IF(OR(E2269&gt;TODAY(),F2269&gt;TODAY()),"Verificar evento futuro","OK"))))))))))</f>
        <v/>
      </c>
    </row>
    <row r="2270" spans="12:15">
      <c r="L2270" s="5">
        <f>IF(OR(A2270="",B2270=""),"",B2270-WEEKDAY(B2270,2)+1)</f>
        <v/>
      </c>
      <c r="M2270" s="5">
        <f>IF(L2270="","",L2270+6)</f>
        <v/>
      </c>
      <c r="N2270" s="6">
        <f>IF(OR(A2270="",B2270=""),"",DATE(YEAR(B2270),MONTH(B2270),1))</f>
        <v/>
      </c>
      <c r="O2270" s="7">
        <f>IF(COUNTA(A2270:K2270)=0,"",IF(OR(A2270="",B2270=""),"Preencher CPF e entrada",IF(COUNTIFS($A$12:$A$5011,A2270,$B$12:$B$5011,B2270)&gt;1,"CPF + dia duplicado",IF(OR(AND(G2270&lt;&gt;"",G2270&lt;&gt;0,G2270&lt;&gt;1),AND(H2270&lt;&gt;"",H2270&lt;&gt;0,H2270&lt;&gt;1)),"Flags devem ser 0 ou 1",IF(AND(H2270=1,LEN(TRIM(I2270))=0),"Preencher nome do indicante",IF(AND(H2270&lt;&gt;1,I2270&lt;&gt;""),"Nome sem indicação interna",IF(AND(G2270=1,F2270=""),"Fechamento sem conversa",IF(OR(AND(E2270&lt;&gt;"",E2270&lt;B2270),AND(F2270&lt;&gt;"",F2270&lt;B2270)),"Evento anterior à entrada",IF(AND(F2270&lt;&gt;"",E2270=""),"Conversa sem agendamento",IF(OR(E2270&gt;TODAY(),F2270&gt;TODAY()),"Verificar evento futuro","OK"))))))))))</f>
        <v/>
      </c>
    </row>
    <row r="2271" spans="12:15">
      <c r="L2271" s="5">
        <f>IF(OR(A2271="",B2271=""),"",B2271-WEEKDAY(B2271,2)+1)</f>
        <v/>
      </c>
      <c r="M2271" s="5">
        <f>IF(L2271="","",L2271+6)</f>
        <v/>
      </c>
      <c r="N2271" s="6">
        <f>IF(OR(A2271="",B2271=""),"",DATE(YEAR(B2271),MONTH(B2271),1))</f>
        <v/>
      </c>
      <c r="O2271" s="7">
        <f>IF(COUNTA(A2271:K2271)=0,"",IF(OR(A2271="",B2271=""),"Preencher CPF e entrada",IF(COUNTIFS($A$12:$A$5011,A2271,$B$12:$B$5011,B2271)&gt;1,"CPF + dia duplicado",IF(OR(AND(G2271&lt;&gt;"",G2271&lt;&gt;0,G2271&lt;&gt;1),AND(H2271&lt;&gt;"",H2271&lt;&gt;0,H2271&lt;&gt;1)),"Flags devem ser 0 ou 1",IF(AND(H2271=1,LEN(TRIM(I2271))=0),"Preencher nome do indicante",IF(AND(H2271&lt;&gt;1,I2271&lt;&gt;""),"Nome sem indicação interna",IF(AND(G2271=1,F2271=""),"Fechamento sem conversa",IF(OR(AND(E2271&lt;&gt;"",E2271&lt;B2271),AND(F2271&lt;&gt;"",F2271&lt;B2271)),"Evento anterior à entrada",IF(AND(F2271&lt;&gt;"",E2271=""),"Conversa sem agendamento",IF(OR(E2271&gt;TODAY(),F2271&gt;TODAY()),"Verificar evento futuro","OK"))))))))))</f>
        <v/>
      </c>
    </row>
    <row r="2272" spans="12:15">
      <c r="L2272" s="5">
        <f>IF(OR(A2272="",B2272=""),"",B2272-WEEKDAY(B2272,2)+1)</f>
        <v/>
      </c>
      <c r="M2272" s="5">
        <f>IF(L2272="","",L2272+6)</f>
        <v/>
      </c>
      <c r="N2272" s="6">
        <f>IF(OR(A2272="",B2272=""),"",DATE(YEAR(B2272),MONTH(B2272),1))</f>
        <v/>
      </c>
      <c r="O2272" s="7">
        <f>IF(COUNTA(A2272:K2272)=0,"",IF(OR(A2272="",B2272=""),"Preencher CPF e entrada",IF(COUNTIFS($A$12:$A$5011,A2272,$B$12:$B$5011,B2272)&gt;1,"CPF + dia duplicado",IF(OR(AND(G2272&lt;&gt;"",G2272&lt;&gt;0,G2272&lt;&gt;1),AND(H2272&lt;&gt;"",H2272&lt;&gt;0,H2272&lt;&gt;1)),"Flags devem ser 0 ou 1",IF(AND(H2272=1,LEN(TRIM(I2272))=0),"Preencher nome do indicante",IF(AND(H2272&lt;&gt;1,I2272&lt;&gt;""),"Nome sem indicação interna",IF(AND(G2272=1,F2272=""),"Fechamento sem conversa",IF(OR(AND(E2272&lt;&gt;"",E2272&lt;B2272),AND(F2272&lt;&gt;"",F2272&lt;B2272)),"Evento anterior à entrada",IF(AND(F2272&lt;&gt;"",E2272=""),"Conversa sem agendamento",IF(OR(E2272&gt;TODAY(),F2272&gt;TODAY()),"Verificar evento futuro","OK"))))))))))</f>
        <v/>
      </c>
    </row>
    <row r="2273" spans="12:15">
      <c r="L2273" s="5">
        <f>IF(OR(A2273="",B2273=""),"",B2273-WEEKDAY(B2273,2)+1)</f>
        <v/>
      </c>
      <c r="M2273" s="5">
        <f>IF(L2273="","",L2273+6)</f>
        <v/>
      </c>
      <c r="N2273" s="6">
        <f>IF(OR(A2273="",B2273=""),"",DATE(YEAR(B2273),MONTH(B2273),1))</f>
        <v/>
      </c>
      <c r="O2273" s="7">
        <f>IF(COUNTA(A2273:K2273)=0,"",IF(OR(A2273="",B2273=""),"Preencher CPF e entrada",IF(COUNTIFS($A$12:$A$5011,A2273,$B$12:$B$5011,B2273)&gt;1,"CPF + dia duplicado",IF(OR(AND(G2273&lt;&gt;"",G2273&lt;&gt;0,G2273&lt;&gt;1),AND(H2273&lt;&gt;"",H2273&lt;&gt;0,H2273&lt;&gt;1)),"Flags devem ser 0 ou 1",IF(AND(H2273=1,LEN(TRIM(I2273))=0),"Preencher nome do indicante",IF(AND(H2273&lt;&gt;1,I2273&lt;&gt;""),"Nome sem indicação interna",IF(AND(G2273=1,F2273=""),"Fechamento sem conversa",IF(OR(AND(E2273&lt;&gt;"",E2273&lt;B2273),AND(F2273&lt;&gt;"",F2273&lt;B2273)),"Evento anterior à entrada",IF(AND(F2273&lt;&gt;"",E2273=""),"Conversa sem agendamento",IF(OR(E2273&gt;TODAY(),F2273&gt;TODAY()),"Verificar evento futuro","OK"))))))))))</f>
        <v/>
      </c>
    </row>
    <row r="2274" spans="12:15">
      <c r="L2274" s="5">
        <f>IF(OR(A2274="",B2274=""),"",B2274-WEEKDAY(B2274,2)+1)</f>
        <v/>
      </c>
      <c r="M2274" s="5">
        <f>IF(L2274="","",L2274+6)</f>
        <v/>
      </c>
      <c r="N2274" s="6">
        <f>IF(OR(A2274="",B2274=""),"",DATE(YEAR(B2274),MONTH(B2274),1))</f>
        <v/>
      </c>
      <c r="O2274" s="7">
        <f>IF(COUNTA(A2274:K2274)=0,"",IF(OR(A2274="",B2274=""),"Preencher CPF e entrada",IF(COUNTIFS($A$12:$A$5011,A2274,$B$12:$B$5011,B2274)&gt;1,"CPF + dia duplicado",IF(OR(AND(G2274&lt;&gt;"",G2274&lt;&gt;0,G2274&lt;&gt;1),AND(H2274&lt;&gt;"",H2274&lt;&gt;0,H2274&lt;&gt;1)),"Flags devem ser 0 ou 1",IF(AND(H2274=1,LEN(TRIM(I2274))=0),"Preencher nome do indicante",IF(AND(H2274&lt;&gt;1,I2274&lt;&gt;""),"Nome sem indicação interna",IF(AND(G2274=1,F2274=""),"Fechamento sem conversa",IF(OR(AND(E2274&lt;&gt;"",E2274&lt;B2274),AND(F2274&lt;&gt;"",F2274&lt;B2274)),"Evento anterior à entrada",IF(AND(F2274&lt;&gt;"",E2274=""),"Conversa sem agendamento",IF(OR(E2274&gt;TODAY(),F2274&gt;TODAY()),"Verificar evento futuro","OK"))))))))))</f>
        <v/>
      </c>
    </row>
    <row r="2275" spans="12:15">
      <c r="L2275" s="5">
        <f>IF(OR(A2275="",B2275=""),"",B2275-WEEKDAY(B2275,2)+1)</f>
        <v/>
      </c>
      <c r="M2275" s="5">
        <f>IF(L2275="","",L2275+6)</f>
        <v/>
      </c>
      <c r="N2275" s="6">
        <f>IF(OR(A2275="",B2275=""),"",DATE(YEAR(B2275),MONTH(B2275),1))</f>
        <v/>
      </c>
      <c r="O2275" s="7">
        <f>IF(COUNTA(A2275:K2275)=0,"",IF(OR(A2275="",B2275=""),"Preencher CPF e entrada",IF(COUNTIFS($A$12:$A$5011,A2275,$B$12:$B$5011,B2275)&gt;1,"CPF + dia duplicado",IF(OR(AND(G2275&lt;&gt;"",G2275&lt;&gt;0,G2275&lt;&gt;1),AND(H2275&lt;&gt;"",H2275&lt;&gt;0,H2275&lt;&gt;1)),"Flags devem ser 0 ou 1",IF(AND(H2275=1,LEN(TRIM(I2275))=0),"Preencher nome do indicante",IF(AND(H2275&lt;&gt;1,I2275&lt;&gt;""),"Nome sem indicação interna",IF(AND(G2275=1,F2275=""),"Fechamento sem conversa",IF(OR(AND(E2275&lt;&gt;"",E2275&lt;B2275),AND(F2275&lt;&gt;"",F2275&lt;B2275)),"Evento anterior à entrada",IF(AND(F2275&lt;&gt;"",E2275=""),"Conversa sem agendamento",IF(OR(E2275&gt;TODAY(),F2275&gt;TODAY()),"Verificar evento futuro","OK"))))))))))</f>
        <v/>
      </c>
    </row>
    <row r="2276" spans="12:15">
      <c r="L2276" s="5">
        <f>IF(OR(A2276="",B2276=""),"",B2276-WEEKDAY(B2276,2)+1)</f>
        <v/>
      </c>
      <c r="M2276" s="5">
        <f>IF(L2276="","",L2276+6)</f>
        <v/>
      </c>
      <c r="N2276" s="6">
        <f>IF(OR(A2276="",B2276=""),"",DATE(YEAR(B2276),MONTH(B2276),1))</f>
        <v/>
      </c>
      <c r="O2276" s="7">
        <f>IF(COUNTA(A2276:K2276)=0,"",IF(OR(A2276="",B2276=""),"Preencher CPF e entrada",IF(COUNTIFS($A$12:$A$5011,A2276,$B$12:$B$5011,B2276)&gt;1,"CPF + dia duplicado",IF(OR(AND(G2276&lt;&gt;"",G2276&lt;&gt;0,G2276&lt;&gt;1),AND(H2276&lt;&gt;"",H2276&lt;&gt;0,H2276&lt;&gt;1)),"Flags devem ser 0 ou 1",IF(AND(H2276=1,LEN(TRIM(I2276))=0),"Preencher nome do indicante",IF(AND(H2276&lt;&gt;1,I2276&lt;&gt;""),"Nome sem indicação interna",IF(AND(G2276=1,F2276=""),"Fechamento sem conversa",IF(OR(AND(E2276&lt;&gt;"",E2276&lt;B2276),AND(F2276&lt;&gt;"",F2276&lt;B2276)),"Evento anterior à entrada",IF(AND(F2276&lt;&gt;"",E2276=""),"Conversa sem agendamento",IF(OR(E2276&gt;TODAY(),F2276&gt;TODAY()),"Verificar evento futuro","OK"))))))))))</f>
        <v/>
      </c>
    </row>
    <row r="2277" spans="12:15">
      <c r="L2277" s="5">
        <f>IF(OR(A2277="",B2277=""),"",B2277-WEEKDAY(B2277,2)+1)</f>
        <v/>
      </c>
      <c r="M2277" s="5">
        <f>IF(L2277="","",L2277+6)</f>
        <v/>
      </c>
      <c r="N2277" s="6">
        <f>IF(OR(A2277="",B2277=""),"",DATE(YEAR(B2277),MONTH(B2277),1))</f>
        <v/>
      </c>
      <c r="O2277" s="7">
        <f>IF(COUNTA(A2277:K2277)=0,"",IF(OR(A2277="",B2277=""),"Preencher CPF e entrada",IF(COUNTIFS($A$12:$A$5011,A2277,$B$12:$B$5011,B2277)&gt;1,"CPF + dia duplicado",IF(OR(AND(G2277&lt;&gt;"",G2277&lt;&gt;0,G2277&lt;&gt;1),AND(H2277&lt;&gt;"",H2277&lt;&gt;0,H2277&lt;&gt;1)),"Flags devem ser 0 ou 1",IF(AND(H2277=1,LEN(TRIM(I2277))=0),"Preencher nome do indicante",IF(AND(H2277&lt;&gt;1,I2277&lt;&gt;""),"Nome sem indicação interna",IF(AND(G2277=1,F2277=""),"Fechamento sem conversa",IF(OR(AND(E2277&lt;&gt;"",E2277&lt;B2277),AND(F2277&lt;&gt;"",F2277&lt;B2277)),"Evento anterior à entrada",IF(AND(F2277&lt;&gt;"",E2277=""),"Conversa sem agendamento",IF(OR(E2277&gt;TODAY(),F2277&gt;TODAY()),"Verificar evento futuro","OK"))))))))))</f>
        <v/>
      </c>
    </row>
    <row r="2278" spans="12:15">
      <c r="L2278" s="5">
        <f>IF(OR(A2278="",B2278=""),"",B2278-WEEKDAY(B2278,2)+1)</f>
        <v/>
      </c>
      <c r="M2278" s="5">
        <f>IF(L2278="","",L2278+6)</f>
        <v/>
      </c>
      <c r="N2278" s="6">
        <f>IF(OR(A2278="",B2278=""),"",DATE(YEAR(B2278),MONTH(B2278),1))</f>
        <v/>
      </c>
      <c r="O2278" s="7">
        <f>IF(COUNTA(A2278:K2278)=0,"",IF(OR(A2278="",B2278=""),"Preencher CPF e entrada",IF(COUNTIFS($A$12:$A$5011,A2278,$B$12:$B$5011,B2278)&gt;1,"CPF + dia duplicado",IF(OR(AND(G2278&lt;&gt;"",G2278&lt;&gt;0,G2278&lt;&gt;1),AND(H2278&lt;&gt;"",H2278&lt;&gt;0,H2278&lt;&gt;1)),"Flags devem ser 0 ou 1",IF(AND(H2278=1,LEN(TRIM(I2278))=0),"Preencher nome do indicante",IF(AND(H2278&lt;&gt;1,I2278&lt;&gt;""),"Nome sem indicação interna",IF(AND(G2278=1,F2278=""),"Fechamento sem conversa",IF(OR(AND(E2278&lt;&gt;"",E2278&lt;B2278),AND(F2278&lt;&gt;"",F2278&lt;B2278)),"Evento anterior à entrada",IF(AND(F2278&lt;&gt;"",E2278=""),"Conversa sem agendamento",IF(OR(E2278&gt;TODAY(),F2278&gt;TODAY()),"Verificar evento futuro","OK"))))))))))</f>
        <v/>
      </c>
    </row>
    <row r="2279" spans="12:15">
      <c r="L2279" s="5">
        <f>IF(OR(A2279="",B2279=""),"",B2279-WEEKDAY(B2279,2)+1)</f>
        <v/>
      </c>
      <c r="M2279" s="5">
        <f>IF(L2279="","",L2279+6)</f>
        <v/>
      </c>
      <c r="N2279" s="6">
        <f>IF(OR(A2279="",B2279=""),"",DATE(YEAR(B2279),MONTH(B2279),1))</f>
        <v/>
      </c>
      <c r="O2279" s="7">
        <f>IF(COUNTA(A2279:K2279)=0,"",IF(OR(A2279="",B2279=""),"Preencher CPF e entrada",IF(COUNTIFS($A$12:$A$5011,A2279,$B$12:$B$5011,B2279)&gt;1,"CPF + dia duplicado",IF(OR(AND(G2279&lt;&gt;"",G2279&lt;&gt;0,G2279&lt;&gt;1),AND(H2279&lt;&gt;"",H2279&lt;&gt;0,H2279&lt;&gt;1)),"Flags devem ser 0 ou 1",IF(AND(H2279=1,LEN(TRIM(I2279))=0),"Preencher nome do indicante",IF(AND(H2279&lt;&gt;1,I2279&lt;&gt;""),"Nome sem indicação interna",IF(AND(G2279=1,F2279=""),"Fechamento sem conversa",IF(OR(AND(E2279&lt;&gt;"",E2279&lt;B2279),AND(F2279&lt;&gt;"",F2279&lt;B2279)),"Evento anterior à entrada",IF(AND(F2279&lt;&gt;"",E2279=""),"Conversa sem agendamento",IF(OR(E2279&gt;TODAY(),F2279&gt;TODAY()),"Verificar evento futuro","OK"))))))))))</f>
        <v/>
      </c>
    </row>
    <row r="2280" spans="12:15">
      <c r="L2280" s="5">
        <f>IF(OR(A2280="",B2280=""),"",B2280-WEEKDAY(B2280,2)+1)</f>
        <v/>
      </c>
      <c r="M2280" s="5">
        <f>IF(L2280="","",L2280+6)</f>
        <v/>
      </c>
      <c r="N2280" s="6">
        <f>IF(OR(A2280="",B2280=""),"",DATE(YEAR(B2280),MONTH(B2280),1))</f>
        <v/>
      </c>
      <c r="O2280" s="7">
        <f>IF(COUNTA(A2280:K2280)=0,"",IF(OR(A2280="",B2280=""),"Preencher CPF e entrada",IF(COUNTIFS($A$12:$A$5011,A2280,$B$12:$B$5011,B2280)&gt;1,"CPF + dia duplicado",IF(OR(AND(G2280&lt;&gt;"",G2280&lt;&gt;0,G2280&lt;&gt;1),AND(H2280&lt;&gt;"",H2280&lt;&gt;0,H2280&lt;&gt;1)),"Flags devem ser 0 ou 1",IF(AND(H2280=1,LEN(TRIM(I2280))=0),"Preencher nome do indicante",IF(AND(H2280&lt;&gt;1,I2280&lt;&gt;""),"Nome sem indicação interna",IF(AND(G2280=1,F2280=""),"Fechamento sem conversa",IF(OR(AND(E2280&lt;&gt;"",E2280&lt;B2280),AND(F2280&lt;&gt;"",F2280&lt;B2280)),"Evento anterior à entrada",IF(AND(F2280&lt;&gt;"",E2280=""),"Conversa sem agendamento",IF(OR(E2280&gt;TODAY(),F2280&gt;TODAY()),"Verificar evento futuro","OK"))))))))))</f>
        <v/>
      </c>
    </row>
    <row r="2281" spans="12:15">
      <c r="L2281" s="5">
        <f>IF(OR(A2281="",B2281=""),"",B2281-WEEKDAY(B2281,2)+1)</f>
        <v/>
      </c>
      <c r="M2281" s="5">
        <f>IF(L2281="","",L2281+6)</f>
        <v/>
      </c>
      <c r="N2281" s="6">
        <f>IF(OR(A2281="",B2281=""),"",DATE(YEAR(B2281),MONTH(B2281),1))</f>
        <v/>
      </c>
      <c r="O2281" s="7">
        <f>IF(COUNTA(A2281:K2281)=0,"",IF(OR(A2281="",B2281=""),"Preencher CPF e entrada",IF(COUNTIFS($A$12:$A$5011,A2281,$B$12:$B$5011,B2281)&gt;1,"CPF + dia duplicado",IF(OR(AND(G2281&lt;&gt;"",G2281&lt;&gt;0,G2281&lt;&gt;1),AND(H2281&lt;&gt;"",H2281&lt;&gt;0,H2281&lt;&gt;1)),"Flags devem ser 0 ou 1",IF(AND(H2281=1,LEN(TRIM(I2281))=0),"Preencher nome do indicante",IF(AND(H2281&lt;&gt;1,I2281&lt;&gt;""),"Nome sem indicação interna",IF(AND(G2281=1,F2281=""),"Fechamento sem conversa",IF(OR(AND(E2281&lt;&gt;"",E2281&lt;B2281),AND(F2281&lt;&gt;"",F2281&lt;B2281)),"Evento anterior à entrada",IF(AND(F2281&lt;&gt;"",E2281=""),"Conversa sem agendamento",IF(OR(E2281&gt;TODAY(),F2281&gt;TODAY()),"Verificar evento futuro","OK"))))))))))</f>
        <v/>
      </c>
    </row>
    <row r="2282" spans="12:15">
      <c r="L2282" s="5">
        <f>IF(OR(A2282="",B2282=""),"",B2282-WEEKDAY(B2282,2)+1)</f>
        <v/>
      </c>
      <c r="M2282" s="5">
        <f>IF(L2282="","",L2282+6)</f>
        <v/>
      </c>
      <c r="N2282" s="6">
        <f>IF(OR(A2282="",B2282=""),"",DATE(YEAR(B2282),MONTH(B2282),1))</f>
        <v/>
      </c>
      <c r="O2282" s="7">
        <f>IF(COUNTA(A2282:K2282)=0,"",IF(OR(A2282="",B2282=""),"Preencher CPF e entrada",IF(COUNTIFS($A$12:$A$5011,A2282,$B$12:$B$5011,B2282)&gt;1,"CPF + dia duplicado",IF(OR(AND(G2282&lt;&gt;"",G2282&lt;&gt;0,G2282&lt;&gt;1),AND(H2282&lt;&gt;"",H2282&lt;&gt;0,H2282&lt;&gt;1)),"Flags devem ser 0 ou 1",IF(AND(H2282=1,LEN(TRIM(I2282))=0),"Preencher nome do indicante",IF(AND(H2282&lt;&gt;1,I2282&lt;&gt;""),"Nome sem indicação interna",IF(AND(G2282=1,F2282=""),"Fechamento sem conversa",IF(OR(AND(E2282&lt;&gt;"",E2282&lt;B2282),AND(F2282&lt;&gt;"",F2282&lt;B2282)),"Evento anterior à entrada",IF(AND(F2282&lt;&gt;"",E2282=""),"Conversa sem agendamento",IF(OR(E2282&gt;TODAY(),F2282&gt;TODAY()),"Verificar evento futuro","OK"))))))))))</f>
        <v/>
      </c>
    </row>
    <row r="2283" spans="12:15">
      <c r="L2283" s="5">
        <f>IF(OR(A2283="",B2283=""),"",B2283-WEEKDAY(B2283,2)+1)</f>
        <v/>
      </c>
      <c r="M2283" s="5">
        <f>IF(L2283="","",L2283+6)</f>
        <v/>
      </c>
      <c r="N2283" s="6">
        <f>IF(OR(A2283="",B2283=""),"",DATE(YEAR(B2283),MONTH(B2283),1))</f>
        <v/>
      </c>
      <c r="O2283" s="7">
        <f>IF(COUNTA(A2283:K2283)=0,"",IF(OR(A2283="",B2283=""),"Preencher CPF e entrada",IF(COUNTIFS($A$12:$A$5011,A2283,$B$12:$B$5011,B2283)&gt;1,"CPF + dia duplicado",IF(OR(AND(G2283&lt;&gt;"",G2283&lt;&gt;0,G2283&lt;&gt;1),AND(H2283&lt;&gt;"",H2283&lt;&gt;0,H2283&lt;&gt;1)),"Flags devem ser 0 ou 1",IF(AND(H2283=1,LEN(TRIM(I2283))=0),"Preencher nome do indicante",IF(AND(H2283&lt;&gt;1,I2283&lt;&gt;""),"Nome sem indicação interna",IF(AND(G2283=1,F2283=""),"Fechamento sem conversa",IF(OR(AND(E2283&lt;&gt;"",E2283&lt;B2283),AND(F2283&lt;&gt;"",F2283&lt;B2283)),"Evento anterior à entrada",IF(AND(F2283&lt;&gt;"",E2283=""),"Conversa sem agendamento",IF(OR(E2283&gt;TODAY(),F2283&gt;TODAY()),"Verificar evento futuro","OK"))))))))))</f>
        <v/>
      </c>
    </row>
    <row r="2284" spans="12:15">
      <c r="L2284" s="5">
        <f>IF(OR(A2284="",B2284=""),"",B2284-WEEKDAY(B2284,2)+1)</f>
        <v/>
      </c>
      <c r="M2284" s="5">
        <f>IF(L2284="","",L2284+6)</f>
        <v/>
      </c>
      <c r="N2284" s="6">
        <f>IF(OR(A2284="",B2284=""),"",DATE(YEAR(B2284),MONTH(B2284),1))</f>
        <v/>
      </c>
      <c r="O2284" s="7">
        <f>IF(COUNTA(A2284:K2284)=0,"",IF(OR(A2284="",B2284=""),"Preencher CPF e entrada",IF(COUNTIFS($A$12:$A$5011,A2284,$B$12:$B$5011,B2284)&gt;1,"CPF + dia duplicado",IF(OR(AND(G2284&lt;&gt;"",G2284&lt;&gt;0,G2284&lt;&gt;1),AND(H2284&lt;&gt;"",H2284&lt;&gt;0,H2284&lt;&gt;1)),"Flags devem ser 0 ou 1",IF(AND(H2284=1,LEN(TRIM(I2284))=0),"Preencher nome do indicante",IF(AND(H2284&lt;&gt;1,I2284&lt;&gt;""),"Nome sem indicação interna",IF(AND(G2284=1,F2284=""),"Fechamento sem conversa",IF(OR(AND(E2284&lt;&gt;"",E2284&lt;B2284),AND(F2284&lt;&gt;"",F2284&lt;B2284)),"Evento anterior à entrada",IF(AND(F2284&lt;&gt;"",E2284=""),"Conversa sem agendamento",IF(OR(E2284&gt;TODAY(),F2284&gt;TODAY()),"Verificar evento futuro","OK"))))))))))</f>
        <v/>
      </c>
    </row>
    <row r="2285" spans="12:15">
      <c r="L2285" s="5">
        <f>IF(OR(A2285="",B2285=""),"",B2285-WEEKDAY(B2285,2)+1)</f>
        <v/>
      </c>
      <c r="M2285" s="5">
        <f>IF(L2285="","",L2285+6)</f>
        <v/>
      </c>
      <c r="N2285" s="6">
        <f>IF(OR(A2285="",B2285=""),"",DATE(YEAR(B2285),MONTH(B2285),1))</f>
        <v/>
      </c>
      <c r="O2285" s="7">
        <f>IF(COUNTA(A2285:K2285)=0,"",IF(OR(A2285="",B2285=""),"Preencher CPF e entrada",IF(COUNTIFS($A$12:$A$5011,A2285,$B$12:$B$5011,B2285)&gt;1,"CPF + dia duplicado",IF(OR(AND(G2285&lt;&gt;"",G2285&lt;&gt;0,G2285&lt;&gt;1),AND(H2285&lt;&gt;"",H2285&lt;&gt;0,H2285&lt;&gt;1)),"Flags devem ser 0 ou 1",IF(AND(H2285=1,LEN(TRIM(I2285))=0),"Preencher nome do indicante",IF(AND(H2285&lt;&gt;1,I2285&lt;&gt;""),"Nome sem indicação interna",IF(AND(G2285=1,F2285=""),"Fechamento sem conversa",IF(OR(AND(E2285&lt;&gt;"",E2285&lt;B2285),AND(F2285&lt;&gt;"",F2285&lt;B2285)),"Evento anterior à entrada",IF(AND(F2285&lt;&gt;"",E2285=""),"Conversa sem agendamento",IF(OR(E2285&gt;TODAY(),F2285&gt;TODAY()),"Verificar evento futuro","OK"))))))))))</f>
        <v/>
      </c>
    </row>
    <row r="2286" spans="12:15">
      <c r="L2286" s="5">
        <f>IF(OR(A2286="",B2286=""),"",B2286-WEEKDAY(B2286,2)+1)</f>
        <v/>
      </c>
      <c r="M2286" s="5">
        <f>IF(L2286="","",L2286+6)</f>
        <v/>
      </c>
      <c r="N2286" s="6">
        <f>IF(OR(A2286="",B2286=""),"",DATE(YEAR(B2286),MONTH(B2286),1))</f>
        <v/>
      </c>
      <c r="O2286" s="7">
        <f>IF(COUNTA(A2286:K2286)=0,"",IF(OR(A2286="",B2286=""),"Preencher CPF e entrada",IF(COUNTIFS($A$12:$A$5011,A2286,$B$12:$B$5011,B2286)&gt;1,"CPF + dia duplicado",IF(OR(AND(G2286&lt;&gt;"",G2286&lt;&gt;0,G2286&lt;&gt;1),AND(H2286&lt;&gt;"",H2286&lt;&gt;0,H2286&lt;&gt;1)),"Flags devem ser 0 ou 1",IF(AND(H2286=1,LEN(TRIM(I2286))=0),"Preencher nome do indicante",IF(AND(H2286&lt;&gt;1,I2286&lt;&gt;""),"Nome sem indicação interna",IF(AND(G2286=1,F2286=""),"Fechamento sem conversa",IF(OR(AND(E2286&lt;&gt;"",E2286&lt;B2286),AND(F2286&lt;&gt;"",F2286&lt;B2286)),"Evento anterior à entrada",IF(AND(F2286&lt;&gt;"",E2286=""),"Conversa sem agendamento",IF(OR(E2286&gt;TODAY(),F2286&gt;TODAY()),"Verificar evento futuro","OK"))))))))))</f>
        <v/>
      </c>
    </row>
    <row r="2287" spans="12:15">
      <c r="L2287" s="5">
        <f>IF(OR(A2287="",B2287=""),"",B2287-WEEKDAY(B2287,2)+1)</f>
        <v/>
      </c>
      <c r="M2287" s="5">
        <f>IF(L2287="","",L2287+6)</f>
        <v/>
      </c>
      <c r="N2287" s="6">
        <f>IF(OR(A2287="",B2287=""),"",DATE(YEAR(B2287),MONTH(B2287),1))</f>
        <v/>
      </c>
      <c r="O2287" s="7">
        <f>IF(COUNTA(A2287:K2287)=0,"",IF(OR(A2287="",B2287=""),"Preencher CPF e entrada",IF(COUNTIFS($A$12:$A$5011,A2287,$B$12:$B$5011,B2287)&gt;1,"CPF + dia duplicado",IF(OR(AND(G2287&lt;&gt;"",G2287&lt;&gt;0,G2287&lt;&gt;1),AND(H2287&lt;&gt;"",H2287&lt;&gt;0,H2287&lt;&gt;1)),"Flags devem ser 0 ou 1",IF(AND(H2287=1,LEN(TRIM(I2287))=0),"Preencher nome do indicante",IF(AND(H2287&lt;&gt;1,I2287&lt;&gt;""),"Nome sem indicação interna",IF(AND(G2287=1,F2287=""),"Fechamento sem conversa",IF(OR(AND(E2287&lt;&gt;"",E2287&lt;B2287),AND(F2287&lt;&gt;"",F2287&lt;B2287)),"Evento anterior à entrada",IF(AND(F2287&lt;&gt;"",E2287=""),"Conversa sem agendamento",IF(OR(E2287&gt;TODAY(),F2287&gt;TODAY()),"Verificar evento futuro","OK"))))))))))</f>
        <v/>
      </c>
    </row>
    <row r="2288" spans="12:15">
      <c r="L2288" s="5">
        <f>IF(OR(A2288="",B2288=""),"",B2288-WEEKDAY(B2288,2)+1)</f>
        <v/>
      </c>
      <c r="M2288" s="5">
        <f>IF(L2288="","",L2288+6)</f>
        <v/>
      </c>
      <c r="N2288" s="6">
        <f>IF(OR(A2288="",B2288=""),"",DATE(YEAR(B2288),MONTH(B2288),1))</f>
        <v/>
      </c>
      <c r="O2288" s="7">
        <f>IF(COUNTA(A2288:K2288)=0,"",IF(OR(A2288="",B2288=""),"Preencher CPF e entrada",IF(COUNTIFS($A$12:$A$5011,A2288,$B$12:$B$5011,B2288)&gt;1,"CPF + dia duplicado",IF(OR(AND(G2288&lt;&gt;"",G2288&lt;&gt;0,G2288&lt;&gt;1),AND(H2288&lt;&gt;"",H2288&lt;&gt;0,H2288&lt;&gt;1)),"Flags devem ser 0 ou 1",IF(AND(H2288=1,LEN(TRIM(I2288))=0),"Preencher nome do indicante",IF(AND(H2288&lt;&gt;1,I2288&lt;&gt;""),"Nome sem indicação interna",IF(AND(G2288=1,F2288=""),"Fechamento sem conversa",IF(OR(AND(E2288&lt;&gt;"",E2288&lt;B2288),AND(F2288&lt;&gt;"",F2288&lt;B2288)),"Evento anterior à entrada",IF(AND(F2288&lt;&gt;"",E2288=""),"Conversa sem agendamento",IF(OR(E2288&gt;TODAY(),F2288&gt;TODAY()),"Verificar evento futuro","OK"))))))))))</f>
        <v/>
      </c>
    </row>
    <row r="2289" spans="12:15">
      <c r="L2289" s="5">
        <f>IF(OR(A2289="",B2289=""),"",B2289-WEEKDAY(B2289,2)+1)</f>
        <v/>
      </c>
      <c r="M2289" s="5">
        <f>IF(L2289="","",L2289+6)</f>
        <v/>
      </c>
      <c r="N2289" s="6">
        <f>IF(OR(A2289="",B2289=""),"",DATE(YEAR(B2289),MONTH(B2289),1))</f>
        <v/>
      </c>
      <c r="O2289" s="7">
        <f>IF(COUNTA(A2289:K2289)=0,"",IF(OR(A2289="",B2289=""),"Preencher CPF e entrada",IF(COUNTIFS($A$12:$A$5011,A2289,$B$12:$B$5011,B2289)&gt;1,"CPF + dia duplicado",IF(OR(AND(G2289&lt;&gt;"",G2289&lt;&gt;0,G2289&lt;&gt;1),AND(H2289&lt;&gt;"",H2289&lt;&gt;0,H2289&lt;&gt;1)),"Flags devem ser 0 ou 1",IF(AND(H2289=1,LEN(TRIM(I2289))=0),"Preencher nome do indicante",IF(AND(H2289&lt;&gt;1,I2289&lt;&gt;""),"Nome sem indicação interna",IF(AND(G2289=1,F2289=""),"Fechamento sem conversa",IF(OR(AND(E2289&lt;&gt;"",E2289&lt;B2289),AND(F2289&lt;&gt;"",F2289&lt;B2289)),"Evento anterior à entrada",IF(AND(F2289&lt;&gt;"",E2289=""),"Conversa sem agendamento",IF(OR(E2289&gt;TODAY(),F2289&gt;TODAY()),"Verificar evento futuro","OK"))))))))))</f>
        <v/>
      </c>
    </row>
    <row r="2290" spans="12:15">
      <c r="L2290" s="5">
        <f>IF(OR(A2290="",B2290=""),"",B2290-WEEKDAY(B2290,2)+1)</f>
        <v/>
      </c>
      <c r="M2290" s="5">
        <f>IF(L2290="","",L2290+6)</f>
        <v/>
      </c>
      <c r="N2290" s="6">
        <f>IF(OR(A2290="",B2290=""),"",DATE(YEAR(B2290),MONTH(B2290),1))</f>
        <v/>
      </c>
      <c r="O2290" s="7">
        <f>IF(COUNTA(A2290:K2290)=0,"",IF(OR(A2290="",B2290=""),"Preencher CPF e entrada",IF(COUNTIFS($A$12:$A$5011,A2290,$B$12:$B$5011,B2290)&gt;1,"CPF + dia duplicado",IF(OR(AND(G2290&lt;&gt;"",G2290&lt;&gt;0,G2290&lt;&gt;1),AND(H2290&lt;&gt;"",H2290&lt;&gt;0,H2290&lt;&gt;1)),"Flags devem ser 0 ou 1",IF(AND(H2290=1,LEN(TRIM(I2290))=0),"Preencher nome do indicante",IF(AND(H2290&lt;&gt;1,I2290&lt;&gt;""),"Nome sem indicação interna",IF(AND(G2290=1,F2290=""),"Fechamento sem conversa",IF(OR(AND(E2290&lt;&gt;"",E2290&lt;B2290),AND(F2290&lt;&gt;"",F2290&lt;B2290)),"Evento anterior à entrada",IF(AND(F2290&lt;&gt;"",E2290=""),"Conversa sem agendamento",IF(OR(E2290&gt;TODAY(),F2290&gt;TODAY()),"Verificar evento futuro","OK"))))))))))</f>
        <v/>
      </c>
    </row>
    <row r="2291" spans="12:15">
      <c r="L2291" s="5">
        <f>IF(OR(A2291="",B2291=""),"",B2291-WEEKDAY(B2291,2)+1)</f>
        <v/>
      </c>
      <c r="M2291" s="5">
        <f>IF(L2291="","",L2291+6)</f>
        <v/>
      </c>
      <c r="N2291" s="6">
        <f>IF(OR(A2291="",B2291=""),"",DATE(YEAR(B2291),MONTH(B2291),1))</f>
        <v/>
      </c>
      <c r="O2291" s="7">
        <f>IF(COUNTA(A2291:K2291)=0,"",IF(OR(A2291="",B2291=""),"Preencher CPF e entrada",IF(COUNTIFS($A$12:$A$5011,A2291,$B$12:$B$5011,B2291)&gt;1,"CPF + dia duplicado",IF(OR(AND(G2291&lt;&gt;"",G2291&lt;&gt;0,G2291&lt;&gt;1),AND(H2291&lt;&gt;"",H2291&lt;&gt;0,H2291&lt;&gt;1)),"Flags devem ser 0 ou 1",IF(AND(H2291=1,LEN(TRIM(I2291))=0),"Preencher nome do indicante",IF(AND(H2291&lt;&gt;1,I2291&lt;&gt;""),"Nome sem indicação interna",IF(AND(G2291=1,F2291=""),"Fechamento sem conversa",IF(OR(AND(E2291&lt;&gt;"",E2291&lt;B2291),AND(F2291&lt;&gt;"",F2291&lt;B2291)),"Evento anterior à entrada",IF(AND(F2291&lt;&gt;"",E2291=""),"Conversa sem agendamento",IF(OR(E2291&gt;TODAY(),F2291&gt;TODAY()),"Verificar evento futuro","OK"))))))))))</f>
        <v/>
      </c>
    </row>
    <row r="2292" spans="12:15">
      <c r="L2292" s="5">
        <f>IF(OR(A2292="",B2292=""),"",B2292-WEEKDAY(B2292,2)+1)</f>
        <v/>
      </c>
      <c r="M2292" s="5">
        <f>IF(L2292="","",L2292+6)</f>
        <v/>
      </c>
      <c r="N2292" s="6">
        <f>IF(OR(A2292="",B2292=""),"",DATE(YEAR(B2292),MONTH(B2292),1))</f>
        <v/>
      </c>
      <c r="O2292" s="7">
        <f>IF(COUNTA(A2292:K2292)=0,"",IF(OR(A2292="",B2292=""),"Preencher CPF e entrada",IF(COUNTIFS($A$12:$A$5011,A2292,$B$12:$B$5011,B2292)&gt;1,"CPF + dia duplicado",IF(OR(AND(G2292&lt;&gt;"",G2292&lt;&gt;0,G2292&lt;&gt;1),AND(H2292&lt;&gt;"",H2292&lt;&gt;0,H2292&lt;&gt;1)),"Flags devem ser 0 ou 1",IF(AND(H2292=1,LEN(TRIM(I2292))=0),"Preencher nome do indicante",IF(AND(H2292&lt;&gt;1,I2292&lt;&gt;""),"Nome sem indicação interna",IF(AND(G2292=1,F2292=""),"Fechamento sem conversa",IF(OR(AND(E2292&lt;&gt;"",E2292&lt;B2292),AND(F2292&lt;&gt;"",F2292&lt;B2292)),"Evento anterior à entrada",IF(AND(F2292&lt;&gt;"",E2292=""),"Conversa sem agendamento",IF(OR(E2292&gt;TODAY(),F2292&gt;TODAY()),"Verificar evento futuro","OK"))))))))))</f>
        <v/>
      </c>
    </row>
    <row r="2293" spans="12:15">
      <c r="L2293" s="5">
        <f>IF(OR(A2293="",B2293=""),"",B2293-WEEKDAY(B2293,2)+1)</f>
        <v/>
      </c>
      <c r="M2293" s="5">
        <f>IF(L2293="","",L2293+6)</f>
        <v/>
      </c>
      <c r="N2293" s="6">
        <f>IF(OR(A2293="",B2293=""),"",DATE(YEAR(B2293),MONTH(B2293),1))</f>
        <v/>
      </c>
      <c r="O2293" s="7">
        <f>IF(COUNTA(A2293:K2293)=0,"",IF(OR(A2293="",B2293=""),"Preencher CPF e entrada",IF(COUNTIFS($A$12:$A$5011,A2293,$B$12:$B$5011,B2293)&gt;1,"CPF + dia duplicado",IF(OR(AND(G2293&lt;&gt;"",G2293&lt;&gt;0,G2293&lt;&gt;1),AND(H2293&lt;&gt;"",H2293&lt;&gt;0,H2293&lt;&gt;1)),"Flags devem ser 0 ou 1",IF(AND(H2293=1,LEN(TRIM(I2293))=0),"Preencher nome do indicante",IF(AND(H2293&lt;&gt;1,I2293&lt;&gt;""),"Nome sem indicação interna",IF(AND(G2293=1,F2293=""),"Fechamento sem conversa",IF(OR(AND(E2293&lt;&gt;"",E2293&lt;B2293),AND(F2293&lt;&gt;"",F2293&lt;B2293)),"Evento anterior à entrada",IF(AND(F2293&lt;&gt;"",E2293=""),"Conversa sem agendamento",IF(OR(E2293&gt;TODAY(),F2293&gt;TODAY()),"Verificar evento futuro","OK"))))))))))</f>
        <v/>
      </c>
    </row>
    <row r="2294" spans="12:15">
      <c r="L2294" s="5">
        <f>IF(OR(A2294="",B2294=""),"",B2294-WEEKDAY(B2294,2)+1)</f>
        <v/>
      </c>
      <c r="M2294" s="5">
        <f>IF(L2294="","",L2294+6)</f>
        <v/>
      </c>
      <c r="N2294" s="6">
        <f>IF(OR(A2294="",B2294=""),"",DATE(YEAR(B2294),MONTH(B2294),1))</f>
        <v/>
      </c>
      <c r="O2294" s="7">
        <f>IF(COUNTA(A2294:K2294)=0,"",IF(OR(A2294="",B2294=""),"Preencher CPF e entrada",IF(COUNTIFS($A$12:$A$5011,A2294,$B$12:$B$5011,B2294)&gt;1,"CPF + dia duplicado",IF(OR(AND(G2294&lt;&gt;"",G2294&lt;&gt;0,G2294&lt;&gt;1),AND(H2294&lt;&gt;"",H2294&lt;&gt;0,H2294&lt;&gt;1)),"Flags devem ser 0 ou 1",IF(AND(H2294=1,LEN(TRIM(I2294))=0),"Preencher nome do indicante",IF(AND(H2294&lt;&gt;1,I2294&lt;&gt;""),"Nome sem indicação interna",IF(AND(G2294=1,F2294=""),"Fechamento sem conversa",IF(OR(AND(E2294&lt;&gt;"",E2294&lt;B2294),AND(F2294&lt;&gt;"",F2294&lt;B2294)),"Evento anterior à entrada",IF(AND(F2294&lt;&gt;"",E2294=""),"Conversa sem agendamento",IF(OR(E2294&gt;TODAY(),F2294&gt;TODAY()),"Verificar evento futuro","OK"))))))))))</f>
        <v/>
      </c>
    </row>
    <row r="2295" spans="12:15">
      <c r="L2295" s="5">
        <f>IF(OR(A2295="",B2295=""),"",B2295-WEEKDAY(B2295,2)+1)</f>
        <v/>
      </c>
      <c r="M2295" s="5">
        <f>IF(L2295="","",L2295+6)</f>
        <v/>
      </c>
      <c r="N2295" s="6">
        <f>IF(OR(A2295="",B2295=""),"",DATE(YEAR(B2295),MONTH(B2295),1))</f>
        <v/>
      </c>
      <c r="O2295" s="7">
        <f>IF(COUNTA(A2295:K2295)=0,"",IF(OR(A2295="",B2295=""),"Preencher CPF e entrada",IF(COUNTIFS($A$12:$A$5011,A2295,$B$12:$B$5011,B2295)&gt;1,"CPF + dia duplicado",IF(OR(AND(G2295&lt;&gt;"",G2295&lt;&gt;0,G2295&lt;&gt;1),AND(H2295&lt;&gt;"",H2295&lt;&gt;0,H2295&lt;&gt;1)),"Flags devem ser 0 ou 1",IF(AND(H2295=1,LEN(TRIM(I2295))=0),"Preencher nome do indicante",IF(AND(H2295&lt;&gt;1,I2295&lt;&gt;""),"Nome sem indicação interna",IF(AND(G2295=1,F2295=""),"Fechamento sem conversa",IF(OR(AND(E2295&lt;&gt;"",E2295&lt;B2295),AND(F2295&lt;&gt;"",F2295&lt;B2295)),"Evento anterior à entrada",IF(AND(F2295&lt;&gt;"",E2295=""),"Conversa sem agendamento",IF(OR(E2295&gt;TODAY(),F2295&gt;TODAY()),"Verificar evento futuro","OK"))))))))))</f>
        <v/>
      </c>
    </row>
    <row r="2296" spans="12:15">
      <c r="L2296" s="5">
        <f>IF(OR(A2296="",B2296=""),"",B2296-WEEKDAY(B2296,2)+1)</f>
        <v/>
      </c>
      <c r="M2296" s="5">
        <f>IF(L2296="","",L2296+6)</f>
        <v/>
      </c>
      <c r="N2296" s="6">
        <f>IF(OR(A2296="",B2296=""),"",DATE(YEAR(B2296),MONTH(B2296),1))</f>
        <v/>
      </c>
      <c r="O2296" s="7">
        <f>IF(COUNTA(A2296:K2296)=0,"",IF(OR(A2296="",B2296=""),"Preencher CPF e entrada",IF(COUNTIFS($A$12:$A$5011,A2296,$B$12:$B$5011,B2296)&gt;1,"CPF + dia duplicado",IF(OR(AND(G2296&lt;&gt;"",G2296&lt;&gt;0,G2296&lt;&gt;1),AND(H2296&lt;&gt;"",H2296&lt;&gt;0,H2296&lt;&gt;1)),"Flags devem ser 0 ou 1",IF(AND(H2296=1,LEN(TRIM(I2296))=0),"Preencher nome do indicante",IF(AND(H2296&lt;&gt;1,I2296&lt;&gt;""),"Nome sem indicação interna",IF(AND(G2296=1,F2296=""),"Fechamento sem conversa",IF(OR(AND(E2296&lt;&gt;"",E2296&lt;B2296),AND(F2296&lt;&gt;"",F2296&lt;B2296)),"Evento anterior à entrada",IF(AND(F2296&lt;&gt;"",E2296=""),"Conversa sem agendamento",IF(OR(E2296&gt;TODAY(),F2296&gt;TODAY()),"Verificar evento futuro","OK"))))))))))</f>
        <v/>
      </c>
    </row>
    <row r="2297" spans="12:15">
      <c r="L2297" s="5">
        <f>IF(OR(A2297="",B2297=""),"",B2297-WEEKDAY(B2297,2)+1)</f>
        <v/>
      </c>
      <c r="M2297" s="5">
        <f>IF(L2297="","",L2297+6)</f>
        <v/>
      </c>
      <c r="N2297" s="6">
        <f>IF(OR(A2297="",B2297=""),"",DATE(YEAR(B2297),MONTH(B2297),1))</f>
        <v/>
      </c>
      <c r="O2297" s="7">
        <f>IF(COUNTA(A2297:K2297)=0,"",IF(OR(A2297="",B2297=""),"Preencher CPF e entrada",IF(COUNTIFS($A$12:$A$5011,A2297,$B$12:$B$5011,B2297)&gt;1,"CPF + dia duplicado",IF(OR(AND(G2297&lt;&gt;"",G2297&lt;&gt;0,G2297&lt;&gt;1),AND(H2297&lt;&gt;"",H2297&lt;&gt;0,H2297&lt;&gt;1)),"Flags devem ser 0 ou 1",IF(AND(H2297=1,LEN(TRIM(I2297))=0),"Preencher nome do indicante",IF(AND(H2297&lt;&gt;1,I2297&lt;&gt;""),"Nome sem indicação interna",IF(AND(G2297=1,F2297=""),"Fechamento sem conversa",IF(OR(AND(E2297&lt;&gt;"",E2297&lt;B2297),AND(F2297&lt;&gt;"",F2297&lt;B2297)),"Evento anterior à entrada",IF(AND(F2297&lt;&gt;"",E2297=""),"Conversa sem agendamento",IF(OR(E2297&gt;TODAY(),F2297&gt;TODAY()),"Verificar evento futuro","OK"))))))))))</f>
        <v/>
      </c>
    </row>
    <row r="2298" spans="12:15">
      <c r="L2298" s="5">
        <f>IF(OR(A2298="",B2298=""),"",B2298-WEEKDAY(B2298,2)+1)</f>
        <v/>
      </c>
      <c r="M2298" s="5">
        <f>IF(L2298="","",L2298+6)</f>
        <v/>
      </c>
      <c r="N2298" s="6">
        <f>IF(OR(A2298="",B2298=""),"",DATE(YEAR(B2298),MONTH(B2298),1))</f>
        <v/>
      </c>
      <c r="O2298" s="7">
        <f>IF(COUNTA(A2298:K2298)=0,"",IF(OR(A2298="",B2298=""),"Preencher CPF e entrada",IF(COUNTIFS($A$12:$A$5011,A2298,$B$12:$B$5011,B2298)&gt;1,"CPF + dia duplicado",IF(OR(AND(G2298&lt;&gt;"",G2298&lt;&gt;0,G2298&lt;&gt;1),AND(H2298&lt;&gt;"",H2298&lt;&gt;0,H2298&lt;&gt;1)),"Flags devem ser 0 ou 1",IF(AND(H2298=1,LEN(TRIM(I2298))=0),"Preencher nome do indicante",IF(AND(H2298&lt;&gt;1,I2298&lt;&gt;""),"Nome sem indicação interna",IF(AND(G2298=1,F2298=""),"Fechamento sem conversa",IF(OR(AND(E2298&lt;&gt;"",E2298&lt;B2298),AND(F2298&lt;&gt;"",F2298&lt;B2298)),"Evento anterior à entrada",IF(AND(F2298&lt;&gt;"",E2298=""),"Conversa sem agendamento",IF(OR(E2298&gt;TODAY(),F2298&gt;TODAY()),"Verificar evento futuro","OK"))))))))))</f>
        <v/>
      </c>
    </row>
    <row r="2299" spans="12:15">
      <c r="L2299" s="5">
        <f>IF(OR(A2299="",B2299=""),"",B2299-WEEKDAY(B2299,2)+1)</f>
        <v/>
      </c>
      <c r="M2299" s="5">
        <f>IF(L2299="","",L2299+6)</f>
        <v/>
      </c>
      <c r="N2299" s="6">
        <f>IF(OR(A2299="",B2299=""),"",DATE(YEAR(B2299),MONTH(B2299),1))</f>
        <v/>
      </c>
      <c r="O2299" s="7">
        <f>IF(COUNTA(A2299:K2299)=0,"",IF(OR(A2299="",B2299=""),"Preencher CPF e entrada",IF(COUNTIFS($A$12:$A$5011,A2299,$B$12:$B$5011,B2299)&gt;1,"CPF + dia duplicado",IF(OR(AND(G2299&lt;&gt;"",G2299&lt;&gt;0,G2299&lt;&gt;1),AND(H2299&lt;&gt;"",H2299&lt;&gt;0,H2299&lt;&gt;1)),"Flags devem ser 0 ou 1",IF(AND(H2299=1,LEN(TRIM(I2299))=0),"Preencher nome do indicante",IF(AND(H2299&lt;&gt;1,I2299&lt;&gt;""),"Nome sem indicação interna",IF(AND(G2299=1,F2299=""),"Fechamento sem conversa",IF(OR(AND(E2299&lt;&gt;"",E2299&lt;B2299),AND(F2299&lt;&gt;"",F2299&lt;B2299)),"Evento anterior à entrada",IF(AND(F2299&lt;&gt;"",E2299=""),"Conversa sem agendamento",IF(OR(E2299&gt;TODAY(),F2299&gt;TODAY()),"Verificar evento futuro","OK"))))))))))</f>
        <v/>
      </c>
    </row>
    <row r="2300" spans="12:15">
      <c r="L2300" s="5">
        <f>IF(OR(A2300="",B2300=""),"",B2300-WEEKDAY(B2300,2)+1)</f>
        <v/>
      </c>
      <c r="M2300" s="5">
        <f>IF(L2300="","",L2300+6)</f>
        <v/>
      </c>
      <c r="N2300" s="6">
        <f>IF(OR(A2300="",B2300=""),"",DATE(YEAR(B2300),MONTH(B2300),1))</f>
        <v/>
      </c>
      <c r="O2300" s="7">
        <f>IF(COUNTA(A2300:K2300)=0,"",IF(OR(A2300="",B2300=""),"Preencher CPF e entrada",IF(COUNTIFS($A$12:$A$5011,A2300,$B$12:$B$5011,B2300)&gt;1,"CPF + dia duplicado",IF(OR(AND(G2300&lt;&gt;"",G2300&lt;&gt;0,G2300&lt;&gt;1),AND(H2300&lt;&gt;"",H2300&lt;&gt;0,H2300&lt;&gt;1)),"Flags devem ser 0 ou 1",IF(AND(H2300=1,LEN(TRIM(I2300))=0),"Preencher nome do indicante",IF(AND(H2300&lt;&gt;1,I2300&lt;&gt;""),"Nome sem indicação interna",IF(AND(G2300=1,F2300=""),"Fechamento sem conversa",IF(OR(AND(E2300&lt;&gt;"",E2300&lt;B2300),AND(F2300&lt;&gt;"",F2300&lt;B2300)),"Evento anterior à entrada",IF(AND(F2300&lt;&gt;"",E2300=""),"Conversa sem agendamento",IF(OR(E2300&gt;TODAY(),F2300&gt;TODAY()),"Verificar evento futuro","OK"))))))))))</f>
        <v/>
      </c>
    </row>
    <row r="2301" spans="12:15">
      <c r="L2301" s="5">
        <f>IF(OR(A2301="",B2301=""),"",B2301-WEEKDAY(B2301,2)+1)</f>
        <v/>
      </c>
      <c r="M2301" s="5">
        <f>IF(L2301="","",L2301+6)</f>
        <v/>
      </c>
      <c r="N2301" s="6">
        <f>IF(OR(A2301="",B2301=""),"",DATE(YEAR(B2301),MONTH(B2301),1))</f>
        <v/>
      </c>
      <c r="O2301" s="7">
        <f>IF(COUNTA(A2301:K2301)=0,"",IF(OR(A2301="",B2301=""),"Preencher CPF e entrada",IF(COUNTIFS($A$12:$A$5011,A2301,$B$12:$B$5011,B2301)&gt;1,"CPF + dia duplicado",IF(OR(AND(G2301&lt;&gt;"",G2301&lt;&gt;0,G2301&lt;&gt;1),AND(H2301&lt;&gt;"",H2301&lt;&gt;0,H2301&lt;&gt;1)),"Flags devem ser 0 ou 1",IF(AND(H2301=1,LEN(TRIM(I2301))=0),"Preencher nome do indicante",IF(AND(H2301&lt;&gt;1,I2301&lt;&gt;""),"Nome sem indicação interna",IF(AND(G2301=1,F2301=""),"Fechamento sem conversa",IF(OR(AND(E2301&lt;&gt;"",E2301&lt;B2301),AND(F2301&lt;&gt;"",F2301&lt;B2301)),"Evento anterior à entrada",IF(AND(F2301&lt;&gt;"",E2301=""),"Conversa sem agendamento",IF(OR(E2301&gt;TODAY(),F2301&gt;TODAY()),"Verificar evento futuro","OK"))))))))))</f>
        <v/>
      </c>
    </row>
    <row r="2302" spans="12:15">
      <c r="L2302" s="5">
        <f>IF(OR(A2302="",B2302=""),"",B2302-WEEKDAY(B2302,2)+1)</f>
        <v/>
      </c>
      <c r="M2302" s="5">
        <f>IF(L2302="","",L2302+6)</f>
        <v/>
      </c>
      <c r="N2302" s="6">
        <f>IF(OR(A2302="",B2302=""),"",DATE(YEAR(B2302),MONTH(B2302),1))</f>
        <v/>
      </c>
      <c r="O2302" s="7">
        <f>IF(COUNTA(A2302:K2302)=0,"",IF(OR(A2302="",B2302=""),"Preencher CPF e entrada",IF(COUNTIFS($A$12:$A$5011,A2302,$B$12:$B$5011,B2302)&gt;1,"CPF + dia duplicado",IF(OR(AND(G2302&lt;&gt;"",G2302&lt;&gt;0,G2302&lt;&gt;1),AND(H2302&lt;&gt;"",H2302&lt;&gt;0,H2302&lt;&gt;1)),"Flags devem ser 0 ou 1",IF(AND(H2302=1,LEN(TRIM(I2302))=0),"Preencher nome do indicante",IF(AND(H2302&lt;&gt;1,I2302&lt;&gt;""),"Nome sem indicação interna",IF(AND(G2302=1,F2302=""),"Fechamento sem conversa",IF(OR(AND(E2302&lt;&gt;"",E2302&lt;B2302),AND(F2302&lt;&gt;"",F2302&lt;B2302)),"Evento anterior à entrada",IF(AND(F2302&lt;&gt;"",E2302=""),"Conversa sem agendamento",IF(OR(E2302&gt;TODAY(),F2302&gt;TODAY()),"Verificar evento futuro","OK"))))))))))</f>
        <v/>
      </c>
    </row>
    <row r="2303" spans="12:15">
      <c r="L2303" s="5">
        <f>IF(OR(A2303="",B2303=""),"",B2303-WEEKDAY(B2303,2)+1)</f>
        <v/>
      </c>
      <c r="M2303" s="5">
        <f>IF(L2303="","",L2303+6)</f>
        <v/>
      </c>
      <c r="N2303" s="6">
        <f>IF(OR(A2303="",B2303=""),"",DATE(YEAR(B2303),MONTH(B2303),1))</f>
        <v/>
      </c>
      <c r="O2303" s="7">
        <f>IF(COUNTA(A2303:K2303)=0,"",IF(OR(A2303="",B2303=""),"Preencher CPF e entrada",IF(COUNTIFS($A$12:$A$5011,A2303,$B$12:$B$5011,B2303)&gt;1,"CPF + dia duplicado",IF(OR(AND(G2303&lt;&gt;"",G2303&lt;&gt;0,G2303&lt;&gt;1),AND(H2303&lt;&gt;"",H2303&lt;&gt;0,H2303&lt;&gt;1)),"Flags devem ser 0 ou 1",IF(AND(H2303=1,LEN(TRIM(I2303))=0),"Preencher nome do indicante",IF(AND(H2303&lt;&gt;1,I2303&lt;&gt;""),"Nome sem indicação interna",IF(AND(G2303=1,F2303=""),"Fechamento sem conversa",IF(OR(AND(E2303&lt;&gt;"",E2303&lt;B2303),AND(F2303&lt;&gt;"",F2303&lt;B2303)),"Evento anterior à entrada",IF(AND(F2303&lt;&gt;"",E2303=""),"Conversa sem agendamento",IF(OR(E2303&gt;TODAY(),F2303&gt;TODAY()),"Verificar evento futuro","OK"))))))))))</f>
        <v/>
      </c>
    </row>
    <row r="2304" spans="12:15">
      <c r="L2304" s="5">
        <f>IF(OR(A2304="",B2304=""),"",B2304-WEEKDAY(B2304,2)+1)</f>
        <v/>
      </c>
      <c r="M2304" s="5">
        <f>IF(L2304="","",L2304+6)</f>
        <v/>
      </c>
      <c r="N2304" s="6">
        <f>IF(OR(A2304="",B2304=""),"",DATE(YEAR(B2304),MONTH(B2304),1))</f>
        <v/>
      </c>
      <c r="O2304" s="7">
        <f>IF(COUNTA(A2304:K2304)=0,"",IF(OR(A2304="",B2304=""),"Preencher CPF e entrada",IF(COUNTIFS($A$12:$A$5011,A2304,$B$12:$B$5011,B2304)&gt;1,"CPF + dia duplicado",IF(OR(AND(G2304&lt;&gt;"",G2304&lt;&gt;0,G2304&lt;&gt;1),AND(H2304&lt;&gt;"",H2304&lt;&gt;0,H2304&lt;&gt;1)),"Flags devem ser 0 ou 1",IF(AND(H2304=1,LEN(TRIM(I2304))=0),"Preencher nome do indicante",IF(AND(H2304&lt;&gt;1,I2304&lt;&gt;""),"Nome sem indicação interna",IF(AND(G2304=1,F2304=""),"Fechamento sem conversa",IF(OR(AND(E2304&lt;&gt;"",E2304&lt;B2304),AND(F2304&lt;&gt;"",F2304&lt;B2304)),"Evento anterior à entrada",IF(AND(F2304&lt;&gt;"",E2304=""),"Conversa sem agendamento",IF(OR(E2304&gt;TODAY(),F2304&gt;TODAY()),"Verificar evento futuro","OK"))))))))))</f>
        <v/>
      </c>
    </row>
    <row r="2305" spans="12:15">
      <c r="L2305" s="5">
        <f>IF(OR(A2305="",B2305=""),"",B2305-WEEKDAY(B2305,2)+1)</f>
        <v/>
      </c>
      <c r="M2305" s="5">
        <f>IF(L2305="","",L2305+6)</f>
        <v/>
      </c>
      <c r="N2305" s="6">
        <f>IF(OR(A2305="",B2305=""),"",DATE(YEAR(B2305),MONTH(B2305),1))</f>
        <v/>
      </c>
      <c r="O2305" s="7">
        <f>IF(COUNTA(A2305:K2305)=0,"",IF(OR(A2305="",B2305=""),"Preencher CPF e entrada",IF(COUNTIFS($A$12:$A$5011,A2305,$B$12:$B$5011,B2305)&gt;1,"CPF + dia duplicado",IF(OR(AND(G2305&lt;&gt;"",G2305&lt;&gt;0,G2305&lt;&gt;1),AND(H2305&lt;&gt;"",H2305&lt;&gt;0,H2305&lt;&gt;1)),"Flags devem ser 0 ou 1",IF(AND(H2305=1,LEN(TRIM(I2305))=0),"Preencher nome do indicante",IF(AND(H2305&lt;&gt;1,I2305&lt;&gt;""),"Nome sem indicação interna",IF(AND(G2305=1,F2305=""),"Fechamento sem conversa",IF(OR(AND(E2305&lt;&gt;"",E2305&lt;B2305),AND(F2305&lt;&gt;"",F2305&lt;B2305)),"Evento anterior à entrada",IF(AND(F2305&lt;&gt;"",E2305=""),"Conversa sem agendamento",IF(OR(E2305&gt;TODAY(),F2305&gt;TODAY()),"Verificar evento futuro","OK"))))))))))</f>
        <v/>
      </c>
    </row>
    <row r="2306" spans="12:15">
      <c r="L2306" s="5">
        <f>IF(OR(A2306="",B2306=""),"",B2306-WEEKDAY(B2306,2)+1)</f>
        <v/>
      </c>
      <c r="M2306" s="5">
        <f>IF(L2306="","",L2306+6)</f>
        <v/>
      </c>
      <c r="N2306" s="6">
        <f>IF(OR(A2306="",B2306=""),"",DATE(YEAR(B2306),MONTH(B2306),1))</f>
        <v/>
      </c>
      <c r="O2306" s="7">
        <f>IF(COUNTA(A2306:K2306)=0,"",IF(OR(A2306="",B2306=""),"Preencher CPF e entrada",IF(COUNTIFS($A$12:$A$5011,A2306,$B$12:$B$5011,B2306)&gt;1,"CPF + dia duplicado",IF(OR(AND(G2306&lt;&gt;"",G2306&lt;&gt;0,G2306&lt;&gt;1),AND(H2306&lt;&gt;"",H2306&lt;&gt;0,H2306&lt;&gt;1)),"Flags devem ser 0 ou 1",IF(AND(H2306=1,LEN(TRIM(I2306))=0),"Preencher nome do indicante",IF(AND(H2306&lt;&gt;1,I2306&lt;&gt;""),"Nome sem indicação interna",IF(AND(G2306=1,F2306=""),"Fechamento sem conversa",IF(OR(AND(E2306&lt;&gt;"",E2306&lt;B2306),AND(F2306&lt;&gt;"",F2306&lt;B2306)),"Evento anterior à entrada",IF(AND(F2306&lt;&gt;"",E2306=""),"Conversa sem agendamento",IF(OR(E2306&gt;TODAY(),F2306&gt;TODAY()),"Verificar evento futuro","OK"))))))))))</f>
        <v/>
      </c>
    </row>
    <row r="2307" spans="12:15">
      <c r="L2307" s="5">
        <f>IF(OR(A2307="",B2307=""),"",B2307-WEEKDAY(B2307,2)+1)</f>
        <v/>
      </c>
      <c r="M2307" s="5">
        <f>IF(L2307="","",L2307+6)</f>
        <v/>
      </c>
      <c r="N2307" s="6">
        <f>IF(OR(A2307="",B2307=""),"",DATE(YEAR(B2307),MONTH(B2307),1))</f>
        <v/>
      </c>
      <c r="O2307" s="7">
        <f>IF(COUNTA(A2307:K2307)=0,"",IF(OR(A2307="",B2307=""),"Preencher CPF e entrada",IF(COUNTIFS($A$12:$A$5011,A2307,$B$12:$B$5011,B2307)&gt;1,"CPF + dia duplicado",IF(OR(AND(G2307&lt;&gt;"",G2307&lt;&gt;0,G2307&lt;&gt;1),AND(H2307&lt;&gt;"",H2307&lt;&gt;0,H2307&lt;&gt;1)),"Flags devem ser 0 ou 1",IF(AND(H2307=1,LEN(TRIM(I2307))=0),"Preencher nome do indicante",IF(AND(H2307&lt;&gt;1,I2307&lt;&gt;""),"Nome sem indicação interna",IF(AND(G2307=1,F2307=""),"Fechamento sem conversa",IF(OR(AND(E2307&lt;&gt;"",E2307&lt;B2307),AND(F2307&lt;&gt;"",F2307&lt;B2307)),"Evento anterior à entrada",IF(AND(F2307&lt;&gt;"",E2307=""),"Conversa sem agendamento",IF(OR(E2307&gt;TODAY(),F2307&gt;TODAY()),"Verificar evento futuro","OK"))))))))))</f>
        <v/>
      </c>
    </row>
    <row r="2308" spans="12:15">
      <c r="L2308" s="5">
        <f>IF(OR(A2308="",B2308=""),"",B2308-WEEKDAY(B2308,2)+1)</f>
        <v/>
      </c>
      <c r="M2308" s="5">
        <f>IF(L2308="","",L2308+6)</f>
        <v/>
      </c>
      <c r="N2308" s="6">
        <f>IF(OR(A2308="",B2308=""),"",DATE(YEAR(B2308),MONTH(B2308),1))</f>
        <v/>
      </c>
      <c r="O2308" s="7">
        <f>IF(COUNTA(A2308:K2308)=0,"",IF(OR(A2308="",B2308=""),"Preencher CPF e entrada",IF(COUNTIFS($A$12:$A$5011,A2308,$B$12:$B$5011,B2308)&gt;1,"CPF + dia duplicado",IF(OR(AND(G2308&lt;&gt;"",G2308&lt;&gt;0,G2308&lt;&gt;1),AND(H2308&lt;&gt;"",H2308&lt;&gt;0,H2308&lt;&gt;1)),"Flags devem ser 0 ou 1",IF(AND(H2308=1,LEN(TRIM(I2308))=0),"Preencher nome do indicante",IF(AND(H2308&lt;&gt;1,I2308&lt;&gt;""),"Nome sem indicação interna",IF(AND(G2308=1,F2308=""),"Fechamento sem conversa",IF(OR(AND(E2308&lt;&gt;"",E2308&lt;B2308),AND(F2308&lt;&gt;"",F2308&lt;B2308)),"Evento anterior à entrada",IF(AND(F2308&lt;&gt;"",E2308=""),"Conversa sem agendamento",IF(OR(E2308&gt;TODAY(),F2308&gt;TODAY()),"Verificar evento futuro","OK"))))))))))</f>
        <v/>
      </c>
    </row>
    <row r="2309" spans="12:15">
      <c r="L2309" s="5">
        <f>IF(OR(A2309="",B2309=""),"",B2309-WEEKDAY(B2309,2)+1)</f>
        <v/>
      </c>
      <c r="M2309" s="5">
        <f>IF(L2309="","",L2309+6)</f>
        <v/>
      </c>
      <c r="N2309" s="6">
        <f>IF(OR(A2309="",B2309=""),"",DATE(YEAR(B2309),MONTH(B2309),1))</f>
        <v/>
      </c>
      <c r="O2309" s="7">
        <f>IF(COUNTA(A2309:K2309)=0,"",IF(OR(A2309="",B2309=""),"Preencher CPF e entrada",IF(COUNTIFS($A$12:$A$5011,A2309,$B$12:$B$5011,B2309)&gt;1,"CPF + dia duplicado",IF(OR(AND(G2309&lt;&gt;"",G2309&lt;&gt;0,G2309&lt;&gt;1),AND(H2309&lt;&gt;"",H2309&lt;&gt;0,H2309&lt;&gt;1)),"Flags devem ser 0 ou 1",IF(AND(H2309=1,LEN(TRIM(I2309))=0),"Preencher nome do indicante",IF(AND(H2309&lt;&gt;1,I2309&lt;&gt;""),"Nome sem indicação interna",IF(AND(G2309=1,F2309=""),"Fechamento sem conversa",IF(OR(AND(E2309&lt;&gt;"",E2309&lt;B2309),AND(F2309&lt;&gt;"",F2309&lt;B2309)),"Evento anterior à entrada",IF(AND(F2309&lt;&gt;"",E2309=""),"Conversa sem agendamento",IF(OR(E2309&gt;TODAY(),F2309&gt;TODAY()),"Verificar evento futuro","OK"))))))))))</f>
        <v/>
      </c>
    </row>
    <row r="2310" spans="12:15">
      <c r="L2310" s="5">
        <f>IF(OR(A2310="",B2310=""),"",B2310-WEEKDAY(B2310,2)+1)</f>
        <v/>
      </c>
      <c r="M2310" s="5">
        <f>IF(L2310="","",L2310+6)</f>
        <v/>
      </c>
      <c r="N2310" s="6">
        <f>IF(OR(A2310="",B2310=""),"",DATE(YEAR(B2310),MONTH(B2310),1))</f>
        <v/>
      </c>
      <c r="O2310" s="7">
        <f>IF(COUNTA(A2310:K2310)=0,"",IF(OR(A2310="",B2310=""),"Preencher CPF e entrada",IF(COUNTIFS($A$12:$A$5011,A2310,$B$12:$B$5011,B2310)&gt;1,"CPF + dia duplicado",IF(OR(AND(G2310&lt;&gt;"",G2310&lt;&gt;0,G2310&lt;&gt;1),AND(H2310&lt;&gt;"",H2310&lt;&gt;0,H2310&lt;&gt;1)),"Flags devem ser 0 ou 1",IF(AND(H2310=1,LEN(TRIM(I2310))=0),"Preencher nome do indicante",IF(AND(H2310&lt;&gt;1,I2310&lt;&gt;""),"Nome sem indicação interna",IF(AND(G2310=1,F2310=""),"Fechamento sem conversa",IF(OR(AND(E2310&lt;&gt;"",E2310&lt;B2310),AND(F2310&lt;&gt;"",F2310&lt;B2310)),"Evento anterior à entrada",IF(AND(F2310&lt;&gt;"",E2310=""),"Conversa sem agendamento",IF(OR(E2310&gt;TODAY(),F2310&gt;TODAY()),"Verificar evento futuro","OK"))))))))))</f>
        <v/>
      </c>
    </row>
    <row r="2311" spans="12:15">
      <c r="L2311" s="5">
        <f>IF(OR(A2311="",B2311=""),"",B2311-WEEKDAY(B2311,2)+1)</f>
        <v/>
      </c>
      <c r="M2311" s="5">
        <f>IF(L2311="","",L2311+6)</f>
        <v/>
      </c>
      <c r="N2311" s="6">
        <f>IF(OR(A2311="",B2311=""),"",DATE(YEAR(B2311),MONTH(B2311),1))</f>
        <v/>
      </c>
      <c r="O2311" s="7">
        <f>IF(COUNTA(A2311:K2311)=0,"",IF(OR(A2311="",B2311=""),"Preencher CPF e entrada",IF(COUNTIFS($A$12:$A$5011,A2311,$B$12:$B$5011,B2311)&gt;1,"CPF + dia duplicado",IF(OR(AND(G2311&lt;&gt;"",G2311&lt;&gt;0,G2311&lt;&gt;1),AND(H2311&lt;&gt;"",H2311&lt;&gt;0,H2311&lt;&gt;1)),"Flags devem ser 0 ou 1",IF(AND(H2311=1,LEN(TRIM(I2311))=0),"Preencher nome do indicante",IF(AND(H2311&lt;&gt;1,I2311&lt;&gt;""),"Nome sem indicação interna",IF(AND(G2311=1,F2311=""),"Fechamento sem conversa",IF(OR(AND(E2311&lt;&gt;"",E2311&lt;B2311),AND(F2311&lt;&gt;"",F2311&lt;B2311)),"Evento anterior à entrada",IF(AND(F2311&lt;&gt;"",E2311=""),"Conversa sem agendamento",IF(OR(E2311&gt;TODAY(),F2311&gt;TODAY()),"Verificar evento futuro","OK"))))))))))</f>
        <v/>
      </c>
    </row>
    <row r="2312" spans="12:15">
      <c r="L2312" s="5">
        <f>IF(OR(A2312="",B2312=""),"",B2312-WEEKDAY(B2312,2)+1)</f>
        <v/>
      </c>
      <c r="M2312" s="5">
        <f>IF(L2312="","",L2312+6)</f>
        <v/>
      </c>
      <c r="N2312" s="6">
        <f>IF(OR(A2312="",B2312=""),"",DATE(YEAR(B2312),MONTH(B2312),1))</f>
        <v/>
      </c>
      <c r="O2312" s="7">
        <f>IF(COUNTA(A2312:K2312)=0,"",IF(OR(A2312="",B2312=""),"Preencher CPF e entrada",IF(COUNTIFS($A$12:$A$5011,A2312,$B$12:$B$5011,B2312)&gt;1,"CPF + dia duplicado",IF(OR(AND(G2312&lt;&gt;"",G2312&lt;&gt;0,G2312&lt;&gt;1),AND(H2312&lt;&gt;"",H2312&lt;&gt;0,H2312&lt;&gt;1)),"Flags devem ser 0 ou 1",IF(AND(H2312=1,LEN(TRIM(I2312))=0),"Preencher nome do indicante",IF(AND(H2312&lt;&gt;1,I2312&lt;&gt;""),"Nome sem indicação interna",IF(AND(G2312=1,F2312=""),"Fechamento sem conversa",IF(OR(AND(E2312&lt;&gt;"",E2312&lt;B2312),AND(F2312&lt;&gt;"",F2312&lt;B2312)),"Evento anterior à entrada",IF(AND(F2312&lt;&gt;"",E2312=""),"Conversa sem agendamento",IF(OR(E2312&gt;TODAY(),F2312&gt;TODAY()),"Verificar evento futuro","OK"))))))))))</f>
        <v/>
      </c>
    </row>
    <row r="2313" spans="12:15">
      <c r="L2313" s="5">
        <f>IF(OR(A2313="",B2313=""),"",B2313-WEEKDAY(B2313,2)+1)</f>
        <v/>
      </c>
      <c r="M2313" s="5">
        <f>IF(L2313="","",L2313+6)</f>
        <v/>
      </c>
      <c r="N2313" s="6">
        <f>IF(OR(A2313="",B2313=""),"",DATE(YEAR(B2313),MONTH(B2313),1))</f>
        <v/>
      </c>
      <c r="O2313" s="7">
        <f>IF(COUNTA(A2313:K2313)=0,"",IF(OR(A2313="",B2313=""),"Preencher CPF e entrada",IF(COUNTIFS($A$12:$A$5011,A2313,$B$12:$B$5011,B2313)&gt;1,"CPF + dia duplicado",IF(OR(AND(G2313&lt;&gt;"",G2313&lt;&gt;0,G2313&lt;&gt;1),AND(H2313&lt;&gt;"",H2313&lt;&gt;0,H2313&lt;&gt;1)),"Flags devem ser 0 ou 1",IF(AND(H2313=1,LEN(TRIM(I2313))=0),"Preencher nome do indicante",IF(AND(H2313&lt;&gt;1,I2313&lt;&gt;""),"Nome sem indicação interna",IF(AND(G2313=1,F2313=""),"Fechamento sem conversa",IF(OR(AND(E2313&lt;&gt;"",E2313&lt;B2313),AND(F2313&lt;&gt;"",F2313&lt;B2313)),"Evento anterior à entrada",IF(AND(F2313&lt;&gt;"",E2313=""),"Conversa sem agendamento",IF(OR(E2313&gt;TODAY(),F2313&gt;TODAY()),"Verificar evento futuro","OK"))))))))))</f>
        <v/>
      </c>
    </row>
    <row r="2314" spans="12:15">
      <c r="L2314" s="5">
        <f>IF(OR(A2314="",B2314=""),"",B2314-WEEKDAY(B2314,2)+1)</f>
        <v/>
      </c>
      <c r="M2314" s="5">
        <f>IF(L2314="","",L2314+6)</f>
        <v/>
      </c>
      <c r="N2314" s="6">
        <f>IF(OR(A2314="",B2314=""),"",DATE(YEAR(B2314),MONTH(B2314),1))</f>
        <v/>
      </c>
      <c r="O2314" s="7">
        <f>IF(COUNTA(A2314:K2314)=0,"",IF(OR(A2314="",B2314=""),"Preencher CPF e entrada",IF(COUNTIFS($A$12:$A$5011,A2314,$B$12:$B$5011,B2314)&gt;1,"CPF + dia duplicado",IF(OR(AND(G2314&lt;&gt;"",G2314&lt;&gt;0,G2314&lt;&gt;1),AND(H2314&lt;&gt;"",H2314&lt;&gt;0,H2314&lt;&gt;1)),"Flags devem ser 0 ou 1",IF(AND(H2314=1,LEN(TRIM(I2314))=0),"Preencher nome do indicante",IF(AND(H2314&lt;&gt;1,I2314&lt;&gt;""),"Nome sem indicação interna",IF(AND(G2314=1,F2314=""),"Fechamento sem conversa",IF(OR(AND(E2314&lt;&gt;"",E2314&lt;B2314),AND(F2314&lt;&gt;"",F2314&lt;B2314)),"Evento anterior à entrada",IF(AND(F2314&lt;&gt;"",E2314=""),"Conversa sem agendamento",IF(OR(E2314&gt;TODAY(),F2314&gt;TODAY()),"Verificar evento futuro","OK"))))))))))</f>
        <v/>
      </c>
    </row>
    <row r="2315" spans="12:15">
      <c r="L2315" s="5">
        <f>IF(OR(A2315="",B2315=""),"",B2315-WEEKDAY(B2315,2)+1)</f>
        <v/>
      </c>
      <c r="M2315" s="5">
        <f>IF(L2315="","",L2315+6)</f>
        <v/>
      </c>
      <c r="N2315" s="6">
        <f>IF(OR(A2315="",B2315=""),"",DATE(YEAR(B2315),MONTH(B2315),1))</f>
        <v/>
      </c>
      <c r="O2315" s="7">
        <f>IF(COUNTA(A2315:K2315)=0,"",IF(OR(A2315="",B2315=""),"Preencher CPF e entrada",IF(COUNTIFS($A$12:$A$5011,A2315,$B$12:$B$5011,B2315)&gt;1,"CPF + dia duplicado",IF(OR(AND(G2315&lt;&gt;"",G2315&lt;&gt;0,G2315&lt;&gt;1),AND(H2315&lt;&gt;"",H2315&lt;&gt;0,H2315&lt;&gt;1)),"Flags devem ser 0 ou 1",IF(AND(H2315=1,LEN(TRIM(I2315))=0),"Preencher nome do indicante",IF(AND(H2315&lt;&gt;1,I2315&lt;&gt;""),"Nome sem indicação interna",IF(AND(G2315=1,F2315=""),"Fechamento sem conversa",IF(OR(AND(E2315&lt;&gt;"",E2315&lt;B2315),AND(F2315&lt;&gt;"",F2315&lt;B2315)),"Evento anterior à entrada",IF(AND(F2315&lt;&gt;"",E2315=""),"Conversa sem agendamento",IF(OR(E2315&gt;TODAY(),F2315&gt;TODAY()),"Verificar evento futuro","OK"))))))))))</f>
        <v/>
      </c>
    </row>
    <row r="2316" spans="12:15">
      <c r="L2316" s="5">
        <f>IF(OR(A2316="",B2316=""),"",B2316-WEEKDAY(B2316,2)+1)</f>
        <v/>
      </c>
      <c r="M2316" s="5">
        <f>IF(L2316="","",L2316+6)</f>
        <v/>
      </c>
      <c r="N2316" s="6">
        <f>IF(OR(A2316="",B2316=""),"",DATE(YEAR(B2316),MONTH(B2316),1))</f>
        <v/>
      </c>
      <c r="O2316" s="7">
        <f>IF(COUNTA(A2316:K2316)=0,"",IF(OR(A2316="",B2316=""),"Preencher CPF e entrada",IF(COUNTIFS($A$12:$A$5011,A2316,$B$12:$B$5011,B2316)&gt;1,"CPF + dia duplicado",IF(OR(AND(G2316&lt;&gt;"",G2316&lt;&gt;0,G2316&lt;&gt;1),AND(H2316&lt;&gt;"",H2316&lt;&gt;0,H2316&lt;&gt;1)),"Flags devem ser 0 ou 1",IF(AND(H2316=1,LEN(TRIM(I2316))=0),"Preencher nome do indicante",IF(AND(H2316&lt;&gt;1,I2316&lt;&gt;""),"Nome sem indicação interna",IF(AND(G2316=1,F2316=""),"Fechamento sem conversa",IF(OR(AND(E2316&lt;&gt;"",E2316&lt;B2316),AND(F2316&lt;&gt;"",F2316&lt;B2316)),"Evento anterior à entrada",IF(AND(F2316&lt;&gt;"",E2316=""),"Conversa sem agendamento",IF(OR(E2316&gt;TODAY(),F2316&gt;TODAY()),"Verificar evento futuro","OK"))))))))))</f>
        <v/>
      </c>
    </row>
    <row r="2317" spans="12:15">
      <c r="L2317" s="5">
        <f>IF(OR(A2317="",B2317=""),"",B2317-WEEKDAY(B2317,2)+1)</f>
        <v/>
      </c>
      <c r="M2317" s="5">
        <f>IF(L2317="","",L2317+6)</f>
        <v/>
      </c>
      <c r="N2317" s="6">
        <f>IF(OR(A2317="",B2317=""),"",DATE(YEAR(B2317),MONTH(B2317),1))</f>
        <v/>
      </c>
      <c r="O2317" s="7">
        <f>IF(COUNTA(A2317:K2317)=0,"",IF(OR(A2317="",B2317=""),"Preencher CPF e entrada",IF(COUNTIFS($A$12:$A$5011,A2317,$B$12:$B$5011,B2317)&gt;1,"CPF + dia duplicado",IF(OR(AND(G2317&lt;&gt;"",G2317&lt;&gt;0,G2317&lt;&gt;1),AND(H2317&lt;&gt;"",H2317&lt;&gt;0,H2317&lt;&gt;1)),"Flags devem ser 0 ou 1",IF(AND(H2317=1,LEN(TRIM(I2317))=0),"Preencher nome do indicante",IF(AND(H2317&lt;&gt;1,I2317&lt;&gt;""),"Nome sem indicação interna",IF(AND(G2317=1,F2317=""),"Fechamento sem conversa",IF(OR(AND(E2317&lt;&gt;"",E2317&lt;B2317),AND(F2317&lt;&gt;"",F2317&lt;B2317)),"Evento anterior à entrada",IF(AND(F2317&lt;&gt;"",E2317=""),"Conversa sem agendamento",IF(OR(E2317&gt;TODAY(),F2317&gt;TODAY()),"Verificar evento futuro","OK"))))))))))</f>
        <v/>
      </c>
    </row>
    <row r="2318" spans="12:15">
      <c r="L2318" s="5">
        <f>IF(OR(A2318="",B2318=""),"",B2318-WEEKDAY(B2318,2)+1)</f>
        <v/>
      </c>
      <c r="M2318" s="5">
        <f>IF(L2318="","",L2318+6)</f>
        <v/>
      </c>
      <c r="N2318" s="6">
        <f>IF(OR(A2318="",B2318=""),"",DATE(YEAR(B2318),MONTH(B2318),1))</f>
        <v/>
      </c>
      <c r="O2318" s="7">
        <f>IF(COUNTA(A2318:K2318)=0,"",IF(OR(A2318="",B2318=""),"Preencher CPF e entrada",IF(COUNTIFS($A$12:$A$5011,A2318,$B$12:$B$5011,B2318)&gt;1,"CPF + dia duplicado",IF(OR(AND(G2318&lt;&gt;"",G2318&lt;&gt;0,G2318&lt;&gt;1),AND(H2318&lt;&gt;"",H2318&lt;&gt;0,H2318&lt;&gt;1)),"Flags devem ser 0 ou 1",IF(AND(H2318=1,LEN(TRIM(I2318))=0),"Preencher nome do indicante",IF(AND(H2318&lt;&gt;1,I2318&lt;&gt;""),"Nome sem indicação interna",IF(AND(G2318=1,F2318=""),"Fechamento sem conversa",IF(OR(AND(E2318&lt;&gt;"",E2318&lt;B2318),AND(F2318&lt;&gt;"",F2318&lt;B2318)),"Evento anterior à entrada",IF(AND(F2318&lt;&gt;"",E2318=""),"Conversa sem agendamento",IF(OR(E2318&gt;TODAY(),F2318&gt;TODAY()),"Verificar evento futuro","OK"))))))))))</f>
        <v/>
      </c>
    </row>
    <row r="2319" spans="12:15">
      <c r="L2319" s="5">
        <f>IF(OR(A2319="",B2319=""),"",B2319-WEEKDAY(B2319,2)+1)</f>
        <v/>
      </c>
      <c r="M2319" s="5">
        <f>IF(L2319="","",L2319+6)</f>
        <v/>
      </c>
      <c r="N2319" s="6">
        <f>IF(OR(A2319="",B2319=""),"",DATE(YEAR(B2319),MONTH(B2319),1))</f>
        <v/>
      </c>
      <c r="O2319" s="7">
        <f>IF(COUNTA(A2319:K2319)=0,"",IF(OR(A2319="",B2319=""),"Preencher CPF e entrada",IF(COUNTIFS($A$12:$A$5011,A2319,$B$12:$B$5011,B2319)&gt;1,"CPF + dia duplicado",IF(OR(AND(G2319&lt;&gt;"",G2319&lt;&gt;0,G2319&lt;&gt;1),AND(H2319&lt;&gt;"",H2319&lt;&gt;0,H2319&lt;&gt;1)),"Flags devem ser 0 ou 1",IF(AND(H2319=1,LEN(TRIM(I2319))=0),"Preencher nome do indicante",IF(AND(H2319&lt;&gt;1,I2319&lt;&gt;""),"Nome sem indicação interna",IF(AND(G2319=1,F2319=""),"Fechamento sem conversa",IF(OR(AND(E2319&lt;&gt;"",E2319&lt;B2319),AND(F2319&lt;&gt;"",F2319&lt;B2319)),"Evento anterior à entrada",IF(AND(F2319&lt;&gt;"",E2319=""),"Conversa sem agendamento",IF(OR(E2319&gt;TODAY(),F2319&gt;TODAY()),"Verificar evento futuro","OK"))))))))))</f>
        <v/>
      </c>
    </row>
    <row r="2320" spans="12:15">
      <c r="L2320" s="5">
        <f>IF(OR(A2320="",B2320=""),"",B2320-WEEKDAY(B2320,2)+1)</f>
        <v/>
      </c>
      <c r="M2320" s="5">
        <f>IF(L2320="","",L2320+6)</f>
        <v/>
      </c>
      <c r="N2320" s="6">
        <f>IF(OR(A2320="",B2320=""),"",DATE(YEAR(B2320),MONTH(B2320),1))</f>
        <v/>
      </c>
      <c r="O2320" s="7">
        <f>IF(COUNTA(A2320:K2320)=0,"",IF(OR(A2320="",B2320=""),"Preencher CPF e entrada",IF(COUNTIFS($A$12:$A$5011,A2320,$B$12:$B$5011,B2320)&gt;1,"CPF + dia duplicado",IF(OR(AND(G2320&lt;&gt;"",G2320&lt;&gt;0,G2320&lt;&gt;1),AND(H2320&lt;&gt;"",H2320&lt;&gt;0,H2320&lt;&gt;1)),"Flags devem ser 0 ou 1",IF(AND(H2320=1,LEN(TRIM(I2320))=0),"Preencher nome do indicante",IF(AND(H2320&lt;&gt;1,I2320&lt;&gt;""),"Nome sem indicação interna",IF(AND(G2320=1,F2320=""),"Fechamento sem conversa",IF(OR(AND(E2320&lt;&gt;"",E2320&lt;B2320),AND(F2320&lt;&gt;"",F2320&lt;B2320)),"Evento anterior à entrada",IF(AND(F2320&lt;&gt;"",E2320=""),"Conversa sem agendamento",IF(OR(E2320&gt;TODAY(),F2320&gt;TODAY()),"Verificar evento futuro","OK"))))))))))</f>
        <v/>
      </c>
    </row>
    <row r="2321" spans="12:15">
      <c r="L2321" s="5">
        <f>IF(OR(A2321="",B2321=""),"",B2321-WEEKDAY(B2321,2)+1)</f>
        <v/>
      </c>
      <c r="M2321" s="5">
        <f>IF(L2321="","",L2321+6)</f>
        <v/>
      </c>
      <c r="N2321" s="6">
        <f>IF(OR(A2321="",B2321=""),"",DATE(YEAR(B2321),MONTH(B2321),1))</f>
        <v/>
      </c>
      <c r="O2321" s="7">
        <f>IF(COUNTA(A2321:K2321)=0,"",IF(OR(A2321="",B2321=""),"Preencher CPF e entrada",IF(COUNTIFS($A$12:$A$5011,A2321,$B$12:$B$5011,B2321)&gt;1,"CPF + dia duplicado",IF(OR(AND(G2321&lt;&gt;"",G2321&lt;&gt;0,G2321&lt;&gt;1),AND(H2321&lt;&gt;"",H2321&lt;&gt;0,H2321&lt;&gt;1)),"Flags devem ser 0 ou 1",IF(AND(H2321=1,LEN(TRIM(I2321))=0),"Preencher nome do indicante",IF(AND(H2321&lt;&gt;1,I2321&lt;&gt;""),"Nome sem indicação interna",IF(AND(G2321=1,F2321=""),"Fechamento sem conversa",IF(OR(AND(E2321&lt;&gt;"",E2321&lt;B2321),AND(F2321&lt;&gt;"",F2321&lt;B2321)),"Evento anterior à entrada",IF(AND(F2321&lt;&gt;"",E2321=""),"Conversa sem agendamento",IF(OR(E2321&gt;TODAY(),F2321&gt;TODAY()),"Verificar evento futuro","OK"))))))))))</f>
        <v/>
      </c>
    </row>
    <row r="2322" spans="12:15">
      <c r="L2322" s="5">
        <f>IF(OR(A2322="",B2322=""),"",B2322-WEEKDAY(B2322,2)+1)</f>
        <v/>
      </c>
      <c r="M2322" s="5">
        <f>IF(L2322="","",L2322+6)</f>
        <v/>
      </c>
      <c r="N2322" s="6">
        <f>IF(OR(A2322="",B2322=""),"",DATE(YEAR(B2322),MONTH(B2322),1))</f>
        <v/>
      </c>
      <c r="O2322" s="7">
        <f>IF(COUNTA(A2322:K2322)=0,"",IF(OR(A2322="",B2322=""),"Preencher CPF e entrada",IF(COUNTIFS($A$12:$A$5011,A2322,$B$12:$B$5011,B2322)&gt;1,"CPF + dia duplicado",IF(OR(AND(G2322&lt;&gt;"",G2322&lt;&gt;0,G2322&lt;&gt;1),AND(H2322&lt;&gt;"",H2322&lt;&gt;0,H2322&lt;&gt;1)),"Flags devem ser 0 ou 1",IF(AND(H2322=1,LEN(TRIM(I2322))=0),"Preencher nome do indicante",IF(AND(H2322&lt;&gt;1,I2322&lt;&gt;""),"Nome sem indicação interna",IF(AND(G2322=1,F2322=""),"Fechamento sem conversa",IF(OR(AND(E2322&lt;&gt;"",E2322&lt;B2322),AND(F2322&lt;&gt;"",F2322&lt;B2322)),"Evento anterior à entrada",IF(AND(F2322&lt;&gt;"",E2322=""),"Conversa sem agendamento",IF(OR(E2322&gt;TODAY(),F2322&gt;TODAY()),"Verificar evento futuro","OK"))))))))))</f>
        <v/>
      </c>
    </row>
    <row r="2323" spans="12:15">
      <c r="L2323" s="5">
        <f>IF(OR(A2323="",B2323=""),"",B2323-WEEKDAY(B2323,2)+1)</f>
        <v/>
      </c>
      <c r="M2323" s="5">
        <f>IF(L2323="","",L2323+6)</f>
        <v/>
      </c>
      <c r="N2323" s="6">
        <f>IF(OR(A2323="",B2323=""),"",DATE(YEAR(B2323),MONTH(B2323),1))</f>
        <v/>
      </c>
      <c r="O2323" s="7">
        <f>IF(COUNTA(A2323:K2323)=0,"",IF(OR(A2323="",B2323=""),"Preencher CPF e entrada",IF(COUNTIFS($A$12:$A$5011,A2323,$B$12:$B$5011,B2323)&gt;1,"CPF + dia duplicado",IF(OR(AND(G2323&lt;&gt;"",G2323&lt;&gt;0,G2323&lt;&gt;1),AND(H2323&lt;&gt;"",H2323&lt;&gt;0,H2323&lt;&gt;1)),"Flags devem ser 0 ou 1",IF(AND(H2323=1,LEN(TRIM(I2323))=0),"Preencher nome do indicante",IF(AND(H2323&lt;&gt;1,I2323&lt;&gt;""),"Nome sem indicação interna",IF(AND(G2323=1,F2323=""),"Fechamento sem conversa",IF(OR(AND(E2323&lt;&gt;"",E2323&lt;B2323),AND(F2323&lt;&gt;"",F2323&lt;B2323)),"Evento anterior à entrada",IF(AND(F2323&lt;&gt;"",E2323=""),"Conversa sem agendamento",IF(OR(E2323&gt;TODAY(),F2323&gt;TODAY()),"Verificar evento futuro","OK"))))))))))</f>
        <v/>
      </c>
    </row>
    <row r="2324" spans="12:15">
      <c r="L2324" s="5">
        <f>IF(OR(A2324="",B2324=""),"",B2324-WEEKDAY(B2324,2)+1)</f>
        <v/>
      </c>
      <c r="M2324" s="5">
        <f>IF(L2324="","",L2324+6)</f>
        <v/>
      </c>
      <c r="N2324" s="6">
        <f>IF(OR(A2324="",B2324=""),"",DATE(YEAR(B2324),MONTH(B2324),1))</f>
        <v/>
      </c>
      <c r="O2324" s="7">
        <f>IF(COUNTA(A2324:K2324)=0,"",IF(OR(A2324="",B2324=""),"Preencher CPF e entrada",IF(COUNTIFS($A$12:$A$5011,A2324,$B$12:$B$5011,B2324)&gt;1,"CPF + dia duplicado",IF(OR(AND(G2324&lt;&gt;"",G2324&lt;&gt;0,G2324&lt;&gt;1),AND(H2324&lt;&gt;"",H2324&lt;&gt;0,H2324&lt;&gt;1)),"Flags devem ser 0 ou 1",IF(AND(H2324=1,LEN(TRIM(I2324))=0),"Preencher nome do indicante",IF(AND(H2324&lt;&gt;1,I2324&lt;&gt;""),"Nome sem indicação interna",IF(AND(G2324=1,F2324=""),"Fechamento sem conversa",IF(OR(AND(E2324&lt;&gt;"",E2324&lt;B2324),AND(F2324&lt;&gt;"",F2324&lt;B2324)),"Evento anterior à entrada",IF(AND(F2324&lt;&gt;"",E2324=""),"Conversa sem agendamento",IF(OR(E2324&gt;TODAY(),F2324&gt;TODAY()),"Verificar evento futuro","OK"))))))))))</f>
        <v/>
      </c>
    </row>
    <row r="2325" spans="12:15">
      <c r="L2325" s="5">
        <f>IF(OR(A2325="",B2325=""),"",B2325-WEEKDAY(B2325,2)+1)</f>
        <v/>
      </c>
      <c r="M2325" s="5">
        <f>IF(L2325="","",L2325+6)</f>
        <v/>
      </c>
      <c r="N2325" s="6">
        <f>IF(OR(A2325="",B2325=""),"",DATE(YEAR(B2325),MONTH(B2325),1))</f>
        <v/>
      </c>
      <c r="O2325" s="7">
        <f>IF(COUNTA(A2325:K2325)=0,"",IF(OR(A2325="",B2325=""),"Preencher CPF e entrada",IF(COUNTIFS($A$12:$A$5011,A2325,$B$12:$B$5011,B2325)&gt;1,"CPF + dia duplicado",IF(OR(AND(G2325&lt;&gt;"",G2325&lt;&gt;0,G2325&lt;&gt;1),AND(H2325&lt;&gt;"",H2325&lt;&gt;0,H2325&lt;&gt;1)),"Flags devem ser 0 ou 1",IF(AND(H2325=1,LEN(TRIM(I2325))=0),"Preencher nome do indicante",IF(AND(H2325&lt;&gt;1,I2325&lt;&gt;""),"Nome sem indicação interna",IF(AND(G2325=1,F2325=""),"Fechamento sem conversa",IF(OR(AND(E2325&lt;&gt;"",E2325&lt;B2325),AND(F2325&lt;&gt;"",F2325&lt;B2325)),"Evento anterior à entrada",IF(AND(F2325&lt;&gt;"",E2325=""),"Conversa sem agendamento",IF(OR(E2325&gt;TODAY(),F2325&gt;TODAY()),"Verificar evento futuro","OK"))))))))))</f>
        <v/>
      </c>
    </row>
    <row r="2326" spans="12:15">
      <c r="L2326" s="5">
        <f>IF(OR(A2326="",B2326=""),"",B2326-WEEKDAY(B2326,2)+1)</f>
        <v/>
      </c>
      <c r="M2326" s="5">
        <f>IF(L2326="","",L2326+6)</f>
        <v/>
      </c>
      <c r="N2326" s="6">
        <f>IF(OR(A2326="",B2326=""),"",DATE(YEAR(B2326),MONTH(B2326),1))</f>
        <v/>
      </c>
      <c r="O2326" s="7">
        <f>IF(COUNTA(A2326:K2326)=0,"",IF(OR(A2326="",B2326=""),"Preencher CPF e entrada",IF(COUNTIFS($A$12:$A$5011,A2326,$B$12:$B$5011,B2326)&gt;1,"CPF + dia duplicado",IF(OR(AND(G2326&lt;&gt;"",G2326&lt;&gt;0,G2326&lt;&gt;1),AND(H2326&lt;&gt;"",H2326&lt;&gt;0,H2326&lt;&gt;1)),"Flags devem ser 0 ou 1",IF(AND(H2326=1,LEN(TRIM(I2326))=0),"Preencher nome do indicante",IF(AND(H2326&lt;&gt;1,I2326&lt;&gt;""),"Nome sem indicação interna",IF(AND(G2326=1,F2326=""),"Fechamento sem conversa",IF(OR(AND(E2326&lt;&gt;"",E2326&lt;B2326),AND(F2326&lt;&gt;"",F2326&lt;B2326)),"Evento anterior à entrada",IF(AND(F2326&lt;&gt;"",E2326=""),"Conversa sem agendamento",IF(OR(E2326&gt;TODAY(),F2326&gt;TODAY()),"Verificar evento futuro","OK"))))))))))</f>
        <v/>
      </c>
    </row>
    <row r="2327" spans="12:15">
      <c r="L2327" s="5">
        <f>IF(OR(A2327="",B2327=""),"",B2327-WEEKDAY(B2327,2)+1)</f>
        <v/>
      </c>
      <c r="M2327" s="5">
        <f>IF(L2327="","",L2327+6)</f>
        <v/>
      </c>
      <c r="N2327" s="6">
        <f>IF(OR(A2327="",B2327=""),"",DATE(YEAR(B2327),MONTH(B2327),1))</f>
        <v/>
      </c>
      <c r="O2327" s="7">
        <f>IF(COUNTA(A2327:K2327)=0,"",IF(OR(A2327="",B2327=""),"Preencher CPF e entrada",IF(COUNTIFS($A$12:$A$5011,A2327,$B$12:$B$5011,B2327)&gt;1,"CPF + dia duplicado",IF(OR(AND(G2327&lt;&gt;"",G2327&lt;&gt;0,G2327&lt;&gt;1),AND(H2327&lt;&gt;"",H2327&lt;&gt;0,H2327&lt;&gt;1)),"Flags devem ser 0 ou 1",IF(AND(H2327=1,LEN(TRIM(I2327))=0),"Preencher nome do indicante",IF(AND(H2327&lt;&gt;1,I2327&lt;&gt;""),"Nome sem indicação interna",IF(AND(G2327=1,F2327=""),"Fechamento sem conversa",IF(OR(AND(E2327&lt;&gt;"",E2327&lt;B2327),AND(F2327&lt;&gt;"",F2327&lt;B2327)),"Evento anterior à entrada",IF(AND(F2327&lt;&gt;"",E2327=""),"Conversa sem agendamento",IF(OR(E2327&gt;TODAY(),F2327&gt;TODAY()),"Verificar evento futuro","OK"))))))))))</f>
        <v/>
      </c>
    </row>
    <row r="2328" spans="12:15">
      <c r="L2328" s="5">
        <f>IF(OR(A2328="",B2328=""),"",B2328-WEEKDAY(B2328,2)+1)</f>
        <v/>
      </c>
      <c r="M2328" s="5">
        <f>IF(L2328="","",L2328+6)</f>
        <v/>
      </c>
      <c r="N2328" s="6">
        <f>IF(OR(A2328="",B2328=""),"",DATE(YEAR(B2328),MONTH(B2328),1))</f>
        <v/>
      </c>
      <c r="O2328" s="7">
        <f>IF(COUNTA(A2328:K2328)=0,"",IF(OR(A2328="",B2328=""),"Preencher CPF e entrada",IF(COUNTIFS($A$12:$A$5011,A2328,$B$12:$B$5011,B2328)&gt;1,"CPF + dia duplicado",IF(OR(AND(G2328&lt;&gt;"",G2328&lt;&gt;0,G2328&lt;&gt;1),AND(H2328&lt;&gt;"",H2328&lt;&gt;0,H2328&lt;&gt;1)),"Flags devem ser 0 ou 1",IF(AND(H2328=1,LEN(TRIM(I2328))=0),"Preencher nome do indicante",IF(AND(H2328&lt;&gt;1,I2328&lt;&gt;""),"Nome sem indicação interna",IF(AND(G2328=1,F2328=""),"Fechamento sem conversa",IF(OR(AND(E2328&lt;&gt;"",E2328&lt;B2328),AND(F2328&lt;&gt;"",F2328&lt;B2328)),"Evento anterior à entrada",IF(AND(F2328&lt;&gt;"",E2328=""),"Conversa sem agendamento",IF(OR(E2328&gt;TODAY(),F2328&gt;TODAY()),"Verificar evento futuro","OK"))))))))))</f>
        <v/>
      </c>
    </row>
    <row r="2329" spans="12:15">
      <c r="L2329" s="5">
        <f>IF(OR(A2329="",B2329=""),"",B2329-WEEKDAY(B2329,2)+1)</f>
        <v/>
      </c>
      <c r="M2329" s="5">
        <f>IF(L2329="","",L2329+6)</f>
        <v/>
      </c>
      <c r="N2329" s="6">
        <f>IF(OR(A2329="",B2329=""),"",DATE(YEAR(B2329),MONTH(B2329),1))</f>
        <v/>
      </c>
      <c r="O2329" s="7">
        <f>IF(COUNTA(A2329:K2329)=0,"",IF(OR(A2329="",B2329=""),"Preencher CPF e entrada",IF(COUNTIFS($A$12:$A$5011,A2329,$B$12:$B$5011,B2329)&gt;1,"CPF + dia duplicado",IF(OR(AND(G2329&lt;&gt;"",G2329&lt;&gt;0,G2329&lt;&gt;1),AND(H2329&lt;&gt;"",H2329&lt;&gt;0,H2329&lt;&gt;1)),"Flags devem ser 0 ou 1",IF(AND(H2329=1,LEN(TRIM(I2329))=0),"Preencher nome do indicante",IF(AND(H2329&lt;&gt;1,I2329&lt;&gt;""),"Nome sem indicação interna",IF(AND(G2329=1,F2329=""),"Fechamento sem conversa",IF(OR(AND(E2329&lt;&gt;"",E2329&lt;B2329),AND(F2329&lt;&gt;"",F2329&lt;B2329)),"Evento anterior à entrada",IF(AND(F2329&lt;&gt;"",E2329=""),"Conversa sem agendamento",IF(OR(E2329&gt;TODAY(),F2329&gt;TODAY()),"Verificar evento futuro","OK"))))))))))</f>
        <v/>
      </c>
    </row>
    <row r="2330" spans="12:15">
      <c r="L2330" s="5">
        <f>IF(OR(A2330="",B2330=""),"",B2330-WEEKDAY(B2330,2)+1)</f>
        <v/>
      </c>
      <c r="M2330" s="5">
        <f>IF(L2330="","",L2330+6)</f>
        <v/>
      </c>
      <c r="N2330" s="6">
        <f>IF(OR(A2330="",B2330=""),"",DATE(YEAR(B2330),MONTH(B2330),1))</f>
        <v/>
      </c>
      <c r="O2330" s="7">
        <f>IF(COUNTA(A2330:K2330)=0,"",IF(OR(A2330="",B2330=""),"Preencher CPF e entrada",IF(COUNTIFS($A$12:$A$5011,A2330,$B$12:$B$5011,B2330)&gt;1,"CPF + dia duplicado",IF(OR(AND(G2330&lt;&gt;"",G2330&lt;&gt;0,G2330&lt;&gt;1),AND(H2330&lt;&gt;"",H2330&lt;&gt;0,H2330&lt;&gt;1)),"Flags devem ser 0 ou 1",IF(AND(H2330=1,LEN(TRIM(I2330))=0),"Preencher nome do indicante",IF(AND(H2330&lt;&gt;1,I2330&lt;&gt;""),"Nome sem indicação interna",IF(AND(G2330=1,F2330=""),"Fechamento sem conversa",IF(OR(AND(E2330&lt;&gt;"",E2330&lt;B2330),AND(F2330&lt;&gt;"",F2330&lt;B2330)),"Evento anterior à entrada",IF(AND(F2330&lt;&gt;"",E2330=""),"Conversa sem agendamento",IF(OR(E2330&gt;TODAY(),F2330&gt;TODAY()),"Verificar evento futuro","OK"))))))))))</f>
        <v/>
      </c>
    </row>
    <row r="2331" spans="12:15">
      <c r="L2331" s="5">
        <f>IF(OR(A2331="",B2331=""),"",B2331-WEEKDAY(B2331,2)+1)</f>
        <v/>
      </c>
      <c r="M2331" s="5">
        <f>IF(L2331="","",L2331+6)</f>
        <v/>
      </c>
      <c r="N2331" s="6">
        <f>IF(OR(A2331="",B2331=""),"",DATE(YEAR(B2331),MONTH(B2331),1))</f>
        <v/>
      </c>
      <c r="O2331" s="7">
        <f>IF(COUNTA(A2331:K2331)=0,"",IF(OR(A2331="",B2331=""),"Preencher CPF e entrada",IF(COUNTIFS($A$12:$A$5011,A2331,$B$12:$B$5011,B2331)&gt;1,"CPF + dia duplicado",IF(OR(AND(G2331&lt;&gt;"",G2331&lt;&gt;0,G2331&lt;&gt;1),AND(H2331&lt;&gt;"",H2331&lt;&gt;0,H2331&lt;&gt;1)),"Flags devem ser 0 ou 1",IF(AND(H2331=1,LEN(TRIM(I2331))=0),"Preencher nome do indicante",IF(AND(H2331&lt;&gt;1,I2331&lt;&gt;""),"Nome sem indicação interna",IF(AND(G2331=1,F2331=""),"Fechamento sem conversa",IF(OR(AND(E2331&lt;&gt;"",E2331&lt;B2331),AND(F2331&lt;&gt;"",F2331&lt;B2331)),"Evento anterior à entrada",IF(AND(F2331&lt;&gt;"",E2331=""),"Conversa sem agendamento",IF(OR(E2331&gt;TODAY(),F2331&gt;TODAY()),"Verificar evento futuro","OK"))))))))))</f>
        <v/>
      </c>
    </row>
    <row r="2332" spans="12:15">
      <c r="L2332" s="5">
        <f>IF(OR(A2332="",B2332=""),"",B2332-WEEKDAY(B2332,2)+1)</f>
        <v/>
      </c>
      <c r="M2332" s="5">
        <f>IF(L2332="","",L2332+6)</f>
        <v/>
      </c>
      <c r="N2332" s="6">
        <f>IF(OR(A2332="",B2332=""),"",DATE(YEAR(B2332),MONTH(B2332),1))</f>
        <v/>
      </c>
      <c r="O2332" s="7">
        <f>IF(COUNTA(A2332:K2332)=0,"",IF(OR(A2332="",B2332=""),"Preencher CPF e entrada",IF(COUNTIFS($A$12:$A$5011,A2332,$B$12:$B$5011,B2332)&gt;1,"CPF + dia duplicado",IF(OR(AND(G2332&lt;&gt;"",G2332&lt;&gt;0,G2332&lt;&gt;1),AND(H2332&lt;&gt;"",H2332&lt;&gt;0,H2332&lt;&gt;1)),"Flags devem ser 0 ou 1",IF(AND(H2332=1,LEN(TRIM(I2332))=0),"Preencher nome do indicante",IF(AND(H2332&lt;&gt;1,I2332&lt;&gt;""),"Nome sem indicação interna",IF(AND(G2332=1,F2332=""),"Fechamento sem conversa",IF(OR(AND(E2332&lt;&gt;"",E2332&lt;B2332),AND(F2332&lt;&gt;"",F2332&lt;B2332)),"Evento anterior à entrada",IF(AND(F2332&lt;&gt;"",E2332=""),"Conversa sem agendamento",IF(OR(E2332&gt;TODAY(),F2332&gt;TODAY()),"Verificar evento futuro","OK"))))))))))</f>
        <v/>
      </c>
    </row>
    <row r="2333" spans="12:15">
      <c r="L2333" s="5">
        <f>IF(OR(A2333="",B2333=""),"",B2333-WEEKDAY(B2333,2)+1)</f>
        <v/>
      </c>
      <c r="M2333" s="5">
        <f>IF(L2333="","",L2333+6)</f>
        <v/>
      </c>
      <c r="N2333" s="6">
        <f>IF(OR(A2333="",B2333=""),"",DATE(YEAR(B2333),MONTH(B2333),1))</f>
        <v/>
      </c>
      <c r="O2333" s="7">
        <f>IF(COUNTA(A2333:K2333)=0,"",IF(OR(A2333="",B2333=""),"Preencher CPF e entrada",IF(COUNTIFS($A$12:$A$5011,A2333,$B$12:$B$5011,B2333)&gt;1,"CPF + dia duplicado",IF(OR(AND(G2333&lt;&gt;"",G2333&lt;&gt;0,G2333&lt;&gt;1),AND(H2333&lt;&gt;"",H2333&lt;&gt;0,H2333&lt;&gt;1)),"Flags devem ser 0 ou 1",IF(AND(H2333=1,LEN(TRIM(I2333))=0),"Preencher nome do indicante",IF(AND(H2333&lt;&gt;1,I2333&lt;&gt;""),"Nome sem indicação interna",IF(AND(G2333=1,F2333=""),"Fechamento sem conversa",IF(OR(AND(E2333&lt;&gt;"",E2333&lt;B2333),AND(F2333&lt;&gt;"",F2333&lt;B2333)),"Evento anterior à entrada",IF(AND(F2333&lt;&gt;"",E2333=""),"Conversa sem agendamento",IF(OR(E2333&gt;TODAY(),F2333&gt;TODAY()),"Verificar evento futuro","OK"))))))))))</f>
        <v/>
      </c>
    </row>
    <row r="2334" spans="12:15">
      <c r="L2334" s="5">
        <f>IF(OR(A2334="",B2334=""),"",B2334-WEEKDAY(B2334,2)+1)</f>
        <v/>
      </c>
      <c r="M2334" s="5">
        <f>IF(L2334="","",L2334+6)</f>
        <v/>
      </c>
      <c r="N2334" s="6">
        <f>IF(OR(A2334="",B2334=""),"",DATE(YEAR(B2334),MONTH(B2334),1))</f>
        <v/>
      </c>
      <c r="O2334" s="7">
        <f>IF(COUNTA(A2334:K2334)=0,"",IF(OR(A2334="",B2334=""),"Preencher CPF e entrada",IF(COUNTIFS($A$12:$A$5011,A2334,$B$12:$B$5011,B2334)&gt;1,"CPF + dia duplicado",IF(OR(AND(G2334&lt;&gt;"",G2334&lt;&gt;0,G2334&lt;&gt;1),AND(H2334&lt;&gt;"",H2334&lt;&gt;0,H2334&lt;&gt;1)),"Flags devem ser 0 ou 1",IF(AND(H2334=1,LEN(TRIM(I2334))=0),"Preencher nome do indicante",IF(AND(H2334&lt;&gt;1,I2334&lt;&gt;""),"Nome sem indicação interna",IF(AND(G2334=1,F2334=""),"Fechamento sem conversa",IF(OR(AND(E2334&lt;&gt;"",E2334&lt;B2334),AND(F2334&lt;&gt;"",F2334&lt;B2334)),"Evento anterior à entrada",IF(AND(F2334&lt;&gt;"",E2334=""),"Conversa sem agendamento",IF(OR(E2334&gt;TODAY(),F2334&gt;TODAY()),"Verificar evento futuro","OK"))))))))))</f>
        <v/>
      </c>
    </row>
    <row r="2335" spans="12:15">
      <c r="L2335" s="5">
        <f>IF(OR(A2335="",B2335=""),"",B2335-WEEKDAY(B2335,2)+1)</f>
        <v/>
      </c>
      <c r="M2335" s="5">
        <f>IF(L2335="","",L2335+6)</f>
        <v/>
      </c>
      <c r="N2335" s="6">
        <f>IF(OR(A2335="",B2335=""),"",DATE(YEAR(B2335),MONTH(B2335),1))</f>
        <v/>
      </c>
      <c r="O2335" s="7">
        <f>IF(COUNTA(A2335:K2335)=0,"",IF(OR(A2335="",B2335=""),"Preencher CPF e entrada",IF(COUNTIFS($A$12:$A$5011,A2335,$B$12:$B$5011,B2335)&gt;1,"CPF + dia duplicado",IF(OR(AND(G2335&lt;&gt;"",G2335&lt;&gt;0,G2335&lt;&gt;1),AND(H2335&lt;&gt;"",H2335&lt;&gt;0,H2335&lt;&gt;1)),"Flags devem ser 0 ou 1",IF(AND(H2335=1,LEN(TRIM(I2335))=0),"Preencher nome do indicante",IF(AND(H2335&lt;&gt;1,I2335&lt;&gt;""),"Nome sem indicação interna",IF(AND(G2335=1,F2335=""),"Fechamento sem conversa",IF(OR(AND(E2335&lt;&gt;"",E2335&lt;B2335),AND(F2335&lt;&gt;"",F2335&lt;B2335)),"Evento anterior à entrada",IF(AND(F2335&lt;&gt;"",E2335=""),"Conversa sem agendamento",IF(OR(E2335&gt;TODAY(),F2335&gt;TODAY()),"Verificar evento futuro","OK"))))))))))</f>
        <v/>
      </c>
    </row>
    <row r="2336" spans="12:15">
      <c r="L2336" s="5">
        <f>IF(OR(A2336="",B2336=""),"",B2336-WEEKDAY(B2336,2)+1)</f>
        <v/>
      </c>
      <c r="M2336" s="5">
        <f>IF(L2336="","",L2336+6)</f>
        <v/>
      </c>
      <c r="N2336" s="6">
        <f>IF(OR(A2336="",B2336=""),"",DATE(YEAR(B2336),MONTH(B2336),1))</f>
        <v/>
      </c>
      <c r="O2336" s="7">
        <f>IF(COUNTA(A2336:K2336)=0,"",IF(OR(A2336="",B2336=""),"Preencher CPF e entrada",IF(COUNTIFS($A$12:$A$5011,A2336,$B$12:$B$5011,B2336)&gt;1,"CPF + dia duplicado",IF(OR(AND(G2336&lt;&gt;"",G2336&lt;&gt;0,G2336&lt;&gt;1),AND(H2336&lt;&gt;"",H2336&lt;&gt;0,H2336&lt;&gt;1)),"Flags devem ser 0 ou 1",IF(AND(H2336=1,LEN(TRIM(I2336))=0),"Preencher nome do indicante",IF(AND(H2336&lt;&gt;1,I2336&lt;&gt;""),"Nome sem indicação interna",IF(AND(G2336=1,F2336=""),"Fechamento sem conversa",IF(OR(AND(E2336&lt;&gt;"",E2336&lt;B2336),AND(F2336&lt;&gt;"",F2336&lt;B2336)),"Evento anterior à entrada",IF(AND(F2336&lt;&gt;"",E2336=""),"Conversa sem agendamento",IF(OR(E2336&gt;TODAY(),F2336&gt;TODAY()),"Verificar evento futuro","OK"))))))))))</f>
        <v/>
      </c>
    </row>
    <row r="2337" spans="12:15">
      <c r="L2337" s="5">
        <f>IF(OR(A2337="",B2337=""),"",B2337-WEEKDAY(B2337,2)+1)</f>
        <v/>
      </c>
      <c r="M2337" s="5">
        <f>IF(L2337="","",L2337+6)</f>
        <v/>
      </c>
      <c r="N2337" s="6">
        <f>IF(OR(A2337="",B2337=""),"",DATE(YEAR(B2337),MONTH(B2337),1))</f>
        <v/>
      </c>
      <c r="O2337" s="7">
        <f>IF(COUNTA(A2337:K2337)=0,"",IF(OR(A2337="",B2337=""),"Preencher CPF e entrada",IF(COUNTIFS($A$12:$A$5011,A2337,$B$12:$B$5011,B2337)&gt;1,"CPF + dia duplicado",IF(OR(AND(G2337&lt;&gt;"",G2337&lt;&gt;0,G2337&lt;&gt;1),AND(H2337&lt;&gt;"",H2337&lt;&gt;0,H2337&lt;&gt;1)),"Flags devem ser 0 ou 1",IF(AND(H2337=1,LEN(TRIM(I2337))=0),"Preencher nome do indicante",IF(AND(H2337&lt;&gt;1,I2337&lt;&gt;""),"Nome sem indicação interna",IF(AND(G2337=1,F2337=""),"Fechamento sem conversa",IF(OR(AND(E2337&lt;&gt;"",E2337&lt;B2337),AND(F2337&lt;&gt;"",F2337&lt;B2337)),"Evento anterior à entrada",IF(AND(F2337&lt;&gt;"",E2337=""),"Conversa sem agendamento",IF(OR(E2337&gt;TODAY(),F2337&gt;TODAY()),"Verificar evento futuro","OK"))))))))))</f>
        <v/>
      </c>
    </row>
    <row r="2338" spans="12:15">
      <c r="L2338" s="5">
        <f>IF(OR(A2338="",B2338=""),"",B2338-WEEKDAY(B2338,2)+1)</f>
        <v/>
      </c>
      <c r="M2338" s="5">
        <f>IF(L2338="","",L2338+6)</f>
        <v/>
      </c>
      <c r="N2338" s="6">
        <f>IF(OR(A2338="",B2338=""),"",DATE(YEAR(B2338),MONTH(B2338),1))</f>
        <v/>
      </c>
      <c r="O2338" s="7">
        <f>IF(COUNTA(A2338:K2338)=0,"",IF(OR(A2338="",B2338=""),"Preencher CPF e entrada",IF(COUNTIFS($A$12:$A$5011,A2338,$B$12:$B$5011,B2338)&gt;1,"CPF + dia duplicado",IF(OR(AND(G2338&lt;&gt;"",G2338&lt;&gt;0,G2338&lt;&gt;1),AND(H2338&lt;&gt;"",H2338&lt;&gt;0,H2338&lt;&gt;1)),"Flags devem ser 0 ou 1",IF(AND(H2338=1,LEN(TRIM(I2338))=0),"Preencher nome do indicante",IF(AND(H2338&lt;&gt;1,I2338&lt;&gt;""),"Nome sem indicação interna",IF(AND(G2338=1,F2338=""),"Fechamento sem conversa",IF(OR(AND(E2338&lt;&gt;"",E2338&lt;B2338),AND(F2338&lt;&gt;"",F2338&lt;B2338)),"Evento anterior à entrada",IF(AND(F2338&lt;&gt;"",E2338=""),"Conversa sem agendamento",IF(OR(E2338&gt;TODAY(),F2338&gt;TODAY()),"Verificar evento futuro","OK"))))))))))</f>
        <v/>
      </c>
    </row>
    <row r="2339" spans="12:15">
      <c r="L2339" s="5">
        <f>IF(OR(A2339="",B2339=""),"",B2339-WEEKDAY(B2339,2)+1)</f>
        <v/>
      </c>
      <c r="M2339" s="5">
        <f>IF(L2339="","",L2339+6)</f>
        <v/>
      </c>
      <c r="N2339" s="6">
        <f>IF(OR(A2339="",B2339=""),"",DATE(YEAR(B2339),MONTH(B2339),1))</f>
        <v/>
      </c>
      <c r="O2339" s="7">
        <f>IF(COUNTA(A2339:K2339)=0,"",IF(OR(A2339="",B2339=""),"Preencher CPF e entrada",IF(COUNTIFS($A$12:$A$5011,A2339,$B$12:$B$5011,B2339)&gt;1,"CPF + dia duplicado",IF(OR(AND(G2339&lt;&gt;"",G2339&lt;&gt;0,G2339&lt;&gt;1),AND(H2339&lt;&gt;"",H2339&lt;&gt;0,H2339&lt;&gt;1)),"Flags devem ser 0 ou 1",IF(AND(H2339=1,LEN(TRIM(I2339))=0),"Preencher nome do indicante",IF(AND(H2339&lt;&gt;1,I2339&lt;&gt;""),"Nome sem indicação interna",IF(AND(G2339=1,F2339=""),"Fechamento sem conversa",IF(OR(AND(E2339&lt;&gt;"",E2339&lt;B2339),AND(F2339&lt;&gt;"",F2339&lt;B2339)),"Evento anterior à entrada",IF(AND(F2339&lt;&gt;"",E2339=""),"Conversa sem agendamento",IF(OR(E2339&gt;TODAY(),F2339&gt;TODAY()),"Verificar evento futuro","OK"))))))))))</f>
        <v/>
      </c>
    </row>
    <row r="2340" spans="12:15">
      <c r="L2340" s="5">
        <f>IF(OR(A2340="",B2340=""),"",B2340-WEEKDAY(B2340,2)+1)</f>
        <v/>
      </c>
      <c r="M2340" s="5">
        <f>IF(L2340="","",L2340+6)</f>
        <v/>
      </c>
      <c r="N2340" s="6">
        <f>IF(OR(A2340="",B2340=""),"",DATE(YEAR(B2340),MONTH(B2340),1))</f>
        <v/>
      </c>
      <c r="O2340" s="7">
        <f>IF(COUNTA(A2340:K2340)=0,"",IF(OR(A2340="",B2340=""),"Preencher CPF e entrada",IF(COUNTIFS($A$12:$A$5011,A2340,$B$12:$B$5011,B2340)&gt;1,"CPF + dia duplicado",IF(OR(AND(G2340&lt;&gt;"",G2340&lt;&gt;0,G2340&lt;&gt;1),AND(H2340&lt;&gt;"",H2340&lt;&gt;0,H2340&lt;&gt;1)),"Flags devem ser 0 ou 1",IF(AND(H2340=1,LEN(TRIM(I2340))=0),"Preencher nome do indicante",IF(AND(H2340&lt;&gt;1,I2340&lt;&gt;""),"Nome sem indicação interna",IF(AND(G2340=1,F2340=""),"Fechamento sem conversa",IF(OR(AND(E2340&lt;&gt;"",E2340&lt;B2340),AND(F2340&lt;&gt;"",F2340&lt;B2340)),"Evento anterior à entrada",IF(AND(F2340&lt;&gt;"",E2340=""),"Conversa sem agendamento",IF(OR(E2340&gt;TODAY(),F2340&gt;TODAY()),"Verificar evento futuro","OK"))))))))))</f>
        <v/>
      </c>
    </row>
    <row r="2341" spans="12:15">
      <c r="L2341" s="5">
        <f>IF(OR(A2341="",B2341=""),"",B2341-WEEKDAY(B2341,2)+1)</f>
        <v/>
      </c>
      <c r="M2341" s="5">
        <f>IF(L2341="","",L2341+6)</f>
        <v/>
      </c>
      <c r="N2341" s="6">
        <f>IF(OR(A2341="",B2341=""),"",DATE(YEAR(B2341),MONTH(B2341),1))</f>
        <v/>
      </c>
      <c r="O2341" s="7">
        <f>IF(COUNTA(A2341:K2341)=0,"",IF(OR(A2341="",B2341=""),"Preencher CPF e entrada",IF(COUNTIFS($A$12:$A$5011,A2341,$B$12:$B$5011,B2341)&gt;1,"CPF + dia duplicado",IF(OR(AND(G2341&lt;&gt;"",G2341&lt;&gt;0,G2341&lt;&gt;1),AND(H2341&lt;&gt;"",H2341&lt;&gt;0,H2341&lt;&gt;1)),"Flags devem ser 0 ou 1",IF(AND(H2341=1,LEN(TRIM(I2341))=0),"Preencher nome do indicante",IF(AND(H2341&lt;&gt;1,I2341&lt;&gt;""),"Nome sem indicação interna",IF(AND(G2341=1,F2341=""),"Fechamento sem conversa",IF(OR(AND(E2341&lt;&gt;"",E2341&lt;B2341),AND(F2341&lt;&gt;"",F2341&lt;B2341)),"Evento anterior à entrada",IF(AND(F2341&lt;&gt;"",E2341=""),"Conversa sem agendamento",IF(OR(E2341&gt;TODAY(),F2341&gt;TODAY()),"Verificar evento futuro","OK"))))))))))</f>
        <v/>
      </c>
    </row>
    <row r="2342" spans="12:15">
      <c r="L2342" s="5">
        <f>IF(OR(A2342="",B2342=""),"",B2342-WEEKDAY(B2342,2)+1)</f>
        <v/>
      </c>
      <c r="M2342" s="5">
        <f>IF(L2342="","",L2342+6)</f>
        <v/>
      </c>
      <c r="N2342" s="6">
        <f>IF(OR(A2342="",B2342=""),"",DATE(YEAR(B2342),MONTH(B2342),1))</f>
        <v/>
      </c>
      <c r="O2342" s="7">
        <f>IF(COUNTA(A2342:K2342)=0,"",IF(OR(A2342="",B2342=""),"Preencher CPF e entrada",IF(COUNTIFS($A$12:$A$5011,A2342,$B$12:$B$5011,B2342)&gt;1,"CPF + dia duplicado",IF(OR(AND(G2342&lt;&gt;"",G2342&lt;&gt;0,G2342&lt;&gt;1),AND(H2342&lt;&gt;"",H2342&lt;&gt;0,H2342&lt;&gt;1)),"Flags devem ser 0 ou 1",IF(AND(H2342=1,LEN(TRIM(I2342))=0),"Preencher nome do indicante",IF(AND(H2342&lt;&gt;1,I2342&lt;&gt;""),"Nome sem indicação interna",IF(AND(G2342=1,F2342=""),"Fechamento sem conversa",IF(OR(AND(E2342&lt;&gt;"",E2342&lt;B2342),AND(F2342&lt;&gt;"",F2342&lt;B2342)),"Evento anterior à entrada",IF(AND(F2342&lt;&gt;"",E2342=""),"Conversa sem agendamento",IF(OR(E2342&gt;TODAY(),F2342&gt;TODAY()),"Verificar evento futuro","OK"))))))))))</f>
        <v/>
      </c>
    </row>
    <row r="2343" spans="12:15">
      <c r="L2343" s="5">
        <f>IF(OR(A2343="",B2343=""),"",B2343-WEEKDAY(B2343,2)+1)</f>
        <v/>
      </c>
      <c r="M2343" s="5">
        <f>IF(L2343="","",L2343+6)</f>
        <v/>
      </c>
      <c r="N2343" s="6">
        <f>IF(OR(A2343="",B2343=""),"",DATE(YEAR(B2343),MONTH(B2343),1))</f>
        <v/>
      </c>
      <c r="O2343" s="7">
        <f>IF(COUNTA(A2343:K2343)=0,"",IF(OR(A2343="",B2343=""),"Preencher CPF e entrada",IF(COUNTIFS($A$12:$A$5011,A2343,$B$12:$B$5011,B2343)&gt;1,"CPF + dia duplicado",IF(OR(AND(G2343&lt;&gt;"",G2343&lt;&gt;0,G2343&lt;&gt;1),AND(H2343&lt;&gt;"",H2343&lt;&gt;0,H2343&lt;&gt;1)),"Flags devem ser 0 ou 1",IF(AND(H2343=1,LEN(TRIM(I2343))=0),"Preencher nome do indicante",IF(AND(H2343&lt;&gt;1,I2343&lt;&gt;""),"Nome sem indicação interna",IF(AND(G2343=1,F2343=""),"Fechamento sem conversa",IF(OR(AND(E2343&lt;&gt;"",E2343&lt;B2343),AND(F2343&lt;&gt;"",F2343&lt;B2343)),"Evento anterior à entrada",IF(AND(F2343&lt;&gt;"",E2343=""),"Conversa sem agendamento",IF(OR(E2343&gt;TODAY(),F2343&gt;TODAY()),"Verificar evento futuro","OK"))))))))))</f>
        <v/>
      </c>
    </row>
    <row r="2344" spans="12:15">
      <c r="L2344" s="5">
        <f>IF(OR(A2344="",B2344=""),"",B2344-WEEKDAY(B2344,2)+1)</f>
        <v/>
      </c>
      <c r="M2344" s="5">
        <f>IF(L2344="","",L2344+6)</f>
        <v/>
      </c>
      <c r="N2344" s="6">
        <f>IF(OR(A2344="",B2344=""),"",DATE(YEAR(B2344),MONTH(B2344),1))</f>
        <v/>
      </c>
      <c r="O2344" s="7">
        <f>IF(COUNTA(A2344:K2344)=0,"",IF(OR(A2344="",B2344=""),"Preencher CPF e entrada",IF(COUNTIFS($A$12:$A$5011,A2344,$B$12:$B$5011,B2344)&gt;1,"CPF + dia duplicado",IF(OR(AND(G2344&lt;&gt;"",G2344&lt;&gt;0,G2344&lt;&gt;1),AND(H2344&lt;&gt;"",H2344&lt;&gt;0,H2344&lt;&gt;1)),"Flags devem ser 0 ou 1",IF(AND(H2344=1,LEN(TRIM(I2344))=0),"Preencher nome do indicante",IF(AND(H2344&lt;&gt;1,I2344&lt;&gt;""),"Nome sem indicação interna",IF(AND(G2344=1,F2344=""),"Fechamento sem conversa",IF(OR(AND(E2344&lt;&gt;"",E2344&lt;B2344),AND(F2344&lt;&gt;"",F2344&lt;B2344)),"Evento anterior à entrada",IF(AND(F2344&lt;&gt;"",E2344=""),"Conversa sem agendamento",IF(OR(E2344&gt;TODAY(),F2344&gt;TODAY()),"Verificar evento futuro","OK"))))))))))</f>
        <v/>
      </c>
    </row>
    <row r="2345" spans="12:15">
      <c r="L2345" s="5">
        <f>IF(OR(A2345="",B2345=""),"",B2345-WEEKDAY(B2345,2)+1)</f>
        <v/>
      </c>
      <c r="M2345" s="5">
        <f>IF(L2345="","",L2345+6)</f>
        <v/>
      </c>
      <c r="N2345" s="6">
        <f>IF(OR(A2345="",B2345=""),"",DATE(YEAR(B2345),MONTH(B2345),1))</f>
        <v/>
      </c>
      <c r="O2345" s="7">
        <f>IF(COUNTA(A2345:K2345)=0,"",IF(OR(A2345="",B2345=""),"Preencher CPF e entrada",IF(COUNTIFS($A$12:$A$5011,A2345,$B$12:$B$5011,B2345)&gt;1,"CPF + dia duplicado",IF(OR(AND(G2345&lt;&gt;"",G2345&lt;&gt;0,G2345&lt;&gt;1),AND(H2345&lt;&gt;"",H2345&lt;&gt;0,H2345&lt;&gt;1)),"Flags devem ser 0 ou 1",IF(AND(H2345=1,LEN(TRIM(I2345))=0),"Preencher nome do indicante",IF(AND(H2345&lt;&gt;1,I2345&lt;&gt;""),"Nome sem indicação interna",IF(AND(G2345=1,F2345=""),"Fechamento sem conversa",IF(OR(AND(E2345&lt;&gt;"",E2345&lt;B2345),AND(F2345&lt;&gt;"",F2345&lt;B2345)),"Evento anterior à entrada",IF(AND(F2345&lt;&gt;"",E2345=""),"Conversa sem agendamento",IF(OR(E2345&gt;TODAY(),F2345&gt;TODAY()),"Verificar evento futuro","OK"))))))))))</f>
        <v/>
      </c>
    </row>
    <row r="2346" spans="12:15">
      <c r="L2346" s="5">
        <f>IF(OR(A2346="",B2346=""),"",B2346-WEEKDAY(B2346,2)+1)</f>
        <v/>
      </c>
      <c r="M2346" s="5">
        <f>IF(L2346="","",L2346+6)</f>
        <v/>
      </c>
      <c r="N2346" s="6">
        <f>IF(OR(A2346="",B2346=""),"",DATE(YEAR(B2346),MONTH(B2346),1))</f>
        <v/>
      </c>
      <c r="O2346" s="7">
        <f>IF(COUNTA(A2346:K2346)=0,"",IF(OR(A2346="",B2346=""),"Preencher CPF e entrada",IF(COUNTIFS($A$12:$A$5011,A2346,$B$12:$B$5011,B2346)&gt;1,"CPF + dia duplicado",IF(OR(AND(G2346&lt;&gt;"",G2346&lt;&gt;0,G2346&lt;&gt;1),AND(H2346&lt;&gt;"",H2346&lt;&gt;0,H2346&lt;&gt;1)),"Flags devem ser 0 ou 1",IF(AND(H2346=1,LEN(TRIM(I2346))=0),"Preencher nome do indicante",IF(AND(H2346&lt;&gt;1,I2346&lt;&gt;""),"Nome sem indicação interna",IF(AND(G2346=1,F2346=""),"Fechamento sem conversa",IF(OR(AND(E2346&lt;&gt;"",E2346&lt;B2346),AND(F2346&lt;&gt;"",F2346&lt;B2346)),"Evento anterior à entrada",IF(AND(F2346&lt;&gt;"",E2346=""),"Conversa sem agendamento",IF(OR(E2346&gt;TODAY(),F2346&gt;TODAY()),"Verificar evento futuro","OK"))))))))))</f>
        <v/>
      </c>
    </row>
    <row r="2347" spans="12:15">
      <c r="L2347" s="5">
        <f>IF(OR(A2347="",B2347=""),"",B2347-WEEKDAY(B2347,2)+1)</f>
        <v/>
      </c>
      <c r="M2347" s="5">
        <f>IF(L2347="","",L2347+6)</f>
        <v/>
      </c>
      <c r="N2347" s="6">
        <f>IF(OR(A2347="",B2347=""),"",DATE(YEAR(B2347),MONTH(B2347),1))</f>
        <v/>
      </c>
      <c r="O2347" s="7">
        <f>IF(COUNTA(A2347:K2347)=0,"",IF(OR(A2347="",B2347=""),"Preencher CPF e entrada",IF(COUNTIFS($A$12:$A$5011,A2347,$B$12:$B$5011,B2347)&gt;1,"CPF + dia duplicado",IF(OR(AND(G2347&lt;&gt;"",G2347&lt;&gt;0,G2347&lt;&gt;1),AND(H2347&lt;&gt;"",H2347&lt;&gt;0,H2347&lt;&gt;1)),"Flags devem ser 0 ou 1",IF(AND(H2347=1,LEN(TRIM(I2347))=0),"Preencher nome do indicante",IF(AND(H2347&lt;&gt;1,I2347&lt;&gt;""),"Nome sem indicação interna",IF(AND(G2347=1,F2347=""),"Fechamento sem conversa",IF(OR(AND(E2347&lt;&gt;"",E2347&lt;B2347),AND(F2347&lt;&gt;"",F2347&lt;B2347)),"Evento anterior à entrada",IF(AND(F2347&lt;&gt;"",E2347=""),"Conversa sem agendamento",IF(OR(E2347&gt;TODAY(),F2347&gt;TODAY()),"Verificar evento futuro","OK"))))))))))</f>
        <v/>
      </c>
    </row>
    <row r="2348" spans="12:15">
      <c r="L2348" s="5">
        <f>IF(OR(A2348="",B2348=""),"",B2348-WEEKDAY(B2348,2)+1)</f>
        <v/>
      </c>
      <c r="M2348" s="5">
        <f>IF(L2348="","",L2348+6)</f>
        <v/>
      </c>
      <c r="N2348" s="6">
        <f>IF(OR(A2348="",B2348=""),"",DATE(YEAR(B2348),MONTH(B2348),1))</f>
        <v/>
      </c>
      <c r="O2348" s="7">
        <f>IF(COUNTA(A2348:K2348)=0,"",IF(OR(A2348="",B2348=""),"Preencher CPF e entrada",IF(COUNTIFS($A$12:$A$5011,A2348,$B$12:$B$5011,B2348)&gt;1,"CPF + dia duplicado",IF(OR(AND(G2348&lt;&gt;"",G2348&lt;&gt;0,G2348&lt;&gt;1),AND(H2348&lt;&gt;"",H2348&lt;&gt;0,H2348&lt;&gt;1)),"Flags devem ser 0 ou 1",IF(AND(H2348=1,LEN(TRIM(I2348))=0),"Preencher nome do indicante",IF(AND(H2348&lt;&gt;1,I2348&lt;&gt;""),"Nome sem indicação interna",IF(AND(G2348=1,F2348=""),"Fechamento sem conversa",IF(OR(AND(E2348&lt;&gt;"",E2348&lt;B2348),AND(F2348&lt;&gt;"",F2348&lt;B2348)),"Evento anterior à entrada",IF(AND(F2348&lt;&gt;"",E2348=""),"Conversa sem agendamento",IF(OR(E2348&gt;TODAY(),F2348&gt;TODAY()),"Verificar evento futuro","OK"))))))))))</f>
        <v/>
      </c>
    </row>
    <row r="2349" spans="12:15">
      <c r="L2349" s="5">
        <f>IF(OR(A2349="",B2349=""),"",B2349-WEEKDAY(B2349,2)+1)</f>
        <v/>
      </c>
      <c r="M2349" s="5">
        <f>IF(L2349="","",L2349+6)</f>
        <v/>
      </c>
      <c r="N2349" s="6">
        <f>IF(OR(A2349="",B2349=""),"",DATE(YEAR(B2349),MONTH(B2349),1))</f>
        <v/>
      </c>
      <c r="O2349" s="7">
        <f>IF(COUNTA(A2349:K2349)=0,"",IF(OR(A2349="",B2349=""),"Preencher CPF e entrada",IF(COUNTIFS($A$12:$A$5011,A2349,$B$12:$B$5011,B2349)&gt;1,"CPF + dia duplicado",IF(OR(AND(G2349&lt;&gt;"",G2349&lt;&gt;0,G2349&lt;&gt;1),AND(H2349&lt;&gt;"",H2349&lt;&gt;0,H2349&lt;&gt;1)),"Flags devem ser 0 ou 1",IF(AND(H2349=1,LEN(TRIM(I2349))=0),"Preencher nome do indicante",IF(AND(H2349&lt;&gt;1,I2349&lt;&gt;""),"Nome sem indicação interna",IF(AND(G2349=1,F2349=""),"Fechamento sem conversa",IF(OR(AND(E2349&lt;&gt;"",E2349&lt;B2349),AND(F2349&lt;&gt;"",F2349&lt;B2349)),"Evento anterior à entrada",IF(AND(F2349&lt;&gt;"",E2349=""),"Conversa sem agendamento",IF(OR(E2349&gt;TODAY(),F2349&gt;TODAY()),"Verificar evento futuro","OK"))))))))))</f>
        <v/>
      </c>
    </row>
    <row r="2350" spans="12:15">
      <c r="L2350" s="5">
        <f>IF(OR(A2350="",B2350=""),"",B2350-WEEKDAY(B2350,2)+1)</f>
        <v/>
      </c>
      <c r="M2350" s="5">
        <f>IF(L2350="","",L2350+6)</f>
        <v/>
      </c>
      <c r="N2350" s="6">
        <f>IF(OR(A2350="",B2350=""),"",DATE(YEAR(B2350),MONTH(B2350),1))</f>
        <v/>
      </c>
      <c r="O2350" s="7">
        <f>IF(COUNTA(A2350:K2350)=0,"",IF(OR(A2350="",B2350=""),"Preencher CPF e entrada",IF(COUNTIFS($A$12:$A$5011,A2350,$B$12:$B$5011,B2350)&gt;1,"CPF + dia duplicado",IF(OR(AND(G2350&lt;&gt;"",G2350&lt;&gt;0,G2350&lt;&gt;1),AND(H2350&lt;&gt;"",H2350&lt;&gt;0,H2350&lt;&gt;1)),"Flags devem ser 0 ou 1",IF(AND(H2350=1,LEN(TRIM(I2350))=0),"Preencher nome do indicante",IF(AND(H2350&lt;&gt;1,I2350&lt;&gt;""),"Nome sem indicação interna",IF(AND(G2350=1,F2350=""),"Fechamento sem conversa",IF(OR(AND(E2350&lt;&gt;"",E2350&lt;B2350),AND(F2350&lt;&gt;"",F2350&lt;B2350)),"Evento anterior à entrada",IF(AND(F2350&lt;&gt;"",E2350=""),"Conversa sem agendamento",IF(OR(E2350&gt;TODAY(),F2350&gt;TODAY()),"Verificar evento futuro","OK"))))))))))</f>
        <v/>
      </c>
    </row>
    <row r="2351" spans="12:15">
      <c r="L2351" s="5">
        <f>IF(OR(A2351="",B2351=""),"",B2351-WEEKDAY(B2351,2)+1)</f>
        <v/>
      </c>
      <c r="M2351" s="5">
        <f>IF(L2351="","",L2351+6)</f>
        <v/>
      </c>
      <c r="N2351" s="6">
        <f>IF(OR(A2351="",B2351=""),"",DATE(YEAR(B2351),MONTH(B2351),1))</f>
        <v/>
      </c>
      <c r="O2351" s="7">
        <f>IF(COUNTA(A2351:K2351)=0,"",IF(OR(A2351="",B2351=""),"Preencher CPF e entrada",IF(COUNTIFS($A$12:$A$5011,A2351,$B$12:$B$5011,B2351)&gt;1,"CPF + dia duplicado",IF(OR(AND(G2351&lt;&gt;"",G2351&lt;&gt;0,G2351&lt;&gt;1),AND(H2351&lt;&gt;"",H2351&lt;&gt;0,H2351&lt;&gt;1)),"Flags devem ser 0 ou 1",IF(AND(H2351=1,LEN(TRIM(I2351))=0),"Preencher nome do indicante",IF(AND(H2351&lt;&gt;1,I2351&lt;&gt;""),"Nome sem indicação interna",IF(AND(G2351=1,F2351=""),"Fechamento sem conversa",IF(OR(AND(E2351&lt;&gt;"",E2351&lt;B2351),AND(F2351&lt;&gt;"",F2351&lt;B2351)),"Evento anterior à entrada",IF(AND(F2351&lt;&gt;"",E2351=""),"Conversa sem agendamento",IF(OR(E2351&gt;TODAY(),F2351&gt;TODAY()),"Verificar evento futuro","OK"))))))))))</f>
        <v/>
      </c>
    </row>
    <row r="2352" spans="12:15">
      <c r="L2352" s="5">
        <f>IF(OR(A2352="",B2352=""),"",B2352-WEEKDAY(B2352,2)+1)</f>
        <v/>
      </c>
      <c r="M2352" s="5">
        <f>IF(L2352="","",L2352+6)</f>
        <v/>
      </c>
      <c r="N2352" s="6">
        <f>IF(OR(A2352="",B2352=""),"",DATE(YEAR(B2352),MONTH(B2352),1))</f>
        <v/>
      </c>
      <c r="O2352" s="7">
        <f>IF(COUNTA(A2352:K2352)=0,"",IF(OR(A2352="",B2352=""),"Preencher CPF e entrada",IF(COUNTIFS($A$12:$A$5011,A2352,$B$12:$B$5011,B2352)&gt;1,"CPF + dia duplicado",IF(OR(AND(G2352&lt;&gt;"",G2352&lt;&gt;0,G2352&lt;&gt;1),AND(H2352&lt;&gt;"",H2352&lt;&gt;0,H2352&lt;&gt;1)),"Flags devem ser 0 ou 1",IF(AND(H2352=1,LEN(TRIM(I2352))=0),"Preencher nome do indicante",IF(AND(H2352&lt;&gt;1,I2352&lt;&gt;""),"Nome sem indicação interna",IF(AND(G2352=1,F2352=""),"Fechamento sem conversa",IF(OR(AND(E2352&lt;&gt;"",E2352&lt;B2352),AND(F2352&lt;&gt;"",F2352&lt;B2352)),"Evento anterior à entrada",IF(AND(F2352&lt;&gt;"",E2352=""),"Conversa sem agendamento",IF(OR(E2352&gt;TODAY(),F2352&gt;TODAY()),"Verificar evento futuro","OK"))))))))))</f>
        <v/>
      </c>
    </row>
    <row r="2353" spans="12:15">
      <c r="L2353" s="5">
        <f>IF(OR(A2353="",B2353=""),"",B2353-WEEKDAY(B2353,2)+1)</f>
        <v/>
      </c>
      <c r="M2353" s="5">
        <f>IF(L2353="","",L2353+6)</f>
        <v/>
      </c>
      <c r="N2353" s="6">
        <f>IF(OR(A2353="",B2353=""),"",DATE(YEAR(B2353),MONTH(B2353),1))</f>
        <v/>
      </c>
      <c r="O2353" s="7">
        <f>IF(COUNTA(A2353:K2353)=0,"",IF(OR(A2353="",B2353=""),"Preencher CPF e entrada",IF(COUNTIFS($A$12:$A$5011,A2353,$B$12:$B$5011,B2353)&gt;1,"CPF + dia duplicado",IF(OR(AND(G2353&lt;&gt;"",G2353&lt;&gt;0,G2353&lt;&gt;1),AND(H2353&lt;&gt;"",H2353&lt;&gt;0,H2353&lt;&gt;1)),"Flags devem ser 0 ou 1",IF(AND(H2353=1,LEN(TRIM(I2353))=0),"Preencher nome do indicante",IF(AND(H2353&lt;&gt;1,I2353&lt;&gt;""),"Nome sem indicação interna",IF(AND(G2353=1,F2353=""),"Fechamento sem conversa",IF(OR(AND(E2353&lt;&gt;"",E2353&lt;B2353),AND(F2353&lt;&gt;"",F2353&lt;B2353)),"Evento anterior à entrada",IF(AND(F2353&lt;&gt;"",E2353=""),"Conversa sem agendamento",IF(OR(E2353&gt;TODAY(),F2353&gt;TODAY()),"Verificar evento futuro","OK"))))))))))</f>
        <v/>
      </c>
    </row>
    <row r="2354" spans="12:15">
      <c r="L2354" s="5">
        <f>IF(OR(A2354="",B2354=""),"",B2354-WEEKDAY(B2354,2)+1)</f>
        <v/>
      </c>
      <c r="M2354" s="5">
        <f>IF(L2354="","",L2354+6)</f>
        <v/>
      </c>
      <c r="N2354" s="6">
        <f>IF(OR(A2354="",B2354=""),"",DATE(YEAR(B2354),MONTH(B2354),1))</f>
        <v/>
      </c>
      <c r="O2354" s="7">
        <f>IF(COUNTA(A2354:K2354)=0,"",IF(OR(A2354="",B2354=""),"Preencher CPF e entrada",IF(COUNTIFS($A$12:$A$5011,A2354,$B$12:$B$5011,B2354)&gt;1,"CPF + dia duplicado",IF(OR(AND(G2354&lt;&gt;"",G2354&lt;&gt;0,G2354&lt;&gt;1),AND(H2354&lt;&gt;"",H2354&lt;&gt;0,H2354&lt;&gt;1)),"Flags devem ser 0 ou 1",IF(AND(H2354=1,LEN(TRIM(I2354))=0),"Preencher nome do indicante",IF(AND(H2354&lt;&gt;1,I2354&lt;&gt;""),"Nome sem indicação interna",IF(AND(G2354=1,F2354=""),"Fechamento sem conversa",IF(OR(AND(E2354&lt;&gt;"",E2354&lt;B2354),AND(F2354&lt;&gt;"",F2354&lt;B2354)),"Evento anterior à entrada",IF(AND(F2354&lt;&gt;"",E2354=""),"Conversa sem agendamento",IF(OR(E2354&gt;TODAY(),F2354&gt;TODAY()),"Verificar evento futuro","OK"))))))))))</f>
        <v/>
      </c>
    </row>
    <row r="2355" spans="12:15">
      <c r="L2355" s="5">
        <f>IF(OR(A2355="",B2355=""),"",B2355-WEEKDAY(B2355,2)+1)</f>
        <v/>
      </c>
      <c r="M2355" s="5">
        <f>IF(L2355="","",L2355+6)</f>
        <v/>
      </c>
      <c r="N2355" s="6">
        <f>IF(OR(A2355="",B2355=""),"",DATE(YEAR(B2355),MONTH(B2355),1))</f>
        <v/>
      </c>
      <c r="O2355" s="7">
        <f>IF(COUNTA(A2355:K2355)=0,"",IF(OR(A2355="",B2355=""),"Preencher CPF e entrada",IF(COUNTIFS($A$12:$A$5011,A2355,$B$12:$B$5011,B2355)&gt;1,"CPF + dia duplicado",IF(OR(AND(G2355&lt;&gt;"",G2355&lt;&gt;0,G2355&lt;&gt;1),AND(H2355&lt;&gt;"",H2355&lt;&gt;0,H2355&lt;&gt;1)),"Flags devem ser 0 ou 1",IF(AND(H2355=1,LEN(TRIM(I2355))=0),"Preencher nome do indicante",IF(AND(H2355&lt;&gt;1,I2355&lt;&gt;""),"Nome sem indicação interna",IF(AND(G2355=1,F2355=""),"Fechamento sem conversa",IF(OR(AND(E2355&lt;&gt;"",E2355&lt;B2355),AND(F2355&lt;&gt;"",F2355&lt;B2355)),"Evento anterior à entrada",IF(AND(F2355&lt;&gt;"",E2355=""),"Conversa sem agendamento",IF(OR(E2355&gt;TODAY(),F2355&gt;TODAY()),"Verificar evento futuro","OK"))))))))))</f>
        <v/>
      </c>
    </row>
    <row r="2356" spans="12:15">
      <c r="L2356" s="5">
        <f>IF(OR(A2356="",B2356=""),"",B2356-WEEKDAY(B2356,2)+1)</f>
        <v/>
      </c>
      <c r="M2356" s="5">
        <f>IF(L2356="","",L2356+6)</f>
        <v/>
      </c>
      <c r="N2356" s="6">
        <f>IF(OR(A2356="",B2356=""),"",DATE(YEAR(B2356),MONTH(B2356),1))</f>
        <v/>
      </c>
      <c r="O2356" s="7">
        <f>IF(COUNTA(A2356:K2356)=0,"",IF(OR(A2356="",B2356=""),"Preencher CPF e entrada",IF(COUNTIFS($A$12:$A$5011,A2356,$B$12:$B$5011,B2356)&gt;1,"CPF + dia duplicado",IF(OR(AND(G2356&lt;&gt;"",G2356&lt;&gt;0,G2356&lt;&gt;1),AND(H2356&lt;&gt;"",H2356&lt;&gt;0,H2356&lt;&gt;1)),"Flags devem ser 0 ou 1",IF(AND(H2356=1,LEN(TRIM(I2356))=0),"Preencher nome do indicante",IF(AND(H2356&lt;&gt;1,I2356&lt;&gt;""),"Nome sem indicação interna",IF(AND(G2356=1,F2356=""),"Fechamento sem conversa",IF(OR(AND(E2356&lt;&gt;"",E2356&lt;B2356),AND(F2356&lt;&gt;"",F2356&lt;B2356)),"Evento anterior à entrada",IF(AND(F2356&lt;&gt;"",E2356=""),"Conversa sem agendamento",IF(OR(E2356&gt;TODAY(),F2356&gt;TODAY()),"Verificar evento futuro","OK"))))))))))</f>
        <v/>
      </c>
    </row>
    <row r="2357" spans="12:15">
      <c r="L2357" s="5">
        <f>IF(OR(A2357="",B2357=""),"",B2357-WEEKDAY(B2357,2)+1)</f>
        <v/>
      </c>
      <c r="M2357" s="5">
        <f>IF(L2357="","",L2357+6)</f>
        <v/>
      </c>
      <c r="N2357" s="6">
        <f>IF(OR(A2357="",B2357=""),"",DATE(YEAR(B2357),MONTH(B2357),1))</f>
        <v/>
      </c>
      <c r="O2357" s="7">
        <f>IF(COUNTA(A2357:K2357)=0,"",IF(OR(A2357="",B2357=""),"Preencher CPF e entrada",IF(COUNTIFS($A$12:$A$5011,A2357,$B$12:$B$5011,B2357)&gt;1,"CPF + dia duplicado",IF(OR(AND(G2357&lt;&gt;"",G2357&lt;&gt;0,G2357&lt;&gt;1),AND(H2357&lt;&gt;"",H2357&lt;&gt;0,H2357&lt;&gt;1)),"Flags devem ser 0 ou 1",IF(AND(H2357=1,LEN(TRIM(I2357))=0),"Preencher nome do indicante",IF(AND(H2357&lt;&gt;1,I2357&lt;&gt;""),"Nome sem indicação interna",IF(AND(G2357=1,F2357=""),"Fechamento sem conversa",IF(OR(AND(E2357&lt;&gt;"",E2357&lt;B2357),AND(F2357&lt;&gt;"",F2357&lt;B2357)),"Evento anterior à entrada",IF(AND(F2357&lt;&gt;"",E2357=""),"Conversa sem agendamento",IF(OR(E2357&gt;TODAY(),F2357&gt;TODAY()),"Verificar evento futuro","OK"))))))))))</f>
        <v/>
      </c>
    </row>
    <row r="2358" spans="12:15">
      <c r="L2358" s="5">
        <f>IF(OR(A2358="",B2358=""),"",B2358-WEEKDAY(B2358,2)+1)</f>
        <v/>
      </c>
      <c r="M2358" s="5">
        <f>IF(L2358="","",L2358+6)</f>
        <v/>
      </c>
      <c r="N2358" s="6">
        <f>IF(OR(A2358="",B2358=""),"",DATE(YEAR(B2358),MONTH(B2358),1))</f>
        <v/>
      </c>
      <c r="O2358" s="7">
        <f>IF(COUNTA(A2358:K2358)=0,"",IF(OR(A2358="",B2358=""),"Preencher CPF e entrada",IF(COUNTIFS($A$12:$A$5011,A2358,$B$12:$B$5011,B2358)&gt;1,"CPF + dia duplicado",IF(OR(AND(G2358&lt;&gt;"",G2358&lt;&gt;0,G2358&lt;&gt;1),AND(H2358&lt;&gt;"",H2358&lt;&gt;0,H2358&lt;&gt;1)),"Flags devem ser 0 ou 1",IF(AND(H2358=1,LEN(TRIM(I2358))=0),"Preencher nome do indicante",IF(AND(H2358&lt;&gt;1,I2358&lt;&gt;""),"Nome sem indicação interna",IF(AND(G2358=1,F2358=""),"Fechamento sem conversa",IF(OR(AND(E2358&lt;&gt;"",E2358&lt;B2358),AND(F2358&lt;&gt;"",F2358&lt;B2358)),"Evento anterior à entrada",IF(AND(F2358&lt;&gt;"",E2358=""),"Conversa sem agendamento",IF(OR(E2358&gt;TODAY(),F2358&gt;TODAY()),"Verificar evento futuro","OK"))))))))))</f>
        <v/>
      </c>
    </row>
    <row r="2359" spans="12:15">
      <c r="L2359" s="5">
        <f>IF(OR(A2359="",B2359=""),"",B2359-WEEKDAY(B2359,2)+1)</f>
        <v/>
      </c>
      <c r="M2359" s="5">
        <f>IF(L2359="","",L2359+6)</f>
        <v/>
      </c>
      <c r="N2359" s="6">
        <f>IF(OR(A2359="",B2359=""),"",DATE(YEAR(B2359),MONTH(B2359),1))</f>
        <v/>
      </c>
      <c r="O2359" s="7">
        <f>IF(COUNTA(A2359:K2359)=0,"",IF(OR(A2359="",B2359=""),"Preencher CPF e entrada",IF(COUNTIFS($A$12:$A$5011,A2359,$B$12:$B$5011,B2359)&gt;1,"CPF + dia duplicado",IF(OR(AND(G2359&lt;&gt;"",G2359&lt;&gt;0,G2359&lt;&gt;1),AND(H2359&lt;&gt;"",H2359&lt;&gt;0,H2359&lt;&gt;1)),"Flags devem ser 0 ou 1",IF(AND(H2359=1,LEN(TRIM(I2359))=0),"Preencher nome do indicante",IF(AND(H2359&lt;&gt;1,I2359&lt;&gt;""),"Nome sem indicação interna",IF(AND(G2359=1,F2359=""),"Fechamento sem conversa",IF(OR(AND(E2359&lt;&gt;"",E2359&lt;B2359),AND(F2359&lt;&gt;"",F2359&lt;B2359)),"Evento anterior à entrada",IF(AND(F2359&lt;&gt;"",E2359=""),"Conversa sem agendamento",IF(OR(E2359&gt;TODAY(),F2359&gt;TODAY()),"Verificar evento futuro","OK"))))))))))</f>
        <v/>
      </c>
    </row>
    <row r="2360" spans="12:15">
      <c r="L2360" s="5">
        <f>IF(OR(A2360="",B2360=""),"",B2360-WEEKDAY(B2360,2)+1)</f>
        <v/>
      </c>
      <c r="M2360" s="5">
        <f>IF(L2360="","",L2360+6)</f>
        <v/>
      </c>
      <c r="N2360" s="6">
        <f>IF(OR(A2360="",B2360=""),"",DATE(YEAR(B2360),MONTH(B2360),1))</f>
        <v/>
      </c>
      <c r="O2360" s="7">
        <f>IF(COUNTA(A2360:K2360)=0,"",IF(OR(A2360="",B2360=""),"Preencher CPF e entrada",IF(COUNTIFS($A$12:$A$5011,A2360,$B$12:$B$5011,B2360)&gt;1,"CPF + dia duplicado",IF(OR(AND(G2360&lt;&gt;"",G2360&lt;&gt;0,G2360&lt;&gt;1),AND(H2360&lt;&gt;"",H2360&lt;&gt;0,H2360&lt;&gt;1)),"Flags devem ser 0 ou 1",IF(AND(H2360=1,LEN(TRIM(I2360))=0),"Preencher nome do indicante",IF(AND(H2360&lt;&gt;1,I2360&lt;&gt;""),"Nome sem indicação interna",IF(AND(G2360=1,F2360=""),"Fechamento sem conversa",IF(OR(AND(E2360&lt;&gt;"",E2360&lt;B2360),AND(F2360&lt;&gt;"",F2360&lt;B2360)),"Evento anterior à entrada",IF(AND(F2360&lt;&gt;"",E2360=""),"Conversa sem agendamento",IF(OR(E2360&gt;TODAY(),F2360&gt;TODAY()),"Verificar evento futuro","OK"))))))))))</f>
        <v/>
      </c>
    </row>
    <row r="2361" spans="12:15">
      <c r="L2361" s="5">
        <f>IF(OR(A2361="",B2361=""),"",B2361-WEEKDAY(B2361,2)+1)</f>
        <v/>
      </c>
      <c r="M2361" s="5">
        <f>IF(L2361="","",L2361+6)</f>
        <v/>
      </c>
      <c r="N2361" s="6">
        <f>IF(OR(A2361="",B2361=""),"",DATE(YEAR(B2361),MONTH(B2361),1))</f>
        <v/>
      </c>
      <c r="O2361" s="7">
        <f>IF(COUNTA(A2361:K2361)=0,"",IF(OR(A2361="",B2361=""),"Preencher CPF e entrada",IF(COUNTIFS($A$12:$A$5011,A2361,$B$12:$B$5011,B2361)&gt;1,"CPF + dia duplicado",IF(OR(AND(G2361&lt;&gt;"",G2361&lt;&gt;0,G2361&lt;&gt;1),AND(H2361&lt;&gt;"",H2361&lt;&gt;0,H2361&lt;&gt;1)),"Flags devem ser 0 ou 1",IF(AND(H2361=1,LEN(TRIM(I2361))=0),"Preencher nome do indicante",IF(AND(H2361&lt;&gt;1,I2361&lt;&gt;""),"Nome sem indicação interna",IF(AND(G2361=1,F2361=""),"Fechamento sem conversa",IF(OR(AND(E2361&lt;&gt;"",E2361&lt;B2361),AND(F2361&lt;&gt;"",F2361&lt;B2361)),"Evento anterior à entrada",IF(AND(F2361&lt;&gt;"",E2361=""),"Conversa sem agendamento",IF(OR(E2361&gt;TODAY(),F2361&gt;TODAY()),"Verificar evento futuro","OK"))))))))))</f>
        <v/>
      </c>
    </row>
    <row r="2362" spans="12:15">
      <c r="L2362" s="5">
        <f>IF(OR(A2362="",B2362=""),"",B2362-WEEKDAY(B2362,2)+1)</f>
        <v/>
      </c>
      <c r="M2362" s="5">
        <f>IF(L2362="","",L2362+6)</f>
        <v/>
      </c>
      <c r="N2362" s="6">
        <f>IF(OR(A2362="",B2362=""),"",DATE(YEAR(B2362),MONTH(B2362),1))</f>
        <v/>
      </c>
      <c r="O2362" s="7">
        <f>IF(COUNTA(A2362:K2362)=0,"",IF(OR(A2362="",B2362=""),"Preencher CPF e entrada",IF(COUNTIFS($A$12:$A$5011,A2362,$B$12:$B$5011,B2362)&gt;1,"CPF + dia duplicado",IF(OR(AND(G2362&lt;&gt;"",G2362&lt;&gt;0,G2362&lt;&gt;1),AND(H2362&lt;&gt;"",H2362&lt;&gt;0,H2362&lt;&gt;1)),"Flags devem ser 0 ou 1",IF(AND(H2362=1,LEN(TRIM(I2362))=0),"Preencher nome do indicante",IF(AND(H2362&lt;&gt;1,I2362&lt;&gt;""),"Nome sem indicação interna",IF(AND(G2362=1,F2362=""),"Fechamento sem conversa",IF(OR(AND(E2362&lt;&gt;"",E2362&lt;B2362),AND(F2362&lt;&gt;"",F2362&lt;B2362)),"Evento anterior à entrada",IF(AND(F2362&lt;&gt;"",E2362=""),"Conversa sem agendamento",IF(OR(E2362&gt;TODAY(),F2362&gt;TODAY()),"Verificar evento futuro","OK"))))))))))</f>
        <v/>
      </c>
    </row>
    <row r="2363" spans="12:15">
      <c r="L2363" s="5">
        <f>IF(OR(A2363="",B2363=""),"",B2363-WEEKDAY(B2363,2)+1)</f>
        <v/>
      </c>
      <c r="M2363" s="5">
        <f>IF(L2363="","",L2363+6)</f>
        <v/>
      </c>
      <c r="N2363" s="6">
        <f>IF(OR(A2363="",B2363=""),"",DATE(YEAR(B2363),MONTH(B2363),1))</f>
        <v/>
      </c>
      <c r="O2363" s="7">
        <f>IF(COUNTA(A2363:K2363)=0,"",IF(OR(A2363="",B2363=""),"Preencher CPF e entrada",IF(COUNTIFS($A$12:$A$5011,A2363,$B$12:$B$5011,B2363)&gt;1,"CPF + dia duplicado",IF(OR(AND(G2363&lt;&gt;"",G2363&lt;&gt;0,G2363&lt;&gt;1),AND(H2363&lt;&gt;"",H2363&lt;&gt;0,H2363&lt;&gt;1)),"Flags devem ser 0 ou 1",IF(AND(H2363=1,LEN(TRIM(I2363))=0),"Preencher nome do indicante",IF(AND(H2363&lt;&gt;1,I2363&lt;&gt;""),"Nome sem indicação interna",IF(AND(G2363=1,F2363=""),"Fechamento sem conversa",IF(OR(AND(E2363&lt;&gt;"",E2363&lt;B2363),AND(F2363&lt;&gt;"",F2363&lt;B2363)),"Evento anterior à entrada",IF(AND(F2363&lt;&gt;"",E2363=""),"Conversa sem agendamento",IF(OR(E2363&gt;TODAY(),F2363&gt;TODAY()),"Verificar evento futuro","OK"))))))))))</f>
        <v/>
      </c>
    </row>
    <row r="2364" spans="12:15">
      <c r="L2364" s="5">
        <f>IF(OR(A2364="",B2364=""),"",B2364-WEEKDAY(B2364,2)+1)</f>
        <v/>
      </c>
      <c r="M2364" s="5">
        <f>IF(L2364="","",L2364+6)</f>
        <v/>
      </c>
      <c r="N2364" s="6">
        <f>IF(OR(A2364="",B2364=""),"",DATE(YEAR(B2364),MONTH(B2364),1))</f>
        <v/>
      </c>
      <c r="O2364" s="7">
        <f>IF(COUNTA(A2364:K2364)=0,"",IF(OR(A2364="",B2364=""),"Preencher CPF e entrada",IF(COUNTIFS($A$12:$A$5011,A2364,$B$12:$B$5011,B2364)&gt;1,"CPF + dia duplicado",IF(OR(AND(G2364&lt;&gt;"",G2364&lt;&gt;0,G2364&lt;&gt;1),AND(H2364&lt;&gt;"",H2364&lt;&gt;0,H2364&lt;&gt;1)),"Flags devem ser 0 ou 1",IF(AND(H2364=1,LEN(TRIM(I2364))=0),"Preencher nome do indicante",IF(AND(H2364&lt;&gt;1,I2364&lt;&gt;""),"Nome sem indicação interna",IF(AND(G2364=1,F2364=""),"Fechamento sem conversa",IF(OR(AND(E2364&lt;&gt;"",E2364&lt;B2364),AND(F2364&lt;&gt;"",F2364&lt;B2364)),"Evento anterior à entrada",IF(AND(F2364&lt;&gt;"",E2364=""),"Conversa sem agendamento",IF(OR(E2364&gt;TODAY(),F2364&gt;TODAY()),"Verificar evento futuro","OK"))))))))))</f>
        <v/>
      </c>
    </row>
    <row r="2365" spans="12:15">
      <c r="L2365" s="5">
        <f>IF(OR(A2365="",B2365=""),"",B2365-WEEKDAY(B2365,2)+1)</f>
        <v/>
      </c>
      <c r="M2365" s="5">
        <f>IF(L2365="","",L2365+6)</f>
        <v/>
      </c>
      <c r="N2365" s="6">
        <f>IF(OR(A2365="",B2365=""),"",DATE(YEAR(B2365),MONTH(B2365),1))</f>
        <v/>
      </c>
      <c r="O2365" s="7">
        <f>IF(COUNTA(A2365:K2365)=0,"",IF(OR(A2365="",B2365=""),"Preencher CPF e entrada",IF(COUNTIFS($A$12:$A$5011,A2365,$B$12:$B$5011,B2365)&gt;1,"CPF + dia duplicado",IF(OR(AND(G2365&lt;&gt;"",G2365&lt;&gt;0,G2365&lt;&gt;1),AND(H2365&lt;&gt;"",H2365&lt;&gt;0,H2365&lt;&gt;1)),"Flags devem ser 0 ou 1",IF(AND(H2365=1,LEN(TRIM(I2365))=0),"Preencher nome do indicante",IF(AND(H2365&lt;&gt;1,I2365&lt;&gt;""),"Nome sem indicação interna",IF(AND(G2365=1,F2365=""),"Fechamento sem conversa",IF(OR(AND(E2365&lt;&gt;"",E2365&lt;B2365),AND(F2365&lt;&gt;"",F2365&lt;B2365)),"Evento anterior à entrada",IF(AND(F2365&lt;&gt;"",E2365=""),"Conversa sem agendamento",IF(OR(E2365&gt;TODAY(),F2365&gt;TODAY()),"Verificar evento futuro","OK"))))))))))</f>
        <v/>
      </c>
    </row>
    <row r="2366" spans="12:15">
      <c r="L2366" s="5">
        <f>IF(OR(A2366="",B2366=""),"",B2366-WEEKDAY(B2366,2)+1)</f>
        <v/>
      </c>
      <c r="M2366" s="5">
        <f>IF(L2366="","",L2366+6)</f>
        <v/>
      </c>
      <c r="N2366" s="6">
        <f>IF(OR(A2366="",B2366=""),"",DATE(YEAR(B2366),MONTH(B2366),1))</f>
        <v/>
      </c>
      <c r="O2366" s="7">
        <f>IF(COUNTA(A2366:K2366)=0,"",IF(OR(A2366="",B2366=""),"Preencher CPF e entrada",IF(COUNTIFS($A$12:$A$5011,A2366,$B$12:$B$5011,B2366)&gt;1,"CPF + dia duplicado",IF(OR(AND(G2366&lt;&gt;"",G2366&lt;&gt;0,G2366&lt;&gt;1),AND(H2366&lt;&gt;"",H2366&lt;&gt;0,H2366&lt;&gt;1)),"Flags devem ser 0 ou 1",IF(AND(H2366=1,LEN(TRIM(I2366))=0),"Preencher nome do indicante",IF(AND(H2366&lt;&gt;1,I2366&lt;&gt;""),"Nome sem indicação interna",IF(AND(G2366=1,F2366=""),"Fechamento sem conversa",IF(OR(AND(E2366&lt;&gt;"",E2366&lt;B2366),AND(F2366&lt;&gt;"",F2366&lt;B2366)),"Evento anterior à entrada",IF(AND(F2366&lt;&gt;"",E2366=""),"Conversa sem agendamento",IF(OR(E2366&gt;TODAY(),F2366&gt;TODAY()),"Verificar evento futuro","OK"))))))))))</f>
        <v/>
      </c>
    </row>
    <row r="2367" spans="12:15">
      <c r="L2367" s="5">
        <f>IF(OR(A2367="",B2367=""),"",B2367-WEEKDAY(B2367,2)+1)</f>
        <v/>
      </c>
      <c r="M2367" s="5">
        <f>IF(L2367="","",L2367+6)</f>
        <v/>
      </c>
      <c r="N2367" s="6">
        <f>IF(OR(A2367="",B2367=""),"",DATE(YEAR(B2367),MONTH(B2367),1))</f>
        <v/>
      </c>
      <c r="O2367" s="7">
        <f>IF(COUNTA(A2367:K2367)=0,"",IF(OR(A2367="",B2367=""),"Preencher CPF e entrada",IF(COUNTIFS($A$12:$A$5011,A2367,$B$12:$B$5011,B2367)&gt;1,"CPF + dia duplicado",IF(OR(AND(G2367&lt;&gt;"",G2367&lt;&gt;0,G2367&lt;&gt;1),AND(H2367&lt;&gt;"",H2367&lt;&gt;0,H2367&lt;&gt;1)),"Flags devem ser 0 ou 1",IF(AND(H2367=1,LEN(TRIM(I2367))=0),"Preencher nome do indicante",IF(AND(H2367&lt;&gt;1,I2367&lt;&gt;""),"Nome sem indicação interna",IF(AND(G2367=1,F2367=""),"Fechamento sem conversa",IF(OR(AND(E2367&lt;&gt;"",E2367&lt;B2367),AND(F2367&lt;&gt;"",F2367&lt;B2367)),"Evento anterior à entrada",IF(AND(F2367&lt;&gt;"",E2367=""),"Conversa sem agendamento",IF(OR(E2367&gt;TODAY(),F2367&gt;TODAY()),"Verificar evento futuro","OK"))))))))))</f>
        <v/>
      </c>
    </row>
    <row r="2368" spans="12:15">
      <c r="L2368" s="5">
        <f>IF(OR(A2368="",B2368=""),"",B2368-WEEKDAY(B2368,2)+1)</f>
        <v/>
      </c>
      <c r="M2368" s="5">
        <f>IF(L2368="","",L2368+6)</f>
        <v/>
      </c>
      <c r="N2368" s="6">
        <f>IF(OR(A2368="",B2368=""),"",DATE(YEAR(B2368),MONTH(B2368),1))</f>
        <v/>
      </c>
      <c r="O2368" s="7">
        <f>IF(COUNTA(A2368:K2368)=0,"",IF(OR(A2368="",B2368=""),"Preencher CPF e entrada",IF(COUNTIFS($A$12:$A$5011,A2368,$B$12:$B$5011,B2368)&gt;1,"CPF + dia duplicado",IF(OR(AND(G2368&lt;&gt;"",G2368&lt;&gt;0,G2368&lt;&gt;1),AND(H2368&lt;&gt;"",H2368&lt;&gt;0,H2368&lt;&gt;1)),"Flags devem ser 0 ou 1",IF(AND(H2368=1,LEN(TRIM(I2368))=0),"Preencher nome do indicante",IF(AND(H2368&lt;&gt;1,I2368&lt;&gt;""),"Nome sem indicação interna",IF(AND(G2368=1,F2368=""),"Fechamento sem conversa",IF(OR(AND(E2368&lt;&gt;"",E2368&lt;B2368),AND(F2368&lt;&gt;"",F2368&lt;B2368)),"Evento anterior à entrada",IF(AND(F2368&lt;&gt;"",E2368=""),"Conversa sem agendamento",IF(OR(E2368&gt;TODAY(),F2368&gt;TODAY()),"Verificar evento futuro","OK"))))))))))</f>
        <v/>
      </c>
    </row>
    <row r="2369" spans="12:15">
      <c r="L2369" s="5">
        <f>IF(OR(A2369="",B2369=""),"",B2369-WEEKDAY(B2369,2)+1)</f>
        <v/>
      </c>
      <c r="M2369" s="5">
        <f>IF(L2369="","",L2369+6)</f>
        <v/>
      </c>
      <c r="N2369" s="6">
        <f>IF(OR(A2369="",B2369=""),"",DATE(YEAR(B2369),MONTH(B2369),1))</f>
        <v/>
      </c>
      <c r="O2369" s="7">
        <f>IF(COUNTA(A2369:K2369)=0,"",IF(OR(A2369="",B2369=""),"Preencher CPF e entrada",IF(COUNTIFS($A$12:$A$5011,A2369,$B$12:$B$5011,B2369)&gt;1,"CPF + dia duplicado",IF(OR(AND(G2369&lt;&gt;"",G2369&lt;&gt;0,G2369&lt;&gt;1),AND(H2369&lt;&gt;"",H2369&lt;&gt;0,H2369&lt;&gt;1)),"Flags devem ser 0 ou 1",IF(AND(H2369=1,LEN(TRIM(I2369))=0),"Preencher nome do indicante",IF(AND(H2369&lt;&gt;1,I2369&lt;&gt;""),"Nome sem indicação interna",IF(AND(G2369=1,F2369=""),"Fechamento sem conversa",IF(OR(AND(E2369&lt;&gt;"",E2369&lt;B2369),AND(F2369&lt;&gt;"",F2369&lt;B2369)),"Evento anterior à entrada",IF(AND(F2369&lt;&gt;"",E2369=""),"Conversa sem agendamento",IF(OR(E2369&gt;TODAY(),F2369&gt;TODAY()),"Verificar evento futuro","OK"))))))))))</f>
        <v/>
      </c>
    </row>
    <row r="2370" spans="12:15">
      <c r="L2370" s="5">
        <f>IF(OR(A2370="",B2370=""),"",B2370-WEEKDAY(B2370,2)+1)</f>
        <v/>
      </c>
      <c r="M2370" s="5">
        <f>IF(L2370="","",L2370+6)</f>
        <v/>
      </c>
      <c r="N2370" s="6">
        <f>IF(OR(A2370="",B2370=""),"",DATE(YEAR(B2370),MONTH(B2370),1))</f>
        <v/>
      </c>
      <c r="O2370" s="7">
        <f>IF(COUNTA(A2370:K2370)=0,"",IF(OR(A2370="",B2370=""),"Preencher CPF e entrada",IF(COUNTIFS($A$12:$A$5011,A2370,$B$12:$B$5011,B2370)&gt;1,"CPF + dia duplicado",IF(OR(AND(G2370&lt;&gt;"",G2370&lt;&gt;0,G2370&lt;&gt;1),AND(H2370&lt;&gt;"",H2370&lt;&gt;0,H2370&lt;&gt;1)),"Flags devem ser 0 ou 1",IF(AND(H2370=1,LEN(TRIM(I2370))=0),"Preencher nome do indicante",IF(AND(H2370&lt;&gt;1,I2370&lt;&gt;""),"Nome sem indicação interna",IF(AND(G2370=1,F2370=""),"Fechamento sem conversa",IF(OR(AND(E2370&lt;&gt;"",E2370&lt;B2370),AND(F2370&lt;&gt;"",F2370&lt;B2370)),"Evento anterior à entrada",IF(AND(F2370&lt;&gt;"",E2370=""),"Conversa sem agendamento",IF(OR(E2370&gt;TODAY(),F2370&gt;TODAY()),"Verificar evento futuro","OK"))))))))))</f>
        <v/>
      </c>
    </row>
    <row r="2371" spans="12:15">
      <c r="L2371" s="5">
        <f>IF(OR(A2371="",B2371=""),"",B2371-WEEKDAY(B2371,2)+1)</f>
        <v/>
      </c>
      <c r="M2371" s="5">
        <f>IF(L2371="","",L2371+6)</f>
        <v/>
      </c>
      <c r="N2371" s="6">
        <f>IF(OR(A2371="",B2371=""),"",DATE(YEAR(B2371),MONTH(B2371),1))</f>
        <v/>
      </c>
      <c r="O2371" s="7">
        <f>IF(COUNTA(A2371:K2371)=0,"",IF(OR(A2371="",B2371=""),"Preencher CPF e entrada",IF(COUNTIFS($A$12:$A$5011,A2371,$B$12:$B$5011,B2371)&gt;1,"CPF + dia duplicado",IF(OR(AND(G2371&lt;&gt;"",G2371&lt;&gt;0,G2371&lt;&gt;1),AND(H2371&lt;&gt;"",H2371&lt;&gt;0,H2371&lt;&gt;1)),"Flags devem ser 0 ou 1",IF(AND(H2371=1,LEN(TRIM(I2371))=0),"Preencher nome do indicante",IF(AND(H2371&lt;&gt;1,I2371&lt;&gt;""),"Nome sem indicação interna",IF(AND(G2371=1,F2371=""),"Fechamento sem conversa",IF(OR(AND(E2371&lt;&gt;"",E2371&lt;B2371),AND(F2371&lt;&gt;"",F2371&lt;B2371)),"Evento anterior à entrada",IF(AND(F2371&lt;&gt;"",E2371=""),"Conversa sem agendamento",IF(OR(E2371&gt;TODAY(),F2371&gt;TODAY()),"Verificar evento futuro","OK"))))))))))</f>
        <v/>
      </c>
    </row>
    <row r="2372" spans="12:15">
      <c r="L2372" s="5">
        <f>IF(OR(A2372="",B2372=""),"",B2372-WEEKDAY(B2372,2)+1)</f>
        <v/>
      </c>
      <c r="M2372" s="5">
        <f>IF(L2372="","",L2372+6)</f>
        <v/>
      </c>
      <c r="N2372" s="6">
        <f>IF(OR(A2372="",B2372=""),"",DATE(YEAR(B2372),MONTH(B2372),1))</f>
        <v/>
      </c>
      <c r="O2372" s="7">
        <f>IF(COUNTA(A2372:K2372)=0,"",IF(OR(A2372="",B2372=""),"Preencher CPF e entrada",IF(COUNTIFS($A$12:$A$5011,A2372,$B$12:$B$5011,B2372)&gt;1,"CPF + dia duplicado",IF(OR(AND(G2372&lt;&gt;"",G2372&lt;&gt;0,G2372&lt;&gt;1),AND(H2372&lt;&gt;"",H2372&lt;&gt;0,H2372&lt;&gt;1)),"Flags devem ser 0 ou 1",IF(AND(H2372=1,LEN(TRIM(I2372))=0),"Preencher nome do indicante",IF(AND(H2372&lt;&gt;1,I2372&lt;&gt;""),"Nome sem indicação interna",IF(AND(G2372=1,F2372=""),"Fechamento sem conversa",IF(OR(AND(E2372&lt;&gt;"",E2372&lt;B2372),AND(F2372&lt;&gt;"",F2372&lt;B2372)),"Evento anterior à entrada",IF(AND(F2372&lt;&gt;"",E2372=""),"Conversa sem agendamento",IF(OR(E2372&gt;TODAY(),F2372&gt;TODAY()),"Verificar evento futuro","OK"))))))))))</f>
        <v/>
      </c>
    </row>
    <row r="2373" spans="12:15">
      <c r="L2373" s="5">
        <f>IF(OR(A2373="",B2373=""),"",B2373-WEEKDAY(B2373,2)+1)</f>
        <v/>
      </c>
      <c r="M2373" s="5">
        <f>IF(L2373="","",L2373+6)</f>
        <v/>
      </c>
      <c r="N2373" s="6">
        <f>IF(OR(A2373="",B2373=""),"",DATE(YEAR(B2373),MONTH(B2373),1))</f>
        <v/>
      </c>
      <c r="O2373" s="7">
        <f>IF(COUNTA(A2373:K2373)=0,"",IF(OR(A2373="",B2373=""),"Preencher CPF e entrada",IF(COUNTIFS($A$12:$A$5011,A2373,$B$12:$B$5011,B2373)&gt;1,"CPF + dia duplicado",IF(OR(AND(G2373&lt;&gt;"",G2373&lt;&gt;0,G2373&lt;&gt;1),AND(H2373&lt;&gt;"",H2373&lt;&gt;0,H2373&lt;&gt;1)),"Flags devem ser 0 ou 1",IF(AND(H2373=1,LEN(TRIM(I2373))=0),"Preencher nome do indicante",IF(AND(H2373&lt;&gt;1,I2373&lt;&gt;""),"Nome sem indicação interna",IF(AND(G2373=1,F2373=""),"Fechamento sem conversa",IF(OR(AND(E2373&lt;&gt;"",E2373&lt;B2373),AND(F2373&lt;&gt;"",F2373&lt;B2373)),"Evento anterior à entrada",IF(AND(F2373&lt;&gt;"",E2373=""),"Conversa sem agendamento",IF(OR(E2373&gt;TODAY(),F2373&gt;TODAY()),"Verificar evento futuro","OK"))))))))))</f>
        <v/>
      </c>
    </row>
    <row r="2374" spans="12:15">
      <c r="L2374" s="5">
        <f>IF(OR(A2374="",B2374=""),"",B2374-WEEKDAY(B2374,2)+1)</f>
        <v/>
      </c>
      <c r="M2374" s="5">
        <f>IF(L2374="","",L2374+6)</f>
        <v/>
      </c>
      <c r="N2374" s="6">
        <f>IF(OR(A2374="",B2374=""),"",DATE(YEAR(B2374),MONTH(B2374),1))</f>
        <v/>
      </c>
      <c r="O2374" s="7">
        <f>IF(COUNTA(A2374:K2374)=0,"",IF(OR(A2374="",B2374=""),"Preencher CPF e entrada",IF(COUNTIFS($A$12:$A$5011,A2374,$B$12:$B$5011,B2374)&gt;1,"CPF + dia duplicado",IF(OR(AND(G2374&lt;&gt;"",G2374&lt;&gt;0,G2374&lt;&gt;1),AND(H2374&lt;&gt;"",H2374&lt;&gt;0,H2374&lt;&gt;1)),"Flags devem ser 0 ou 1",IF(AND(H2374=1,LEN(TRIM(I2374))=0),"Preencher nome do indicante",IF(AND(H2374&lt;&gt;1,I2374&lt;&gt;""),"Nome sem indicação interna",IF(AND(G2374=1,F2374=""),"Fechamento sem conversa",IF(OR(AND(E2374&lt;&gt;"",E2374&lt;B2374),AND(F2374&lt;&gt;"",F2374&lt;B2374)),"Evento anterior à entrada",IF(AND(F2374&lt;&gt;"",E2374=""),"Conversa sem agendamento",IF(OR(E2374&gt;TODAY(),F2374&gt;TODAY()),"Verificar evento futuro","OK"))))))))))</f>
        <v/>
      </c>
    </row>
    <row r="2375" spans="12:15">
      <c r="L2375" s="5">
        <f>IF(OR(A2375="",B2375=""),"",B2375-WEEKDAY(B2375,2)+1)</f>
        <v/>
      </c>
      <c r="M2375" s="5">
        <f>IF(L2375="","",L2375+6)</f>
        <v/>
      </c>
      <c r="N2375" s="6">
        <f>IF(OR(A2375="",B2375=""),"",DATE(YEAR(B2375),MONTH(B2375),1))</f>
        <v/>
      </c>
      <c r="O2375" s="7">
        <f>IF(COUNTA(A2375:K2375)=0,"",IF(OR(A2375="",B2375=""),"Preencher CPF e entrada",IF(COUNTIFS($A$12:$A$5011,A2375,$B$12:$B$5011,B2375)&gt;1,"CPF + dia duplicado",IF(OR(AND(G2375&lt;&gt;"",G2375&lt;&gt;0,G2375&lt;&gt;1),AND(H2375&lt;&gt;"",H2375&lt;&gt;0,H2375&lt;&gt;1)),"Flags devem ser 0 ou 1",IF(AND(H2375=1,LEN(TRIM(I2375))=0),"Preencher nome do indicante",IF(AND(H2375&lt;&gt;1,I2375&lt;&gt;""),"Nome sem indicação interna",IF(AND(G2375=1,F2375=""),"Fechamento sem conversa",IF(OR(AND(E2375&lt;&gt;"",E2375&lt;B2375),AND(F2375&lt;&gt;"",F2375&lt;B2375)),"Evento anterior à entrada",IF(AND(F2375&lt;&gt;"",E2375=""),"Conversa sem agendamento",IF(OR(E2375&gt;TODAY(),F2375&gt;TODAY()),"Verificar evento futuro","OK"))))))))))</f>
        <v/>
      </c>
    </row>
    <row r="2376" spans="12:15">
      <c r="L2376" s="5">
        <f>IF(OR(A2376="",B2376=""),"",B2376-WEEKDAY(B2376,2)+1)</f>
        <v/>
      </c>
      <c r="M2376" s="5">
        <f>IF(L2376="","",L2376+6)</f>
        <v/>
      </c>
      <c r="N2376" s="6">
        <f>IF(OR(A2376="",B2376=""),"",DATE(YEAR(B2376),MONTH(B2376),1))</f>
        <v/>
      </c>
      <c r="O2376" s="7">
        <f>IF(COUNTA(A2376:K2376)=0,"",IF(OR(A2376="",B2376=""),"Preencher CPF e entrada",IF(COUNTIFS($A$12:$A$5011,A2376,$B$12:$B$5011,B2376)&gt;1,"CPF + dia duplicado",IF(OR(AND(G2376&lt;&gt;"",G2376&lt;&gt;0,G2376&lt;&gt;1),AND(H2376&lt;&gt;"",H2376&lt;&gt;0,H2376&lt;&gt;1)),"Flags devem ser 0 ou 1",IF(AND(H2376=1,LEN(TRIM(I2376))=0),"Preencher nome do indicante",IF(AND(H2376&lt;&gt;1,I2376&lt;&gt;""),"Nome sem indicação interna",IF(AND(G2376=1,F2376=""),"Fechamento sem conversa",IF(OR(AND(E2376&lt;&gt;"",E2376&lt;B2376),AND(F2376&lt;&gt;"",F2376&lt;B2376)),"Evento anterior à entrada",IF(AND(F2376&lt;&gt;"",E2376=""),"Conversa sem agendamento",IF(OR(E2376&gt;TODAY(),F2376&gt;TODAY()),"Verificar evento futuro","OK"))))))))))</f>
        <v/>
      </c>
    </row>
    <row r="2377" spans="12:15">
      <c r="L2377" s="5">
        <f>IF(OR(A2377="",B2377=""),"",B2377-WEEKDAY(B2377,2)+1)</f>
        <v/>
      </c>
      <c r="M2377" s="5">
        <f>IF(L2377="","",L2377+6)</f>
        <v/>
      </c>
      <c r="N2377" s="6">
        <f>IF(OR(A2377="",B2377=""),"",DATE(YEAR(B2377),MONTH(B2377),1))</f>
        <v/>
      </c>
      <c r="O2377" s="7">
        <f>IF(COUNTA(A2377:K2377)=0,"",IF(OR(A2377="",B2377=""),"Preencher CPF e entrada",IF(COUNTIFS($A$12:$A$5011,A2377,$B$12:$B$5011,B2377)&gt;1,"CPF + dia duplicado",IF(OR(AND(G2377&lt;&gt;"",G2377&lt;&gt;0,G2377&lt;&gt;1),AND(H2377&lt;&gt;"",H2377&lt;&gt;0,H2377&lt;&gt;1)),"Flags devem ser 0 ou 1",IF(AND(H2377=1,LEN(TRIM(I2377))=0),"Preencher nome do indicante",IF(AND(H2377&lt;&gt;1,I2377&lt;&gt;""),"Nome sem indicação interna",IF(AND(G2377=1,F2377=""),"Fechamento sem conversa",IF(OR(AND(E2377&lt;&gt;"",E2377&lt;B2377),AND(F2377&lt;&gt;"",F2377&lt;B2377)),"Evento anterior à entrada",IF(AND(F2377&lt;&gt;"",E2377=""),"Conversa sem agendamento",IF(OR(E2377&gt;TODAY(),F2377&gt;TODAY()),"Verificar evento futuro","OK"))))))))))</f>
        <v/>
      </c>
    </row>
    <row r="2378" spans="12:15">
      <c r="L2378" s="5">
        <f>IF(OR(A2378="",B2378=""),"",B2378-WEEKDAY(B2378,2)+1)</f>
        <v/>
      </c>
      <c r="M2378" s="5">
        <f>IF(L2378="","",L2378+6)</f>
        <v/>
      </c>
      <c r="N2378" s="6">
        <f>IF(OR(A2378="",B2378=""),"",DATE(YEAR(B2378),MONTH(B2378),1))</f>
        <v/>
      </c>
      <c r="O2378" s="7">
        <f>IF(COUNTA(A2378:K2378)=0,"",IF(OR(A2378="",B2378=""),"Preencher CPF e entrada",IF(COUNTIFS($A$12:$A$5011,A2378,$B$12:$B$5011,B2378)&gt;1,"CPF + dia duplicado",IF(OR(AND(G2378&lt;&gt;"",G2378&lt;&gt;0,G2378&lt;&gt;1),AND(H2378&lt;&gt;"",H2378&lt;&gt;0,H2378&lt;&gt;1)),"Flags devem ser 0 ou 1",IF(AND(H2378=1,LEN(TRIM(I2378))=0),"Preencher nome do indicante",IF(AND(H2378&lt;&gt;1,I2378&lt;&gt;""),"Nome sem indicação interna",IF(AND(G2378=1,F2378=""),"Fechamento sem conversa",IF(OR(AND(E2378&lt;&gt;"",E2378&lt;B2378),AND(F2378&lt;&gt;"",F2378&lt;B2378)),"Evento anterior à entrada",IF(AND(F2378&lt;&gt;"",E2378=""),"Conversa sem agendamento",IF(OR(E2378&gt;TODAY(),F2378&gt;TODAY()),"Verificar evento futuro","OK"))))))))))</f>
        <v/>
      </c>
    </row>
    <row r="2379" spans="12:15">
      <c r="L2379" s="5">
        <f>IF(OR(A2379="",B2379=""),"",B2379-WEEKDAY(B2379,2)+1)</f>
        <v/>
      </c>
      <c r="M2379" s="5">
        <f>IF(L2379="","",L2379+6)</f>
        <v/>
      </c>
      <c r="N2379" s="6">
        <f>IF(OR(A2379="",B2379=""),"",DATE(YEAR(B2379),MONTH(B2379),1))</f>
        <v/>
      </c>
      <c r="O2379" s="7">
        <f>IF(COUNTA(A2379:K2379)=0,"",IF(OR(A2379="",B2379=""),"Preencher CPF e entrada",IF(COUNTIFS($A$12:$A$5011,A2379,$B$12:$B$5011,B2379)&gt;1,"CPF + dia duplicado",IF(OR(AND(G2379&lt;&gt;"",G2379&lt;&gt;0,G2379&lt;&gt;1),AND(H2379&lt;&gt;"",H2379&lt;&gt;0,H2379&lt;&gt;1)),"Flags devem ser 0 ou 1",IF(AND(H2379=1,LEN(TRIM(I2379))=0),"Preencher nome do indicante",IF(AND(H2379&lt;&gt;1,I2379&lt;&gt;""),"Nome sem indicação interna",IF(AND(G2379=1,F2379=""),"Fechamento sem conversa",IF(OR(AND(E2379&lt;&gt;"",E2379&lt;B2379),AND(F2379&lt;&gt;"",F2379&lt;B2379)),"Evento anterior à entrada",IF(AND(F2379&lt;&gt;"",E2379=""),"Conversa sem agendamento",IF(OR(E2379&gt;TODAY(),F2379&gt;TODAY()),"Verificar evento futuro","OK"))))))))))</f>
        <v/>
      </c>
    </row>
    <row r="2380" spans="12:15">
      <c r="L2380" s="5">
        <f>IF(OR(A2380="",B2380=""),"",B2380-WEEKDAY(B2380,2)+1)</f>
        <v/>
      </c>
      <c r="M2380" s="5">
        <f>IF(L2380="","",L2380+6)</f>
        <v/>
      </c>
      <c r="N2380" s="6">
        <f>IF(OR(A2380="",B2380=""),"",DATE(YEAR(B2380),MONTH(B2380),1))</f>
        <v/>
      </c>
      <c r="O2380" s="7">
        <f>IF(COUNTA(A2380:K2380)=0,"",IF(OR(A2380="",B2380=""),"Preencher CPF e entrada",IF(COUNTIFS($A$12:$A$5011,A2380,$B$12:$B$5011,B2380)&gt;1,"CPF + dia duplicado",IF(OR(AND(G2380&lt;&gt;"",G2380&lt;&gt;0,G2380&lt;&gt;1),AND(H2380&lt;&gt;"",H2380&lt;&gt;0,H2380&lt;&gt;1)),"Flags devem ser 0 ou 1",IF(AND(H2380=1,LEN(TRIM(I2380))=0),"Preencher nome do indicante",IF(AND(H2380&lt;&gt;1,I2380&lt;&gt;""),"Nome sem indicação interna",IF(AND(G2380=1,F2380=""),"Fechamento sem conversa",IF(OR(AND(E2380&lt;&gt;"",E2380&lt;B2380),AND(F2380&lt;&gt;"",F2380&lt;B2380)),"Evento anterior à entrada",IF(AND(F2380&lt;&gt;"",E2380=""),"Conversa sem agendamento",IF(OR(E2380&gt;TODAY(),F2380&gt;TODAY()),"Verificar evento futuro","OK"))))))))))</f>
        <v/>
      </c>
    </row>
    <row r="2381" spans="12:15">
      <c r="L2381" s="5">
        <f>IF(OR(A2381="",B2381=""),"",B2381-WEEKDAY(B2381,2)+1)</f>
        <v/>
      </c>
      <c r="M2381" s="5">
        <f>IF(L2381="","",L2381+6)</f>
        <v/>
      </c>
      <c r="N2381" s="6">
        <f>IF(OR(A2381="",B2381=""),"",DATE(YEAR(B2381),MONTH(B2381),1))</f>
        <v/>
      </c>
      <c r="O2381" s="7">
        <f>IF(COUNTA(A2381:K2381)=0,"",IF(OR(A2381="",B2381=""),"Preencher CPF e entrada",IF(COUNTIFS($A$12:$A$5011,A2381,$B$12:$B$5011,B2381)&gt;1,"CPF + dia duplicado",IF(OR(AND(G2381&lt;&gt;"",G2381&lt;&gt;0,G2381&lt;&gt;1),AND(H2381&lt;&gt;"",H2381&lt;&gt;0,H2381&lt;&gt;1)),"Flags devem ser 0 ou 1",IF(AND(H2381=1,LEN(TRIM(I2381))=0),"Preencher nome do indicante",IF(AND(H2381&lt;&gt;1,I2381&lt;&gt;""),"Nome sem indicação interna",IF(AND(G2381=1,F2381=""),"Fechamento sem conversa",IF(OR(AND(E2381&lt;&gt;"",E2381&lt;B2381),AND(F2381&lt;&gt;"",F2381&lt;B2381)),"Evento anterior à entrada",IF(AND(F2381&lt;&gt;"",E2381=""),"Conversa sem agendamento",IF(OR(E2381&gt;TODAY(),F2381&gt;TODAY()),"Verificar evento futuro","OK"))))))))))</f>
        <v/>
      </c>
    </row>
    <row r="2382" spans="12:15">
      <c r="L2382" s="5">
        <f>IF(OR(A2382="",B2382=""),"",B2382-WEEKDAY(B2382,2)+1)</f>
        <v/>
      </c>
      <c r="M2382" s="5">
        <f>IF(L2382="","",L2382+6)</f>
        <v/>
      </c>
      <c r="N2382" s="6">
        <f>IF(OR(A2382="",B2382=""),"",DATE(YEAR(B2382),MONTH(B2382),1))</f>
        <v/>
      </c>
      <c r="O2382" s="7">
        <f>IF(COUNTA(A2382:K2382)=0,"",IF(OR(A2382="",B2382=""),"Preencher CPF e entrada",IF(COUNTIFS($A$12:$A$5011,A2382,$B$12:$B$5011,B2382)&gt;1,"CPF + dia duplicado",IF(OR(AND(G2382&lt;&gt;"",G2382&lt;&gt;0,G2382&lt;&gt;1),AND(H2382&lt;&gt;"",H2382&lt;&gt;0,H2382&lt;&gt;1)),"Flags devem ser 0 ou 1",IF(AND(H2382=1,LEN(TRIM(I2382))=0),"Preencher nome do indicante",IF(AND(H2382&lt;&gt;1,I2382&lt;&gt;""),"Nome sem indicação interna",IF(AND(G2382=1,F2382=""),"Fechamento sem conversa",IF(OR(AND(E2382&lt;&gt;"",E2382&lt;B2382),AND(F2382&lt;&gt;"",F2382&lt;B2382)),"Evento anterior à entrada",IF(AND(F2382&lt;&gt;"",E2382=""),"Conversa sem agendamento",IF(OR(E2382&gt;TODAY(),F2382&gt;TODAY()),"Verificar evento futuro","OK"))))))))))</f>
        <v/>
      </c>
    </row>
    <row r="2383" spans="12:15">
      <c r="L2383" s="5">
        <f>IF(OR(A2383="",B2383=""),"",B2383-WEEKDAY(B2383,2)+1)</f>
        <v/>
      </c>
      <c r="M2383" s="5">
        <f>IF(L2383="","",L2383+6)</f>
        <v/>
      </c>
      <c r="N2383" s="6">
        <f>IF(OR(A2383="",B2383=""),"",DATE(YEAR(B2383),MONTH(B2383),1))</f>
        <v/>
      </c>
      <c r="O2383" s="7">
        <f>IF(COUNTA(A2383:K2383)=0,"",IF(OR(A2383="",B2383=""),"Preencher CPF e entrada",IF(COUNTIFS($A$12:$A$5011,A2383,$B$12:$B$5011,B2383)&gt;1,"CPF + dia duplicado",IF(OR(AND(G2383&lt;&gt;"",G2383&lt;&gt;0,G2383&lt;&gt;1),AND(H2383&lt;&gt;"",H2383&lt;&gt;0,H2383&lt;&gt;1)),"Flags devem ser 0 ou 1",IF(AND(H2383=1,LEN(TRIM(I2383))=0),"Preencher nome do indicante",IF(AND(H2383&lt;&gt;1,I2383&lt;&gt;""),"Nome sem indicação interna",IF(AND(G2383=1,F2383=""),"Fechamento sem conversa",IF(OR(AND(E2383&lt;&gt;"",E2383&lt;B2383),AND(F2383&lt;&gt;"",F2383&lt;B2383)),"Evento anterior à entrada",IF(AND(F2383&lt;&gt;"",E2383=""),"Conversa sem agendamento",IF(OR(E2383&gt;TODAY(),F2383&gt;TODAY()),"Verificar evento futuro","OK"))))))))))</f>
        <v/>
      </c>
    </row>
    <row r="2384" spans="12:15">
      <c r="L2384" s="5">
        <f>IF(OR(A2384="",B2384=""),"",B2384-WEEKDAY(B2384,2)+1)</f>
        <v/>
      </c>
      <c r="M2384" s="5">
        <f>IF(L2384="","",L2384+6)</f>
        <v/>
      </c>
      <c r="N2384" s="6">
        <f>IF(OR(A2384="",B2384=""),"",DATE(YEAR(B2384),MONTH(B2384),1))</f>
        <v/>
      </c>
      <c r="O2384" s="7">
        <f>IF(COUNTA(A2384:K2384)=0,"",IF(OR(A2384="",B2384=""),"Preencher CPF e entrada",IF(COUNTIFS($A$12:$A$5011,A2384,$B$12:$B$5011,B2384)&gt;1,"CPF + dia duplicado",IF(OR(AND(G2384&lt;&gt;"",G2384&lt;&gt;0,G2384&lt;&gt;1),AND(H2384&lt;&gt;"",H2384&lt;&gt;0,H2384&lt;&gt;1)),"Flags devem ser 0 ou 1",IF(AND(H2384=1,LEN(TRIM(I2384))=0),"Preencher nome do indicante",IF(AND(H2384&lt;&gt;1,I2384&lt;&gt;""),"Nome sem indicação interna",IF(AND(G2384=1,F2384=""),"Fechamento sem conversa",IF(OR(AND(E2384&lt;&gt;"",E2384&lt;B2384),AND(F2384&lt;&gt;"",F2384&lt;B2384)),"Evento anterior à entrada",IF(AND(F2384&lt;&gt;"",E2384=""),"Conversa sem agendamento",IF(OR(E2384&gt;TODAY(),F2384&gt;TODAY()),"Verificar evento futuro","OK"))))))))))</f>
        <v/>
      </c>
    </row>
    <row r="2385" spans="12:15">
      <c r="L2385" s="5">
        <f>IF(OR(A2385="",B2385=""),"",B2385-WEEKDAY(B2385,2)+1)</f>
        <v/>
      </c>
      <c r="M2385" s="5">
        <f>IF(L2385="","",L2385+6)</f>
        <v/>
      </c>
      <c r="N2385" s="6">
        <f>IF(OR(A2385="",B2385=""),"",DATE(YEAR(B2385),MONTH(B2385),1))</f>
        <v/>
      </c>
      <c r="O2385" s="7">
        <f>IF(COUNTA(A2385:K2385)=0,"",IF(OR(A2385="",B2385=""),"Preencher CPF e entrada",IF(COUNTIFS($A$12:$A$5011,A2385,$B$12:$B$5011,B2385)&gt;1,"CPF + dia duplicado",IF(OR(AND(G2385&lt;&gt;"",G2385&lt;&gt;0,G2385&lt;&gt;1),AND(H2385&lt;&gt;"",H2385&lt;&gt;0,H2385&lt;&gt;1)),"Flags devem ser 0 ou 1",IF(AND(H2385=1,LEN(TRIM(I2385))=0),"Preencher nome do indicante",IF(AND(H2385&lt;&gt;1,I2385&lt;&gt;""),"Nome sem indicação interna",IF(AND(G2385=1,F2385=""),"Fechamento sem conversa",IF(OR(AND(E2385&lt;&gt;"",E2385&lt;B2385),AND(F2385&lt;&gt;"",F2385&lt;B2385)),"Evento anterior à entrada",IF(AND(F2385&lt;&gt;"",E2385=""),"Conversa sem agendamento",IF(OR(E2385&gt;TODAY(),F2385&gt;TODAY()),"Verificar evento futuro","OK"))))))))))</f>
        <v/>
      </c>
    </row>
    <row r="2386" spans="12:15">
      <c r="L2386" s="5">
        <f>IF(OR(A2386="",B2386=""),"",B2386-WEEKDAY(B2386,2)+1)</f>
        <v/>
      </c>
      <c r="M2386" s="5">
        <f>IF(L2386="","",L2386+6)</f>
        <v/>
      </c>
      <c r="N2386" s="6">
        <f>IF(OR(A2386="",B2386=""),"",DATE(YEAR(B2386),MONTH(B2386),1))</f>
        <v/>
      </c>
      <c r="O2386" s="7">
        <f>IF(COUNTA(A2386:K2386)=0,"",IF(OR(A2386="",B2386=""),"Preencher CPF e entrada",IF(COUNTIFS($A$12:$A$5011,A2386,$B$12:$B$5011,B2386)&gt;1,"CPF + dia duplicado",IF(OR(AND(G2386&lt;&gt;"",G2386&lt;&gt;0,G2386&lt;&gt;1),AND(H2386&lt;&gt;"",H2386&lt;&gt;0,H2386&lt;&gt;1)),"Flags devem ser 0 ou 1",IF(AND(H2386=1,LEN(TRIM(I2386))=0),"Preencher nome do indicante",IF(AND(H2386&lt;&gt;1,I2386&lt;&gt;""),"Nome sem indicação interna",IF(AND(G2386=1,F2386=""),"Fechamento sem conversa",IF(OR(AND(E2386&lt;&gt;"",E2386&lt;B2386),AND(F2386&lt;&gt;"",F2386&lt;B2386)),"Evento anterior à entrada",IF(AND(F2386&lt;&gt;"",E2386=""),"Conversa sem agendamento",IF(OR(E2386&gt;TODAY(),F2386&gt;TODAY()),"Verificar evento futuro","OK"))))))))))</f>
        <v/>
      </c>
    </row>
    <row r="2387" spans="12:15">
      <c r="L2387" s="5">
        <f>IF(OR(A2387="",B2387=""),"",B2387-WEEKDAY(B2387,2)+1)</f>
        <v/>
      </c>
      <c r="M2387" s="5">
        <f>IF(L2387="","",L2387+6)</f>
        <v/>
      </c>
      <c r="N2387" s="6">
        <f>IF(OR(A2387="",B2387=""),"",DATE(YEAR(B2387),MONTH(B2387),1))</f>
        <v/>
      </c>
      <c r="O2387" s="7">
        <f>IF(COUNTA(A2387:K2387)=0,"",IF(OR(A2387="",B2387=""),"Preencher CPF e entrada",IF(COUNTIFS($A$12:$A$5011,A2387,$B$12:$B$5011,B2387)&gt;1,"CPF + dia duplicado",IF(OR(AND(G2387&lt;&gt;"",G2387&lt;&gt;0,G2387&lt;&gt;1),AND(H2387&lt;&gt;"",H2387&lt;&gt;0,H2387&lt;&gt;1)),"Flags devem ser 0 ou 1",IF(AND(H2387=1,LEN(TRIM(I2387))=0),"Preencher nome do indicante",IF(AND(H2387&lt;&gt;1,I2387&lt;&gt;""),"Nome sem indicação interna",IF(AND(G2387=1,F2387=""),"Fechamento sem conversa",IF(OR(AND(E2387&lt;&gt;"",E2387&lt;B2387),AND(F2387&lt;&gt;"",F2387&lt;B2387)),"Evento anterior à entrada",IF(AND(F2387&lt;&gt;"",E2387=""),"Conversa sem agendamento",IF(OR(E2387&gt;TODAY(),F2387&gt;TODAY()),"Verificar evento futuro","OK"))))))))))</f>
        <v/>
      </c>
    </row>
    <row r="2388" spans="12:15">
      <c r="L2388" s="5">
        <f>IF(OR(A2388="",B2388=""),"",B2388-WEEKDAY(B2388,2)+1)</f>
        <v/>
      </c>
      <c r="M2388" s="5">
        <f>IF(L2388="","",L2388+6)</f>
        <v/>
      </c>
      <c r="N2388" s="6">
        <f>IF(OR(A2388="",B2388=""),"",DATE(YEAR(B2388),MONTH(B2388),1))</f>
        <v/>
      </c>
      <c r="O2388" s="7">
        <f>IF(COUNTA(A2388:K2388)=0,"",IF(OR(A2388="",B2388=""),"Preencher CPF e entrada",IF(COUNTIFS($A$12:$A$5011,A2388,$B$12:$B$5011,B2388)&gt;1,"CPF + dia duplicado",IF(OR(AND(G2388&lt;&gt;"",G2388&lt;&gt;0,G2388&lt;&gt;1),AND(H2388&lt;&gt;"",H2388&lt;&gt;0,H2388&lt;&gt;1)),"Flags devem ser 0 ou 1",IF(AND(H2388=1,LEN(TRIM(I2388))=0),"Preencher nome do indicante",IF(AND(H2388&lt;&gt;1,I2388&lt;&gt;""),"Nome sem indicação interna",IF(AND(G2388=1,F2388=""),"Fechamento sem conversa",IF(OR(AND(E2388&lt;&gt;"",E2388&lt;B2388),AND(F2388&lt;&gt;"",F2388&lt;B2388)),"Evento anterior à entrada",IF(AND(F2388&lt;&gt;"",E2388=""),"Conversa sem agendamento",IF(OR(E2388&gt;TODAY(),F2388&gt;TODAY()),"Verificar evento futuro","OK"))))))))))</f>
        <v/>
      </c>
    </row>
    <row r="2389" spans="12:15">
      <c r="L2389" s="5">
        <f>IF(OR(A2389="",B2389=""),"",B2389-WEEKDAY(B2389,2)+1)</f>
        <v/>
      </c>
      <c r="M2389" s="5">
        <f>IF(L2389="","",L2389+6)</f>
        <v/>
      </c>
      <c r="N2389" s="6">
        <f>IF(OR(A2389="",B2389=""),"",DATE(YEAR(B2389),MONTH(B2389),1))</f>
        <v/>
      </c>
      <c r="O2389" s="7">
        <f>IF(COUNTA(A2389:K2389)=0,"",IF(OR(A2389="",B2389=""),"Preencher CPF e entrada",IF(COUNTIFS($A$12:$A$5011,A2389,$B$12:$B$5011,B2389)&gt;1,"CPF + dia duplicado",IF(OR(AND(G2389&lt;&gt;"",G2389&lt;&gt;0,G2389&lt;&gt;1),AND(H2389&lt;&gt;"",H2389&lt;&gt;0,H2389&lt;&gt;1)),"Flags devem ser 0 ou 1",IF(AND(H2389=1,LEN(TRIM(I2389))=0),"Preencher nome do indicante",IF(AND(H2389&lt;&gt;1,I2389&lt;&gt;""),"Nome sem indicação interna",IF(AND(G2389=1,F2389=""),"Fechamento sem conversa",IF(OR(AND(E2389&lt;&gt;"",E2389&lt;B2389),AND(F2389&lt;&gt;"",F2389&lt;B2389)),"Evento anterior à entrada",IF(AND(F2389&lt;&gt;"",E2389=""),"Conversa sem agendamento",IF(OR(E2389&gt;TODAY(),F2389&gt;TODAY()),"Verificar evento futuro","OK"))))))))))</f>
        <v/>
      </c>
    </row>
    <row r="2390" spans="12:15">
      <c r="L2390" s="5">
        <f>IF(OR(A2390="",B2390=""),"",B2390-WEEKDAY(B2390,2)+1)</f>
        <v/>
      </c>
      <c r="M2390" s="5">
        <f>IF(L2390="","",L2390+6)</f>
        <v/>
      </c>
      <c r="N2390" s="6">
        <f>IF(OR(A2390="",B2390=""),"",DATE(YEAR(B2390),MONTH(B2390),1))</f>
        <v/>
      </c>
      <c r="O2390" s="7">
        <f>IF(COUNTA(A2390:K2390)=0,"",IF(OR(A2390="",B2390=""),"Preencher CPF e entrada",IF(COUNTIFS($A$12:$A$5011,A2390,$B$12:$B$5011,B2390)&gt;1,"CPF + dia duplicado",IF(OR(AND(G2390&lt;&gt;"",G2390&lt;&gt;0,G2390&lt;&gt;1),AND(H2390&lt;&gt;"",H2390&lt;&gt;0,H2390&lt;&gt;1)),"Flags devem ser 0 ou 1",IF(AND(H2390=1,LEN(TRIM(I2390))=0),"Preencher nome do indicante",IF(AND(H2390&lt;&gt;1,I2390&lt;&gt;""),"Nome sem indicação interna",IF(AND(G2390=1,F2390=""),"Fechamento sem conversa",IF(OR(AND(E2390&lt;&gt;"",E2390&lt;B2390),AND(F2390&lt;&gt;"",F2390&lt;B2390)),"Evento anterior à entrada",IF(AND(F2390&lt;&gt;"",E2390=""),"Conversa sem agendamento",IF(OR(E2390&gt;TODAY(),F2390&gt;TODAY()),"Verificar evento futuro","OK"))))))))))</f>
        <v/>
      </c>
    </row>
    <row r="2391" spans="12:15">
      <c r="L2391" s="5">
        <f>IF(OR(A2391="",B2391=""),"",B2391-WEEKDAY(B2391,2)+1)</f>
        <v/>
      </c>
      <c r="M2391" s="5">
        <f>IF(L2391="","",L2391+6)</f>
        <v/>
      </c>
      <c r="N2391" s="6">
        <f>IF(OR(A2391="",B2391=""),"",DATE(YEAR(B2391),MONTH(B2391),1))</f>
        <v/>
      </c>
      <c r="O2391" s="7">
        <f>IF(COUNTA(A2391:K2391)=0,"",IF(OR(A2391="",B2391=""),"Preencher CPF e entrada",IF(COUNTIFS($A$12:$A$5011,A2391,$B$12:$B$5011,B2391)&gt;1,"CPF + dia duplicado",IF(OR(AND(G2391&lt;&gt;"",G2391&lt;&gt;0,G2391&lt;&gt;1),AND(H2391&lt;&gt;"",H2391&lt;&gt;0,H2391&lt;&gt;1)),"Flags devem ser 0 ou 1",IF(AND(H2391=1,LEN(TRIM(I2391))=0),"Preencher nome do indicante",IF(AND(H2391&lt;&gt;1,I2391&lt;&gt;""),"Nome sem indicação interna",IF(AND(G2391=1,F2391=""),"Fechamento sem conversa",IF(OR(AND(E2391&lt;&gt;"",E2391&lt;B2391),AND(F2391&lt;&gt;"",F2391&lt;B2391)),"Evento anterior à entrada",IF(AND(F2391&lt;&gt;"",E2391=""),"Conversa sem agendamento",IF(OR(E2391&gt;TODAY(),F2391&gt;TODAY()),"Verificar evento futuro","OK"))))))))))</f>
        <v/>
      </c>
    </row>
    <row r="2392" spans="12:15">
      <c r="L2392" s="5">
        <f>IF(OR(A2392="",B2392=""),"",B2392-WEEKDAY(B2392,2)+1)</f>
        <v/>
      </c>
      <c r="M2392" s="5">
        <f>IF(L2392="","",L2392+6)</f>
        <v/>
      </c>
      <c r="N2392" s="6">
        <f>IF(OR(A2392="",B2392=""),"",DATE(YEAR(B2392),MONTH(B2392),1))</f>
        <v/>
      </c>
      <c r="O2392" s="7">
        <f>IF(COUNTA(A2392:K2392)=0,"",IF(OR(A2392="",B2392=""),"Preencher CPF e entrada",IF(COUNTIFS($A$12:$A$5011,A2392,$B$12:$B$5011,B2392)&gt;1,"CPF + dia duplicado",IF(OR(AND(G2392&lt;&gt;"",G2392&lt;&gt;0,G2392&lt;&gt;1),AND(H2392&lt;&gt;"",H2392&lt;&gt;0,H2392&lt;&gt;1)),"Flags devem ser 0 ou 1",IF(AND(H2392=1,LEN(TRIM(I2392))=0),"Preencher nome do indicante",IF(AND(H2392&lt;&gt;1,I2392&lt;&gt;""),"Nome sem indicação interna",IF(AND(G2392=1,F2392=""),"Fechamento sem conversa",IF(OR(AND(E2392&lt;&gt;"",E2392&lt;B2392),AND(F2392&lt;&gt;"",F2392&lt;B2392)),"Evento anterior à entrada",IF(AND(F2392&lt;&gt;"",E2392=""),"Conversa sem agendamento",IF(OR(E2392&gt;TODAY(),F2392&gt;TODAY()),"Verificar evento futuro","OK"))))))))))</f>
        <v/>
      </c>
    </row>
    <row r="2393" spans="12:15">
      <c r="L2393" s="5">
        <f>IF(OR(A2393="",B2393=""),"",B2393-WEEKDAY(B2393,2)+1)</f>
        <v/>
      </c>
      <c r="M2393" s="5">
        <f>IF(L2393="","",L2393+6)</f>
        <v/>
      </c>
      <c r="N2393" s="6">
        <f>IF(OR(A2393="",B2393=""),"",DATE(YEAR(B2393),MONTH(B2393),1))</f>
        <v/>
      </c>
      <c r="O2393" s="7">
        <f>IF(COUNTA(A2393:K2393)=0,"",IF(OR(A2393="",B2393=""),"Preencher CPF e entrada",IF(COUNTIFS($A$12:$A$5011,A2393,$B$12:$B$5011,B2393)&gt;1,"CPF + dia duplicado",IF(OR(AND(G2393&lt;&gt;"",G2393&lt;&gt;0,G2393&lt;&gt;1),AND(H2393&lt;&gt;"",H2393&lt;&gt;0,H2393&lt;&gt;1)),"Flags devem ser 0 ou 1",IF(AND(H2393=1,LEN(TRIM(I2393))=0),"Preencher nome do indicante",IF(AND(H2393&lt;&gt;1,I2393&lt;&gt;""),"Nome sem indicação interna",IF(AND(G2393=1,F2393=""),"Fechamento sem conversa",IF(OR(AND(E2393&lt;&gt;"",E2393&lt;B2393),AND(F2393&lt;&gt;"",F2393&lt;B2393)),"Evento anterior à entrada",IF(AND(F2393&lt;&gt;"",E2393=""),"Conversa sem agendamento",IF(OR(E2393&gt;TODAY(),F2393&gt;TODAY()),"Verificar evento futuro","OK"))))))))))</f>
        <v/>
      </c>
    </row>
    <row r="2394" spans="12:15">
      <c r="L2394" s="5">
        <f>IF(OR(A2394="",B2394=""),"",B2394-WEEKDAY(B2394,2)+1)</f>
        <v/>
      </c>
      <c r="M2394" s="5">
        <f>IF(L2394="","",L2394+6)</f>
        <v/>
      </c>
      <c r="N2394" s="6">
        <f>IF(OR(A2394="",B2394=""),"",DATE(YEAR(B2394),MONTH(B2394),1))</f>
        <v/>
      </c>
      <c r="O2394" s="7">
        <f>IF(COUNTA(A2394:K2394)=0,"",IF(OR(A2394="",B2394=""),"Preencher CPF e entrada",IF(COUNTIFS($A$12:$A$5011,A2394,$B$12:$B$5011,B2394)&gt;1,"CPF + dia duplicado",IF(OR(AND(G2394&lt;&gt;"",G2394&lt;&gt;0,G2394&lt;&gt;1),AND(H2394&lt;&gt;"",H2394&lt;&gt;0,H2394&lt;&gt;1)),"Flags devem ser 0 ou 1",IF(AND(H2394=1,LEN(TRIM(I2394))=0),"Preencher nome do indicante",IF(AND(H2394&lt;&gt;1,I2394&lt;&gt;""),"Nome sem indicação interna",IF(AND(G2394=1,F2394=""),"Fechamento sem conversa",IF(OR(AND(E2394&lt;&gt;"",E2394&lt;B2394),AND(F2394&lt;&gt;"",F2394&lt;B2394)),"Evento anterior à entrada",IF(AND(F2394&lt;&gt;"",E2394=""),"Conversa sem agendamento",IF(OR(E2394&gt;TODAY(),F2394&gt;TODAY()),"Verificar evento futuro","OK"))))))))))</f>
        <v/>
      </c>
    </row>
    <row r="2395" spans="12:15">
      <c r="L2395" s="5">
        <f>IF(OR(A2395="",B2395=""),"",B2395-WEEKDAY(B2395,2)+1)</f>
        <v/>
      </c>
      <c r="M2395" s="5">
        <f>IF(L2395="","",L2395+6)</f>
        <v/>
      </c>
      <c r="N2395" s="6">
        <f>IF(OR(A2395="",B2395=""),"",DATE(YEAR(B2395),MONTH(B2395),1))</f>
        <v/>
      </c>
      <c r="O2395" s="7">
        <f>IF(COUNTA(A2395:K2395)=0,"",IF(OR(A2395="",B2395=""),"Preencher CPF e entrada",IF(COUNTIFS($A$12:$A$5011,A2395,$B$12:$B$5011,B2395)&gt;1,"CPF + dia duplicado",IF(OR(AND(G2395&lt;&gt;"",G2395&lt;&gt;0,G2395&lt;&gt;1),AND(H2395&lt;&gt;"",H2395&lt;&gt;0,H2395&lt;&gt;1)),"Flags devem ser 0 ou 1",IF(AND(H2395=1,LEN(TRIM(I2395))=0),"Preencher nome do indicante",IF(AND(H2395&lt;&gt;1,I2395&lt;&gt;""),"Nome sem indicação interna",IF(AND(G2395=1,F2395=""),"Fechamento sem conversa",IF(OR(AND(E2395&lt;&gt;"",E2395&lt;B2395),AND(F2395&lt;&gt;"",F2395&lt;B2395)),"Evento anterior à entrada",IF(AND(F2395&lt;&gt;"",E2395=""),"Conversa sem agendamento",IF(OR(E2395&gt;TODAY(),F2395&gt;TODAY()),"Verificar evento futuro","OK"))))))))))</f>
        <v/>
      </c>
    </row>
    <row r="2396" spans="12:15">
      <c r="L2396" s="5">
        <f>IF(OR(A2396="",B2396=""),"",B2396-WEEKDAY(B2396,2)+1)</f>
        <v/>
      </c>
      <c r="M2396" s="5">
        <f>IF(L2396="","",L2396+6)</f>
        <v/>
      </c>
      <c r="N2396" s="6">
        <f>IF(OR(A2396="",B2396=""),"",DATE(YEAR(B2396),MONTH(B2396),1))</f>
        <v/>
      </c>
      <c r="O2396" s="7">
        <f>IF(COUNTA(A2396:K2396)=0,"",IF(OR(A2396="",B2396=""),"Preencher CPF e entrada",IF(COUNTIFS($A$12:$A$5011,A2396,$B$12:$B$5011,B2396)&gt;1,"CPF + dia duplicado",IF(OR(AND(G2396&lt;&gt;"",G2396&lt;&gt;0,G2396&lt;&gt;1),AND(H2396&lt;&gt;"",H2396&lt;&gt;0,H2396&lt;&gt;1)),"Flags devem ser 0 ou 1",IF(AND(H2396=1,LEN(TRIM(I2396))=0),"Preencher nome do indicante",IF(AND(H2396&lt;&gt;1,I2396&lt;&gt;""),"Nome sem indicação interna",IF(AND(G2396=1,F2396=""),"Fechamento sem conversa",IF(OR(AND(E2396&lt;&gt;"",E2396&lt;B2396),AND(F2396&lt;&gt;"",F2396&lt;B2396)),"Evento anterior à entrada",IF(AND(F2396&lt;&gt;"",E2396=""),"Conversa sem agendamento",IF(OR(E2396&gt;TODAY(),F2396&gt;TODAY()),"Verificar evento futuro","OK"))))))))))</f>
        <v/>
      </c>
    </row>
    <row r="2397" spans="12:15">
      <c r="L2397" s="5">
        <f>IF(OR(A2397="",B2397=""),"",B2397-WEEKDAY(B2397,2)+1)</f>
        <v/>
      </c>
      <c r="M2397" s="5">
        <f>IF(L2397="","",L2397+6)</f>
        <v/>
      </c>
      <c r="N2397" s="6">
        <f>IF(OR(A2397="",B2397=""),"",DATE(YEAR(B2397),MONTH(B2397),1))</f>
        <v/>
      </c>
      <c r="O2397" s="7">
        <f>IF(COUNTA(A2397:K2397)=0,"",IF(OR(A2397="",B2397=""),"Preencher CPF e entrada",IF(COUNTIFS($A$12:$A$5011,A2397,$B$12:$B$5011,B2397)&gt;1,"CPF + dia duplicado",IF(OR(AND(G2397&lt;&gt;"",G2397&lt;&gt;0,G2397&lt;&gt;1),AND(H2397&lt;&gt;"",H2397&lt;&gt;0,H2397&lt;&gt;1)),"Flags devem ser 0 ou 1",IF(AND(H2397=1,LEN(TRIM(I2397))=0),"Preencher nome do indicante",IF(AND(H2397&lt;&gt;1,I2397&lt;&gt;""),"Nome sem indicação interna",IF(AND(G2397=1,F2397=""),"Fechamento sem conversa",IF(OR(AND(E2397&lt;&gt;"",E2397&lt;B2397),AND(F2397&lt;&gt;"",F2397&lt;B2397)),"Evento anterior à entrada",IF(AND(F2397&lt;&gt;"",E2397=""),"Conversa sem agendamento",IF(OR(E2397&gt;TODAY(),F2397&gt;TODAY()),"Verificar evento futuro","OK"))))))))))</f>
        <v/>
      </c>
    </row>
    <row r="2398" spans="12:15">
      <c r="L2398" s="5">
        <f>IF(OR(A2398="",B2398=""),"",B2398-WEEKDAY(B2398,2)+1)</f>
        <v/>
      </c>
      <c r="M2398" s="5">
        <f>IF(L2398="","",L2398+6)</f>
        <v/>
      </c>
      <c r="N2398" s="6">
        <f>IF(OR(A2398="",B2398=""),"",DATE(YEAR(B2398),MONTH(B2398),1))</f>
        <v/>
      </c>
      <c r="O2398" s="7">
        <f>IF(COUNTA(A2398:K2398)=0,"",IF(OR(A2398="",B2398=""),"Preencher CPF e entrada",IF(COUNTIFS($A$12:$A$5011,A2398,$B$12:$B$5011,B2398)&gt;1,"CPF + dia duplicado",IF(OR(AND(G2398&lt;&gt;"",G2398&lt;&gt;0,G2398&lt;&gt;1),AND(H2398&lt;&gt;"",H2398&lt;&gt;0,H2398&lt;&gt;1)),"Flags devem ser 0 ou 1",IF(AND(H2398=1,LEN(TRIM(I2398))=0),"Preencher nome do indicante",IF(AND(H2398&lt;&gt;1,I2398&lt;&gt;""),"Nome sem indicação interna",IF(AND(G2398=1,F2398=""),"Fechamento sem conversa",IF(OR(AND(E2398&lt;&gt;"",E2398&lt;B2398),AND(F2398&lt;&gt;"",F2398&lt;B2398)),"Evento anterior à entrada",IF(AND(F2398&lt;&gt;"",E2398=""),"Conversa sem agendamento",IF(OR(E2398&gt;TODAY(),F2398&gt;TODAY()),"Verificar evento futuro","OK"))))))))))</f>
        <v/>
      </c>
    </row>
    <row r="2399" spans="12:15">
      <c r="L2399" s="5">
        <f>IF(OR(A2399="",B2399=""),"",B2399-WEEKDAY(B2399,2)+1)</f>
        <v/>
      </c>
      <c r="M2399" s="5">
        <f>IF(L2399="","",L2399+6)</f>
        <v/>
      </c>
      <c r="N2399" s="6">
        <f>IF(OR(A2399="",B2399=""),"",DATE(YEAR(B2399),MONTH(B2399),1))</f>
        <v/>
      </c>
      <c r="O2399" s="7">
        <f>IF(COUNTA(A2399:K2399)=0,"",IF(OR(A2399="",B2399=""),"Preencher CPF e entrada",IF(COUNTIFS($A$12:$A$5011,A2399,$B$12:$B$5011,B2399)&gt;1,"CPF + dia duplicado",IF(OR(AND(G2399&lt;&gt;"",G2399&lt;&gt;0,G2399&lt;&gt;1),AND(H2399&lt;&gt;"",H2399&lt;&gt;0,H2399&lt;&gt;1)),"Flags devem ser 0 ou 1",IF(AND(H2399=1,LEN(TRIM(I2399))=0),"Preencher nome do indicante",IF(AND(H2399&lt;&gt;1,I2399&lt;&gt;""),"Nome sem indicação interna",IF(AND(G2399=1,F2399=""),"Fechamento sem conversa",IF(OR(AND(E2399&lt;&gt;"",E2399&lt;B2399),AND(F2399&lt;&gt;"",F2399&lt;B2399)),"Evento anterior à entrada",IF(AND(F2399&lt;&gt;"",E2399=""),"Conversa sem agendamento",IF(OR(E2399&gt;TODAY(),F2399&gt;TODAY()),"Verificar evento futuro","OK"))))))))))</f>
        <v/>
      </c>
    </row>
    <row r="2400" spans="12:15">
      <c r="L2400" s="5">
        <f>IF(OR(A2400="",B2400=""),"",B2400-WEEKDAY(B2400,2)+1)</f>
        <v/>
      </c>
      <c r="M2400" s="5">
        <f>IF(L2400="","",L2400+6)</f>
        <v/>
      </c>
      <c r="N2400" s="6">
        <f>IF(OR(A2400="",B2400=""),"",DATE(YEAR(B2400),MONTH(B2400),1))</f>
        <v/>
      </c>
      <c r="O2400" s="7">
        <f>IF(COUNTA(A2400:K2400)=0,"",IF(OR(A2400="",B2400=""),"Preencher CPF e entrada",IF(COUNTIFS($A$12:$A$5011,A2400,$B$12:$B$5011,B2400)&gt;1,"CPF + dia duplicado",IF(OR(AND(G2400&lt;&gt;"",G2400&lt;&gt;0,G2400&lt;&gt;1),AND(H2400&lt;&gt;"",H2400&lt;&gt;0,H2400&lt;&gt;1)),"Flags devem ser 0 ou 1",IF(AND(H2400=1,LEN(TRIM(I2400))=0),"Preencher nome do indicante",IF(AND(H2400&lt;&gt;1,I2400&lt;&gt;""),"Nome sem indicação interna",IF(AND(G2400=1,F2400=""),"Fechamento sem conversa",IF(OR(AND(E2400&lt;&gt;"",E2400&lt;B2400),AND(F2400&lt;&gt;"",F2400&lt;B2400)),"Evento anterior à entrada",IF(AND(F2400&lt;&gt;"",E2400=""),"Conversa sem agendamento",IF(OR(E2400&gt;TODAY(),F2400&gt;TODAY()),"Verificar evento futuro","OK"))))))))))</f>
        <v/>
      </c>
    </row>
    <row r="2401" spans="12:15">
      <c r="L2401" s="5">
        <f>IF(OR(A2401="",B2401=""),"",B2401-WEEKDAY(B2401,2)+1)</f>
        <v/>
      </c>
      <c r="M2401" s="5">
        <f>IF(L2401="","",L2401+6)</f>
        <v/>
      </c>
      <c r="N2401" s="6">
        <f>IF(OR(A2401="",B2401=""),"",DATE(YEAR(B2401),MONTH(B2401),1))</f>
        <v/>
      </c>
      <c r="O2401" s="7">
        <f>IF(COUNTA(A2401:K2401)=0,"",IF(OR(A2401="",B2401=""),"Preencher CPF e entrada",IF(COUNTIFS($A$12:$A$5011,A2401,$B$12:$B$5011,B2401)&gt;1,"CPF + dia duplicado",IF(OR(AND(G2401&lt;&gt;"",G2401&lt;&gt;0,G2401&lt;&gt;1),AND(H2401&lt;&gt;"",H2401&lt;&gt;0,H2401&lt;&gt;1)),"Flags devem ser 0 ou 1",IF(AND(H2401=1,LEN(TRIM(I2401))=0),"Preencher nome do indicante",IF(AND(H2401&lt;&gt;1,I2401&lt;&gt;""),"Nome sem indicação interna",IF(AND(G2401=1,F2401=""),"Fechamento sem conversa",IF(OR(AND(E2401&lt;&gt;"",E2401&lt;B2401),AND(F2401&lt;&gt;"",F2401&lt;B2401)),"Evento anterior à entrada",IF(AND(F2401&lt;&gt;"",E2401=""),"Conversa sem agendamento",IF(OR(E2401&gt;TODAY(),F2401&gt;TODAY()),"Verificar evento futuro","OK"))))))))))</f>
        <v/>
      </c>
    </row>
    <row r="2402" spans="12:15">
      <c r="L2402" s="5">
        <f>IF(OR(A2402="",B2402=""),"",B2402-WEEKDAY(B2402,2)+1)</f>
        <v/>
      </c>
      <c r="M2402" s="5">
        <f>IF(L2402="","",L2402+6)</f>
        <v/>
      </c>
      <c r="N2402" s="6">
        <f>IF(OR(A2402="",B2402=""),"",DATE(YEAR(B2402),MONTH(B2402),1))</f>
        <v/>
      </c>
      <c r="O2402" s="7">
        <f>IF(COUNTA(A2402:K2402)=0,"",IF(OR(A2402="",B2402=""),"Preencher CPF e entrada",IF(COUNTIFS($A$12:$A$5011,A2402,$B$12:$B$5011,B2402)&gt;1,"CPF + dia duplicado",IF(OR(AND(G2402&lt;&gt;"",G2402&lt;&gt;0,G2402&lt;&gt;1),AND(H2402&lt;&gt;"",H2402&lt;&gt;0,H2402&lt;&gt;1)),"Flags devem ser 0 ou 1",IF(AND(H2402=1,LEN(TRIM(I2402))=0),"Preencher nome do indicante",IF(AND(H2402&lt;&gt;1,I2402&lt;&gt;""),"Nome sem indicação interna",IF(AND(G2402=1,F2402=""),"Fechamento sem conversa",IF(OR(AND(E2402&lt;&gt;"",E2402&lt;B2402),AND(F2402&lt;&gt;"",F2402&lt;B2402)),"Evento anterior à entrada",IF(AND(F2402&lt;&gt;"",E2402=""),"Conversa sem agendamento",IF(OR(E2402&gt;TODAY(),F2402&gt;TODAY()),"Verificar evento futuro","OK"))))))))))</f>
        <v/>
      </c>
    </row>
    <row r="2403" spans="12:15">
      <c r="L2403" s="5">
        <f>IF(OR(A2403="",B2403=""),"",B2403-WEEKDAY(B2403,2)+1)</f>
        <v/>
      </c>
      <c r="M2403" s="5">
        <f>IF(L2403="","",L2403+6)</f>
        <v/>
      </c>
      <c r="N2403" s="6">
        <f>IF(OR(A2403="",B2403=""),"",DATE(YEAR(B2403),MONTH(B2403),1))</f>
        <v/>
      </c>
      <c r="O2403" s="7">
        <f>IF(COUNTA(A2403:K2403)=0,"",IF(OR(A2403="",B2403=""),"Preencher CPF e entrada",IF(COUNTIFS($A$12:$A$5011,A2403,$B$12:$B$5011,B2403)&gt;1,"CPF + dia duplicado",IF(OR(AND(G2403&lt;&gt;"",G2403&lt;&gt;0,G2403&lt;&gt;1),AND(H2403&lt;&gt;"",H2403&lt;&gt;0,H2403&lt;&gt;1)),"Flags devem ser 0 ou 1",IF(AND(H2403=1,LEN(TRIM(I2403))=0),"Preencher nome do indicante",IF(AND(H2403&lt;&gt;1,I2403&lt;&gt;""),"Nome sem indicação interna",IF(AND(G2403=1,F2403=""),"Fechamento sem conversa",IF(OR(AND(E2403&lt;&gt;"",E2403&lt;B2403),AND(F2403&lt;&gt;"",F2403&lt;B2403)),"Evento anterior à entrada",IF(AND(F2403&lt;&gt;"",E2403=""),"Conversa sem agendamento",IF(OR(E2403&gt;TODAY(),F2403&gt;TODAY()),"Verificar evento futuro","OK"))))))))))</f>
        <v/>
      </c>
    </row>
    <row r="2404" spans="12:15">
      <c r="L2404" s="5">
        <f>IF(OR(A2404="",B2404=""),"",B2404-WEEKDAY(B2404,2)+1)</f>
        <v/>
      </c>
      <c r="M2404" s="5">
        <f>IF(L2404="","",L2404+6)</f>
        <v/>
      </c>
      <c r="N2404" s="6">
        <f>IF(OR(A2404="",B2404=""),"",DATE(YEAR(B2404),MONTH(B2404),1))</f>
        <v/>
      </c>
      <c r="O2404" s="7">
        <f>IF(COUNTA(A2404:K2404)=0,"",IF(OR(A2404="",B2404=""),"Preencher CPF e entrada",IF(COUNTIFS($A$12:$A$5011,A2404,$B$12:$B$5011,B2404)&gt;1,"CPF + dia duplicado",IF(OR(AND(G2404&lt;&gt;"",G2404&lt;&gt;0,G2404&lt;&gt;1),AND(H2404&lt;&gt;"",H2404&lt;&gt;0,H2404&lt;&gt;1)),"Flags devem ser 0 ou 1",IF(AND(H2404=1,LEN(TRIM(I2404))=0),"Preencher nome do indicante",IF(AND(H2404&lt;&gt;1,I2404&lt;&gt;""),"Nome sem indicação interna",IF(AND(G2404=1,F2404=""),"Fechamento sem conversa",IF(OR(AND(E2404&lt;&gt;"",E2404&lt;B2404),AND(F2404&lt;&gt;"",F2404&lt;B2404)),"Evento anterior à entrada",IF(AND(F2404&lt;&gt;"",E2404=""),"Conversa sem agendamento",IF(OR(E2404&gt;TODAY(),F2404&gt;TODAY()),"Verificar evento futuro","OK"))))))))))</f>
        <v/>
      </c>
    </row>
    <row r="2405" spans="12:15">
      <c r="L2405" s="5">
        <f>IF(OR(A2405="",B2405=""),"",B2405-WEEKDAY(B2405,2)+1)</f>
        <v/>
      </c>
      <c r="M2405" s="5">
        <f>IF(L2405="","",L2405+6)</f>
        <v/>
      </c>
      <c r="N2405" s="6">
        <f>IF(OR(A2405="",B2405=""),"",DATE(YEAR(B2405),MONTH(B2405),1))</f>
        <v/>
      </c>
      <c r="O2405" s="7">
        <f>IF(COUNTA(A2405:K2405)=0,"",IF(OR(A2405="",B2405=""),"Preencher CPF e entrada",IF(COUNTIFS($A$12:$A$5011,A2405,$B$12:$B$5011,B2405)&gt;1,"CPF + dia duplicado",IF(OR(AND(G2405&lt;&gt;"",G2405&lt;&gt;0,G2405&lt;&gt;1),AND(H2405&lt;&gt;"",H2405&lt;&gt;0,H2405&lt;&gt;1)),"Flags devem ser 0 ou 1",IF(AND(H2405=1,LEN(TRIM(I2405))=0),"Preencher nome do indicante",IF(AND(H2405&lt;&gt;1,I2405&lt;&gt;""),"Nome sem indicação interna",IF(AND(G2405=1,F2405=""),"Fechamento sem conversa",IF(OR(AND(E2405&lt;&gt;"",E2405&lt;B2405),AND(F2405&lt;&gt;"",F2405&lt;B2405)),"Evento anterior à entrada",IF(AND(F2405&lt;&gt;"",E2405=""),"Conversa sem agendamento",IF(OR(E2405&gt;TODAY(),F2405&gt;TODAY()),"Verificar evento futuro","OK"))))))))))</f>
        <v/>
      </c>
    </row>
    <row r="2406" spans="12:15">
      <c r="L2406" s="5">
        <f>IF(OR(A2406="",B2406=""),"",B2406-WEEKDAY(B2406,2)+1)</f>
        <v/>
      </c>
      <c r="M2406" s="5">
        <f>IF(L2406="","",L2406+6)</f>
        <v/>
      </c>
      <c r="N2406" s="6">
        <f>IF(OR(A2406="",B2406=""),"",DATE(YEAR(B2406),MONTH(B2406),1))</f>
        <v/>
      </c>
      <c r="O2406" s="7">
        <f>IF(COUNTA(A2406:K2406)=0,"",IF(OR(A2406="",B2406=""),"Preencher CPF e entrada",IF(COUNTIFS($A$12:$A$5011,A2406,$B$12:$B$5011,B2406)&gt;1,"CPF + dia duplicado",IF(OR(AND(G2406&lt;&gt;"",G2406&lt;&gt;0,G2406&lt;&gt;1),AND(H2406&lt;&gt;"",H2406&lt;&gt;0,H2406&lt;&gt;1)),"Flags devem ser 0 ou 1",IF(AND(H2406=1,LEN(TRIM(I2406))=0),"Preencher nome do indicante",IF(AND(H2406&lt;&gt;1,I2406&lt;&gt;""),"Nome sem indicação interna",IF(AND(G2406=1,F2406=""),"Fechamento sem conversa",IF(OR(AND(E2406&lt;&gt;"",E2406&lt;B2406),AND(F2406&lt;&gt;"",F2406&lt;B2406)),"Evento anterior à entrada",IF(AND(F2406&lt;&gt;"",E2406=""),"Conversa sem agendamento",IF(OR(E2406&gt;TODAY(),F2406&gt;TODAY()),"Verificar evento futuro","OK"))))))))))</f>
        <v/>
      </c>
    </row>
    <row r="2407" spans="12:15">
      <c r="L2407" s="5">
        <f>IF(OR(A2407="",B2407=""),"",B2407-WEEKDAY(B2407,2)+1)</f>
        <v/>
      </c>
      <c r="M2407" s="5">
        <f>IF(L2407="","",L2407+6)</f>
        <v/>
      </c>
      <c r="N2407" s="6">
        <f>IF(OR(A2407="",B2407=""),"",DATE(YEAR(B2407),MONTH(B2407),1))</f>
        <v/>
      </c>
      <c r="O2407" s="7">
        <f>IF(COUNTA(A2407:K2407)=0,"",IF(OR(A2407="",B2407=""),"Preencher CPF e entrada",IF(COUNTIFS($A$12:$A$5011,A2407,$B$12:$B$5011,B2407)&gt;1,"CPF + dia duplicado",IF(OR(AND(G2407&lt;&gt;"",G2407&lt;&gt;0,G2407&lt;&gt;1),AND(H2407&lt;&gt;"",H2407&lt;&gt;0,H2407&lt;&gt;1)),"Flags devem ser 0 ou 1",IF(AND(H2407=1,LEN(TRIM(I2407))=0),"Preencher nome do indicante",IF(AND(H2407&lt;&gt;1,I2407&lt;&gt;""),"Nome sem indicação interna",IF(AND(G2407=1,F2407=""),"Fechamento sem conversa",IF(OR(AND(E2407&lt;&gt;"",E2407&lt;B2407),AND(F2407&lt;&gt;"",F2407&lt;B2407)),"Evento anterior à entrada",IF(AND(F2407&lt;&gt;"",E2407=""),"Conversa sem agendamento",IF(OR(E2407&gt;TODAY(),F2407&gt;TODAY()),"Verificar evento futuro","OK"))))))))))</f>
        <v/>
      </c>
    </row>
    <row r="2408" spans="12:15">
      <c r="L2408" s="5">
        <f>IF(OR(A2408="",B2408=""),"",B2408-WEEKDAY(B2408,2)+1)</f>
        <v/>
      </c>
      <c r="M2408" s="5">
        <f>IF(L2408="","",L2408+6)</f>
        <v/>
      </c>
      <c r="N2408" s="6">
        <f>IF(OR(A2408="",B2408=""),"",DATE(YEAR(B2408),MONTH(B2408),1))</f>
        <v/>
      </c>
      <c r="O2408" s="7">
        <f>IF(COUNTA(A2408:K2408)=0,"",IF(OR(A2408="",B2408=""),"Preencher CPF e entrada",IF(COUNTIFS($A$12:$A$5011,A2408,$B$12:$B$5011,B2408)&gt;1,"CPF + dia duplicado",IF(OR(AND(G2408&lt;&gt;"",G2408&lt;&gt;0,G2408&lt;&gt;1),AND(H2408&lt;&gt;"",H2408&lt;&gt;0,H2408&lt;&gt;1)),"Flags devem ser 0 ou 1",IF(AND(H2408=1,LEN(TRIM(I2408))=0),"Preencher nome do indicante",IF(AND(H2408&lt;&gt;1,I2408&lt;&gt;""),"Nome sem indicação interna",IF(AND(G2408=1,F2408=""),"Fechamento sem conversa",IF(OR(AND(E2408&lt;&gt;"",E2408&lt;B2408),AND(F2408&lt;&gt;"",F2408&lt;B2408)),"Evento anterior à entrada",IF(AND(F2408&lt;&gt;"",E2408=""),"Conversa sem agendamento",IF(OR(E2408&gt;TODAY(),F2408&gt;TODAY()),"Verificar evento futuro","OK"))))))))))</f>
        <v/>
      </c>
    </row>
    <row r="2409" spans="12:15">
      <c r="L2409" s="5">
        <f>IF(OR(A2409="",B2409=""),"",B2409-WEEKDAY(B2409,2)+1)</f>
        <v/>
      </c>
      <c r="M2409" s="5">
        <f>IF(L2409="","",L2409+6)</f>
        <v/>
      </c>
      <c r="N2409" s="6">
        <f>IF(OR(A2409="",B2409=""),"",DATE(YEAR(B2409),MONTH(B2409),1))</f>
        <v/>
      </c>
      <c r="O2409" s="7">
        <f>IF(COUNTA(A2409:K2409)=0,"",IF(OR(A2409="",B2409=""),"Preencher CPF e entrada",IF(COUNTIFS($A$12:$A$5011,A2409,$B$12:$B$5011,B2409)&gt;1,"CPF + dia duplicado",IF(OR(AND(G2409&lt;&gt;"",G2409&lt;&gt;0,G2409&lt;&gt;1),AND(H2409&lt;&gt;"",H2409&lt;&gt;0,H2409&lt;&gt;1)),"Flags devem ser 0 ou 1",IF(AND(H2409=1,LEN(TRIM(I2409))=0),"Preencher nome do indicante",IF(AND(H2409&lt;&gt;1,I2409&lt;&gt;""),"Nome sem indicação interna",IF(AND(G2409=1,F2409=""),"Fechamento sem conversa",IF(OR(AND(E2409&lt;&gt;"",E2409&lt;B2409),AND(F2409&lt;&gt;"",F2409&lt;B2409)),"Evento anterior à entrada",IF(AND(F2409&lt;&gt;"",E2409=""),"Conversa sem agendamento",IF(OR(E2409&gt;TODAY(),F2409&gt;TODAY()),"Verificar evento futuro","OK"))))))))))</f>
        <v/>
      </c>
    </row>
    <row r="2410" spans="12:15">
      <c r="L2410" s="5">
        <f>IF(OR(A2410="",B2410=""),"",B2410-WEEKDAY(B2410,2)+1)</f>
        <v/>
      </c>
      <c r="M2410" s="5">
        <f>IF(L2410="","",L2410+6)</f>
        <v/>
      </c>
      <c r="N2410" s="6">
        <f>IF(OR(A2410="",B2410=""),"",DATE(YEAR(B2410),MONTH(B2410),1))</f>
        <v/>
      </c>
      <c r="O2410" s="7">
        <f>IF(COUNTA(A2410:K2410)=0,"",IF(OR(A2410="",B2410=""),"Preencher CPF e entrada",IF(COUNTIFS($A$12:$A$5011,A2410,$B$12:$B$5011,B2410)&gt;1,"CPF + dia duplicado",IF(OR(AND(G2410&lt;&gt;"",G2410&lt;&gt;0,G2410&lt;&gt;1),AND(H2410&lt;&gt;"",H2410&lt;&gt;0,H2410&lt;&gt;1)),"Flags devem ser 0 ou 1",IF(AND(H2410=1,LEN(TRIM(I2410))=0),"Preencher nome do indicante",IF(AND(H2410&lt;&gt;1,I2410&lt;&gt;""),"Nome sem indicação interna",IF(AND(G2410=1,F2410=""),"Fechamento sem conversa",IF(OR(AND(E2410&lt;&gt;"",E2410&lt;B2410),AND(F2410&lt;&gt;"",F2410&lt;B2410)),"Evento anterior à entrada",IF(AND(F2410&lt;&gt;"",E2410=""),"Conversa sem agendamento",IF(OR(E2410&gt;TODAY(),F2410&gt;TODAY()),"Verificar evento futuro","OK"))))))))))</f>
        <v/>
      </c>
    </row>
    <row r="2411" spans="12:15">
      <c r="L2411" s="5">
        <f>IF(OR(A2411="",B2411=""),"",B2411-WEEKDAY(B2411,2)+1)</f>
        <v/>
      </c>
      <c r="M2411" s="5">
        <f>IF(L2411="","",L2411+6)</f>
        <v/>
      </c>
      <c r="N2411" s="6">
        <f>IF(OR(A2411="",B2411=""),"",DATE(YEAR(B2411),MONTH(B2411),1))</f>
        <v/>
      </c>
      <c r="O2411" s="7">
        <f>IF(COUNTA(A2411:K2411)=0,"",IF(OR(A2411="",B2411=""),"Preencher CPF e entrada",IF(COUNTIFS($A$12:$A$5011,A2411,$B$12:$B$5011,B2411)&gt;1,"CPF + dia duplicado",IF(OR(AND(G2411&lt;&gt;"",G2411&lt;&gt;0,G2411&lt;&gt;1),AND(H2411&lt;&gt;"",H2411&lt;&gt;0,H2411&lt;&gt;1)),"Flags devem ser 0 ou 1",IF(AND(H2411=1,LEN(TRIM(I2411))=0),"Preencher nome do indicante",IF(AND(H2411&lt;&gt;1,I2411&lt;&gt;""),"Nome sem indicação interna",IF(AND(G2411=1,F2411=""),"Fechamento sem conversa",IF(OR(AND(E2411&lt;&gt;"",E2411&lt;B2411),AND(F2411&lt;&gt;"",F2411&lt;B2411)),"Evento anterior à entrada",IF(AND(F2411&lt;&gt;"",E2411=""),"Conversa sem agendamento",IF(OR(E2411&gt;TODAY(),F2411&gt;TODAY()),"Verificar evento futuro","OK"))))))))))</f>
        <v/>
      </c>
    </row>
    <row r="2412" spans="12:15">
      <c r="L2412" s="5">
        <f>IF(OR(A2412="",B2412=""),"",B2412-WEEKDAY(B2412,2)+1)</f>
        <v/>
      </c>
      <c r="M2412" s="5">
        <f>IF(L2412="","",L2412+6)</f>
        <v/>
      </c>
      <c r="N2412" s="6">
        <f>IF(OR(A2412="",B2412=""),"",DATE(YEAR(B2412),MONTH(B2412),1))</f>
        <v/>
      </c>
      <c r="O2412" s="7">
        <f>IF(COUNTA(A2412:K2412)=0,"",IF(OR(A2412="",B2412=""),"Preencher CPF e entrada",IF(COUNTIFS($A$12:$A$5011,A2412,$B$12:$B$5011,B2412)&gt;1,"CPF + dia duplicado",IF(OR(AND(G2412&lt;&gt;"",G2412&lt;&gt;0,G2412&lt;&gt;1),AND(H2412&lt;&gt;"",H2412&lt;&gt;0,H2412&lt;&gt;1)),"Flags devem ser 0 ou 1",IF(AND(H2412=1,LEN(TRIM(I2412))=0),"Preencher nome do indicante",IF(AND(H2412&lt;&gt;1,I2412&lt;&gt;""),"Nome sem indicação interna",IF(AND(G2412=1,F2412=""),"Fechamento sem conversa",IF(OR(AND(E2412&lt;&gt;"",E2412&lt;B2412),AND(F2412&lt;&gt;"",F2412&lt;B2412)),"Evento anterior à entrada",IF(AND(F2412&lt;&gt;"",E2412=""),"Conversa sem agendamento",IF(OR(E2412&gt;TODAY(),F2412&gt;TODAY()),"Verificar evento futuro","OK"))))))))))</f>
        <v/>
      </c>
    </row>
    <row r="2413" spans="12:15">
      <c r="L2413" s="5">
        <f>IF(OR(A2413="",B2413=""),"",B2413-WEEKDAY(B2413,2)+1)</f>
        <v/>
      </c>
      <c r="M2413" s="5">
        <f>IF(L2413="","",L2413+6)</f>
        <v/>
      </c>
      <c r="N2413" s="6">
        <f>IF(OR(A2413="",B2413=""),"",DATE(YEAR(B2413),MONTH(B2413),1))</f>
        <v/>
      </c>
      <c r="O2413" s="7">
        <f>IF(COUNTA(A2413:K2413)=0,"",IF(OR(A2413="",B2413=""),"Preencher CPF e entrada",IF(COUNTIFS($A$12:$A$5011,A2413,$B$12:$B$5011,B2413)&gt;1,"CPF + dia duplicado",IF(OR(AND(G2413&lt;&gt;"",G2413&lt;&gt;0,G2413&lt;&gt;1),AND(H2413&lt;&gt;"",H2413&lt;&gt;0,H2413&lt;&gt;1)),"Flags devem ser 0 ou 1",IF(AND(H2413=1,LEN(TRIM(I2413))=0),"Preencher nome do indicante",IF(AND(H2413&lt;&gt;1,I2413&lt;&gt;""),"Nome sem indicação interna",IF(AND(G2413=1,F2413=""),"Fechamento sem conversa",IF(OR(AND(E2413&lt;&gt;"",E2413&lt;B2413),AND(F2413&lt;&gt;"",F2413&lt;B2413)),"Evento anterior à entrada",IF(AND(F2413&lt;&gt;"",E2413=""),"Conversa sem agendamento",IF(OR(E2413&gt;TODAY(),F2413&gt;TODAY()),"Verificar evento futuro","OK"))))))))))</f>
        <v/>
      </c>
    </row>
    <row r="2414" spans="12:15">
      <c r="L2414" s="5">
        <f>IF(OR(A2414="",B2414=""),"",B2414-WEEKDAY(B2414,2)+1)</f>
        <v/>
      </c>
      <c r="M2414" s="5">
        <f>IF(L2414="","",L2414+6)</f>
        <v/>
      </c>
      <c r="N2414" s="6">
        <f>IF(OR(A2414="",B2414=""),"",DATE(YEAR(B2414),MONTH(B2414),1))</f>
        <v/>
      </c>
      <c r="O2414" s="7">
        <f>IF(COUNTA(A2414:K2414)=0,"",IF(OR(A2414="",B2414=""),"Preencher CPF e entrada",IF(COUNTIFS($A$12:$A$5011,A2414,$B$12:$B$5011,B2414)&gt;1,"CPF + dia duplicado",IF(OR(AND(G2414&lt;&gt;"",G2414&lt;&gt;0,G2414&lt;&gt;1),AND(H2414&lt;&gt;"",H2414&lt;&gt;0,H2414&lt;&gt;1)),"Flags devem ser 0 ou 1",IF(AND(H2414=1,LEN(TRIM(I2414))=0),"Preencher nome do indicante",IF(AND(H2414&lt;&gt;1,I2414&lt;&gt;""),"Nome sem indicação interna",IF(AND(G2414=1,F2414=""),"Fechamento sem conversa",IF(OR(AND(E2414&lt;&gt;"",E2414&lt;B2414),AND(F2414&lt;&gt;"",F2414&lt;B2414)),"Evento anterior à entrada",IF(AND(F2414&lt;&gt;"",E2414=""),"Conversa sem agendamento",IF(OR(E2414&gt;TODAY(),F2414&gt;TODAY()),"Verificar evento futuro","OK"))))))))))</f>
        <v/>
      </c>
    </row>
    <row r="2415" spans="12:15">
      <c r="L2415" s="5">
        <f>IF(OR(A2415="",B2415=""),"",B2415-WEEKDAY(B2415,2)+1)</f>
        <v/>
      </c>
      <c r="M2415" s="5">
        <f>IF(L2415="","",L2415+6)</f>
        <v/>
      </c>
      <c r="N2415" s="6">
        <f>IF(OR(A2415="",B2415=""),"",DATE(YEAR(B2415),MONTH(B2415),1))</f>
        <v/>
      </c>
      <c r="O2415" s="7">
        <f>IF(COUNTA(A2415:K2415)=0,"",IF(OR(A2415="",B2415=""),"Preencher CPF e entrada",IF(COUNTIFS($A$12:$A$5011,A2415,$B$12:$B$5011,B2415)&gt;1,"CPF + dia duplicado",IF(OR(AND(G2415&lt;&gt;"",G2415&lt;&gt;0,G2415&lt;&gt;1),AND(H2415&lt;&gt;"",H2415&lt;&gt;0,H2415&lt;&gt;1)),"Flags devem ser 0 ou 1",IF(AND(H2415=1,LEN(TRIM(I2415))=0),"Preencher nome do indicante",IF(AND(H2415&lt;&gt;1,I2415&lt;&gt;""),"Nome sem indicação interna",IF(AND(G2415=1,F2415=""),"Fechamento sem conversa",IF(OR(AND(E2415&lt;&gt;"",E2415&lt;B2415),AND(F2415&lt;&gt;"",F2415&lt;B2415)),"Evento anterior à entrada",IF(AND(F2415&lt;&gt;"",E2415=""),"Conversa sem agendamento",IF(OR(E2415&gt;TODAY(),F2415&gt;TODAY()),"Verificar evento futuro","OK"))))))))))</f>
        <v/>
      </c>
    </row>
    <row r="2416" spans="12:15">
      <c r="L2416" s="5">
        <f>IF(OR(A2416="",B2416=""),"",B2416-WEEKDAY(B2416,2)+1)</f>
        <v/>
      </c>
      <c r="M2416" s="5">
        <f>IF(L2416="","",L2416+6)</f>
        <v/>
      </c>
      <c r="N2416" s="6">
        <f>IF(OR(A2416="",B2416=""),"",DATE(YEAR(B2416),MONTH(B2416),1))</f>
        <v/>
      </c>
      <c r="O2416" s="7">
        <f>IF(COUNTA(A2416:K2416)=0,"",IF(OR(A2416="",B2416=""),"Preencher CPF e entrada",IF(COUNTIFS($A$12:$A$5011,A2416,$B$12:$B$5011,B2416)&gt;1,"CPF + dia duplicado",IF(OR(AND(G2416&lt;&gt;"",G2416&lt;&gt;0,G2416&lt;&gt;1),AND(H2416&lt;&gt;"",H2416&lt;&gt;0,H2416&lt;&gt;1)),"Flags devem ser 0 ou 1",IF(AND(H2416=1,LEN(TRIM(I2416))=0),"Preencher nome do indicante",IF(AND(H2416&lt;&gt;1,I2416&lt;&gt;""),"Nome sem indicação interna",IF(AND(G2416=1,F2416=""),"Fechamento sem conversa",IF(OR(AND(E2416&lt;&gt;"",E2416&lt;B2416),AND(F2416&lt;&gt;"",F2416&lt;B2416)),"Evento anterior à entrada",IF(AND(F2416&lt;&gt;"",E2416=""),"Conversa sem agendamento",IF(OR(E2416&gt;TODAY(),F2416&gt;TODAY()),"Verificar evento futuro","OK"))))))))))</f>
        <v/>
      </c>
    </row>
    <row r="2417" spans="12:15">
      <c r="L2417" s="5">
        <f>IF(OR(A2417="",B2417=""),"",B2417-WEEKDAY(B2417,2)+1)</f>
        <v/>
      </c>
      <c r="M2417" s="5">
        <f>IF(L2417="","",L2417+6)</f>
        <v/>
      </c>
      <c r="N2417" s="6">
        <f>IF(OR(A2417="",B2417=""),"",DATE(YEAR(B2417),MONTH(B2417),1))</f>
        <v/>
      </c>
      <c r="O2417" s="7">
        <f>IF(COUNTA(A2417:K2417)=0,"",IF(OR(A2417="",B2417=""),"Preencher CPF e entrada",IF(COUNTIFS($A$12:$A$5011,A2417,$B$12:$B$5011,B2417)&gt;1,"CPF + dia duplicado",IF(OR(AND(G2417&lt;&gt;"",G2417&lt;&gt;0,G2417&lt;&gt;1),AND(H2417&lt;&gt;"",H2417&lt;&gt;0,H2417&lt;&gt;1)),"Flags devem ser 0 ou 1",IF(AND(H2417=1,LEN(TRIM(I2417))=0),"Preencher nome do indicante",IF(AND(H2417&lt;&gt;1,I2417&lt;&gt;""),"Nome sem indicação interna",IF(AND(G2417=1,F2417=""),"Fechamento sem conversa",IF(OR(AND(E2417&lt;&gt;"",E2417&lt;B2417),AND(F2417&lt;&gt;"",F2417&lt;B2417)),"Evento anterior à entrada",IF(AND(F2417&lt;&gt;"",E2417=""),"Conversa sem agendamento",IF(OR(E2417&gt;TODAY(),F2417&gt;TODAY()),"Verificar evento futuro","OK"))))))))))</f>
        <v/>
      </c>
    </row>
    <row r="2418" spans="12:15">
      <c r="L2418" s="5">
        <f>IF(OR(A2418="",B2418=""),"",B2418-WEEKDAY(B2418,2)+1)</f>
        <v/>
      </c>
      <c r="M2418" s="5">
        <f>IF(L2418="","",L2418+6)</f>
        <v/>
      </c>
      <c r="N2418" s="6">
        <f>IF(OR(A2418="",B2418=""),"",DATE(YEAR(B2418),MONTH(B2418),1))</f>
        <v/>
      </c>
      <c r="O2418" s="7">
        <f>IF(COUNTA(A2418:K2418)=0,"",IF(OR(A2418="",B2418=""),"Preencher CPF e entrada",IF(COUNTIFS($A$12:$A$5011,A2418,$B$12:$B$5011,B2418)&gt;1,"CPF + dia duplicado",IF(OR(AND(G2418&lt;&gt;"",G2418&lt;&gt;0,G2418&lt;&gt;1),AND(H2418&lt;&gt;"",H2418&lt;&gt;0,H2418&lt;&gt;1)),"Flags devem ser 0 ou 1",IF(AND(H2418=1,LEN(TRIM(I2418))=0),"Preencher nome do indicante",IF(AND(H2418&lt;&gt;1,I2418&lt;&gt;""),"Nome sem indicação interna",IF(AND(G2418=1,F2418=""),"Fechamento sem conversa",IF(OR(AND(E2418&lt;&gt;"",E2418&lt;B2418),AND(F2418&lt;&gt;"",F2418&lt;B2418)),"Evento anterior à entrada",IF(AND(F2418&lt;&gt;"",E2418=""),"Conversa sem agendamento",IF(OR(E2418&gt;TODAY(),F2418&gt;TODAY()),"Verificar evento futuro","OK"))))))))))</f>
        <v/>
      </c>
    </row>
    <row r="2419" spans="12:15">
      <c r="L2419" s="5">
        <f>IF(OR(A2419="",B2419=""),"",B2419-WEEKDAY(B2419,2)+1)</f>
        <v/>
      </c>
      <c r="M2419" s="5">
        <f>IF(L2419="","",L2419+6)</f>
        <v/>
      </c>
      <c r="N2419" s="6">
        <f>IF(OR(A2419="",B2419=""),"",DATE(YEAR(B2419),MONTH(B2419),1))</f>
        <v/>
      </c>
      <c r="O2419" s="7">
        <f>IF(COUNTA(A2419:K2419)=0,"",IF(OR(A2419="",B2419=""),"Preencher CPF e entrada",IF(COUNTIFS($A$12:$A$5011,A2419,$B$12:$B$5011,B2419)&gt;1,"CPF + dia duplicado",IF(OR(AND(G2419&lt;&gt;"",G2419&lt;&gt;0,G2419&lt;&gt;1),AND(H2419&lt;&gt;"",H2419&lt;&gt;0,H2419&lt;&gt;1)),"Flags devem ser 0 ou 1",IF(AND(H2419=1,LEN(TRIM(I2419))=0),"Preencher nome do indicante",IF(AND(H2419&lt;&gt;1,I2419&lt;&gt;""),"Nome sem indicação interna",IF(AND(G2419=1,F2419=""),"Fechamento sem conversa",IF(OR(AND(E2419&lt;&gt;"",E2419&lt;B2419),AND(F2419&lt;&gt;"",F2419&lt;B2419)),"Evento anterior à entrada",IF(AND(F2419&lt;&gt;"",E2419=""),"Conversa sem agendamento",IF(OR(E2419&gt;TODAY(),F2419&gt;TODAY()),"Verificar evento futuro","OK"))))))))))</f>
        <v/>
      </c>
    </row>
    <row r="2420" spans="12:15">
      <c r="L2420" s="5">
        <f>IF(OR(A2420="",B2420=""),"",B2420-WEEKDAY(B2420,2)+1)</f>
        <v/>
      </c>
      <c r="M2420" s="5">
        <f>IF(L2420="","",L2420+6)</f>
        <v/>
      </c>
      <c r="N2420" s="6">
        <f>IF(OR(A2420="",B2420=""),"",DATE(YEAR(B2420),MONTH(B2420),1))</f>
        <v/>
      </c>
      <c r="O2420" s="7">
        <f>IF(COUNTA(A2420:K2420)=0,"",IF(OR(A2420="",B2420=""),"Preencher CPF e entrada",IF(COUNTIFS($A$12:$A$5011,A2420,$B$12:$B$5011,B2420)&gt;1,"CPF + dia duplicado",IF(OR(AND(G2420&lt;&gt;"",G2420&lt;&gt;0,G2420&lt;&gt;1),AND(H2420&lt;&gt;"",H2420&lt;&gt;0,H2420&lt;&gt;1)),"Flags devem ser 0 ou 1",IF(AND(H2420=1,LEN(TRIM(I2420))=0),"Preencher nome do indicante",IF(AND(H2420&lt;&gt;1,I2420&lt;&gt;""),"Nome sem indicação interna",IF(AND(G2420=1,F2420=""),"Fechamento sem conversa",IF(OR(AND(E2420&lt;&gt;"",E2420&lt;B2420),AND(F2420&lt;&gt;"",F2420&lt;B2420)),"Evento anterior à entrada",IF(AND(F2420&lt;&gt;"",E2420=""),"Conversa sem agendamento",IF(OR(E2420&gt;TODAY(),F2420&gt;TODAY()),"Verificar evento futuro","OK"))))))))))</f>
        <v/>
      </c>
    </row>
    <row r="2421" spans="12:15">
      <c r="L2421" s="5">
        <f>IF(OR(A2421="",B2421=""),"",B2421-WEEKDAY(B2421,2)+1)</f>
        <v/>
      </c>
      <c r="M2421" s="5">
        <f>IF(L2421="","",L2421+6)</f>
        <v/>
      </c>
      <c r="N2421" s="6">
        <f>IF(OR(A2421="",B2421=""),"",DATE(YEAR(B2421),MONTH(B2421),1))</f>
        <v/>
      </c>
      <c r="O2421" s="7">
        <f>IF(COUNTA(A2421:K2421)=0,"",IF(OR(A2421="",B2421=""),"Preencher CPF e entrada",IF(COUNTIFS($A$12:$A$5011,A2421,$B$12:$B$5011,B2421)&gt;1,"CPF + dia duplicado",IF(OR(AND(G2421&lt;&gt;"",G2421&lt;&gt;0,G2421&lt;&gt;1),AND(H2421&lt;&gt;"",H2421&lt;&gt;0,H2421&lt;&gt;1)),"Flags devem ser 0 ou 1",IF(AND(H2421=1,LEN(TRIM(I2421))=0),"Preencher nome do indicante",IF(AND(H2421&lt;&gt;1,I2421&lt;&gt;""),"Nome sem indicação interna",IF(AND(G2421=1,F2421=""),"Fechamento sem conversa",IF(OR(AND(E2421&lt;&gt;"",E2421&lt;B2421),AND(F2421&lt;&gt;"",F2421&lt;B2421)),"Evento anterior à entrada",IF(AND(F2421&lt;&gt;"",E2421=""),"Conversa sem agendamento",IF(OR(E2421&gt;TODAY(),F2421&gt;TODAY()),"Verificar evento futuro","OK"))))))))))</f>
        <v/>
      </c>
    </row>
    <row r="2422" spans="12:15">
      <c r="L2422" s="5">
        <f>IF(OR(A2422="",B2422=""),"",B2422-WEEKDAY(B2422,2)+1)</f>
        <v/>
      </c>
      <c r="M2422" s="5">
        <f>IF(L2422="","",L2422+6)</f>
        <v/>
      </c>
      <c r="N2422" s="6">
        <f>IF(OR(A2422="",B2422=""),"",DATE(YEAR(B2422),MONTH(B2422),1))</f>
        <v/>
      </c>
      <c r="O2422" s="7">
        <f>IF(COUNTA(A2422:K2422)=0,"",IF(OR(A2422="",B2422=""),"Preencher CPF e entrada",IF(COUNTIFS($A$12:$A$5011,A2422,$B$12:$B$5011,B2422)&gt;1,"CPF + dia duplicado",IF(OR(AND(G2422&lt;&gt;"",G2422&lt;&gt;0,G2422&lt;&gt;1),AND(H2422&lt;&gt;"",H2422&lt;&gt;0,H2422&lt;&gt;1)),"Flags devem ser 0 ou 1",IF(AND(H2422=1,LEN(TRIM(I2422))=0),"Preencher nome do indicante",IF(AND(H2422&lt;&gt;1,I2422&lt;&gt;""),"Nome sem indicação interna",IF(AND(G2422=1,F2422=""),"Fechamento sem conversa",IF(OR(AND(E2422&lt;&gt;"",E2422&lt;B2422),AND(F2422&lt;&gt;"",F2422&lt;B2422)),"Evento anterior à entrada",IF(AND(F2422&lt;&gt;"",E2422=""),"Conversa sem agendamento",IF(OR(E2422&gt;TODAY(),F2422&gt;TODAY()),"Verificar evento futuro","OK"))))))))))</f>
        <v/>
      </c>
    </row>
    <row r="2423" spans="12:15">
      <c r="L2423" s="5">
        <f>IF(OR(A2423="",B2423=""),"",B2423-WEEKDAY(B2423,2)+1)</f>
        <v/>
      </c>
      <c r="M2423" s="5">
        <f>IF(L2423="","",L2423+6)</f>
        <v/>
      </c>
      <c r="N2423" s="6">
        <f>IF(OR(A2423="",B2423=""),"",DATE(YEAR(B2423),MONTH(B2423),1))</f>
        <v/>
      </c>
      <c r="O2423" s="7">
        <f>IF(COUNTA(A2423:K2423)=0,"",IF(OR(A2423="",B2423=""),"Preencher CPF e entrada",IF(COUNTIFS($A$12:$A$5011,A2423,$B$12:$B$5011,B2423)&gt;1,"CPF + dia duplicado",IF(OR(AND(G2423&lt;&gt;"",G2423&lt;&gt;0,G2423&lt;&gt;1),AND(H2423&lt;&gt;"",H2423&lt;&gt;0,H2423&lt;&gt;1)),"Flags devem ser 0 ou 1",IF(AND(H2423=1,LEN(TRIM(I2423))=0),"Preencher nome do indicante",IF(AND(H2423&lt;&gt;1,I2423&lt;&gt;""),"Nome sem indicação interna",IF(AND(G2423=1,F2423=""),"Fechamento sem conversa",IF(OR(AND(E2423&lt;&gt;"",E2423&lt;B2423),AND(F2423&lt;&gt;"",F2423&lt;B2423)),"Evento anterior à entrada",IF(AND(F2423&lt;&gt;"",E2423=""),"Conversa sem agendamento",IF(OR(E2423&gt;TODAY(),F2423&gt;TODAY()),"Verificar evento futuro","OK"))))))))))</f>
        <v/>
      </c>
    </row>
    <row r="2424" spans="12:15">
      <c r="L2424" s="5">
        <f>IF(OR(A2424="",B2424=""),"",B2424-WEEKDAY(B2424,2)+1)</f>
        <v/>
      </c>
      <c r="M2424" s="5">
        <f>IF(L2424="","",L2424+6)</f>
        <v/>
      </c>
      <c r="N2424" s="6">
        <f>IF(OR(A2424="",B2424=""),"",DATE(YEAR(B2424),MONTH(B2424),1))</f>
        <v/>
      </c>
      <c r="O2424" s="7">
        <f>IF(COUNTA(A2424:K2424)=0,"",IF(OR(A2424="",B2424=""),"Preencher CPF e entrada",IF(COUNTIFS($A$12:$A$5011,A2424,$B$12:$B$5011,B2424)&gt;1,"CPF + dia duplicado",IF(OR(AND(G2424&lt;&gt;"",G2424&lt;&gt;0,G2424&lt;&gt;1),AND(H2424&lt;&gt;"",H2424&lt;&gt;0,H2424&lt;&gt;1)),"Flags devem ser 0 ou 1",IF(AND(H2424=1,LEN(TRIM(I2424))=0),"Preencher nome do indicante",IF(AND(H2424&lt;&gt;1,I2424&lt;&gt;""),"Nome sem indicação interna",IF(AND(G2424=1,F2424=""),"Fechamento sem conversa",IF(OR(AND(E2424&lt;&gt;"",E2424&lt;B2424),AND(F2424&lt;&gt;"",F2424&lt;B2424)),"Evento anterior à entrada",IF(AND(F2424&lt;&gt;"",E2424=""),"Conversa sem agendamento",IF(OR(E2424&gt;TODAY(),F2424&gt;TODAY()),"Verificar evento futuro","OK"))))))))))</f>
        <v/>
      </c>
    </row>
    <row r="2425" spans="12:15">
      <c r="L2425" s="5">
        <f>IF(OR(A2425="",B2425=""),"",B2425-WEEKDAY(B2425,2)+1)</f>
        <v/>
      </c>
      <c r="M2425" s="5">
        <f>IF(L2425="","",L2425+6)</f>
        <v/>
      </c>
      <c r="N2425" s="6">
        <f>IF(OR(A2425="",B2425=""),"",DATE(YEAR(B2425),MONTH(B2425),1))</f>
        <v/>
      </c>
      <c r="O2425" s="7">
        <f>IF(COUNTA(A2425:K2425)=0,"",IF(OR(A2425="",B2425=""),"Preencher CPF e entrada",IF(COUNTIFS($A$12:$A$5011,A2425,$B$12:$B$5011,B2425)&gt;1,"CPF + dia duplicado",IF(OR(AND(G2425&lt;&gt;"",G2425&lt;&gt;0,G2425&lt;&gt;1),AND(H2425&lt;&gt;"",H2425&lt;&gt;0,H2425&lt;&gt;1)),"Flags devem ser 0 ou 1",IF(AND(H2425=1,LEN(TRIM(I2425))=0),"Preencher nome do indicante",IF(AND(H2425&lt;&gt;1,I2425&lt;&gt;""),"Nome sem indicação interna",IF(AND(G2425=1,F2425=""),"Fechamento sem conversa",IF(OR(AND(E2425&lt;&gt;"",E2425&lt;B2425),AND(F2425&lt;&gt;"",F2425&lt;B2425)),"Evento anterior à entrada",IF(AND(F2425&lt;&gt;"",E2425=""),"Conversa sem agendamento",IF(OR(E2425&gt;TODAY(),F2425&gt;TODAY()),"Verificar evento futuro","OK"))))))))))</f>
        <v/>
      </c>
    </row>
    <row r="2426" spans="12:15">
      <c r="L2426" s="5">
        <f>IF(OR(A2426="",B2426=""),"",B2426-WEEKDAY(B2426,2)+1)</f>
        <v/>
      </c>
      <c r="M2426" s="5">
        <f>IF(L2426="","",L2426+6)</f>
        <v/>
      </c>
      <c r="N2426" s="6">
        <f>IF(OR(A2426="",B2426=""),"",DATE(YEAR(B2426),MONTH(B2426),1))</f>
        <v/>
      </c>
      <c r="O2426" s="7">
        <f>IF(COUNTA(A2426:K2426)=0,"",IF(OR(A2426="",B2426=""),"Preencher CPF e entrada",IF(COUNTIFS($A$12:$A$5011,A2426,$B$12:$B$5011,B2426)&gt;1,"CPF + dia duplicado",IF(OR(AND(G2426&lt;&gt;"",G2426&lt;&gt;0,G2426&lt;&gt;1),AND(H2426&lt;&gt;"",H2426&lt;&gt;0,H2426&lt;&gt;1)),"Flags devem ser 0 ou 1",IF(AND(H2426=1,LEN(TRIM(I2426))=0),"Preencher nome do indicante",IF(AND(H2426&lt;&gt;1,I2426&lt;&gt;""),"Nome sem indicação interna",IF(AND(G2426=1,F2426=""),"Fechamento sem conversa",IF(OR(AND(E2426&lt;&gt;"",E2426&lt;B2426),AND(F2426&lt;&gt;"",F2426&lt;B2426)),"Evento anterior à entrada",IF(AND(F2426&lt;&gt;"",E2426=""),"Conversa sem agendamento",IF(OR(E2426&gt;TODAY(),F2426&gt;TODAY()),"Verificar evento futuro","OK"))))))))))</f>
        <v/>
      </c>
    </row>
    <row r="2427" spans="12:15">
      <c r="L2427" s="5">
        <f>IF(OR(A2427="",B2427=""),"",B2427-WEEKDAY(B2427,2)+1)</f>
        <v/>
      </c>
      <c r="M2427" s="5">
        <f>IF(L2427="","",L2427+6)</f>
        <v/>
      </c>
      <c r="N2427" s="6">
        <f>IF(OR(A2427="",B2427=""),"",DATE(YEAR(B2427),MONTH(B2427),1))</f>
        <v/>
      </c>
      <c r="O2427" s="7">
        <f>IF(COUNTA(A2427:K2427)=0,"",IF(OR(A2427="",B2427=""),"Preencher CPF e entrada",IF(COUNTIFS($A$12:$A$5011,A2427,$B$12:$B$5011,B2427)&gt;1,"CPF + dia duplicado",IF(OR(AND(G2427&lt;&gt;"",G2427&lt;&gt;0,G2427&lt;&gt;1),AND(H2427&lt;&gt;"",H2427&lt;&gt;0,H2427&lt;&gt;1)),"Flags devem ser 0 ou 1",IF(AND(H2427=1,LEN(TRIM(I2427))=0),"Preencher nome do indicante",IF(AND(H2427&lt;&gt;1,I2427&lt;&gt;""),"Nome sem indicação interna",IF(AND(G2427=1,F2427=""),"Fechamento sem conversa",IF(OR(AND(E2427&lt;&gt;"",E2427&lt;B2427),AND(F2427&lt;&gt;"",F2427&lt;B2427)),"Evento anterior à entrada",IF(AND(F2427&lt;&gt;"",E2427=""),"Conversa sem agendamento",IF(OR(E2427&gt;TODAY(),F2427&gt;TODAY()),"Verificar evento futuro","OK"))))))))))</f>
        <v/>
      </c>
    </row>
    <row r="2428" spans="12:15">
      <c r="L2428" s="5">
        <f>IF(OR(A2428="",B2428=""),"",B2428-WEEKDAY(B2428,2)+1)</f>
        <v/>
      </c>
      <c r="M2428" s="5">
        <f>IF(L2428="","",L2428+6)</f>
        <v/>
      </c>
      <c r="N2428" s="6">
        <f>IF(OR(A2428="",B2428=""),"",DATE(YEAR(B2428),MONTH(B2428),1))</f>
        <v/>
      </c>
      <c r="O2428" s="7">
        <f>IF(COUNTA(A2428:K2428)=0,"",IF(OR(A2428="",B2428=""),"Preencher CPF e entrada",IF(COUNTIFS($A$12:$A$5011,A2428,$B$12:$B$5011,B2428)&gt;1,"CPF + dia duplicado",IF(OR(AND(G2428&lt;&gt;"",G2428&lt;&gt;0,G2428&lt;&gt;1),AND(H2428&lt;&gt;"",H2428&lt;&gt;0,H2428&lt;&gt;1)),"Flags devem ser 0 ou 1",IF(AND(H2428=1,LEN(TRIM(I2428))=0),"Preencher nome do indicante",IF(AND(H2428&lt;&gt;1,I2428&lt;&gt;""),"Nome sem indicação interna",IF(AND(G2428=1,F2428=""),"Fechamento sem conversa",IF(OR(AND(E2428&lt;&gt;"",E2428&lt;B2428),AND(F2428&lt;&gt;"",F2428&lt;B2428)),"Evento anterior à entrada",IF(AND(F2428&lt;&gt;"",E2428=""),"Conversa sem agendamento",IF(OR(E2428&gt;TODAY(),F2428&gt;TODAY()),"Verificar evento futuro","OK"))))))))))</f>
        <v/>
      </c>
    </row>
    <row r="2429" spans="12:15">
      <c r="L2429" s="5">
        <f>IF(OR(A2429="",B2429=""),"",B2429-WEEKDAY(B2429,2)+1)</f>
        <v/>
      </c>
      <c r="M2429" s="5">
        <f>IF(L2429="","",L2429+6)</f>
        <v/>
      </c>
      <c r="N2429" s="6">
        <f>IF(OR(A2429="",B2429=""),"",DATE(YEAR(B2429),MONTH(B2429),1))</f>
        <v/>
      </c>
      <c r="O2429" s="7">
        <f>IF(COUNTA(A2429:K2429)=0,"",IF(OR(A2429="",B2429=""),"Preencher CPF e entrada",IF(COUNTIFS($A$12:$A$5011,A2429,$B$12:$B$5011,B2429)&gt;1,"CPF + dia duplicado",IF(OR(AND(G2429&lt;&gt;"",G2429&lt;&gt;0,G2429&lt;&gt;1),AND(H2429&lt;&gt;"",H2429&lt;&gt;0,H2429&lt;&gt;1)),"Flags devem ser 0 ou 1",IF(AND(H2429=1,LEN(TRIM(I2429))=0),"Preencher nome do indicante",IF(AND(H2429&lt;&gt;1,I2429&lt;&gt;""),"Nome sem indicação interna",IF(AND(G2429=1,F2429=""),"Fechamento sem conversa",IF(OR(AND(E2429&lt;&gt;"",E2429&lt;B2429),AND(F2429&lt;&gt;"",F2429&lt;B2429)),"Evento anterior à entrada",IF(AND(F2429&lt;&gt;"",E2429=""),"Conversa sem agendamento",IF(OR(E2429&gt;TODAY(),F2429&gt;TODAY()),"Verificar evento futuro","OK"))))))))))</f>
        <v/>
      </c>
    </row>
    <row r="2430" spans="12:15">
      <c r="L2430" s="5">
        <f>IF(OR(A2430="",B2430=""),"",B2430-WEEKDAY(B2430,2)+1)</f>
        <v/>
      </c>
      <c r="M2430" s="5">
        <f>IF(L2430="","",L2430+6)</f>
        <v/>
      </c>
      <c r="N2430" s="6">
        <f>IF(OR(A2430="",B2430=""),"",DATE(YEAR(B2430),MONTH(B2430),1))</f>
        <v/>
      </c>
      <c r="O2430" s="7">
        <f>IF(COUNTA(A2430:K2430)=0,"",IF(OR(A2430="",B2430=""),"Preencher CPF e entrada",IF(COUNTIFS($A$12:$A$5011,A2430,$B$12:$B$5011,B2430)&gt;1,"CPF + dia duplicado",IF(OR(AND(G2430&lt;&gt;"",G2430&lt;&gt;0,G2430&lt;&gt;1),AND(H2430&lt;&gt;"",H2430&lt;&gt;0,H2430&lt;&gt;1)),"Flags devem ser 0 ou 1",IF(AND(H2430=1,LEN(TRIM(I2430))=0),"Preencher nome do indicante",IF(AND(H2430&lt;&gt;1,I2430&lt;&gt;""),"Nome sem indicação interna",IF(AND(G2430=1,F2430=""),"Fechamento sem conversa",IF(OR(AND(E2430&lt;&gt;"",E2430&lt;B2430),AND(F2430&lt;&gt;"",F2430&lt;B2430)),"Evento anterior à entrada",IF(AND(F2430&lt;&gt;"",E2430=""),"Conversa sem agendamento",IF(OR(E2430&gt;TODAY(),F2430&gt;TODAY()),"Verificar evento futuro","OK"))))))))))</f>
        <v/>
      </c>
    </row>
    <row r="2431" spans="12:15">
      <c r="L2431" s="5">
        <f>IF(OR(A2431="",B2431=""),"",B2431-WEEKDAY(B2431,2)+1)</f>
        <v/>
      </c>
      <c r="M2431" s="5">
        <f>IF(L2431="","",L2431+6)</f>
        <v/>
      </c>
      <c r="N2431" s="6">
        <f>IF(OR(A2431="",B2431=""),"",DATE(YEAR(B2431),MONTH(B2431),1))</f>
        <v/>
      </c>
      <c r="O2431" s="7">
        <f>IF(COUNTA(A2431:K2431)=0,"",IF(OR(A2431="",B2431=""),"Preencher CPF e entrada",IF(COUNTIFS($A$12:$A$5011,A2431,$B$12:$B$5011,B2431)&gt;1,"CPF + dia duplicado",IF(OR(AND(G2431&lt;&gt;"",G2431&lt;&gt;0,G2431&lt;&gt;1),AND(H2431&lt;&gt;"",H2431&lt;&gt;0,H2431&lt;&gt;1)),"Flags devem ser 0 ou 1",IF(AND(H2431=1,LEN(TRIM(I2431))=0),"Preencher nome do indicante",IF(AND(H2431&lt;&gt;1,I2431&lt;&gt;""),"Nome sem indicação interna",IF(AND(G2431=1,F2431=""),"Fechamento sem conversa",IF(OR(AND(E2431&lt;&gt;"",E2431&lt;B2431),AND(F2431&lt;&gt;"",F2431&lt;B2431)),"Evento anterior à entrada",IF(AND(F2431&lt;&gt;"",E2431=""),"Conversa sem agendamento",IF(OR(E2431&gt;TODAY(),F2431&gt;TODAY()),"Verificar evento futuro","OK"))))))))))</f>
        <v/>
      </c>
    </row>
    <row r="2432" spans="12:15">
      <c r="L2432" s="5">
        <f>IF(OR(A2432="",B2432=""),"",B2432-WEEKDAY(B2432,2)+1)</f>
        <v/>
      </c>
      <c r="M2432" s="5">
        <f>IF(L2432="","",L2432+6)</f>
        <v/>
      </c>
      <c r="N2432" s="6">
        <f>IF(OR(A2432="",B2432=""),"",DATE(YEAR(B2432),MONTH(B2432),1))</f>
        <v/>
      </c>
      <c r="O2432" s="7">
        <f>IF(COUNTA(A2432:K2432)=0,"",IF(OR(A2432="",B2432=""),"Preencher CPF e entrada",IF(COUNTIFS($A$12:$A$5011,A2432,$B$12:$B$5011,B2432)&gt;1,"CPF + dia duplicado",IF(OR(AND(G2432&lt;&gt;"",G2432&lt;&gt;0,G2432&lt;&gt;1),AND(H2432&lt;&gt;"",H2432&lt;&gt;0,H2432&lt;&gt;1)),"Flags devem ser 0 ou 1",IF(AND(H2432=1,LEN(TRIM(I2432))=0),"Preencher nome do indicante",IF(AND(H2432&lt;&gt;1,I2432&lt;&gt;""),"Nome sem indicação interna",IF(AND(G2432=1,F2432=""),"Fechamento sem conversa",IF(OR(AND(E2432&lt;&gt;"",E2432&lt;B2432),AND(F2432&lt;&gt;"",F2432&lt;B2432)),"Evento anterior à entrada",IF(AND(F2432&lt;&gt;"",E2432=""),"Conversa sem agendamento",IF(OR(E2432&gt;TODAY(),F2432&gt;TODAY()),"Verificar evento futuro","OK"))))))))))</f>
        <v/>
      </c>
    </row>
    <row r="2433" spans="12:15">
      <c r="L2433" s="5">
        <f>IF(OR(A2433="",B2433=""),"",B2433-WEEKDAY(B2433,2)+1)</f>
        <v/>
      </c>
      <c r="M2433" s="5">
        <f>IF(L2433="","",L2433+6)</f>
        <v/>
      </c>
      <c r="N2433" s="6">
        <f>IF(OR(A2433="",B2433=""),"",DATE(YEAR(B2433),MONTH(B2433),1))</f>
        <v/>
      </c>
      <c r="O2433" s="7">
        <f>IF(COUNTA(A2433:K2433)=0,"",IF(OR(A2433="",B2433=""),"Preencher CPF e entrada",IF(COUNTIFS($A$12:$A$5011,A2433,$B$12:$B$5011,B2433)&gt;1,"CPF + dia duplicado",IF(OR(AND(G2433&lt;&gt;"",G2433&lt;&gt;0,G2433&lt;&gt;1),AND(H2433&lt;&gt;"",H2433&lt;&gt;0,H2433&lt;&gt;1)),"Flags devem ser 0 ou 1",IF(AND(H2433=1,LEN(TRIM(I2433))=0),"Preencher nome do indicante",IF(AND(H2433&lt;&gt;1,I2433&lt;&gt;""),"Nome sem indicação interna",IF(AND(G2433=1,F2433=""),"Fechamento sem conversa",IF(OR(AND(E2433&lt;&gt;"",E2433&lt;B2433),AND(F2433&lt;&gt;"",F2433&lt;B2433)),"Evento anterior à entrada",IF(AND(F2433&lt;&gt;"",E2433=""),"Conversa sem agendamento",IF(OR(E2433&gt;TODAY(),F2433&gt;TODAY()),"Verificar evento futuro","OK"))))))))))</f>
        <v/>
      </c>
    </row>
    <row r="2434" spans="12:15">
      <c r="L2434" s="5">
        <f>IF(OR(A2434="",B2434=""),"",B2434-WEEKDAY(B2434,2)+1)</f>
        <v/>
      </c>
      <c r="M2434" s="5">
        <f>IF(L2434="","",L2434+6)</f>
        <v/>
      </c>
      <c r="N2434" s="6">
        <f>IF(OR(A2434="",B2434=""),"",DATE(YEAR(B2434),MONTH(B2434),1))</f>
        <v/>
      </c>
      <c r="O2434" s="7">
        <f>IF(COUNTA(A2434:K2434)=0,"",IF(OR(A2434="",B2434=""),"Preencher CPF e entrada",IF(COUNTIFS($A$12:$A$5011,A2434,$B$12:$B$5011,B2434)&gt;1,"CPF + dia duplicado",IF(OR(AND(G2434&lt;&gt;"",G2434&lt;&gt;0,G2434&lt;&gt;1),AND(H2434&lt;&gt;"",H2434&lt;&gt;0,H2434&lt;&gt;1)),"Flags devem ser 0 ou 1",IF(AND(H2434=1,LEN(TRIM(I2434))=0),"Preencher nome do indicante",IF(AND(H2434&lt;&gt;1,I2434&lt;&gt;""),"Nome sem indicação interna",IF(AND(G2434=1,F2434=""),"Fechamento sem conversa",IF(OR(AND(E2434&lt;&gt;"",E2434&lt;B2434),AND(F2434&lt;&gt;"",F2434&lt;B2434)),"Evento anterior à entrada",IF(AND(F2434&lt;&gt;"",E2434=""),"Conversa sem agendamento",IF(OR(E2434&gt;TODAY(),F2434&gt;TODAY()),"Verificar evento futuro","OK"))))))))))</f>
        <v/>
      </c>
    </row>
    <row r="2435" spans="12:15">
      <c r="L2435" s="5">
        <f>IF(OR(A2435="",B2435=""),"",B2435-WEEKDAY(B2435,2)+1)</f>
        <v/>
      </c>
      <c r="M2435" s="5">
        <f>IF(L2435="","",L2435+6)</f>
        <v/>
      </c>
      <c r="N2435" s="6">
        <f>IF(OR(A2435="",B2435=""),"",DATE(YEAR(B2435),MONTH(B2435),1))</f>
        <v/>
      </c>
      <c r="O2435" s="7">
        <f>IF(COUNTA(A2435:K2435)=0,"",IF(OR(A2435="",B2435=""),"Preencher CPF e entrada",IF(COUNTIFS($A$12:$A$5011,A2435,$B$12:$B$5011,B2435)&gt;1,"CPF + dia duplicado",IF(OR(AND(G2435&lt;&gt;"",G2435&lt;&gt;0,G2435&lt;&gt;1),AND(H2435&lt;&gt;"",H2435&lt;&gt;0,H2435&lt;&gt;1)),"Flags devem ser 0 ou 1",IF(AND(H2435=1,LEN(TRIM(I2435))=0),"Preencher nome do indicante",IF(AND(H2435&lt;&gt;1,I2435&lt;&gt;""),"Nome sem indicação interna",IF(AND(G2435=1,F2435=""),"Fechamento sem conversa",IF(OR(AND(E2435&lt;&gt;"",E2435&lt;B2435),AND(F2435&lt;&gt;"",F2435&lt;B2435)),"Evento anterior à entrada",IF(AND(F2435&lt;&gt;"",E2435=""),"Conversa sem agendamento",IF(OR(E2435&gt;TODAY(),F2435&gt;TODAY()),"Verificar evento futuro","OK"))))))))))</f>
        <v/>
      </c>
    </row>
    <row r="2436" spans="12:15">
      <c r="L2436" s="5">
        <f>IF(OR(A2436="",B2436=""),"",B2436-WEEKDAY(B2436,2)+1)</f>
        <v/>
      </c>
      <c r="M2436" s="5">
        <f>IF(L2436="","",L2436+6)</f>
        <v/>
      </c>
      <c r="N2436" s="6">
        <f>IF(OR(A2436="",B2436=""),"",DATE(YEAR(B2436),MONTH(B2436),1))</f>
        <v/>
      </c>
      <c r="O2436" s="7">
        <f>IF(COUNTA(A2436:K2436)=0,"",IF(OR(A2436="",B2436=""),"Preencher CPF e entrada",IF(COUNTIFS($A$12:$A$5011,A2436,$B$12:$B$5011,B2436)&gt;1,"CPF + dia duplicado",IF(OR(AND(G2436&lt;&gt;"",G2436&lt;&gt;0,G2436&lt;&gt;1),AND(H2436&lt;&gt;"",H2436&lt;&gt;0,H2436&lt;&gt;1)),"Flags devem ser 0 ou 1",IF(AND(H2436=1,LEN(TRIM(I2436))=0),"Preencher nome do indicante",IF(AND(H2436&lt;&gt;1,I2436&lt;&gt;""),"Nome sem indicação interna",IF(AND(G2436=1,F2436=""),"Fechamento sem conversa",IF(OR(AND(E2436&lt;&gt;"",E2436&lt;B2436),AND(F2436&lt;&gt;"",F2436&lt;B2436)),"Evento anterior à entrada",IF(AND(F2436&lt;&gt;"",E2436=""),"Conversa sem agendamento",IF(OR(E2436&gt;TODAY(),F2436&gt;TODAY()),"Verificar evento futuro","OK"))))))))))</f>
        <v/>
      </c>
    </row>
    <row r="2437" spans="12:15">
      <c r="L2437" s="5">
        <f>IF(OR(A2437="",B2437=""),"",B2437-WEEKDAY(B2437,2)+1)</f>
        <v/>
      </c>
      <c r="M2437" s="5">
        <f>IF(L2437="","",L2437+6)</f>
        <v/>
      </c>
      <c r="N2437" s="6">
        <f>IF(OR(A2437="",B2437=""),"",DATE(YEAR(B2437),MONTH(B2437),1))</f>
        <v/>
      </c>
      <c r="O2437" s="7">
        <f>IF(COUNTA(A2437:K2437)=0,"",IF(OR(A2437="",B2437=""),"Preencher CPF e entrada",IF(COUNTIFS($A$12:$A$5011,A2437,$B$12:$B$5011,B2437)&gt;1,"CPF + dia duplicado",IF(OR(AND(G2437&lt;&gt;"",G2437&lt;&gt;0,G2437&lt;&gt;1),AND(H2437&lt;&gt;"",H2437&lt;&gt;0,H2437&lt;&gt;1)),"Flags devem ser 0 ou 1",IF(AND(H2437=1,LEN(TRIM(I2437))=0),"Preencher nome do indicante",IF(AND(H2437&lt;&gt;1,I2437&lt;&gt;""),"Nome sem indicação interna",IF(AND(G2437=1,F2437=""),"Fechamento sem conversa",IF(OR(AND(E2437&lt;&gt;"",E2437&lt;B2437),AND(F2437&lt;&gt;"",F2437&lt;B2437)),"Evento anterior à entrada",IF(AND(F2437&lt;&gt;"",E2437=""),"Conversa sem agendamento",IF(OR(E2437&gt;TODAY(),F2437&gt;TODAY()),"Verificar evento futuro","OK"))))))))))</f>
        <v/>
      </c>
    </row>
    <row r="2438" spans="12:15">
      <c r="L2438" s="5">
        <f>IF(OR(A2438="",B2438=""),"",B2438-WEEKDAY(B2438,2)+1)</f>
        <v/>
      </c>
      <c r="M2438" s="5">
        <f>IF(L2438="","",L2438+6)</f>
        <v/>
      </c>
      <c r="N2438" s="6">
        <f>IF(OR(A2438="",B2438=""),"",DATE(YEAR(B2438),MONTH(B2438),1))</f>
        <v/>
      </c>
      <c r="O2438" s="7">
        <f>IF(COUNTA(A2438:K2438)=0,"",IF(OR(A2438="",B2438=""),"Preencher CPF e entrada",IF(COUNTIFS($A$12:$A$5011,A2438,$B$12:$B$5011,B2438)&gt;1,"CPF + dia duplicado",IF(OR(AND(G2438&lt;&gt;"",G2438&lt;&gt;0,G2438&lt;&gt;1),AND(H2438&lt;&gt;"",H2438&lt;&gt;0,H2438&lt;&gt;1)),"Flags devem ser 0 ou 1",IF(AND(H2438=1,LEN(TRIM(I2438))=0),"Preencher nome do indicante",IF(AND(H2438&lt;&gt;1,I2438&lt;&gt;""),"Nome sem indicação interna",IF(AND(G2438=1,F2438=""),"Fechamento sem conversa",IF(OR(AND(E2438&lt;&gt;"",E2438&lt;B2438),AND(F2438&lt;&gt;"",F2438&lt;B2438)),"Evento anterior à entrada",IF(AND(F2438&lt;&gt;"",E2438=""),"Conversa sem agendamento",IF(OR(E2438&gt;TODAY(),F2438&gt;TODAY()),"Verificar evento futuro","OK"))))))))))</f>
        <v/>
      </c>
    </row>
    <row r="2439" spans="12:15">
      <c r="L2439" s="5">
        <f>IF(OR(A2439="",B2439=""),"",B2439-WEEKDAY(B2439,2)+1)</f>
        <v/>
      </c>
      <c r="M2439" s="5">
        <f>IF(L2439="","",L2439+6)</f>
        <v/>
      </c>
      <c r="N2439" s="6">
        <f>IF(OR(A2439="",B2439=""),"",DATE(YEAR(B2439),MONTH(B2439),1))</f>
        <v/>
      </c>
      <c r="O2439" s="7">
        <f>IF(COUNTA(A2439:K2439)=0,"",IF(OR(A2439="",B2439=""),"Preencher CPF e entrada",IF(COUNTIFS($A$12:$A$5011,A2439,$B$12:$B$5011,B2439)&gt;1,"CPF + dia duplicado",IF(OR(AND(G2439&lt;&gt;"",G2439&lt;&gt;0,G2439&lt;&gt;1),AND(H2439&lt;&gt;"",H2439&lt;&gt;0,H2439&lt;&gt;1)),"Flags devem ser 0 ou 1",IF(AND(H2439=1,LEN(TRIM(I2439))=0),"Preencher nome do indicante",IF(AND(H2439&lt;&gt;1,I2439&lt;&gt;""),"Nome sem indicação interna",IF(AND(G2439=1,F2439=""),"Fechamento sem conversa",IF(OR(AND(E2439&lt;&gt;"",E2439&lt;B2439),AND(F2439&lt;&gt;"",F2439&lt;B2439)),"Evento anterior à entrada",IF(AND(F2439&lt;&gt;"",E2439=""),"Conversa sem agendamento",IF(OR(E2439&gt;TODAY(),F2439&gt;TODAY()),"Verificar evento futuro","OK"))))))))))</f>
        <v/>
      </c>
    </row>
    <row r="2440" spans="12:15">
      <c r="L2440" s="5">
        <f>IF(OR(A2440="",B2440=""),"",B2440-WEEKDAY(B2440,2)+1)</f>
        <v/>
      </c>
      <c r="M2440" s="5">
        <f>IF(L2440="","",L2440+6)</f>
        <v/>
      </c>
      <c r="N2440" s="6">
        <f>IF(OR(A2440="",B2440=""),"",DATE(YEAR(B2440),MONTH(B2440),1))</f>
        <v/>
      </c>
      <c r="O2440" s="7">
        <f>IF(COUNTA(A2440:K2440)=0,"",IF(OR(A2440="",B2440=""),"Preencher CPF e entrada",IF(COUNTIFS($A$12:$A$5011,A2440,$B$12:$B$5011,B2440)&gt;1,"CPF + dia duplicado",IF(OR(AND(G2440&lt;&gt;"",G2440&lt;&gt;0,G2440&lt;&gt;1),AND(H2440&lt;&gt;"",H2440&lt;&gt;0,H2440&lt;&gt;1)),"Flags devem ser 0 ou 1",IF(AND(H2440=1,LEN(TRIM(I2440))=0),"Preencher nome do indicante",IF(AND(H2440&lt;&gt;1,I2440&lt;&gt;""),"Nome sem indicação interna",IF(AND(G2440=1,F2440=""),"Fechamento sem conversa",IF(OR(AND(E2440&lt;&gt;"",E2440&lt;B2440),AND(F2440&lt;&gt;"",F2440&lt;B2440)),"Evento anterior à entrada",IF(AND(F2440&lt;&gt;"",E2440=""),"Conversa sem agendamento",IF(OR(E2440&gt;TODAY(),F2440&gt;TODAY()),"Verificar evento futuro","OK"))))))))))</f>
        <v/>
      </c>
    </row>
    <row r="2441" spans="12:15">
      <c r="L2441" s="5">
        <f>IF(OR(A2441="",B2441=""),"",B2441-WEEKDAY(B2441,2)+1)</f>
        <v/>
      </c>
      <c r="M2441" s="5">
        <f>IF(L2441="","",L2441+6)</f>
        <v/>
      </c>
      <c r="N2441" s="6">
        <f>IF(OR(A2441="",B2441=""),"",DATE(YEAR(B2441),MONTH(B2441),1))</f>
        <v/>
      </c>
      <c r="O2441" s="7">
        <f>IF(COUNTA(A2441:K2441)=0,"",IF(OR(A2441="",B2441=""),"Preencher CPF e entrada",IF(COUNTIFS($A$12:$A$5011,A2441,$B$12:$B$5011,B2441)&gt;1,"CPF + dia duplicado",IF(OR(AND(G2441&lt;&gt;"",G2441&lt;&gt;0,G2441&lt;&gt;1),AND(H2441&lt;&gt;"",H2441&lt;&gt;0,H2441&lt;&gt;1)),"Flags devem ser 0 ou 1",IF(AND(H2441=1,LEN(TRIM(I2441))=0),"Preencher nome do indicante",IF(AND(H2441&lt;&gt;1,I2441&lt;&gt;""),"Nome sem indicação interna",IF(AND(G2441=1,F2441=""),"Fechamento sem conversa",IF(OR(AND(E2441&lt;&gt;"",E2441&lt;B2441),AND(F2441&lt;&gt;"",F2441&lt;B2441)),"Evento anterior à entrada",IF(AND(F2441&lt;&gt;"",E2441=""),"Conversa sem agendamento",IF(OR(E2441&gt;TODAY(),F2441&gt;TODAY()),"Verificar evento futuro","OK"))))))))))</f>
        <v/>
      </c>
    </row>
    <row r="2442" spans="12:15">
      <c r="L2442" s="5">
        <f>IF(OR(A2442="",B2442=""),"",B2442-WEEKDAY(B2442,2)+1)</f>
        <v/>
      </c>
      <c r="M2442" s="5">
        <f>IF(L2442="","",L2442+6)</f>
        <v/>
      </c>
      <c r="N2442" s="6">
        <f>IF(OR(A2442="",B2442=""),"",DATE(YEAR(B2442),MONTH(B2442),1))</f>
        <v/>
      </c>
      <c r="O2442" s="7">
        <f>IF(COUNTA(A2442:K2442)=0,"",IF(OR(A2442="",B2442=""),"Preencher CPF e entrada",IF(COUNTIFS($A$12:$A$5011,A2442,$B$12:$B$5011,B2442)&gt;1,"CPF + dia duplicado",IF(OR(AND(G2442&lt;&gt;"",G2442&lt;&gt;0,G2442&lt;&gt;1),AND(H2442&lt;&gt;"",H2442&lt;&gt;0,H2442&lt;&gt;1)),"Flags devem ser 0 ou 1",IF(AND(H2442=1,LEN(TRIM(I2442))=0),"Preencher nome do indicante",IF(AND(H2442&lt;&gt;1,I2442&lt;&gt;""),"Nome sem indicação interna",IF(AND(G2442=1,F2442=""),"Fechamento sem conversa",IF(OR(AND(E2442&lt;&gt;"",E2442&lt;B2442),AND(F2442&lt;&gt;"",F2442&lt;B2442)),"Evento anterior à entrada",IF(AND(F2442&lt;&gt;"",E2442=""),"Conversa sem agendamento",IF(OR(E2442&gt;TODAY(),F2442&gt;TODAY()),"Verificar evento futuro","OK"))))))))))</f>
        <v/>
      </c>
    </row>
    <row r="2443" spans="12:15">
      <c r="L2443" s="5">
        <f>IF(OR(A2443="",B2443=""),"",B2443-WEEKDAY(B2443,2)+1)</f>
        <v/>
      </c>
      <c r="M2443" s="5">
        <f>IF(L2443="","",L2443+6)</f>
        <v/>
      </c>
      <c r="N2443" s="6">
        <f>IF(OR(A2443="",B2443=""),"",DATE(YEAR(B2443),MONTH(B2443),1))</f>
        <v/>
      </c>
      <c r="O2443" s="7">
        <f>IF(COUNTA(A2443:K2443)=0,"",IF(OR(A2443="",B2443=""),"Preencher CPF e entrada",IF(COUNTIFS($A$12:$A$5011,A2443,$B$12:$B$5011,B2443)&gt;1,"CPF + dia duplicado",IF(OR(AND(G2443&lt;&gt;"",G2443&lt;&gt;0,G2443&lt;&gt;1),AND(H2443&lt;&gt;"",H2443&lt;&gt;0,H2443&lt;&gt;1)),"Flags devem ser 0 ou 1",IF(AND(H2443=1,LEN(TRIM(I2443))=0),"Preencher nome do indicante",IF(AND(H2443&lt;&gt;1,I2443&lt;&gt;""),"Nome sem indicação interna",IF(AND(G2443=1,F2443=""),"Fechamento sem conversa",IF(OR(AND(E2443&lt;&gt;"",E2443&lt;B2443),AND(F2443&lt;&gt;"",F2443&lt;B2443)),"Evento anterior à entrada",IF(AND(F2443&lt;&gt;"",E2443=""),"Conversa sem agendamento",IF(OR(E2443&gt;TODAY(),F2443&gt;TODAY()),"Verificar evento futuro","OK"))))))))))</f>
        <v/>
      </c>
    </row>
    <row r="2444" spans="12:15">
      <c r="L2444" s="5">
        <f>IF(OR(A2444="",B2444=""),"",B2444-WEEKDAY(B2444,2)+1)</f>
        <v/>
      </c>
      <c r="M2444" s="5">
        <f>IF(L2444="","",L2444+6)</f>
        <v/>
      </c>
      <c r="N2444" s="6">
        <f>IF(OR(A2444="",B2444=""),"",DATE(YEAR(B2444),MONTH(B2444),1))</f>
        <v/>
      </c>
      <c r="O2444" s="7">
        <f>IF(COUNTA(A2444:K2444)=0,"",IF(OR(A2444="",B2444=""),"Preencher CPF e entrada",IF(COUNTIFS($A$12:$A$5011,A2444,$B$12:$B$5011,B2444)&gt;1,"CPF + dia duplicado",IF(OR(AND(G2444&lt;&gt;"",G2444&lt;&gt;0,G2444&lt;&gt;1),AND(H2444&lt;&gt;"",H2444&lt;&gt;0,H2444&lt;&gt;1)),"Flags devem ser 0 ou 1",IF(AND(H2444=1,LEN(TRIM(I2444))=0),"Preencher nome do indicante",IF(AND(H2444&lt;&gt;1,I2444&lt;&gt;""),"Nome sem indicação interna",IF(AND(G2444=1,F2444=""),"Fechamento sem conversa",IF(OR(AND(E2444&lt;&gt;"",E2444&lt;B2444),AND(F2444&lt;&gt;"",F2444&lt;B2444)),"Evento anterior à entrada",IF(AND(F2444&lt;&gt;"",E2444=""),"Conversa sem agendamento",IF(OR(E2444&gt;TODAY(),F2444&gt;TODAY()),"Verificar evento futuro","OK"))))))))))</f>
        <v/>
      </c>
    </row>
    <row r="2445" spans="12:15">
      <c r="L2445" s="5">
        <f>IF(OR(A2445="",B2445=""),"",B2445-WEEKDAY(B2445,2)+1)</f>
        <v/>
      </c>
      <c r="M2445" s="5">
        <f>IF(L2445="","",L2445+6)</f>
        <v/>
      </c>
      <c r="N2445" s="6">
        <f>IF(OR(A2445="",B2445=""),"",DATE(YEAR(B2445),MONTH(B2445),1))</f>
        <v/>
      </c>
      <c r="O2445" s="7">
        <f>IF(COUNTA(A2445:K2445)=0,"",IF(OR(A2445="",B2445=""),"Preencher CPF e entrada",IF(COUNTIFS($A$12:$A$5011,A2445,$B$12:$B$5011,B2445)&gt;1,"CPF + dia duplicado",IF(OR(AND(G2445&lt;&gt;"",G2445&lt;&gt;0,G2445&lt;&gt;1),AND(H2445&lt;&gt;"",H2445&lt;&gt;0,H2445&lt;&gt;1)),"Flags devem ser 0 ou 1",IF(AND(H2445=1,LEN(TRIM(I2445))=0),"Preencher nome do indicante",IF(AND(H2445&lt;&gt;1,I2445&lt;&gt;""),"Nome sem indicação interna",IF(AND(G2445=1,F2445=""),"Fechamento sem conversa",IF(OR(AND(E2445&lt;&gt;"",E2445&lt;B2445),AND(F2445&lt;&gt;"",F2445&lt;B2445)),"Evento anterior à entrada",IF(AND(F2445&lt;&gt;"",E2445=""),"Conversa sem agendamento",IF(OR(E2445&gt;TODAY(),F2445&gt;TODAY()),"Verificar evento futuro","OK"))))))))))</f>
        <v/>
      </c>
    </row>
    <row r="2446" spans="12:15">
      <c r="L2446" s="5">
        <f>IF(OR(A2446="",B2446=""),"",B2446-WEEKDAY(B2446,2)+1)</f>
        <v/>
      </c>
      <c r="M2446" s="5">
        <f>IF(L2446="","",L2446+6)</f>
        <v/>
      </c>
      <c r="N2446" s="6">
        <f>IF(OR(A2446="",B2446=""),"",DATE(YEAR(B2446),MONTH(B2446),1))</f>
        <v/>
      </c>
      <c r="O2446" s="7">
        <f>IF(COUNTA(A2446:K2446)=0,"",IF(OR(A2446="",B2446=""),"Preencher CPF e entrada",IF(COUNTIFS($A$12:$A$5011,A2446,$B$12:$B$5011,B2446)&gt;1,"CPF + dia duplicado",IF(OR(AND(G2446&lt;&gt;"",G2446&lt;&gt;0,G2446&lt;&gt;1),AND(H2446&lt;&gt;"",H2446&lt;&gt;0,H2446&lt;&gt;1)),"Flags devem ser 0 ou 1",IF(AND(H2446=1,LEN(TRIM(I2446))=0),"Preencher nome do indicante",IF(AND(H2446&lt;&gt;1,I2446&lt;&gt;""),"Nome sem indicação interna",IF(AND(G2446=1,F2446=""),"Fechamento sem conversa",IF(OR(AND(E2446&lt;&gt;"",E2446&lt;B2446),AND(F2446&lt;&gt;"",F2446&lt;B2446)),"Evento anterior à entrada",IF(AND(F2446&lt;&gt;"",E2446=""),"Conversa sem agendamento",IF(OR(E2446&gt;TODAY(),F2446&gt;TODAY()),"Verificar evento futuro","OK"))))))))))</f>
        <v/>
      </c>
    </row>
    <row r="2447" spans="12:15">
      <c r="L2447" s="5">
        <f>IF(OR(A2447="",B2447=""),"",B2447-WEEKDAY(B2447,2)+1)</f>
        <v/>
      </c>
      <c r="M2447" s="5">
        <f>IF(L2447="","",L2447+6)</f>
        <v/>
      </c>
      <c r="N2447" s="6">
        <f>IF(OR(A2447="",B2447=""),"",DATE(YEAR(B2447),MONTH(B2447),1))</f>
        <v/>
      </c>
      <c r="O2447" s="7">
        <f>IF(COUNTA(A2447:K2447)=0,"",IF(OR(A2447="",B2447=""),"Preencher CPF e entrada",IF(COUNTIFS($A$12:$A$5011,A2447,$B$12:$B$5011,B2447)&gt;1,"CPF + dia duplicado",IF(OR(AND(G2447&lt;&gt;"",G2447&lt;&gt;0,G2447&lt;&gt;1),AND(H2447&lt;&gt;"",H2447&lt;&gt;0,H2447&lt;&gt;1)),"Flags devem ser 0 ou 1",IF(AND(H2447=1,LEN(TRIM(I2447))=0),"Preencher nome do indicante",IF(AND(H2447&lt;&gt;1,I2447&lt;&gt;""),"Nome sem indicação interna",IF(AND(G2447=1,F2447=""),"Fechamento sem conversa",IF(OR(AND(E2447&lt;&gt;"",E2447&lt;B2447),AND(F2447&lt;&gt;"",F2447&lt;B2447)),"Evento anterior à entrada",IF(AND(F2447&lt;&gt;"",E2447=""),"Conversa sem agendamento",IF(OR(E2447&gt;TODAY(),F2447&gt;TODAY()),"Verificar evento futuro","OK"))))))))))</f>
        <v/>
      </c>
    </row>
    <row r="2448" spans="12:15">
      <c r="L2448" s="5">
        <f>IF(OR(A2448="",B2448=""),"",B2448-WEEKDAY(B2448,2)+1)</f>
        <v/>
      </c>
      <c r="M2448" s="5">
        <f>IF(L2448="","",L2448+6)</f>
        <v/>
      </c>
      <c r="N2448" s="6">
        <f>IF(OR(A2448="",B2448=""),"",DATE(YEAR(B2448),MONTH(B2448),1))</f>
        <v/>
      </c>
      <c r="O2448" s="7">
        <f>IF(COUNTA(A2448:K2448)=0,"",IF(OR(A2448="",B2448=""),"Preencher CPF e entrada",IF(COUNTIFS($A$12:$A$5011,A2448,$B$12:$B$5011,B2448)&gt;1,"CPF + dia duplicado",IF(OR(AND(G2448&lt;&gt;"",G2448&lt;&gt;0,G2448&lt;&gt;1),AND(H2448&lt;&gt;"",H2448&lt;&gt;0,H2448&lt;&gt;1)),"Flags devem ser 0 ou 1",IF(AND(H2448=1,LEN(TRIM(I2448))=0),"Preencher nome do indicante",IF(AND(H2448&lt;&gt;1,I2448&lt;&gt;""),"Nome sem indicação interna",IF(AND(G2448=1,F2448=""),"Fechamento sem conversa",IF(OR(AND(E2448&lt;&gt;"",E2448&lt;B2448),AND(F2448&lt;&gt;"",F2448&lt;B2448)),"Evento anterior à entrada",IF(AND(F2448&lt;&gt;"",E2448=""),"Conversa sem agendamento",IF(OR(E2448&gt;TODAY(),F2448&gt;TODAY()),"Verificar evento futuro","OK"))))))))))</f>
        <v/>
      </c>
    </row>
    <row r="2449" spans="12:15">
      <c r="L2449" s="5">
        <f>IF(OR(A2449="",B2449=""),"",B2449-WEEKDAY(B2449,2)+1)</f>
        <v/>
      </c>
      <c r="M2449" s="5">
        <f>IF(L2449="","",L2449+6)</f>
        <v/>
      </c>
      <c r="N2449" s="6">
        <f>IF(OR(A2449="",B2449=""),"",DATE(YEAR(B2449),MONTH(B2449),1))</f>
        <v/>
      </c>
      <c r="O2449" s="7">
        <f>IF(COUNTA(A2449:K2449)=0,"",IF(OR(A2449="",B2449=""),"Preencher CPF e entrada",IF(COUNTIFS($A$12:$A$5011,A2449,$B$12:$B$5011,B2449)&gt;1,"CPF + dia duplicado",IF(OR(AND(G2449&lt;&gt;"",G2449&lt;&gt;0,G2449&lt;&gt;1),AND(H2449&lt;&gt;"",H2449&lt;&gt;0,H2449&lt;&gt;1)),"Flags devem ser 0 ou 1",IF(AND(H2449=1,LEN(TRIM(I2449))=0),"Preencher nome do indicante",IF(AND(H2449&lt;&gt;1,I2449&lt;&gt;""),"Nome sem indicação interna",IF(AND(G2449=1,F2449=""),"Fechamento sem conversa",IF(OR(AND(E2449&lt;&gt;"",E2449&lt;B2449),AND(F2449&lt;&gt;"",F2449&lt;B2449)),"Evento anterior à entrada",IF(AND(F2449&lt;&gt;"",E2449=""),"Conversa sem agendamento",IF(OR(E2449&gt;TODAY(),F2449&gt;TODAY()),"Verificar evento futuro","OK"))))))))))</f>
        <v/>
      </c>
    </row>
    <row r="2450" spans="12:15">
      <c r="L2450" s="5">
        <f>IF(OR(A2450="",B2450=""),"",B2450-WEEKDAY(B2450,2)+1)</f>
        <v/>
      </c>
      <c r="M2450" s="5">
        <f>IF(L2450="","",L2450+6)</f>
        <v/>
      </c>
      <c r="N2450" s="6">
        <f>IF(OR(A2450="",B2450=""),"",DATE(YEAR(B2450),MONTH(B2450),1))</f>
        <v/>
      </c>
      <c r="O2450" s="7">
        <f>IF(COUNTA(A2450:K2450)=0,"",IF(OR(A2450="",B2450=""),"Preencher CPF e entrada",IF(COUNTIFS($A$12:$A$5011,A2450,$B$12:$B$5011,B2450)&gt;1,"CPF + dia duplicado",IF(OR(AND(G2450&lt;&gt;"",G2450&lt;&gt;0,G2450&lt;&gt;1),AND(H2450&lt;&gt;"",H2450&lt;&gt;0,H2450&lt;&gt;1)),"Flags devem ser 0 ou 1",IF(AND(H2450=1,LEN(TRIM(I2450))=0),"Preencher nome do indicante",IF(AND(H2450&lt;&gt;1,I2450&lt;&gt;""),"Nome sem indicação interna",IF(AND(G2450=1,F2450=""),"Fechamento sem conversa",IF(OR(AND(E2450&lt;&gt;"",E2450&lt;B2450),AND(F2450&lt;&gt;"",F2450&lt;B2450)),"Evento anterior à entrada",IF(AND(F2450&lt;&gt;"",E2450=""),"Conversa sem agendamento",IF(OR(E2450&gt;TODAY(),F2450&gt;TODAY()),"Verificar evento futuro","OK"))))))))))</f>
        <v/>
      </c>
    </row>
    <row r="2451" spans="12:15">
      <c r="L2451" s="5">
        <f>IF(OR(A2451="",B2451=""),"",B2451-WEEKDAY(B2451,2)+1)</f>
        <v/>
      </c>
      <c r="M2451" s="5">
        <f>IF(L2451="","",L2451+6)</f>
        <v/>
      </c>
      <c r="N2451" s="6">
        <f>IF(OR(A2451="",B2451=""),"",DATE(YEAR(B2451),MONTH(B2451),1))</f>
        <v/>
      </c>
      <c r="O2451" s="7">
        <f>IF(COUNTA(A2451:K2451)=0,"",IF(OR(A2451="",B2451=""),"Preencher CPF e entrada",IF(COUNTIFS($A$12:$A$5011,A2451,$B$12:$B$5011,B2451)&gt;1,"CPF + dia duplicado",IF(OR(AND(G2451&lt;&gt;"",G2451&lt;&gt;0,G2451&lt;&gt;1),AND(H2451&lt;&gt;"",H2451&lt;&gt;0,H2451&lt;&gt;1)),"Flags devem ser 0 ou 1",IF(AND(H2451=1,LEN(TRIM(I2451))=0),"Preencher nome do indicante",IF(AND(H2451&lt;&gt;1,I2451&lt;&gt;""),"Nome sem indicação interna",IF(AND(G2451=1,F2451=""),"Fechamento sem conversa",IF(OR(AND(E2451&lt;&gt;"",E2451&lt;B2451),AND(F2451&lt;&gt;"",F2451&lt;B2451)),"Evento anterior à entrada",IF(AND(F2451&lt;&gt;"",E2451=""),"Conversa sem agendamento",IF(OR(E2451&gt;TODAY(),F2451&gt;TODAY()),"Verificar evento futuro","OK"))))))))))</f>
        <v/>
      </c>
    </row>
    <row r="2452" spans="12:15">
      <c r="L2452" s="5">
        <f>IF(OR(A2452="",B2452=""),"",B2452-WEEKDAY(B2452,2)+1)</f>
        <v/>
      </c>
      <c r="M2452" s="5">
        <f>IF(L2452="","",L2452+6)</f>
        <v/>
      </c>
      <c r="N2452" s="6">
        <f>IF(OR(A2452="",B2452=""),"",DATE(YEAR(B2452),MONTH(B2452),1))</f>
        <v/>
      </c>
      <c r="O2452" s="7">
        <f>IF(COUNTA(A2452:K2452)=0,"",IF(OR(A2452="",B2452=""),"Preencher CPF e entrada",IF(COUNTIFS($A$12:$A$5011,A2452,$B$12:$B$5011,B2452)&gt;1,"CPF + dia duplicado",IF(OR(AND(G2452&lt;&gt;"",G2452&lt;&gt;0,G2452&lt;&gt;1),AND(H2452&lt;&gt;"",H2452&lt;&gt;0,H2452&lt;&gt;1)),"Flags devem ser 0 ou 1",IF(AND(H2452=1,LEN(TRIM(I2452))=0),"Preencher nome do indicante",IF(AND(H2452&lt;&gt;1,I2452&lt;&gt;""),"Nome sem indicação interna",IF(AND(G2452=1,F2452=""),"Fechamento sem conversa",IF(OR(AND(E2452&lt;&gt;"",E2452&lt;B2452),AND(F2452&lt;&gt;"",F2452&lt;B2452)),"Evento anterior à entrada",IF(AND(F2452&lt;&gt;"",E2452=""),"Conversa sem agendamento",IF(OR(E2452&gt;TODAY(),F2452&gt;TODAY()),"Verificar evento futuro","OK"))))))))))</f>
        <v/>
      </c>
    </row>
    <row r="2453" spans="12:15">
      <c r="L2453" s="5">
        <f>IF(OR(A2453="",B2453=""),"",B2453-WEEKDAY(B2453,2)+1)</f>
        <v/>
      </c>
      <c r="M2453" s="5">
        <f>IF(L2453="","",L2453+6)</f>
        <v/>
      </c>
      <c r="N2453" s="6">
        <f>IF(OR(A2453="",B2453=""),"",DATE(YEAR(B2453),MONTH(B2453),1))</f>
        <v/>
      </c>
      <c r="O2453" s="7">
        <f>IF(COUNTA(A2453:K2453)=0,"",IF(OR(A2453="",B2453=""),"Preencher CPF e entrada",IF(COUNTIFS($A$12:$A$5011,A2453,$B$12:$B$5011,B2453)&gt;1,"CPF + dia duplicado",IF(OR(AND(G2453&lt;&gt;"",G2453&lt;&gt;0,G2453&lt;&gt;1),AND(H2453&lt;&gt;"",H2453&lt;&gt;0,H2453&lt;&gt;1)),"Flags devem ser 0 ou 1",IF(AND(H2453=1,LEN(TRIM(I2453))=0),"Preencher nome do indicante",IF(AND(H2453&lt;&gt;1,I2453&lt;&gt;""),"Nome sem indicação interna",IF(AND(G2453=1,F2453=""),"Fechamento sem conversa",IF(OR(AND(E2453&lt;&gt;"",E2453&lt;B2453),AND(F2453&lt;&gt;"",F2453&lt;B2453)),"Evento anterior à entrada",IF(AND(F2453&lt;&gt;"",E2453=""),"Conversa sem agendamento",IF(OR(E2453&gt;TODAY(),F2453&gt;TODAY()),"Verificar evento futuro","OK"))))))))))</f>
        <v/>
      </c>
    </row>
    <row r="2454" spans="12:15">
      <c r="L2454" s="5">
        <f>IF(OR(A2454="",B2454=""),"",B2454-WEEKDAY(B2454,2)+1)</f>
        <v/>
      </c>
      <c r="M2454" s="5">
        <f>IF(L2454="","",L2454+6)</f>
        <v/>
      </c>
      <c r="N2454" s="6">
        <f>IF(OR(A2454="",B2454=""),"",DATE(YEAR(B2454),MONTH(B2454),1))</f>
        <v/>
      </c>
      <c r="O2454" s="7">
        <f>IF(COUNTA(A2454:K2454)=0,"",IF(OR(A2454="",B2454=""),"Preencher CPF e entrada",IF(COUNTIFS($A$12:$A$5011,A2454,$B$12:$B$5011,B2454)&gt;1,"CPF + dia duplicado",IF(OR(AND(G2454&lt;&gt;"",G2454&lt;&gt;0,G2454&lt;&gt;1),AND(H2454&lt;&gt;"",H2454&lt;&gt;0,H2454&lt;&gt;1)),"Flags devem ser 0 ou 1",IF(AND(H2454=1,LEN(TRIM(I2454))=0),"Preencher nome do indicante",IF(AND(H2454&lt;&gt;1,I2454&lt;&gt;""),"Nome sem indicação interna",IF(AND(G2454=1,F2454=""),"Fechamento sem conversa",IF(OR(AND(E2454&lt;&gt;"",E2454&lt;B2454),AND(F2454&lt;&gt;"",F2454&lt;B2454)),"Evento anterior à entrada",IF(AND(F2454&lt;&gt;"",E2454=""),"Conversa sem agendamento",IF(OR(E2454&gt;TODAY(),F2454&gt;TODAY()),"Verificar evento futuro","OK"))))))))))</f>
        <v/>
      </c>
    </row>
    <row r="2455" spans="12:15">
      <c r="L2455" s="5">
        <f>IF(OR(A2455="",B2455=""),"",B2455-WEEKDAY(B2455,2)+1)</f>
        <v/>
      </c>
      <c r="M2455" s="5">
        <f>IF(L2455="","",L2455+6)</f>
        <v/>
      </c>
      <c r="N2455" s="6">
        <f>IF(OR(A2455="",B2455=""),"",DATE(YEAR(B2455),MONTH(B2455),1))</f>
        <v/>
      </c>
      <c r="O2455" s="7">
        <f>IF(COUNTA(A2455:K2455)=0,"",IF(OR(A2455="",B2455=""),"Preencher CPF e entrada",IF(COUNTIFS($A$12:$A$5011,A2455,$B$12:$B$5011,B2455)&gt;1,"CPF + dia duplicado",IF(OR(AND(G2455&lt;&gt;"",G2455&lt;&gt;0,G2455&lt;&gt;1),AND(H2455&lt;&gt;"",H2455&lt;&gt;0,H2455&lt;&gt;1)),"Flags devem ser 0 ou 1",IF(AND(H2455=1,LEN(TRIM(I2455))=0),"Preencher nome do indicante",IF(AND(H2455&lt;&gt;1,I2455&lt;&gt;""),"Nome sem indicação interna",IF(AND(G2455=1,F2455=""),"Fechamento sem conversa",IF(OR(AND(E2455&lt;&gt;"",E2455&lt;B2455),AND(F2455&lt;&gt;"",F2455&lt;B2455)),"Evento anterior à entrada",IF(AND(F2455&lt;&gt;"",E2455=""),"Conversa sem agendamento",IF(OR(E2455&gt;TODAY(),F2455&gt;TODAY()),"Verificar evento futuro","OK"))))))))))</f>
        <v/>
      </c>
    </row>
    <row r="2456" spans="12:15">
      <c r="L2456" s="5">
        <f>IF(OR(A2456="",B2456=""),"",B2456-WEEKDAY(B2456,2)+1)</f>
        <v/>
      </c>
      <c r="M2456" s="5">
        <f>IF(L2456="","",L2456+6)</f>
        <v/>
      </c>
      <c r="N2456" s="6">
        <f>IF(OR(A2456="",B2456=""),"",DATE(YEAR(B2456),MONTH(B2456),1))</f>
        <v/>
      </c>
      <c r="O2456" s="7">
        <f>IF(COUNTA(A2456:K2456)=0,"",IF(OR(A2456="",B2456=""),"Preencher CPF e entrada",IF(COUNTIFS($A$12:$A$5011,A2456,$B$12:$B$5011,B2456)&gt;1,"CPF + dia duplicado",IF(OR(AND(G2456&lt;&gt;"",G2456&lt;&gt;0,G2456&lt;&gt;1),AND(H2456&lt;&gt;"",H2456&lt;&gt;0,H2456&lt;&gt;1)),"Flags devem ser 0 ou 1",IF(AND(H2456=1,LEN(TRIM(I2456))=0),"Preencher nome do indicante",IF(AND(H2456&lt;&gt;1,I2456&lt;&gt;""),"Nome sem indicação interna",IF(AND(G2456=1,F2456=""),"Fechamento sem conversa",IF(OR(AND(E2456&lt;&gt;"",E2456&lt;B2456),AND(F2456&lt;&gt;"",F2456&lt;B2456)),"Evento anterior à entrada",IF(AND(F2456&lt;&gt;"",E2456=""),"Conversa sem agendamento",IF(OR(E2456&gt;TODAY(),F2456&gt;TODAY()),"Verificar evento futuro","OK"))))))))))</f>
        <v/>
      </c>
    </row>
    <row r="2457" spans="12:15">
      <c r="L2457" s="5">
        <f>IF(OR(A2457="",B2457=""),"",B2457-WEEKDAY(B2457,2)+1)</f>
        <v/>
      </c>
      <c r="M2457" s="5">
        <f>IF(L2457="","",L2457+6)</f>
        <v/>
      </c>
      <c r="N2457" s="6">
        <f>IF(OR(A2457="",B2457=""),"",DATE(YEAR(B2457),MONTH(B2457),1))</f>
        <v/>
      </c>
      <c r="O2457" s="7">
        <f>IF(COUNTA(A2457:K2457)=0,"",IF(OR(A2457="",B2457=""),"Preencher CPF e entrada",IF(COUNTIFS($A$12:$A$5011,A2457,$B$12:$B$5011,B2457)&gt;1,"CPF + dia duplicado",IF(OR(AND(G2457&lt;&gt;"",G2457&lt;&gt;0,G2457&lt;&gt;1),AND(H2457&lt;&gt;"",H2457&lt;&gt;0,H2457&lt;&gt;1)),"Flags devem ser 0 ou 1",IF(AND(H2457=1,LEN(TRIM(I2457))=0),"Preencher nome do indicante",IF(AND(H2457&lt;&gt;1,I2457&lt;&gt;""),"Nome sem indicação interna",IF(AND(G2457=1,F2457=""),"Fechamento sem conversa",IF(OR(AND(E2457&lt;&gt;"",E2457&lt;B2457),AND(F2457&lt;&gt;"",F2457&lt;B2457)),"Evento anterior à entrada",IF(AND(F2457&lt;&gt;"",E2457=""),"Conversa sem agendamento",IF(OR(E2457&gt;TODAY(),F2457&gt;TODAY()),"Verificar evento futuro","OK"))))))))))</f>
        <v/>
      </c>
    </row>
    <row r="2458" spans="12:15">
      <c r="L2458" s="5">
        <f>IF(OR(A2458="",B2458=""),"",B2458-WEEKDAY(B2458,2)+1)</f>
        <v/>
      </c>
      <c r="M2458" s="5">
        <f>IF(L2458="","",L2458+6)</f>
        <v/>
      </c>
      <c r="N2458" s="6">
        <f>IF(OR(A2458="",B2458=""),"",DATE(YEAR(B2458),MONTH(B2458),1))</f>
        <v/>
      </c>
      <c r="O2458" s="7">
        <f>IF(COUNTA(A2458:K2458)=0,"",IF(OR(A2458="",B2458=""),"Preencher CPF e entrada",IF(COUNTIFS($A$12:$A$5011,A2458,$B$12:$B$5011,B2458)&gt;1,"CPF + dia duplicado",IF(OR(AND(G2458&lt;&gt;"",G2458&lt;&gt;0,G2458&lt;&gt;1),AND(H2458&lt;&gt;"",H2458&lt;&gt;0,H2458&lt;&gt;1)),"Flags devem ser 0 ou 1",IF(AND(H2458=1,LEN(TRIM(I2458))=0),"Preencher nome do indicante",IF(AND(H2458&lt;&gt;1,I2458&lt;&gt;""),"Nome sem indicação interna",IF(AND(G2458=1,F2458=""),"Fechamento sem conversa",IF(OR(AND(E2458&lt;&gt;"",E2458&lt;B2458),AND(F2458&lt;&gt;"",F2458&lt;B2458)),"Evento anterior à entrada",IF(AND(F2458&lt;&gt;"",E2458=""),"Conversa sem agendamento",IF(OR(E2458&gt;TODAY(),F2458&gt;TODAY()),"Verificar evento futuro","OK"))))))))))</f>
        <v/>
      </c>
    </row>
    <row r="2459" spans="12:15">
      <c r="L2459" s="5">
        <f>IF(OR(A2459="",B2459=""),"",B2459-WEEKDAY(B2459,2)+1)</f>
        <v/>
      </c>
      <c r="M2459" s="5">
        <f>IF(L2459="","",L2459+6)</f>
        <v/>
      </c>
      <c r="N2459" s="6">
        <f>IF(OR(A2459="",B2459=""),"",DATE(YEAR(B2459),MONTH(B2459),1))</f>
        <v/>
      </c>
      <c r="O2459" s="7">
        <f>IF(COUNTA(A2459:K2459)=0,"",IF(OR(A2459="",B2459=""),"Preencher CPF e entrada",IF(COUNTIFS($A$12:$A$5011,A2459,$B$12:$B$5011,B2459)&gt;1,"CPF + dia duplicado",IF(OR(AND(G2459&lt;&gt;"",G2459&lt;&gt;0,G2459&lt;&gt;1),AND(H2459&lt;&gt;"",H2459&lt;&gt;0,H2459&lt;&gt;1)),"Flags devem ser 0 ou 1",IF(AND(H2459=1,LEN(TRIM(I2459))=0),"Preencher nome do indicante",IF(AND(H2459&lt;&gt;1,I2459&lt;&gt;""),"Nome sem indicação interna",IF(AND(G2459=1,F2459=""),"Fechamento sem conversa",IF(OR(AND(E2459&lt;&gt;"",E2459&lt;B2459),AND(F2459&lt;&gt;"",F2459&lt;B2459)),"Evento anterior à entrada",IF(AND(F2459&lt;&gt;"",E2459=""),"Conversa sem agendamento",IF(OR(E2459&gt;TODAY(),F2459&gt;TODAY()),"Verificar evento futuro","OK"))))))))))</f>
        <v/>
      </c>
    </row>
    <row r="2460" spans="12:15">
      <c r="L2460" s="5">
        <f>IF(OR(A2460="",B2460=""),"",B2460-WEEKDAY(B2460,2)+1)</f>
        <v/>
      </c>
      <c r="M2460" s="5">
        <f>IF(L2460="","",L2460+6)</f>
        <v/>
      </c>
      <c r="N2460" s="6">
        <f>IF(OR(A2460="",B2460=""),"",DATE(YEAR(B2460),MONTH(B2460),1))</f>
        <v/>
      </c>
      <c r="O2460" s="7">
        <f>IF(COUNTA(A2460:K2460)=0,"",IF(OR(A2460="",B2460=""),"Preencher CPF e entrada",IF(COUNTIFS($A$12:$A$5011,A2460,$B$12:$B$5011,B2460)&gt;1,"CPF + dia duplicado",IF(OR(AND(G2460&lt;&gt;"",G2460&lt;&gt;0,G2460&lt;&gt;1),AND(H2460&lt;&gt;"",H2460&lt;&gt;0,H2460&lt;&gt;1)),"Flags devem ser 0 ou 1",IF(AND(H2460=1,LEN(TRIM(I2460))=0),"Preencher nome do indicante",IF(AND(H2460&lt;&gt;1,I2460&lt;&gt;""),"Nome sem indicação interna",IF(AND(G2460=1,F2460=""),"Fechamento sem conversa",IF(OR(AND(E2460&lt;&gt;"",E2460&lt;B2460),AND(F2460&lt;&gt;"",F2460&lt;B2460)),"Evento anterior à entrada",IF(AND(F2460&lt;&gt;"",E2460=""),"Conversa sem agendamento",IF(OR(E2460&gt;TODAY(),F2460&gt;TODAY()),"Verificar evento futuro","OK"))))))))))</f>
        <v/>
      </c>
    </row>
    <row r="2461" spans="12:15">
      <c r="L2461" s="5">
        <f>IF(OR(A2461="",B2461=""),"",B2461-WEEKDAY(B2461,2)+1)</f>
        <v/>
      </c>
      <c r="M2461" s="5">
        <f>IF(L2461="","",L2461+6)</f>
        <v/>
      </c>
      <c r="N2461" s="6">
        <f>IF(OR(A2461="",B2461=""),"",DATE(YEAR(B2461),MONTH(B2461),1))</f>
        <v/>
      </c>
      <c r="O2461" s="7">
        <f>IF(COUNTA(A2461:K2461)=0,"",IF(OR(A2461="",B2461=""),"Preencher CPF e entrada",IF(COUNTIFS($A$12:$A$5011,A2461,$B$12:$B$5011,B2461)&gt;1,"CPF + dia duplicado",IF(OR(AND(G2461&lt;&gt;"",G2461&lt;&gt;0,G2461&lt;&gt;1),AND(H2461&lt;&gt;"",H2461&lt;&gt;0,H2461&lt;&gt;1)),"Flags devem ser 0 ou 1",IF(AND(H2461=1,LEN(TRIM(I2461))=0),"Preencher nome do indicante",IF(AND(H2461&lt;&gt;1,I2461&lt;&gt;""),"Nome sem indicação interna",IF(AND(G2461=1,F2461=""),"Fechamento sem conversa",IF(OR(AND(E2461&lt;&gt;"",E2461&lt;B2461),AND(F2461&lt;&gt;"",F2461&lt;B2461)),"Evento anterior à entrada",IF(AND(F2461&lt;&gt;"",E2461=""),"Conversa sem agendamento",IF(OR(E2461&gt;TODAY(),F2461&gt;TODAY()),"Verificar evento futuro","OK"))))))))))</f>
        <v/>
      </c>
    </row>
    <row r="2462" spans="12:15">
      <c r="L2462" s="5">
        <f>IF(OR(A2462="",B2462=""),"",B2462-WEEKDAY(B2462,2)+1)</f>
        <v/>
      </c>
      <c r="M2462" s="5">
        <f>IF(L2462="","",L2462+6)</f>
        <v/>
      </c>
      <c r="N2462" s="6">
        <f>IF(OR(A2462="",B2462=""),"",DATE(YEAR(B2462),MONTH(B2462),1))</f>
        <v/>
      </c>
      <c r="O2462" s="7">
        <f>IF(COUNTA(A2462:K2462)=0,"",IF(OR(A2462="",B2462=""),"Preencher CPF e entrada",IF(COUNTIFS($A$12:$A$5011,A2462,$B$12:$B$5011,B2462)&gt;1,"CPF + dia duplicado",IF(OR(AND(G2462&lt;&gt;"",G2462&lt;&gt;0,G2462&lt;&gt;1),AND(H2462&lt;&gt;"",H2462&lt;&gt;0,H2462&lt;&gt;1)),"Flags devem ser 0 ou 1",IF(AND(H2462=1,LEN(TRIM(I2462))=0),"Preencher nome do indicante",IF(AND(H2462&lt;&gt;1,I2462&lt;&gt;""),"Nome sem indicação interna",IF(AND(G2462=1,F2462=""),"Fechamento sem conversa",IF(OR(AND(E2462&lt;&gt;"",E2462&lt;B2462),AND(F2462&lt;&gt;"",F2462&lt;B2462)),"Evento anterior à entrada",IF(AND(F2462&lt;&gt;"",E2462=""),"Conversa sem agendamento",IF(OR(E2462&gt;TODAY(),F2462&gt;TODAY()),"Verificar evento futuro","OK"))))))))))</f>
        <v/>
      </c>
    </row>
    <row r="2463" spans="12:15">
      <c r="L2463" s="5">
        <f>IF(OR(A2463="",B2463=""),"",B2463-WEEKDAY(B2463,2)+1)</f>
        <v/>
      </c>
      <c r="M2463" s="5">
        <f>IF(L2463="","",L2463+6)</f>
        <v/>
      </c>
      <c r="N2463" s="6">
        <f>IF(OR(A2463="",B2463=""),"",DATE(YEAR(B2463),MONTH(B2463),1))</f>
        <v/>
      </c>
      <c r="O2463" s="7">
        <f>IF(COUNTA(A2463:K2463)=0,"",IF(OR(A2463="",B2463=""),"Preencher CPF e entrada",IF(COUNTIFS($A$12:$A$5011,A2463,$B$12:$B$5011,B2463)&gt;1,"CPF + dia duplicado",IF(OR(AND(G2463&lt;&gt;"",G2463&lt;&gt;0,G2463&lt;&gt;1),AND(H2463&lt;&gt;"",H2463&lt;&gt;0,H2463&lt;&gt;1)),"Flags devem ser 0 ou 1",IF(AND(H2463=1,LEN(TRIM(I2463))=0),"Preencher nome do indicante",IF(AND(H2463&lt;&gt;1,I2463&lt;&gt;""),"Nome sem indicação interna",IF(AND(G2463=1,F2463=""),"Fechamento sem conversa",IF(OR(AND(E2463&lt;&gt;"",E2463&lt;B2463),AND(F2463&lt;&gt;"",F2463&lt;B2463)),"Evento anterior à entrada",IF(AND(F2463&lt;&gt;"",E2463=""),"Conversa sem agendamento",IF(OR(E2463&gt;TODAY(),F2463&gt;TODAY()),"Verificar evento futuro","OK"))))))))))</f>
        <v/>
      </c>
    </row>
    <row r="2464" spans="12:15">
      <c r="L2464" s="5">
        <f>IF(OR(A2464="",B2464=""),"",B2464-WEEKDAY(B2464,2)+1)</f>
        <v/>
      </c>
      <c r="M2464" s="5">
        <f>IF(L2464="","",L2464+6)</f>
        <v/>
      </c>
      <c r="N2464" s="6">
        <f>IF(OR(A2464="",B2464=""),"",DATE(YEAR(B2464),MONTH(B2464),1))</f>
        <v/>
      </c>
      <c r="O2464" s="7">
        <f>IF(COUNTA(A2464:K2464)=0,"",IF(OR(A2464="",B2464=""),"Preencher CPF e entrada",IF(COUNTIFS($A$12:$A$5011,A2464,$B$12:$B$5011,B2464)&gt;1,"CPF + dia duplicado",IF(OR(AND(G2464&lt;&gt;"",G2464&lt;&gt;0,G2464&lt;&gt;1),AND(H2464&lt;&gt;"",H2464&lt;&gt;0,H2464&lt;&gt;1)),"Flags devem ser 0 ou 1",IF(AND(H2464=1,LEN(TRIM(I2464))=0),"Preencher nome do indicante",IF(AND(H2464&lt;&gt;1,I2464&lt;&gt;""),"Nome sem indicação interna",IF(AND(G2464=1,F2464=""),"Fechamento sem conversa",IF(OR(AND(E2464&lt;&gt;"",E2464&lt;B2464),AND(F2464&lt;&gt;"",F2464&lt;B2464)),"Evento anterior à entrada",IF(AND(F2464&lt;&gt;"",E2464=""),"Conversa sem agendamento",IF(OR(E2464&gt;TODAY(),F2464&gt;TODAY()),"Verificar evento futuro","OK"))))))))))</f>
        <v/>
      </c>
    </row>
    <row r="2465" spans="12:15">
      <c r="L2465" s="5">
        <f>IF(OR(A2465="",B2465=""),"",B2465-WEEKDAY(B2465,2)+1)</f>
        <v/>
      </c>
      <c r="M2465" s="5">
        <f>IF(L2465="","",L2465+6)</f>
        <v/>
      </c>
      <c r="N2465" s="6">
        <f>IF(OR(A2465="",B2465=""),"",DATE(YEAR(B2465),MONTH(B2465),1))</f>
        <v/>
      </c>
      <c r="O2465" s="7">
        <f>IF(COUNTA(A2465:K2465)=0,"",IF(OR(A2465="",B2465=""),"Preencher CPF e entrada",IF(COUNTIFS($A$12:$A$5011,A2465,$B$12:$B$5011,B2465)&gt;1,"CPF + dia duplicado",IF(OR(AND(G2465&lt;&gt;"",G2465&lt;&gt;0,G2465&lt;&gt;1),AND(H2465&lt;&gt;"",H2465&lt;&gt;0,H2465&lt;&gt;1)),"Flags devem ser 0 ou 1",IF(AND(H2465=1,LEN(TRIM(I2465))=0),"Preencher nome do indicante",IF(AND(H2465&lt;&gt;1,I2465&lt;&gt;""),"Nome sem indicação interna",IF(AND(G2465=1,F2465=""),"Fechamento sem conversa",IF(OR(AND(E2465&lt;&gt;"",E2465&lt;B2465),AND(F2465&lt;&gt;"",F2465&lt;B2465)),"Evento anterior à entrada",IF(AND(F2465&lt;&gt;"",E2465=""),"Conversa sem agendamento",IF(OR(E2465&gt;TODAY(),F2465&gt;TODAY()),"Verificar evento futuro","OK"))))))))))</f>
        <v/>
      </c>
    </row>
    <row r="2466" spans="12:15">
      <c r="L2466" s="5">
        <f>IF(OR(A2466="",B2466=""),"",B2466-WEEKDAY(B2466,2)+1)</f>
        <v/>
      </c>
      <c r="M2466" s="5">
        <f>IF(L2466="","",L2466+6)</f>
        <v/>
      </c>
      <c r="N2466" s="6">
        <f>IF(OR(A2466="",B2466=""),"",DATE(YEAR(B2466),MONTH(B2466),1))</f>
        <v/>
      </c>
      <c r="O2466" s="7">
        <f>IF(COUNTA(A2466:K2466)=0,"",IF(OR(A2466="",B2466=""),"Preencher CPF e entrada",IF(COUNTIFS($A$12:$A$5011,A2466,$B$12:$B$5011,B2466)&gt;1,"CPF + dia duplicado",IF(OR(AND(G2466&lt;&gt;"",G2466&lt;&gt;0,G2466&lt;&gt;1),AND(H2466&lt;&gt;"",H2466&lt;&gt;0,H2466&lt;&gt;1)),"Flags devem ser 0 ou 1",IF(AND(H2466=1,LEN(TRIM(I2466))=0),"Preencher nome do indicante",IF(AND(H2466&lt;&gt;1,I2466&lt;&gt;""),"Nome sem indicação interna",IF(AND(G2466=1,F2466=""),"Fechamento sem conversa",IF(OR(AND(E2466&lt;&gt;"",E2466&lt;B2466),AND(F2466&lt;&gt;"",F2466&lt;B2466)),"Evento anterior à entrada",IF(AND(F2466&lt;&gt;"",E2466=""),"Conversa sem agendamento",IF(OR(E2466&gt;TODAY(),F2466&gt;TODAY()),"Verificar evento futuro","OK"))))))))))</f>
        <v/>
      </c>
    </row>
    <row r="2467" spans="12:15">
      <c r="L2467" s="5">
        <f>IF(OR(A2467="",B2467=""),"",B2467-WEEKDAY(B2467,2)+1)</f>
        <v/>
      </c>
      <c r="M2467" s="5">
        <f>IF(L2467="","",L2467+6)</f>
        <v/>
      </c>
      <c r="N2467" s="6">
        <f>IF(OR(A2467="",B2467=""),"",DATE(YEAR(B2467),MONTH(B2467),1))</f>
        <v/>
      </c>
      <c r="O2467" s="7">
        <f>IF(COUNTA(A2467:K2467)=0,"",IF(OR(A2467="",B2467=""),"Preencher CPF e entrada",IF(COUNTIFS($A$12:$A$5011,A2467,$B$12:$B$5011,B2467)&gt;1,"CPF + dia duplicado",IF(OR(AND(G2467&lt;&gt;"",G2467&lt;&gt;0,G2467&lt;&gt;1),AND(H2467&lt;&gt;"",H2467&lt;&gt;0,H2467&lt;&gt;1)),"Flags devem ser 0 ou 1",IF(AND(H2467=1,LEN(TRIM(I2467))=0),"Preencher nome do indicante",IF(AND(H2467&lt;&gt;1,I2467&lt;&gt;""),"Nome sem indicação interna",IF(AND(G2467=1,F2467=""),"Fechamento sem conversa",IF(OR(AND(E2467&lt;&gt;"",E2467&lt;B2467),AND(F2467&lt;&gt;"",F2467&lt;B2467)),"Evento anterior à entrada",IF(AND(F2467&lt;&gt;"",E2467=""),"Conversa sem agendamento",IF(OR(E2467&gt;TODAY(),F2467&gt;TODAY()),"Verificar evento futuro","OK"))))))))))</f>
        <v/>
      </c>
    </row>
    <row r="2468" spans="12:15">
      <c r="L2468" s="5">
        <f>IF(OR(A2468="",B2468=""),"",B2468-WEEKDAY(B2468,2)+1)</f>
        <v/>
      </c>
      <c r="M2468" s="5">
        <f>IF(L2468="","",L2468+6)</f>
        <v/>
      </c>
      <c r="N2468" s="6">
        <f>IF(OR(A2468="",B2468=""),"",DATE(YEAR(B2468),MONTH(B2468),1))</f>
        <v/>
      </c>
      <c r="O2468" s="7">
        <f>IF(COUNTA(A2468:K2468)=0,"",IF(OR(A2468="",B2468=""),"Preencher CPF e entrada",IF(COUNTIFS($A$12:$A$5011,A2468,$B$12:$B$5011,B2468)&gt;1,"CPF + dia duplicado",IF(OR(AND(G2468&lt;&gt;"",G2468&lt;&gt;0,G2468&lt;&gt;1),AND(H2468&lt;&gt;"",H2468&lt;&gt;0,H2468&lt;&gt;1)),"Flags devem ser 0 ou 1",IF(AND(H2468=1,LEN(TRIM(I2468))=0),"Preencher nome do indicante",IF(AND(H2468&lt;&gt;1,I2468&lt;&gt;""),"Nome sem indicação interna",IF(AND(G2468=1,F2468=""),"Fechamento sem conversa",IF(OR(AND(E2468&lt;&gt;"",E2468&lt;B2468),AND(F2468&lt;&gt;"",F2468&lt;B2468)),"Evento anterior à entrada",IF(AND(F2468&lt;&gt;"",E2468=""),"Conversa sem agendamento",IF(OR(E2468&gt;TODAY(),F2468&gt;TODAY()),"Verificar evento futuro","OK"))))))))))</f>
        <v/>
      </c>
    </row>
    <row r="2469" spans="12:15">
      <c r="L2469" s="5">
        <f>IF(OR(A2469="",B2469=""),"",B2469-WEEKDAY(B2469,2)+1)</f>
        <v/>
      </c>
      <c r="M2469" s="5">
        <f>IF(L2469="","",L2469+6)</f>
        <v/>
      </c>
      <c r="N2469" s="6">
        <f>IF(OR(A2469="",B2469=""),"",DATE(YEAR(B2469),MONTH(B2469),1))</f>
        <v/>
      </c>
      <c r="O2469" s="7">
        <f>IF(COUNTA(A2469:K2469)=0,"",IF(OR(A2469="",B2469=""),"Preencher CPF e entrada",IF(COUNTIFS($A$12:$A$5011,A2469,$B$12:$B$5011,B2469)&gt;1,"CPF + dia duplicado",IF(OR(AND(G2469&lt;&gt;"",G2469&lt;&gt;0,G2469&lt;&gt;1),AND(H2469&lt;&gt;"",H2469&lt;&gt;0,H2469&lt;&gt;1)),"Flags devem ser 0 ou 1",IF(AND(H2469=1,LEN(TRIM(I2469))=0),"Preencher nome do indicante",IF(AND(H2469&lt;&gt;1,I2469&lt;&gt;""),"Nome sem indicação interna",IF(AND(G2469=1,F2469=""),"Fechamento sem conversa",IF(OR(AND(E2469&lt;&gt;"",E2469&lt;B2469),AND(F2469&lt;&gt;"",F2469&lt;B2469)),"Evento anterior à entrada",IF(AND(F2469&lt;&gt;"",E2469=""),"Conversa sem agendamento",IF(OR(E2469&gt;TODAY(),F2469&gt;TODAY()),"Verificar evento futuro","OK"))))))))))</f>
        <v/>
      </c>
    </row>
    <row r="2470" spans="12:15">
      <c r="L2470" s="5">
        <f>IF(OR(A2470="",B2470=""),"",B2470-WEEKDAY(B2470,2)+1)</f>
        <v/>
      </c>
      <c r="M2470" s="5">
        <f>IF(L2470="","",L2470+6)</f>
        <v/>
      </c>
      <c r="N2470" s="6">
        <f>IF(OR(A2470="",B2470=""),"",DATE(YEAR(B2470),MONTH(B2470),1))</f>
        <v/>
      </c>
      <c r="O2470" s="7">
        <f>IF(COUNTA(A2470:K2470)=0,"",IF(OR(A2470="",B2470=""),"Preencher CPF e entrada",IF(COUNTIFS($A$12:$A$5011,A2470,$B$12:$B$5011,B2470)&gt;1,"CPF + dia duplicado",IF(OR(AND(G2470&lt;&gt;"",G2470&lt;&gt;0,G2470&lt;&gt;1),AND(H2470&lt;&gt;"",H2470&lt;&gt;0,H2470&lt;&gt;1)),"Flags devem ser 0 ou 1",IF(AND(H2470=1,LEN(TRIM(I2470))=0),"Preencher nome do indicante",IF(AND(H2470&lt;&gt;1,I2470&lt;&gt;""),"Nome sem indicação interna",IF(AND(G2470=1,F2470=""),"Fechamento sem conversa",IF(OR(AND(E2470&lt;&gt;"",E2470&lt;B2470),AND(F2470&lt;&gt;"",F2470&lt;B2470)),"Evento anterior à entrada",IF(AND(F2470&lt;&gt;"",E2470=""),"Conversa sem agendamento",IF(OR(E2470&gt;TODAY(),F2470&gt;TODAY()),"Verificar evento futuro","OK"))))))))))</f>
        <v/>
      </c>
    </row>
    <row r="2471" spans="12:15">
      <c r="L2471" s="5">
        <f>IF(OR(A2471="",B2471=""),"",B2471-WEEKDAY(B2471,2)+1)</f>
        <v/>
      </c>
      <c r="M2471" s="5">
        <f>IF(L2471="","",L2471+6)</f>
        <v/>
      </c>
      <c r="N2471" s="6">
        <f>IF(OR(A2471="",B2471=""),"",DATE(YEAR(B2471),MONTH(B2471),1))</f>
        <v/>
      </c>
      <c r="O2471" s="7">
        <f>IF(COUNTA(A2471:K2471)=0,"",IF(OR(A2471="",B2471=""),"Preencher CPF e entrada",IF(COUNTIFS($A$12:$A$5011,A2471,$B$12:$B$5011,B2471)&gt;1,"CPF + dia duplicado",IF(OR(AND(G2471&lt;&gt;"",G2471&lt;&gt;0,G2471&lt;&gt;1),AND(H2471&lt;&gt;"",H2471&lt;&gt;0,H2471&lt;&gt;1)),"Flags devem ser 0 ou 1",IF(AND(H2471=1,LEN(TRIM(I2471))=0),"Preencher nome do indicante",IF(AND(H2471&lt;&gt;1,I2471&lt;&gt;""),"Nome sem indicação interna",IF(AND(G2471=1,F2471=""),"Fechamento sem conversa",IF(OR(AND(E2471&lt;&gt;"",E2471&lt;B2471),AND(F2471&lt;&gt;"",F2471&lt;B2471)),"Evento anterior à entrada",IF(AND(F2471&lt;&gt;"",E2471=""),"Conversa sem agendamento",IF(OR(E2471&gt;TODAY(),F2471&gt;TODAY()),"Verificar evento futuro","OK"))))))))))</f>
        <v/>
      </c>
    </row>
    <row r="2472" spans="12:15">
      <c r="L2472" s="5">
        <f>IF(OR(A2472="",B2472=""),"",B2472-WEEKDAY(B2472,2)+1)</f>
        <v/>
      </c>
      <c r="M2472" s="5">
        <f>IF(L2472="","",L2472+6)</f>
        <v/>
      </c>
      <c r="N2472" s="6">
        <f>IF(OR(A2472="",B2472=""),"",DATE(YEAR(B2472),MONTH(B2472),1))</f>
        <v/>
      </c>
      <c r="O2472" s="7">
        <f>IF(COUNTA(A2472:K2472)=0,"",IF(OR(A2472="",B2472=""),"Preencher CPF e entrada",IF(COUNTIFS($A$12:$A$5011,A2472,$B$12:$B$5011,B2472)&gt;1,"CPF + dia duplicado",IF(OR(AND(G2472&lt;&gt;"",G2472&lt;&gt;0,G2472&lt;&gt;1),AND(H2472&lt;&gt;"",H2472&lt;&gt;0,H2472&lt;&gt;1)),"Flags devem ser 0 ou 1",IF(AND(H2472=1,LEN(TRIM(I2472))=0),"Preencher nome do indicante",IF(AND(H2472&lt;&gt;1,I2472&lt;&gt;""),"Nome sem indicação interna",IF(AND(G2472=1,F2472=""),"Fechamento sem conversa",IF(OR(AND(E2472&lt;&gt;"",E2472&lt;B2472),AND(F2472&lt;&gt;"",F2472&lt;B2472)),"Evento anterior à entrada",IF(AND(F2472&lt;&gt;"",E2472=""),"Conversa sem agendamento",IF(OR(E2472&gt;TODAY(),F2472&gt;TODAY()),"Verificar evento futuro","OK"))))))))))</f>
        <v/>
      </c>
    </row>
    <row r="2473" spans="12:15">
      <c r="L2473" s="5">
        <f>IF(OR(A2473="",B2473=""),"",B2473-WEEKDAY(B2473,2)+1)</f>
        <v/>
      </c>
      <c r="M2473" s="5">
        <f>IF(L2473="","",L2473+6)</f>
        <v/>
      </c>
      <c r="N2473" s="6">
        <f>IF(OR(A2473="",B2473=""),"",DATE(YEAR(B2473),MONTH(B2473),1))</f>
        <v/>
      </c>
      <c r="O2473" s="7">
        <f>IF(COUNTA(A2473:K2473)=0,"",IF(OR(A2473="",B2473=""),"Preencher CPF e entrada",IF(COUNTIFS($A$12:$A$5011,A2473,$B$12:$B$5011,B2473)&gt;1,"CPF + dia duplicado",IF(OR(AND(G2473&lt;&gt;"",G2473&lt;&gt;0,G2473&lt;&gt;1),AND(H2473&lt;&gt;"",H2473&lt;&gt;0,H2473&lt;&gt;1)),"Flags devem ser 0 ou 1",IF(AND(H2473=1,LEN(TRIM(I2473))=0),"Preencher nome do indicante",IF(AND(H2473&lt;&gt;1,I2473&lt;&gt;""),"Nome sem indicação interna",IF(AND(G2473=1,F2473=""),"Fechamento sem conversa",IF(OR(AND(E2473&lt;&gt;"",E2473&lt;B2473),AND(F2473&lt;&gt;"",F2473&lt;B2473)),"Evento anterior à entrada",IF(AND(F2473&lt;&gt;"",E2473=""),"Conversa sem agendamento",IF(OR(E2473&gt;TODAY(),F2473&gt;TODAY()),"Verificar evento futuro","OK"))))))))))</f>
        <v/>
      </c>
    </row>
    <row r="2474" spans="12:15">
      <c r="L2474" s="5">
        <f>IF(OR(A2474="",B2474=""),"",B2474-WEEKDAY(B2474,2)+1)</f>
        <v/>
      </c>
      <c r="M2474" s="5">
        <f>IF(L2474="","",L2474+6)</f>
        <v/>
      </c>
      <c r="N2474" s="6">
        <f>IF(OR(A2474="",B2474=""),"",DATE(YEAR(B2474),MONTH(B2474),1))</f>
        <v/>
      </c>
      <c r="O2474" s="7">
        <f>IF(COUNTA(A2474:K2474)=0,"",IF(OR(A2474="",B2474=""),"Preencher CPF e entrada",IF(COUNTIFS($A$12:$A$5011,A2474,$B$12:$B$5011,B2474)&gt;1,"CPF + dia duplicado",IF(OR(AND(G2474&lt;&gt;"",G2474&lt;&gt;0,G2474&lt;&gt;1),AND(H2474&lt;&gt;"",H2474&lt;&gt;0,H2474&lt;&gt;1)),"Flags devem ser 0 ou 1",IF(AND(H2474=1,LEN(TRIM(I2474))=0),"Preencher nome do indicante",IF(AND(H2474&lt;&gt;1,I2474&lt;&gt;""),"Nome sem indicação interna",IF(AND(G2474=1,F2474=""),"Fechamento sem conversa",IF(OR(AND(E2474&lt;&gt;"",E2474&lt;B2474),AND(F2474&lt;&gt;"",F2474&lt;B2474)),"Evento anterior à entrada",IF(AND(F2474&lt;&gt;"",E2474=""),"Conversa sem agendamento",IF(OR(E2474&gt;TODAY(),F2474&gt;TODAY()),"Verificar evento futuro","OK"))))))))))</f>
        <v/>
      </c>
    </row>
    <row r="2475" spans="12:15">
      <c r="L2475" s="5">
        <f>IF(OR(A2475="",B2475=""),"",B2475-WEEKDAY(B2475,2)+1)</f>
        <v/>
      </c>
      <c r="M2475" s="5">
        <f>IF(L2475="","",L2475+6)</f>
        <v/>
      </c>
      <c r="N2475" s="6">
        <f>IF(OR(A2475="",B2475=""),"",DATE(YEAR(B2475),MONTH(B2475),1))</f>
        <v/>
      </c>
      <c r="O2475" s="7">
        <f>IF(COUNTA(A2475:K2475)=0,"",IF(OR(A2475="",B2475=""),"Preencher CPF e entrada",IF(COUNTIFS($A$12:$A$5011,A2475,$B$12:$B$5011,B2475)&gt;1,"CPF + dia duplicado",IF(OR(AND(G2475&lt;&gt;"",G2475&lt;&gt;0,G2475&lt;&gt;1),AND(H2475&lt;&gt;"",H2475&lt;&gt;0,H2475&lt;&gt;1)),"Flags devem ser 0 ou 1",IF(AND(H2475=1,LEN(TRIM(I2475))=0),"Preencher nome do indicante",IF(AND(H2475&lt;&gt;1,I2475&lt;&gt;""),"Nome sem indicação interna",IF(AND(G2475=1,F2475=""),"Fechamento sem conversa",IF(OR(AND(E2475&lt;&gt;"",E2475&lt;B2475),AND(F2475&lt;&gt;"",F2475&lt;B2475)),"Evento anterior à entrada",IF(AND(F2475&lt;&gt;"",E2475=""),"Conversa sem agendamento",IF(OR(E2475&gt;TODAY(),F2475&gt;TODAY()),"Verificar evento futuro","OK"))))))))))</f>
        <v/>
      </c>
    </row>
    <row r="2476" spans="12:15">
      <c r="L2476" s="5">
        <f>IF(OR(A2476="",B2476=""),"",B2476-WEEKDAY(B2476,2)+1)</f>
        <v/>
      </c>
      <c r="M2476" s="5">
        <f>IF(L2476="","",L2476+6)</f>
        <v/>
      </c>
      <c r="N2476" s="6">
        <f>IF(OR(A2476="",B2476=""),"",DATE(YEAR(B2476),MONTH(B2476),1))</f>
        <v/>
      </c>
      <c r="O2476" s="7">
        <f>IF(COUNTA(A2476:K2476)=0,"",IF(OR(A2476="",B2476=""),"Preencher CPF e entrada",IF(COUNTIFS($A$12:$A$5011,A2476,$B$12:$B$5011,B2476)&gt;1,"CPF + dia duplicado",IF(OR(AND(G2476&lt;&gt;"",G2476&lt;&gt;0,G2476&lt;&gt;1),AND(H2476&lt;&gt;"",H2476&lt;&gt;0,H2476&lt;&gt;1)),"Flags devem ser 0 ou 1",IF(AND(H2476=1,LEN(TRIM(I2476))=0),"Preencher nome do indicante",IF(AND(H2476&lt;&gt;1,I2476&lt;&gt;""),"Nome sem indicação interna",IF(AND(G2476=1,F2476=""),"Fechamento sem conversa",IF(OR(AND(E2476&lt;&gt;"",E2476&lt;B2476),AND(F2476&lt;&gt;"",F2476&lt;B2476)),"Evento anterior à entrada",IF(AND(F2476&lt;&gt;"",E2476=""),"Conversa sem agendamento",IF(OR(E2476&gt;TODAY(),F2476&gt;TODAY()),"Verificar evento futuro","OK"))))))))))</f>
        <v/>
      </c>
    </row>
    <row r="2477" spans="12:15">
      <c r="L2477" s="5">
        <f>IF(OR(A2477="",B2477=""),"",B2477-WEEKDAY(B2477,2)+1)</f>
        <v/>
      </c>
      <c r="M2477" s="5">
        <f>IF(L2477="","",L2477+6)</f>
        <v/>
      </c>
      <c r="N2477" s="6">
        <f>IF(OR(A2477="",B2477=""),"",DATE(YEAR(B2477),MONTH(B2477),1))</f>
        <v/>
      </c>
      <c r="O2477" s="7">
        <f>IF(COUNTA(A2477:K2477)=0,"",IF(OR(A2477="",B2477=""),"Preencher CPF e entrada",IF(COUNTIFS($A$12:$A$5011,A2477,$B$12:$B$5011,B2477)&gt;1,"CPF + dia duplicado",IF(OR(AND(G2477&lt;&gt;"",G2477&lt;&gt;0,G2477&lt;&gt;1),AND(H2477&lt;&gt;"",H2477&lt;&gt;0,H2477&lt;&gt;1)),"Flags devem ser 0 ou 1",IF(AND(H2477=1,LEN(TRIM(I2477))=0),"Preencher nome do indicante",IF(AND(H2477&lt;&gt;1,I2477&lt;&gt;""),"Nome sem indicação interna",IF(AND(G2477=1,F2477=""),"Fechamento sem conversa",IF(OR(AND(E2477&lt;&gt;"",E2477&lt;B2477),AND(F2477&lt;&gt;"",F2477&lt;B2477)),"Evento anterior à entrada",IF(AND(F2477&lt;&gt;"",E2477=""),"Conversa sem agendamento",IF(OR(E2477&gt;TODAY(),F2477&gt;TODAY()),"Verificar evento futuro","OK"))))))))))</f>
        <v/>
      </c>
    </row>
    <row r="2478" spans="12:15">
      <c r="L2478" s="5">
        <f>IF(OR(A2478="",B2478=""),"",B2478-WEEKDAY(B2478,2)+1)</f>
        <v/>
      </c>
      <c r="M2478" s="5">
        <f>IF(L2478="","",L2478+6)</f>
        <v/>
      </c>
      <c r="N2478" s="6">
        <f>IF(OR(A2478="",B2478=""),"",DATE(YEAR(B2478),MONTH(B2478),1))</f>
        <v/>
      </c>
      <c r="O2478" s="7">
        <f>IF(COUNTA(A2478:K2478)=0,"",IF(OR(A2478="",B2478=""),"Preencher CPF e entrada",IF(COUNTIFS($A$12:$A$5011,A2478,$B$12:$B$5011,B2478)&gt;1,"CPF + dia duplicado",IF(OR(AND(G2478&lt;&gt;"",G2478&lt;&gt;0,G2478&lt;&gt;1),AND(H2478&lt;&gt;"",H2478&lt;&gt;0,H2478&lt;&gt;1)),"Flags devem ser 0 ou 1",IF(AND(H2478=1,LEN(TRIM(I2478))=0),"Preencher nome do indicante",IF(AND(H2478&lt;&gt;1,I2478&lt;&gt;""),"Nome sem indicação interna",IF(AND(G2478=1,F2478=""),"Fechamento sem conversa",IF(OR(AND(E2478&lt;&gt;"",E2478&lt;B2478),AND(F2478&lt;&gt;"",F2478&lt;B2478)),"Evento anterior à entrada",IF(AND(F2478&lt;&gt;"",E2478=""),"Conversa sem agendamento",IF(OR(E2478&gt;TODAY(),F2478&gt;TODAY()),"Verificar evento futuro","OK"))))))))))</f>
        <v/>
      </c>
    </row>
    <row r="2479" spans="12:15">
      <c r="L2479" s="5">
        <f>IF(OR(A2479="",B2479=""),"",B2479-WEEKDAY(B2479,2)+1)</f>
        <v/>
      </c>
      <c r="M2479" s="5">
        <f>IF(L2479="","",L2479+6)</f>
        <v/>
      </c>
      <c r="N2479" s="6">
        <f>IF(OR(A2479="",B2479=""),"",DATE(YEAR(B2479),MONTH(B2479),1))</f>
        <v/>
      </c>
      <c r="O2479" s="7">
        <f>IF(COUNTA(A2479:K2479)=0,"",IF(OR(A2479="",B2479=""),"Preencher CPF e entrada",IF(COUNTIFS($A$12:$A$5011,A2479,$B$12:$B$5011,B2479)&gt;1,"CPF + dia duplicado",IF(OR(AND(G2479&lt;&gt;"",G2479&lt;&gt;0,G2479&lt;&gt;1),AND(H2479&lt;&gt;"",H2479&lt;&gt;0,H2479&lt;&gt;1)),"Flags devem ser 0 ou 1",IF(AND(H2479=1,LEN(TRIM(I2479))=0),"Preencher nome do indicante",IF(AND(H2479&lt;&gt;1,I2479&lt;&gt;""),"Nome sem indicação interna",IF(AND(G2479=1,F2479=""),"Fechamento sem conversa",IF(OR(AND(E2479&lt;&gt;"",E2479&lt;B2479),AND(F2479&lt;&gt;"",F2479&lt;B2479)),"Evento anterior à entrada",IF(AND(F2479&lt;&gt;"",E2479=""),"Conversa sem agendamento",IF(OR(E2479&gt;TODAY(),F2479&gt;TODAY()),"Verificar evento futuro","OK"))))))))))</f>
        <v/>
      </c>
    </row>
    <row r="2480" spans="12:15">
      <c r="L2480" s="5">
        <f>IF(OR(A2480="",B2480=""),"",B2480-WEEKDAY(B2480,2)+1)</f>
        <v/>
      </c>
      <c r="M2480" s="5">
        <f>IF(L2480="","",L2480+6)</f>
        <v/>
      </c>
      <c r="N2480" s="6">
        <f>IF(OR(A2480="",B2480=""),"",DATE(YEAR(B2480),MONTH(B2480),1))</f>
        <v/>
      </c>
      <c r="O2480" s="7">
        <f>IF(COUNTA(A2480:K2480)=0,"",IF(OR(A2480="",B2480=""),"Preencher CPF e entrada",IF(COUNTIFS($A$12:$A$5011,A2480,$B$12:$B$5011,B2480)&gt;1,"CPF + dia duplicado",IF(OR(AND(G2480&lt;&gt;"",G2480&lt;&gt;0,G2480&lt;&gt;1),AND(H2480&lt;&gt;"",H2480&lt;&gt;0,H2480&lt;&gt;1)),"Flags devem ser 0 ou 1",IF(AND(H2480=1,LEN(TRIM(I2480))=0),"Preencher nome do indicante",IF(AND(H2480&lt;&gt;1,I2480&lt;&gt;""),"Nome sem indicação interna",IF(AND(G2480=1,F2480=""),"Fechamento sem conversa",IF(OR(AND(E2480&lt;&gt;"",E2480&lt;B2480),AND(F2480&lt;&gt;"",F2480&lt;B2480)),"Evento anterior à entrada",IF(AND(F2480&lt;&gt;"",E2480=""),"Conversa sem agendamento",IF(OR(E2480&gt;TODAY(),F2480&gt;TODAY()),"Verificar evento futuro","OK"))))))))))</f>
        <v/>
      </c>
    </row>
    <row r="2481" spans="12:15">
      <c r="L2481" s="5">
        <f>IF(OR(A2481="",B2481=""),"",B2481-WEEKDAY(B2481,2)+1)</f>
        <v/>
      </c>
      <c r="M2481" s="5">
        <f>IF(L2481="","",L2481+6)</f>
        <v/>
      </c>
      <c r="N2481" s="6">
        <f>IF(OR(A2481="",B2481=""),"",DATE(YEAR(B2481),MONTH(B2481),1))</f>
        <v/>
      </c>
      <c r="O2481" s="7">
        <f>IF(COUNTA(A2481:K2481)=0,"",IF(OR(A2481="",B2481=""),"Preencher CPF e entrada",IF(COUNTIFS($A$12:$A$5011,A2481,$B$12:$B$5011,B2481)&gt;1,"CPF + dia duplicado",IF(OR(AND(G2481&lt;&gt;"",G2481&lt;&gt;0,G2481&lt;&gt;1),AND(H2481&lt;&gt;"",H2481&lt;&gt;0,H2481&lt;&gt;1)),"Flags devem ser 0 ou 1",IF(AND(H2481=1,LEN(TRIM(I2481))=0),"Preencher nome do indicante",IF(AND(H2481&lt;&gt;1,I2481&lt;&gt;""),"Nome sem indicação interna",IF(AND(G2481=1,F2481=""),"Fechamento sem conversa",IF(OR(AND(E2481&lt;&gt;"",E2481&lt;B2481),AND(F2481&lt;&gt;"",F2481&lt;B2481)),"Evento anterior à entrada",IF(AND(F2481&lt;&gt;"",E2481=""),"Conversa sem agendamento",IF(OR(E2481&gt;TODAY(),F2481&gt;TODAY()),"Verificar evento futuro","OK"))))))))))</f>
        <v/>
      </c>
    </row>
    <row r="2482" spans="12:15">
      <c r="L2482" s="5">
        <f>IF(OR(A2482="",B2482=""),"",B2482-WEEKDAY(B2482,2)+1)</f>
        <v/>
      </c>
      <c r="M2482" s="5">
        <f>IF(L2482="","",L2482+6)</f>
        <v/>
      </c>
      <c r="N2482" s="6">
        <f>IF(OR(A2482="",B2482=""),"",DATE(YEAR(B2482),MONTH(B2482),1))</f>
        <v/>
      </c>
      <c r="O2482" s="7">
        <f>IF(COUNTA(A2482:K2482)=0,"",IF(OR(A2482="",B2482=""),"Preencher CPF e entrada",IF(COUNTIFS($A$12:$A$5011,A2482,$B$12:$B$5011,B2482)&gt;1,"CPF + dia duplicado",IF(OR(AND(G2482&lt;&gt;"",G2482&lt;&gt;0,G2482&lt;&gt;1),AND(H2482&lt;&gt;"",H2482&lt;&gt;0,H2482&lt;&gt;1)),"Flags devem ser 0 ou 1",IF(AND(H2482=1,LEN(TRIM(I2482))=0),"Preencher nome do indicante",IF(AND(H2482&lt;&gt;1,I2482&lt;&gt;""),"Nome sem indicação interna",IF(AND(G2482=1,F2482=""),"Fechamento sem conversa",IF(OR(AND(E2482&lt;&gt;"",E2482&lt;B2482),AND(F2482&lt;&gt;"",F2482&lt;B2482)),"Evento anterior à entrada",IF(AND(F2482&lt;&gt;"",E2482=""),"Conversa sem agendamento",IF(OR(E2482&gt;TODAY(),F2482&gt;TODAY()),"Verificar evento futuro","OK"))))))))))</f>
        <v/>
      </c>
    </row>
    <row r="2483" spans="12:15">
      <c r="L2483" s="5">
        <f>IF(OR(A2483="",B2483=""),"",B2483-WEEKDAY(B2483,2)+1)</f>
        <v/>
      </c>
      <c r="M2483" s="5">
        <f>IF(L2483="","",L2483+6)</f>
        <v/>
      </c>
      <c r="N2483" s="6">
        <f>IF(OR(A2483="",B2483=""),"",DATE(YEAR(B2483),MONTH(B2483),1))</f>
        <v/>
      </c>
      <c r="O2483" s="7">
        <f>IF(COUNTA(A2483:K2483)=0,"",IF(OR(A2483="",B2483=""),"Preencher CPF e entrada",IF(COUNTIFS($A$12:$A$5011,A2483,$B$12:$B$5011,B2483)&gt;1,"CPF + dia duplicado",IF(OR(AND(G2483&lt;&gt;"",G2483&lt;&gt;0,G2483&lt;&gt;1),AND(H2483&lt;&gt;"",H2483&lt;&gt;0,H2483&lt;&gt;1)),"Flags devem ser 0 ou 1",IF(AND(H2483=1,LEN(TRIM(I2483))=0),"Preencher nome do indicante",IF(AND(H2483&lt;&gt;1,I2483&lt;&gt;""),"Nome sem indicação interna",IF(AND(G2483=1,F2483=""),"Fechamento sem conversa",IF(OR(AND(E2483&lt;&gt;"",E2483&lt;B2483),AND(F2483&lt;&gt;"",F2483&lt;B2483)),"Evento anterior à entrada",IF(AND(F2483&lt;&gt;"",E2483=""),"Conversa sem agendamento",IF(OR(E2483&gt;TODAY(),F2483&gt;TODAY()),"Verificar evento futuro","OK"))))))))))</f>
        <v/>
      </c>
    </row>
    <row r="2484" spans="12:15">
      <c r="L2484" s="5">
        <f>IF(OR(A2484="",B2484=""),"",B2484-WEEKDAY(B2484,2)+1)</f>
        <v/>
      </c>
      <c r="M2484" s="5">
        <f>IF(L2484="","",L2484+6)</f>
        <v/>
      </c>
      <c r="N2484" s="6">
        <f>IF(OR(A2484="",B2484=""),"",DATE(YEAR(B2484),MONTH(B2484),1))</f>
        <v/>
      </c>
      <c r="O2484" s="7">
        <f>IF(COUNTA(A2484:K2484)=0,"",IF(OR(A2484="",B2484=""),"Preencher CPF e entrada",IF(COUNTIFS($A$12:$A$5011,A2484,$B$12:$B$5011,B2484)&gt;1,"CPF + dia duplicado",IF(OR(AND(G2484&lt;&gt;"",G2484&lt;&gt;0,G2484&lt;&gt;1),AND(H2484&lt;&gt;"",H2484&lt;&gt;0,H2484&lt;&gt;1)),"Flags devem ser 0 ou 1",IF(AND(H2484=1,LEN(TRIM(I2484))=0),"Preencher nome do indicante",IF(AND(H2484&lt;&gt;1,I2484&lt;&gt;""),"Nome sem indicação interna",IF(AND(G2484=1,F2484=""),"Fechamento sem conversa",IF(OR(AND(E2484&lt;&gt;"",E2484&lt;B2484),AND(F2484&lt;&gt;"",F2484&lt;B2484)),"Evento anterior à entrada",IF(AND(F2484&lt;&gt;"",E2484=""),"Conversa sem agendamento",IF(OR(E2484&gt;TODAY(),F2484&gt;TODAY()),"Verificar evento futuro","OK"))))))))))</f>
        <v/>
      </c>
    </row>
    <row r="2485" spans="12:15">
      <c r="L2485" s="5">
        <f>IF(OR(A2485="",B2485=""),"",B2485-WEEKDAY(B2485,2)+1)</f>
        <v/>
      </c>
      <c r="M2485" s="5">
        <f>IF(L2485="","",L2485+6)</f>
        <v/>
      </c>
      <c r="N2485" s="6">
        <f>IF(OR(A2485="",B2485=""),"",DATE(YEAR(B2485),MONTH(B2485),1))</f>
        <v/>
      </c>
      <c r="O2485" s="7">
        <f>IF(COUNTA(A2485:K2485)=0,"",IF(OR(A2485="",B2485=""),"Preencher CPF e entrada",IF(COUNTIFS($A$12:$A$5011,A2485,$B$12:$B$5011,B2485)&gt;1,"CPF + dia duplicado",IF(OR(AND(G2485&lt;&gt;"",G2485&lt;&gt;0,G2485&lt;&gt;1),AND(H2485&lt;&gt;"",H2485&lt;&gt;0,H2485&lt;&gt;1)),"Flags devem ser 0 ou 1",IF(AND(H2485=1,LEN(TRIM(I2485))=0),"Preencher nome do indicante",IF(AND(H2485&lt;&gt;1,I2485&lt;&gt;""),"Nome sem indicação interna",IF(AND(G2485=1,F2485=""),"Fechamento sem conversa",IF(OR(AND(E2485&lt;&gt;"",E2485&lt;B2485),AND(F2485&lt;&gt;"",F2485&lt;B2485)),"Evento anterior à entrada",IF(AND(F2485&lt;&gt;"",E2485=""),"Conversa sem agendamento",IF(OR(E2485&gt;TODAY(),F2485&gt;TODAY()),"Verificar evento futuro","OK"))))))))))</f>
        <v/>
      </c>
    </row>
    <row r="2486" spans="12:15">
      <c r="L2486" s="5">
        <f>IF(OR(A2486="",B2486=""),"",B2486-WEEKDAY(B2486,2)+1)</f>
        <v/>
      </c>
      <c r="M2486" s="5">
        <f>IF(L2486="","",L2486+6)</f>
        <v/>
      </c>
      <c r="N2486" s="6">
        <f>IF(OR(A2486="",B2486=""),"",DATE(YEAR(B2486),MONTH(B2486),1))</f>
        <v/>
      </c>
      <c r="O2486" s="7">
        <f>IF(COUNTA(A2486:K2486)=0,"",IF(OR(A2486="",B2486=""),"Preencher CPF e entrada",IF(COUNTIFS($A$12:$A$5011,A2486,$B$12:$B$5011,B2486)&gt;1,"CPF + dia duplicado",IF(OR(AND(G2486&lt;&gt;"",G2486&lt;&gt;0,G2486&lt;&gt;1),AND(H2486&lt;&gt;"",H2486&lt;&gt;0,H2486&lt;&gt;1)),"Flags devem ser 0 ou 1",IF(AND(H2486=1,LEN(TRIM(I2486))=0),"Preencher nome do indicante",IF(AND(H2486&lt;&gt;1,I2486&lt;&gt;""),"Nome sem indicação interna",IF(AND(G2486=1,F2486=""),"Fechamento sem conversa",IF(OR(AND(E2486&lt;&gt;"",E2486&lt;B2486),AND(F2486&lt;&gt;"",F2486&lt;B2486)),"Evento anterior à entrada",IF(AND(F2486&lt;&gt;"",E2486=""),"Conversa sem agendamento",IF(OR(E2486&gt;TODAY(),F2486&gt;TODAY()),"Verificar evento futuro","OK"))))))))))</f>
        <v/>
      </c>
    </row>
    <row r="2487" spans="12:15">
      <c r="L2487" s="5">
        <f>IF(OR(A2487="",B2487=""),"",B2487-WEEKDAY(B2487,2)+1)</f>
        <v/>
      </c>
      <c r="M2487" s="5">
        <f>IF(L2487="","",L2487+6)</f>
        <v/>
      </c>
      <c r="N2487" s="6">
        <f>IF(OR(A2487="",B2487=""),"",DATE(YEAR(B2487),MONTH(B2487),1))</f>
        <v/>
      </c>
      <c r="O2487" s="7">
        <f>IF(COUNTA(A2487:K2487)=0,"",IF(OR(A2487="",B2487=""),"Preencher CPF e entrada",IF(COUNTIFS($A$12:$A$5011,A2487,$B$12:$B$5011,B2487)&gt;1,"CPF + dia duplicado",IF(OR(AND(G2487&lt;&gt;"",G2487&lt;&gt;0,G2487&lt;&gt;1),AND(H2487&lt;&gt;"",H2487&lt;&gt;0,H2487&lt;&gt;1)),"Flags devem ser 0 ou 1",IF(AND(H2487=1,LEN(TRIM(I2487))=0),"Preencher nome do indicante",IF(AND(H2487&lt;&gt;1,I2487&lt;&gt;""),"Nome sem indicação interna",IF(AND(G2487=1,F2487=""),"Fechamento sem conversa",IF(OR(AND(E2487&lt;&gt;"",E2487&lt;B2487),AND(F2487&lt;&gt;"",F2487&lt;B2487)),"Evento anterior à entrada",IF(AND(F2487&lt;&gt;"",E2487=""),"Conversa sem agendamento",IF(OR(E2487&gt;TODAY(),F2487&gt;TODAY()),"Verificar evento futuro","OK"))))))))))</f>
        <v/>
      </c>
    </row>
    <row r="2488" spans="12:15">
      <c r="L2488" s="5">
        <f>IF(OR(A2488="",B2488=""),"",B2488-WEEKDAY(B2488,2)+1)</f>
        <v/>
      </c>
      <c r="M2488" s="5">
        <f>IF(L2488="","",L2488+6)</f>
        <v/>
      </c>
      <c r="N2488" s="6">
        <f>IF(OR(A2488="",B2488=""),"",DATE(YEAR(B2488),MONTH(B2488),1))</f>
        <v/>
      </c>
      <c r="O2488" s="7">
        <f>IF(COUNTA(A2488:K2488)=0,"",IF(OR(A2488="",B2488=""),"Preencher CPF e entrada",IF(COUNTIFS($A$12:$A$5011,A2488,$B$12:$B$5011,B2488)&gt;1,"CPF + dia duplicado",IF(OR(AND(G2488&lt;&gt;"",G2488&lt;&gt;0,G2488&lt;&gt;1),AND(H2488&lt;&gt;"",H2488&lt;&gt;0,H2488&lt;&gt;1)),"Flags devem ser 0 ou 1",IF(AND(H2488=1,LEN(TRIM(I2488))=0),"Preencher nome do indicante",IF(AND(H2488&lt;&gt;1,I2488&lt;&gt;""),"Nome sem indicação interna",IF(AND(G2488=1,F2488=""),"Fechamento sem conversa",IF(OR(AND(E2488&lt;&gt;"",E2488&lt;B2488),AND(F2488&lt;&gt;"",F2488&lt;B2488)),"Evento anterior à entrada",IF(AND(F2488&lt;&gt;"",E2488=""),"Conversa sem agendamento",IF(OR(E2488&gt;TODAY(),F2488&gt;TODAY()),"Verificar evento futuro","OK"))))))))))</f>
        <v/>
      </c>
    </row>
    <row r="2489" spans="12:15">
      <c r="L2489" s="5">
        <f>IF(OR(A2489="",B2489=""),"",B2489-WEEKDAY(B2489,2)+1)</f>
        <v/>
      </c>
      <c r="M2489" s="5">
        <f>IF(L2489="","",L2489+6)</f>
        <v/>
      </c>
      <c r="N2489" s="6">
        <f>IF(OR(A2489="",B2489=""),"",DATE(YEAR(B2489),MONTH(B2489),1))</f>
        <v/>
      </c>
      <c r="O2489" s="7">
        <f>IF(COUNTA(A2489:K2489)=0,"",IF(OR(A2489="",B2489=""),"Preencher CPF e entrada",IF(COUNTIFS($A$12:$A$5011,A2489,$B$12:$B$5011,B2489)&gt;1,"CPF + dia duplicado",IF(OR(AND(G2489&lt;&gt;"",G2489&lt;&gt;0,G2489&lt;&gt;1),AND(H2489&lt;&gt;"",H2489&lt;&gt;0,H2489&lt;&gt;1)),"Flags devem ser 0 ou 1",IF(AND(H2489=1,LEN(TRIM(I2489))=0),"Preencher nome do indicante",IF(AND(H2489&lt;&gt;1,I2489&lt;&gt;""),"Nome sem indicação interna",IF(AND(G2489=1,F2489=""),"Fechamento sem conversa",IF(OR(AND(E2489&lt;&gt;"",E2489&lt;B2489),AND(F2489&lt;&gt;"",F2489&lt;B2489)),"Evento anterior à entrada",IF(AND(F2489&lt;&gt;"",E2489=""),"Conversa sem agendamento",IF(OR(E2489&gt;TODAY(),F2489&gt;TODAY()),"Verificar evento futuro","OK"))))))))))</f>
        <v/>
      </c>
    </row>
    <row r="2490" spans="12:15">
      <c r="L2490" s="5">
        <f>IF(OR(A2490="",B2490=""),"",B2490-WEEKDAY(B2490,2)+1)</f>
        <v/>
      </c>
      <c r="M2490" s="5">
        <f>IF(L2490="","",L2490+6)</f>
        <v/>
      </c>
      <c r="N2490" s="6">
        <f>IF(OR(A2490="",B2490=""),"",DATE(YEAR(B2490),MONTH(B2490),1))</f>
        <v/>
      </c>
      <c r="O2490" s="7">
        <f>IF(COUNTA(A2490:K2490)=0,"",IF(OR(A2490="",B2490=""),"Preencher CPF e entrada",IF(COUNTIFS($A$12:$A$5011,A2490,$B$12:$B$5011,B2490)&gt;1,"CPF + dia duplicado",IF(OR(AND(G2490&lt;&gt;"",G2490&lt;&gt;0,G2490&lt;&gt;1),AND(H2490&lt;&gt;"",H2490&lt;&gt;0,H2490&lt;&gt;1)),"Flags devem ser 0 ou 1",IF(AND(H2490=1,LEN(TRIM(I2490))=0),"Preencher nome do indicante",IF(AND(H2490&lt;&gt;1,I2490&lt;&gt;""),"Nome sem indicação interna",IF(AND(G2490=1,F2490=""),"Fechamento sem conversa",IF(OR(AND(E2490&lt;&gt;"",E2490&lt;B2490),AND(F2490&lt;&gt;"",F2490&lt;B2490)),"Evento anterior à entrada",IF(AND(F2490&lt;&gt;"",E2490=""),"Conversa sem agendamento",IF(OR(E2490&gt;TODAY(),F2490&gt;TODAY()),"Verificar evento futuro","OK"))))))))))</f>
        <v/>
      </c>
    </row>
    <row r="2491" spans="12:15">
      <c r="L2491" s="5">
        <f>IF(OR(A2491="",B2491=""),"",B2491-WEEKDAY(B2491,2)+1)</f>
        <v/>
      </c>
      <c r="M2491" s="5">
        <f>IF(L2491="","",L2491+6)</f>
        <v/>
      </c>
      <c r="N2491" s="6">
        <f>IF(OR(A2491="",B2491=""),"",DATE(YEAR(B2491),MONTH(B2491),1))</f>
        <v/>
      </c>
      <c r="O2491" s="7">
        <f>IF(COUNTA(A2491:K2491)=0,"",IF(OR(A2491="",B2491=""),"Preencher CPF e entrada",IF(COUNTIFS($A$12:$A$5011,A2491,$B$12:$B$5011,B2491)&gt;1,"CPF + dia duplicado",IF(OR(AND(G2491&lt;&gt;"",G2491&lt;&gt;0,G2491&lt;&gt;1),AND(H2491&lt;&gt;"",H2491&lt;&gt;0,H2491&lt;&gt;1)),"Flags devem ser 0 ou 1",IF(AND(H2491=1,LEN(TRIM(I2491))=0),"Preencher nome do indicante",IF(AND(H2491&lt;&gt;1,I2491&lt;&gt;""),"Nome sem indicação interna",IF(AND(G2491=1,F2491=""),"Fechamento sem conversa",IF(OR(AND(E2491&lt;&gt;"",E2491&lt;B2491),AND(F2491&lt;&gt;"",F2491&lt;B2491)),"Evento anterior à entrada",IF(AND(F2491&lt;&gt;"",E2491=""),"Conversa sem agendamento",IF(OR(E2491&gt;TODAY(),F2491&gt;TODAY()),"Verificar evento futuro","OK"))))))))))</f>
        <v/>
      </c>
    </row>
    <row r="2492" spans="12:15">
      <c r="L2492" s="5">
        <f>IF(OR(A2492="",B2492=""),"",B2492-WEEKDAY(B2492,2)+1)</f>
        <v/>
      </c>
      <c r="M2492" s="5">
        <f>IF(L2492="","",L2492+6)</f>
        <v/>
      </c>
      <c r="N2492" s="6">
        <f>IF(OR(A2492="",B2492=""),"",DATE(YEAR(B2492),MONTH(B2492),1))</f>
        <v/>
      </c>
      <c r="O2492" s="7">
        <f>IF(COUNTA(A2492:K2492)=0,"",IF(OR(A2492="",B2492=""),"Preencher CPF e entrada",IF(COUNTIFS($A$12:$A$5011,A2492,$B$12:$B$5011,B2492)&gt;1,"CPF + dia duplicado",IF(OR(AND(G2492&lt;&gt;"",G2492&lt;&gt;0,G2492&lt;&gt;1),AND(H2492&lt;&gt;"",H2492&lt;&gt;0,H2492&lt;&gt;1)),"Flags devem ser 0 ou 1",IF(AND(H2492=1,LEN(TRIM(I2492))=0),"Preencher nome do indicante",IF(AND(H2492&lt;&gt;1,I2492&lt;&gt;""),"Nome sem indicação interna",IF(AND(G2492=1,F2492=""),"Fechamento sem conversa",IF(OR(AND(E2492&lt;&gt;"",E2492&lt;B2492),AND(F2492&lt;&gt;"",F2492&lt;B2492)),"Evento anterior à entrada",IF(AND(F2492&lt;&gt;"",E2492=""),"Conversa sem agendamento",IF(OR(E2492&gt;TODAY(),F2492&gt;TODAY()),"Verificar evento futuro","OK"))))))))))</f>
        <v/>
      </c>
    </row>
    <row r="2493" spans="12:15">
      <c r="L2493" s="5">
        <f>IF(OR(A2493="",B2493=""),"",B2493-WEEKDAY(B2493,2)+1)</f>
        <v/>
      </c>
      <c r="M2493" s="5">
        <f>IF(L2493="","",L2493+6)</f>
        <v/>
      </c>
      <c r="N2493" s="6">
        <f>IF(OR(A2493="",B2493=""),"",DATE(YEAR(B2493),MONTH(B2493),1))</f>
        <v/>
      </c>
      <c r="O2493" s="7">
        <f>IF(COUNTA(A2493:K2493)=0,"",IF(OR(A2493="",B2493=""),"Preencher CPF e entrada",IF(COUNTIFS($A$12:$A$5011,A2493,$B$12:$B$5011,B2493)&gt;1,"CPF + dia duplicado",IF(OR(AND(G2493&lt;&gt;"",G2493&lt;&gt;0,G2493&lt;&gt;1),AND(H2493&lt;&gt;"",H2493&lt;&gt;0,H2493&lt;&gt;1)),"Flags devem ser 0 ou 1",IF(AND(H2493=1,LEN(TRIM(I2493))=0),"Preencher nome do indicante",IF(AND(H2493&lt;&gt;1,I2493&lt;&gt;""),"Nome sem indicação interna",IF(AND(G2493=1,F2493=""),"Fechamento sem conversa",IF(OR(AND(E2493&lt;&gt;"",E2493&lt;B2493),AND(F2493&lt;&gt;"",F2493&lt;B2493)),"Evento anterior à entrada",IF(AND(F2493&lt;&gt;"",E2493=""),"Conversa sem agendamento",IF(OR(E2493&gt;TODAY(),F2493&gt;TODAY()),"Verificar evento futuro","OK"))))))))))</f>
        <v/>
      </c>
    </row>
    <row r="2494" spans="12:15">
      <c r="L2494" s="5">
        <f>IF(OR(A2494="",B2494=""),"",B2494-WEEKDAY(B2494,2)+1)</f>
        <v/>
      </c>
      <c r="M2494" s="5">
        <f>IF(L2494="","",L2494+6)</f>
        <v/>
      </c>
      <c r="N2494" s="6">
        <f>IF(OR(A2494="",B2494=""),"",DATE(YEAR(B2494),MONTH(B2494),1))</f>
        <v/>
      </c>
      <c r="O2494" s="7">
        <f>IF(COUNTA(A2494:K2494)=0,"",IF(OR(A2494="",B2494=""),"Preencher CPF e entrada",IF(COUNTIFS($A$12:$A$5011,A2494,$B$12:$B$5011,B2494)&gt;1,"CPF + dia duplicado",IF(OR(AND(G2494&lt;&gt;"",G2494&lt;&gt;0,G2494&lt;&gt;1),AND(H2494&lt;&gt;"",H2494&lt;&gt;0,H2494&lt;&gt;1)),"Flags devem ser 0 ou 1",IF(AND(H2494=1,LEN(TRIM(I2494))=0),"Preencher nome do indicante",IF(AND(H2494&lt;&gt;1,I2494&lt;&gt;""),"Nome sem indicação interna",IF(AND(G2494=1,F2494=""),"Fechamento sem conversa",IF(OR(AND(E2494&lt;&gt;"",E2494&lt;B2494),AND(F2494&lt;&gt;"",F2494&lt;B2494)),"Evento anterior à entrada",IF(AND(F2494&lt;&gt;"",E2494=""),"Conversa sem agendamento",IF(OR(E2494&gt;TODAY(),F2494&gt;TODAY()),"Verificar evento futuro","OK"))))))))))</f>
        <v/>
      </c>
    </row>
    <row r="2495" spans="12:15">
      <c r="L2495" s="5">
        <f>IF(OR(A2495="",B2495=""),"",B2495-WEEKDAY(B2495,2)+1)</f>
        <v/>
      </c>
      <c r="M2495" s="5">
        <f>IF(L2495="","",L2495+6)</f>
        <v/>
      </c>
      <c r="N2495" s="6">
        <f>IF(OR(A2495="",B2495=""),"",DATE(YEAR(B2495),MONTH(B2495),1))</f>
        <v/>
      </c>
      <c r="O2495" s="7">
        <f>IF(COUNTA(A2495:K2495)=0,"",IF(OR(A2495="",B2495=""),"Preencher CPF e entrada",IF(COUNTIFS($A$12:$A$5011,A2495,$B$12:$B$5011,B2495)&gt;1,"CPF + dia duplicado",IF(OR(AND(G2495&lt;&gt;"",G2495&lt;&gt;0,G2495&lt;&gt;1),AND(H2495&lt;&gt;"",H2495&lt;&gt;0,H2495&lt;&gt;1)),"Flags devem ser 0 ou 1",IF(AND(H2495=1,LEN(TRIM(I2495))=0),"Preencher nome do indicante",IF(AND(H2495&lt;&gt;1,I2495&lt;&gt;""),"Nome sem indicação interna",IF(AND(G2495=1,F2495=""),"Fechamento sem conversa",IF(OR(AND(E2495&lt;&gt;"",E2495&lt;B2495),AND(F2495&lt;&gt;"",F2495&lt;B2495)),"Evento anterior à entrada",IF(AND(F2495&lt;&gt;"",E2495=""),"Conversa sem agendamento",IF(OR(E2495&gt;TODAY(),F2495&gt;TODAY()),"Verificar evento futuro","OK"))))))))))</f>
        <v/>
      </c>
    </row>
    <row r="2496" spans="12:15">
      <c r="L2496" s="5">
        <f>IF(OR(A2496="",B2496=""),"",B2496-WEEKDAY(B2496,2)+1)</f>
        <v/>
      </c>
      <c r="M2496" s="5">
        <f>IF(L2496="","",L2496+6)</f>
        <v/>
      </c>
      <c r="N2496" s="6">
        <f>IF(OR(A2496="",B2496=""),"",DATE(YEAR(B2496),MONTH(B2496),1))</f>
        <v/>
      </c>
      <c r="O2496" s="7">
        <f>IF(COUNTA(A2496:K2496)=0,"",IF(OR(A2496="",B2496=""),"Preencher CPF e entrada",IF(COUNTIFS($A$12:$A$5011,A2496,$B$12:$B$5011,B2496)&gt;1,"CPF + dia duplicado",IF(OR(AND(G2496&lt;&gt;"",G2496&lt;&gt;0,G2496&lt;&gt;1),AND(H2496&lt;&gt;"",H2496&lt;&gt;0,H2496&lt;&gt;1)),"Flags devem ser 0 ou 1",IF(AND(H2496=1,LEN(TRIM(I2496))=0),"Preencher nome do indicante",IF(AND(H2496&lt;&gt;1,I2496&lt;&gt;""),"Nome sem indicação interna",IF(AND(G2496=1,F2496=""),"Fechamento sem conversa",IF(OR(AND(E2496&lt;&gt;"",E2496&lt;B2496),AND(F2496&lt;&gt;"",F2496&lt;B2496)),"Evento anterior à entrada",IF(AND(F2496&lt;&gt;"",E2496=""),"Conversa sem agendamento",IF(OR(E2496&gt;TODAY(),F2496&gt;TODAY()),"Verificar evento futuro","OK"))))))))))</f>
        <v/>
      </c>
    </row>
    <row r="2497" spans="12:15">
      <c r="L2497" s="5">
        <f>IF(OR(A2497="",B2497=""),"",B2497-WEEKDAY(B2497,2)+1)</f>
        <v/>
      </c>
      <c r="M2497" s="5">
        <f>IF(L2497="","",L2497+6)</f>
        <v/>
      </c>
      <c r="N2497" s="6">
        <f>IF(OR(A2497="",B2497=""),"",DATE(YEAR(B2497),MONTH(B2497),1))</f>
        <v/>
      </c>
      <c r="O2497" s="7">
        <f>IF(COUNTA(A2497:K2497)=0,"",IF(OR(A2497="",B2497=""),"Preencher CPF e entrada",IF(COUNTIFS($A$12:$A$5011,A2497,$B$12:$B$5011,B2497)&gt;1,"CPF + dia duplicado",IF(OR(AND(G2497&lt;&gt;"",G2497&lt;&gt;0,G2497&lt;&gt;1),AND(H2497&lt;&gt;"",H2497&lt;&gt;0,H2497&lt;&gt;1)),"Flags devem ser 0 ou 1",IF(AND(H2497=1,LEN(TRIM(I2497))=0),"Preencher nome do indicante",IF(AND(H2497&lt;&gt;1,I2497&lt;&gt;""),"Nome sem indicação interna",IF(AND(G2497=1,F2497=""),"Fechamento sem conversa",IF(OR(AND(E2497&lt;&gt;"",E2497&lt;B2497),AND(F2497&lt;&gt;"",F2497&lt;B2497)),"Evento anterior à entrada",IF(AND(F2497&lt;&gt;"",E2497=""),"Conversa sem agendamento",IF(OR(E2497&gt;TODAY(),F2497&gt;TODAY()),"Verificar evento futuro","OK"))))))))))</f>
        <v/>
      </c>
    </row>
    <row r="2498" spans="12:15">
      <c r="L2498" s="5">
        <f>IF(OR(A2498="",B2498=""),"",B2498-WEEKDAY(B2498,2)+1)</f>
        <v/>
      </c>
      <c r="M2498" s="5">
        <f>IF(L2498="","",L2498+6)</f>
        <v/>
      </c>
      <c r="N2498" s="6">
        <f>IF(OR(A2498="",B2498=""),"",DATE(YEAR(B2498),MONTH(B2498),1))</f>
        <v/>
      </c>
      <c r="O2498" s="7">
        <f>IF(COUNTA(A2498:K2498)=0,"",IF(OR(A2498="",B2498=""),"Preencher CPF e entrada",IF(COUNTIFS($A$12:$A$5011,A2498,$B$12:$B$5011,B2498)&gt;1,"CPF + dia duplicado",IF(OR(AND(G2498&lt;&gt;"",G2498&lt;&gt;0,G2498&lt;&gt;1),AND(H2498&lt;&gt;"",H2498&lt;&gt;0,H2498&lt;&gt;1)),"Flags devem ser 0 ou 1",IF(AND(H2498=1,LEN(TRIM(I2498))=0),"Preencher nome do indicante",IF(AND(H2498&lt;&gt;1,I2498&lt;&gt;""),"Nome sem indicação interna",IF(AND(G2498=1,F2498=""),"Fechamento sem conversa",IF(OR(AND(E2498&lt;&gt;"",E2498&lt;B2498),AND(F2498&lt;&gt;"",F2498&lt;B2498)),"Evento anterior à entrada",IF(AND(F2498&lt;&gt;"",E2498=""),"Conversa sem agendamento",IF(OR(E2498&gt;TODAY(),F2498&gt;TODAY()),"Verificar evento futuro","OK"))))))))))</f>
        <v/>
      </c>
    </row>
    <row r="2499" spans="12:15">
      <c r="L2499" s="5">
        <f>IF(OR(A2499="",B2499=""),"",B2499-WEEKDAY(B2499,2)+1)</f>
        <v/>
      </c>
      <c r="M2499" s="5">
        <f>IF(L2499="","",L2499+6)</f>
        <v/>
      </c>
      <c r="N2499" s="6">
        <f>IF(OR(A2499="",B2499=""),"",DATE(YEAR(B2499),MONTH(B2499),1))</f>
        <v/>
      </c>
      <c r="O2499" s="7">
        <f>IF(COUNTA(A2499:K2499)=0,"",IF(OR(A2499="",B2499=""),"Preencher CPF e entrada",IF(COUNTIFS($A$12:$A$5011,A2499,$B$12:$B$5011,B2499)&gt;1,"CPF + dia duplicado",IF(OR(AND(G2499&lt;&gt;"",G2499&lt;&gt;0,G2499&lt;&gt;1),AND(H2499&lt;&gt;"",H2499&lt;&gt;0,H2499&lt;&gt;1)),"Flags devem ser 0 ou 1",IF(AND(H2499=1,LEN(TRIM(I2499))=0),"Preencher nome do indicante",IF(AND(H2499&lt;&gt;1,I2499&lt;&gt;""),"Nome sem indicação interna",IF(AND(G2499=1,F2499=""),"Fechamento sem conversa",IF(OR(AND(E2499&lt;&gt;"",E2499&lt;B2499),AND(F2499&lt;&gt;"",F2499&lt;B2499)),"Evento anterior à entrada",IF(AND(F2499&lt;&gt;"",E2499=""),"Conversa sem agendamento",IF(OR(E2499&gt;TODAY(),F2499&gt;TODAY()),"Verificar evento futuro","OK"))))))))))</f>
        <v/>
      </c>
    </row>
    <row r="2500" spans="12:15">
      <c r="L2500" s="5">
        <f>IF(OR(A2500="",B2500=""),"",B2500-WEEKDAY(B2500,2)+1)</f>
        <v/>
      </c>
      <c r="M2500" s="5">
        <f>IF(L2500="","",L2500+6)</f>
        <v/>
      </c>
      <c r="N2500" s="6">
        <f>IF(OR(A2500="",B2500=""),"",DATE(YEAR(B2500),MONTH(B2500),1))</f>
        <v/>
      </c>
      <c r="O2500" s="7">
        <f>IF(COUNTA(A2500:K2500)=0,"",IF(OR(A2500="",B2500=""),"Preencher CPF e entrada",IF(COUNTIFS($A$12:$A$5011,A2500,$B$12:$B$5011,B2500)&gt;1,"CPF + dia duplicado",IF(OR(AND(G2500&lt;&gt;"",G2500&lt;&gt;0,G2500&lt;&gt;1),AND(H2500&lt;&gt;"",H2500&lt;&gt;0,H2500&lt;&gt;1)),"Flags devem ser 0 ou 1",IF(AND(H2500=1,LEN(TRIM(I2500))=0),"Preencher nome do indicante",IF(AND(H2500&lt;&gt;1,I2500&lt;&gt;""),"Nome sem indicação interna",IF(AND(G2500=1,F2500=""),"Fechamento sem conversa",IF(OR(AND(E2500&lt;&gt;"",E2500&lt;B2500),AND(F2500&lt;&gt;"",F2500&lt;B2500)),"Evento anterior à entrada",IF(AND(F2500&lt;&gt;"",E2500=""),"Conversa sem agendamento",IF(OR(E2500&gt;TODAY(),F2500&gt;TODAY()),"Verificar evento futuro","OK"))))))))))</f>
        <v/>
      </c>
    </row>
    <row r="2501" spans="12:15">
      <c r="L2501" s="5">
        <f>IF(OR(A2501="",B2501=""),"",B2501-WEEKDAY(B2501,2)+1)</f>
        <v/>
      </c>
      <c r="M2501" s="5">
        <f>IF(L2501="","",L2501+6)</f>
        <v/>
      </c>
      <c r="N2501" s="6">
        <f>IF(OR(A2501="",B2501=""),"",DATE(YEAR(B2501),MONTH(B2501),1))</f>
        <v/>
      </c>
      <c r="O2501" s="7">
        <f>IF(COUNTA(A2501:K2501)=0,"",IF(OR(A2501="",B2501=""),"Preencher CPF e entrada",IF(COUNTIFS($A$12:$A$5011,A2501,$B$12:$B$5011,B2501)&gt;1,"CPF + dia duplicado",IF(OR(AND(G2501&lt;&gt;"",G2501&lt;&gt;0,G2501&lt;&gt;1),AND(H2501&lt;&gt;"",H2501&lt;&gt;0,H2501&lt;&gt;1)),"Flags devem ser 0 ou 1",IF(AND(H2501=1,LEN(TRIM(I2501))=0),"Preencher nome do indicante",IF(AND(H2501&lt;&gt;1,I2501&lt;&gt;""),"Nome sem indicação interna",IF(AND(G2501=1,F2501=""),"Fechamento sem conversa",IF(OR(AND(E2501&lt;&gt;"",E2501&lt;B2501),AND(F2501&lt;&gt;"",F2501&lt;B2501)),"Evento anterior à entrada",IF(AND(F2501&lt;&gt;"",E2501=""),"Conversa sem agendamento",IF(OR(E2501&gt;TODAY(),F2501&gt;TODAY()),"Verificar evento futuro","OK"))))))))))</f>
        <v/>
      </c>
    </row>
    <row r="2502" spans="12:15">
      <c r="L2502" s="5">
        <f>IF(OR(A2502="",B2502=""),"",B2502-WEEKDAY(B2502,2)+1)</f>
        <v/>
      </c>
      <c r="M2502" s="5">
        <f>IF(L2502="","",L2502+6)</f>
        <v/>
      </c>
      <c r="N2502" s="6">
        <f>IF(OR(A2502="",B2502=""),"",DATE(YEAR(B2502),MONTH(B2502),1))</f>
        <v/>
      </c>
      <c r="O2502" s="7">
        <f>IF(COUNTA(A2502:K2502)=0,"",IF(OR(A2502="",B2502=""),"Preencher CPF e entrada",IF(COUNTIFS($A$12:$A$5011,A2502,$B$12:$B$5011,B2502)&gt;1,"CPF + dia duplicado",IF(OR(AND(G2502&lt;&gt;"",G2502&lt;&gt;0,G2502&lt;&gt;1),AND(H2502&lt;&gt;"",H2502&lt;&gt;0,H2502&lt;&gt;1)),"Flags devem ser 0 ou 1",IF(AND(H2502=1,LEN(TRIM(I2502))=0),"Preencher nome do indicante",IF(AND(H2502&lt;&gt;1,I2502&lt;&gt;""),"Nome sem indicação interna",IF(AND(G2502=1,F2502=""),"Fechamento sem conversa",IF(OR(AND(E2502&lt;&gt;"",E2502&lt;B2502),AND(F2502&lt;&gt;"",F2502&lt;B2502)),"Evento anterior à entrada",IF(AND(F2502&lt;&gt;"",E2502=""),"Conversa sem agendamento",IF(OR(E2502&gt;TODAY(),F2502&gt;TODAY()),"Verificar evento futuro","OK"))))))))))</f>
        <v/>
      </c>
    </row>
    <row r="2503" spans="12:15">
      <c r="L2503" s="5">
        <f>IF(OR(A2503="",B2503=""),"",B2503-WEEKDAY(B2503,2)+1)</f>
        <v/>
      </c>
      <c r="M2503" s="5">
        <f>IF(L2503="","",L2503+6)</f>
        <v/>
      </c>
      <c r="N2503" s="6">
        <f>IF(OR(A2503="",B2503=""),"",DATE(YEAR(B2503),MONTH(B2503),1))</f>
        <v/>
      </c>
      <c r="O2503" s="7">
        <f>IF(COUNTA(A2503:K2503)=0,"",IF(OR(A2503="",B2503=""),"Preencher CPF e entrada",IF(COUNTIFS($A$12:$A$5011,A2503,$B$12:$B$5011,B2503)&gt;1,"CPF + dia duplicado",IF(OR(AND(G2503&lt;&gt;"",G2503&lt;&gt;0,G2503&lt;&gt;1),AND(H2503&lt;&gt;"",H2503&lt;&gt;0,H2503&lt;&gt;1)),"Flags devem ser 0 ou 1",IF(AND(H2503=1,LEN(TRIM(I2503))=0),"Preencher nome do indicante",IF(AND(H2503&lt;&gt;1,I2503&lt;&gt;""),"Nome sem indicação interna",IF(AND(G2503=1,F2503=""),"Fechamento sem conversa",IF(OR(AND(E2503&lt;&gt;"",E2503&lt;B2503),AND(F2503&lt;&gt;"",F2503&lt;B2503)),"Evento anterior à entrada",IF(AND(F2503&lt;&gt;"",E2503=""),"Conversa sem agendamento",IF(OR(E2503&gt;TODAY(),F2503&gt;TODAY()),"Verificar evento futuro","OK"))))))))))</f>
        <v/>
      </c>
    </row>
    <row r="2504" spans="12:15">
      <c r="L2504" s="5">
        <f>IF(OR(A2504="",B2504=""),"",B2504-WEEKDAY(B2504,2)+1)</f>
        <v/>
      </c>
      <c r="M2504" s="5">
        <f>IF(L2504="","",L2504+6)</f>
        <v/>
      </c>
      <c r="N2504" s="6">
        <f>IF(OR(A2504="",B2504=""),"",DATE(YEAR(B2504),MONTH(B2504),1))</f>
        <v/>
      </c>
      <c r="O2504" s="7">
        <f>IF(COUNTA(A2504:K2504)=0,"",IF(OR(A2504="",B2504=""),"Preencher CPF e entrada",IF(COUNTIFS($A$12:$A$5011,A2504,$B$12:$B$5011,B2504)&gt;1,"CPF + dia duplicado",IF(OR(AND(G2504&lt;&gt;"",G2504&lt;&gt;0,G2504&lt;&gt;1),AND(H2504&lt;&gt;"",H2504&lt;&gt;0,H2504&lt;&gt;1)),"Flags devem ser 0 ou 1",IF(AND(H2504=1,LEN(TRIM(I2504))=0),"Preencher nome do indicante",IF(AND(H2504&lt;&gt;1,I2504&lt;&gt;""),"Nome sem indicação interna",IF(AND(G2504=1,F2504=""),"Fechamento sem conversa",IF(OR(AND(E2504&lt;&gt;"",E2504&lt;B2504),AND(F2504&lt;&gt;"",F2504&lt;B2504)),"Evento anterior à entrada",IF(AND(F2504&lt;&gt;"",E2504=""),"Conversa sem agendamento",IF(OR(E2504&gt;TODAY(),F2504&gt;TODAY()),"Verificar evento futuro","OK"))))))))))</f>
        <v/>
      </c>
    </row>
    <row r="2505" spans="12:15">
      <c r="L2505" s="5">
        <f>IF(OR(A2505="",B2505=""),"",B2505-WEEKDAY(B2505,2)+1)</f>
        <v/>
      </c>
      <c r="M2505" s="5">
        <f>IF(L2505="","",L2505+6)</f>
        <v/>
      </c>
      <c r="N2505" s="6">
        <f>IF(OR(A2505="",B2505=""),"",DATE(YEAR(B2505),MONTH(B2505),1))</f>
        <v/>
      </c>
      <c r="O2505" s="7">
        <f>IF(COUNTA(A2505:K2505)=0,"",IF(OR(A2505="",B2505=""),"Preencher CPF e entrada",IF(COUNTIFS($A$12:$A$5011,A2505,$B$12:$B$5011,B2505)&gt;1,"CPF + dia duplicado",IF(OR(AND(G2505&lt;&gt;"",G2505&lt;&gt;0,G2505&lt;&gt;1),AND(H2505&lt;&gt;"",H2505&lt;&gt;0,H2505&lt;&gt;1)),"Flags devem ser 0 ou 1",IF(AND(H2505=1,LEN(TRIM(I2505))=0),"Preencher nome do indicante",IF(AND(H2505&lt;&gt;1,I2505&lt;&gt;""),"Nome sem indicação interna",IF(AND(G2505=1,F2505=""),"Fechamento sem conversa",IF(OR(AND(E2505&lt;&gt;"",E2505&lt;B2505),AND(F2505&lt;&gt;"",F2505&lt;B2505)),"Evento anterior à entrada",IF(AND(F2505&lt;&gt;"",E2505=""),"Conversa sem agendamento",IF(OR(E2505&gt;TODAY(),F2505&gt;TODAY()),"Verificar evento futuro","OK"))))))))))</f>
        <v/>
      </c>
    </row>
    <row r="2506" spans="12:15">
      <c r="L2506" s="5">
        <f>IF(OR(A2506="",B2506=""),"",B2506-WEEKDAY(B2506,2)+1)</f>
        <v/>
      </c>
      <c r="M2506" s="5">
        <f>IF(L2506="","",L2506+6)</f>
        <v/>
      </c>
      <c r="N2506" s="6">
        <f>IF(OR(A2506="",B2506=""),"",DATE(YEAR(B2506),MONTH(B2506),1))</f>
        <v/>
      </c>
      <c r="O2506" s="7">
        <f>IF(COUNTA(A2506:K2506)=0,"",IF(OR(A2506="",B2506=""),"Preencher CPF e entrada",IF(COUNTIFS($A$12:$A$5011,A2506,$B$12:$B$5011,B2506)&gt;1,"CPF + dia duplicado",IF(OR(AND(G2506&lt;&gt;"",G2506&lt;&gt;0,G2506&lt;&gt;1),AND(H2506&lt;&gt;"",H2506&lt;&gt;0,H2506&lt;&gt;1)),"Flags devem ser 0 ou 1",IF(AND(H2506=1,LEN(TRIM(I2506))=0),"Preencher nome do indicante",IF(AND(H2506&lt;&gt;1,I2506&lt;&gt;""),"Nome sem indicação interna",IF(AND(G2506=1,F2506=""),"Fechamento sem conversa",IF(OR(AND(E2506&lt;&gt;"",E2506&lt;B2506),AND(F2506&lt;&gt;"",F2506&lt;B2506)),"Evento anterior à entrada",IF(AND(F2506&lt;&gt;"",E2506=""),"Conversa sem agendamento",IF(OR(E2506&gt;TODAY(),F2506&gt;TODAY()),"Verificar evento futuro","OK"))))))))))</f>
        <v/>
      </c>
    </row>
    <row r="2507" spans="12:15">
      <c r="L2507" s="5">
        <f>IF(OR(A2507="",B2507=""),"",B2507-WEEKDAY(B2507,2)+1)</f>
        <v/>
      </c>
      <c r="M2507" s="5">
        <f>IF(L2507="","",L2507+6)</f>
        <v/>
      </c>
      <c r="N2507" s="6">
        <f>IF(OR(A2507="",B2507=""),"",DATE(YEAR(B2507),MONTH(B2507),1))</f>
        <v/>
      </c>
      <c r="O2507" s="7">
        <f>IF(COUNTA(A2507:K2507)=0,"",IF(OR(A2507="",B2507=""),"Preencher CPF e entrada",IF(COUNTIFS($A$12:$A$5011,A2507,$B$12:$B$5011,B2507)&gt;1,"CPF + dia duplicado",IF(OR(AND(G2507&lt;&gt;"",G2507&lt;&gt;0,G2507&lt;&gt;1),AND(H2507&lt;&gt;"",H2507&lt;&gt;0,H2507&lt;&gt;1)),"Flags devem ser 0 ou 1",IF(AND(H2507=1,LEN(TRIM(I2507))=0),"Preencher nome do indicante",IF(AND(H2507&lt;&gt;1,I2507&lt;&gt;""),"Nome sem indicação interna",IF(AND(G2507=1,F2507=""),"Fechamento sem conversa",IF(OR(AND(E2507&lt;&gt;"",E2507&lt;B2507),AND(F2507&lt;&gt;"",F2507&lt;B2507)),"Evento anterior à entrada",IF(AND(F2507&lt;&gt;"",E2507=""),"Conversa sem agendamento",IF(OR(E2507&gt;TODAY(),F2507&gt;TODAY()),"Verificar evento futuro","OK"))))))))))</f>
        <v/>
      </c>
    </row>
    <row r="2508" spans="12:15">
      <c r="L2508" s="5">
        <f>IF(OR(A2508="",B2508=""),"",B2508-WEEKDAY(B2508,2)+1)</f>
        <v/>
      </c>
      <c r="M2508" s="5">
        <f>IF(L2508="","",L2508+6)</f>
        <v/>
      </c>
      <c r="N2508" s="6">
        <f>IF(OR(A2508="",B2508=""),"",DATE(YEAR(B2508),MONTH(B2508),1))</f>
        <v/>
      </c>
      <c r="O2508" s="7">
        <f>IF(COUNTA(A2508:K2508)=0,"",IF(OR(A2508="",B2508=""),"Preencher CPF e entrada",IF(COUNTIFS($A$12:$A$5011,A2508,$B$12:$B$5011,B2508)&gt;1,"CPF + dia duplicado",IF(OR(AND(G2508&lt;&gt;"",G2508&lt;&gt;0,G2508&lt;&gt;1),AND(H2508&lt;&gt;"",H2508&lt;&gt;0,H2508&lt;&gt;1)),"Flags devem ser 0 ou 1",IF(AND(H2508=1,LEN(TRIM(I2508))=0),"Preencher nome do indicante",IF(AND(H2508&lt;&gt;1,I2508&lt;&gt;""),"Nome sem indicação interna",IF(AND(G2508=1,F2508=""),"Fechamento sem conversa",IF(OR(AND(E2508&lt;&gt;"",E2508&lt;B2508),AND(F2508&lt;&gt;"",F2508&lt;B2508)),"Evento anterior à entrada",IF(AND(F2508&lt;&gt;"",E2508=""),"Conversa sem agendamento",IF(OR(E2508&gt;TODAY(),F2508&gt;TODAY()),"Verificar evento futuro","OK"))))))))))</f>
        <v/>
      </c>
    </row>
    <row r="2509" spans="12:15">
      <c r="L2509" s="5">
        <f>IF(OR(A2509="",B2509=""),"",B2509-WEEKDAY(B2509,2)+1)</f>
        <v/>
      </c>
      <c r="M2509" s="5">
        <f>IF(L2509="","",L2509+6)</f>
        <v/>
      </c>
      <c r="N2509" s="6">
        <f>IF(OR(A2509="",B2509=""),"",DATE(YEAR(B2509),MONTH(B2509),1))</f>
        <v/>
      </c>
      <c r="O2509" s="7">
        <f>IF(COUNTA(A2509:K2509)=0,"",IF(OR(A2509="",B2509=""),"Preencher CPF e entrada",IF(COUNTIFS($A$12:$A$5011,A2509,$B$12:$B$5011,B2509)&gt;1,"CPF + dia duplicado",IF(OR(AND(G2509&lt;&gt;"",G2509&lt;&gt;0,G2509&lt;&gt;1),AND(H2509&lt;&gt;"",H2509&lt;&gt;0,H2509&lt;&gt;1)),"Flags devem ser 0 ou 1",IF(AND(H2509=1,LEN(TRIM(I2509))=0),"Preencher nome do indicante",IF(AND(H2509&lt;&gt;1,I2509&lt;&gt;""),"Nome sem indicação interna",IF(AND(G2509=1,F2509=""),"Fechamento sem conversa",IF(OR(AND(E2509&lt;&gt;"",E2509&lt;B2509),AND(F2509&lt;&gt;"",F2509&lt;B2509)),"Evento anterior à entrada",IF(AND(F2509&lt;&gt;"",E2509=""),"Conversa sem agendamento",IF(OR(E2509&gt;TODAY(),F2509&gt;TODAY()),"Verificar evento futuro","OK"))))))))))</f>
        <v/>
      </c>
    </row>
    <row r="2510" spans="12:15">
      <c r="L2510" s="5">
        <f>IF(OR(A2510="",B2510=""),"",B2510-WEEKDAY(B2510,2)+1)</f>
        <v/>
      </c>
      <c r="M2510" s="5">
        <f>IF(L2510="","",L2510+6)</f>
        <v/>
      </c>
      <c r="N2510" s="6">
        <f>IF(OR(A2510="",B2510=""),"",DATE(YEAR(B2510),MONTH(B2510),1))</f>
        <v/>
      </c>
      <c r="O2510" s="7">
        <f>IF(COUNTA(A2510:K2510)=0,"",IF(OR(A2510="",B2510=""),"Preencher CPF e entrada",IF(COUNTIFS($A$12:$A$5011,A2510,$B$12:$B$5011,B2510)&gt;1,"CPF + dia duplicado",IF(OR(AND(G2510&lt;&gt;"",G2510&lt;&gt;0,G2510&lt;&gt;1),AND(H2510&lt;&gt;"",H2510&lt;&gt;0,H2510&lt;&gt;1)),"Flags devem ser 0 ou 1",IF(AND(H2510=1,LEN(TRIM(I2510))=0),"Preencher nome do indicante",IF(AND(H2510&lt;&gt;1,I2510&lt;&gt;""),"Nome sem indicação interna",IF(AND(G2510=1,F2510=""),"Fechamento sem conversa",IF(OR(AND(E2510&lt;&gt;"",E2510&lt;B2510),AND(F2510&lt;&gt;"",F2510&lt;B2510)),"Evento anterior à entrada",IF(AND(F2510&lt;&gt;"",E2510=""),"Conversa sem agendamento",IF(OR(E2510&gt;TODAY(),F2510&gt;TODAY()),"Verificar evento futuro","OK"))))))))))</f>
        <v/>
      </c>
    </row>
    <row r="2511" spans="12:15">
      <c r="L2511" s="5">
        <f>IF(OR(A2511="",B2511=""),"",B2511-WEEKDAY(B2511,2)+1)</f>
        <v/>
      </c>
      <c r="M2511" s="5">
        <f>IF(L2511="","",L2511+6)</f>
        <v/>
      </c>
      <c r="N2511" s="6">
        <f>IF(OR(A2511="",B2511=""),"",DATE(YEAR(B2511),MONTH(B2511),1))</f>
        <v/>
      </c>
      <c r="O2511" s="7">
        <f>IF(COUNTA(A2511:K2511)=0,"",IF(OR(A2511="",B2511=""),"Preencher CPF e entrada",IF(COUNTIFS($A$12:$A$5011,A2511,$B$12:$B$5011,B2511)&gt;1,"CPF + dia duplicado",IF(OR(AND(G2511&lt;&gt;"",G2511&lt;&gt;0,G2511&lt;&gt;1),AND(H2511&lt;&gt;"",H2511&lt;&gt;0,H2511&lt;&gt;1)),"Flags devem ser 0 ou 1",IF(AND(H2511=1,LEN(TRIM(I2511))=0),"Preencher nome do indicante",IF(AND(H2511&lt;&gt;1,I2511&lt;&gt;""),"Nome sem indicação interna",IF(AND(G2511=1,F2511=""),"Fechamento sem conversa",IF(OR(AND(E2511&lt;&gt;"",E2511&lt;B2511),AND(F2511&lt;&gt;"",F2511&lt;B2511)),"Evento anterior à entrada",IF(AND(F2511&lt;&gt;"",E2511=""),"Conversa sem agendamento",IF(OR(E2511&gt;TODAY(),F2511&gt;TODAY()),"Verificar evento futuro","OK"))))))))))</f>
        <v/>
      </c>
    </row>
    <row r="2512" spans="12:15">
      <c r="L2512" s="5">
        <f>IF(OR(A2512="",B2512=""),"",B2512-WEEKDAY(B2512,2)+1)</f>
        <v/>
      </c>
      <c r="M2512" s="5">
        <f>IF(L2512="","",L2512+6)</f>
        <v/>
      </c>
      <c r="N2512" s="6">
        <f>IF(OR(A2512="",B2512=""),"",DATE(YEAR(B2512),MONTH(B2512),1))</f>
        <v/>
      </c>
      <c r="O2512" s="7">
        <f>IF(COUNTA(A2512:K2512)=0,"",IF(OR(A2512="",B2512=""),"Preencher CPF e entrada",IF(COUNTIFS($A$12:$A$5011,A2512,$B$12:$B$5011,B2512)&gt;1,"CPF + dia duplicado",IF(OR(AND(G2512&lt;&gt;"",G2512&lt;&gt;0,G2512&lt;&gt;1),AND(H2512&lt;&gt;"",H2512&lt;&gt;0,H2512&lt;&gt;1)),"Flags devem ser 0 ou 1",IF(AND(H2512=1,LEN(TRIM(I2512))=0),"Preencher nome do indicante",IF(AND(H2512&lt;&gt;1,I2512&lt;&gt;""),"Nome sem indicação interna",IF(AND(G2512=1,F2512=""),"Fechamento sem conversa",IF(OR(AND(E2512&lt;&gt;"",E2512&lt;B2512),AND(F2512&lt;&gt;"",F2512&lt;B2512)),"Evento anterior à entrada",IF(AND(F2512&lt;&gt;"",E2512=""),"Conversa sem agendamento",IF(OR(E2512&gt;TODAY(),F2512&gt;TODAY()),"Verificar evento futuro","OK"))))))))))</f>
        <v/>
      </c>
    </row>
    <row r="2513" spans="12:15">
      <c r="L2513" s="5">
        <f>IF(OR(A2513="",B2513=""),"",B2513-WEEKDAY(B2513,2)+1)</f>
        <v/>
      </c>
      <c r="M2513" s="5">
        <f>IF(L2513="","",L2513+6)</f>
        <v/>
      </c>
      <c r="N2513" s="6">
        <f>IF(OR(A2513="",B2513=""),"",DATE(YEAR(B2513),MONTH(B2513),1))</f>
        <v/>
      </c>
      <c r="O2513" s="7">
        <f>IF(COUNTA(A2513:K2513)=0,"",IF(OR(A2513="",B2513=""),"Preencher CPF e entrada",IF(COUNTIFS($A$12:$A$5011,A2513,$B$12:$B$5011,B2513)&gt;1,"CPF + dia duplicado",IF(OR(AND(G2513&lt;&gt;"",G2513&lt;&gt;0,G2513&lt;&gt;1),AND(H2513&lt;&gt;"",H2513&lt;&gt;0,H2513&lt;&gt;1)),"Flags devem ser 0 ou 1",IF(AND(H2513=1,LEN(TRIM(I2513))=0),"Preencher nome do indicante",IF(AND(H2513&lt;&gt;1,I2513&lt;&gt;""),"Nome sem indicação interna",IF(AND(G2513=1,F2513=""),"Fechamento sem conversa",IF(OR(AND(E2513&lt;&gt;"",E2513&lt;B2513),AND(F2513&lt;&gt;"",F2513&lt;B2513)),"Evento anterior à entrada",IF(AND(F2513&lt;&gt;"",E2513=""),"Conversa sem agendamento",IF(OR(E2513&gt;TODAY(),F2513&gt;TODAY()),"Verificar evento futuro","OK"))))))))))</f>
        <v/>
      </c>
    </row>
    <row r="2514" spans="12:15">
      <c r="L2514" s="5">
        <f>IF(OR(A2514="",B2514=""),"",B2514-WEEKDAY(B2514,2)+1)</f>
        <v/>
      </c>
      <c r="M2514" s="5">
        <f>IF(L2514="","",L2514+6)</f>
        <v/>
      </c>
      <c r="N2514" s="6">
        <f>IF(OR(A2514="",B2514=""),"",DATE(YEAR(B2514),MONTH(B2514),1))</f>
        <v/>
      </c>
      <c r="O2514" s="7">
        <f>IF(COUNTA(A2514:K2514)=0,"",IF(OR(A2514="",B2514=""),"Preencher CPF e entrada",IF(COUNTIFS($A$12:$A$5011,A2514,$B$12:$B$5011,B2514)&gt;1,"CPF + dia duplicado",IF(OR(AND(G2514&lt;&gt;"",G2514&lt;&gt;0,G2514&lt;&gt;1),AND(H2514&lt;&gt;"",H2514&lt;&gt;0,H2514&lt;&gt;1)),"Flags devem ser 0 ou 1",IF(AND(H2514=1,LEN(TRIM(I2514))=0),"Preencher nome do indicante",IF(AND(H2514&lt;&gt;1,I2514&lt;&gt;""),"Nome sem indicação interna",IF(AND(G2514=1,F2514=""),"Fechamento sem conversa",IF(OR(AND(E2514&lt;&gt;"",E2514&lt;B2514),AND(F2514&lt;&gt;"",F2514&lt;B2514)),"Evento anterior à entrada",IF(AND(F2514&lt;&gt;"",E2514=""),"Conversa sem agendamento",IF(OR(E2514&gt;TODAY(),F2514&gt;TODAY()),"Verificar evento futuro","OK"))))))))))</f>
        <v/>
      </c>
    </row>
    <row r="2515" spans="12:15">
      <c r="L2515" s="5">
        <f>IF(OR(A2515="",B2515=""),"",B2515-WEEKDAY(B2515,2)+1)</f>
        <v/>
      </c>
      <c r="M2515" s="5">
        <f>IF(L2515="","",L2515+6)</f>
        <v/>
      </c>
      <c r="N2515" s="6">
        <f>IF(OR(A2515="",B2515=""),"",DATE(YEAR(B2515),MONTH(B2515),1))</f>
        <v/>
      </c>
      <c r="O2515" s="7">
        <f>IF(COUNTA(A2515:K2515)=0,"",IF(OR(A2515="",B2515=""),"Preencher CPF e entrada",IF(COUNTIFS($A$12:$A$5011,A2515,$B$12:$B$5011,B2515)&gt;1,"CPF + dia duplicado",IF(OR(AND(G2515&lt;&gt;"",G2515&lt;&gt;0,G2515&lt;&gt;1),AND(H2515&lt;&gt;"",H2515&lt;&gt;0,H2515&lt;&gt;1)),"Flags devem ser 0 ou 1",IF(AND(H2515=1,LEN(TRIM(I2515))=0),"Preencher nome do indicante",IF(AND(H2515&lt;&gt;1,I2515&lt;&gt;""),"Nome sem indicação interna",IF(AND(G2515=1,F2515=""),"Fechamento sem conversa",IF(OR(AND(E2515&lt;&gt;"",E2515&lt;B2515),AND(F2515&lt;&gt;"",F2515&lt;B2515)),"Evento anterior à entrada",IF(AND(F2515&lt;&gt;"",E2515=""),"Conversa sem agendamento",IF(OR(E2515&gt;TODAY(),F2515&gt;TODAY()),"Verificar evento futuro","OK"))))))))))</f>
        <v/>
      </c>
    </row>
    <row r="2516" spans="12:15">
      <c r="L2516" s="5">
        <f>IF(OR(A2516="",B2516=""),"",B2516-WEEKDAY(B2516,2)+1)</f>
        <v/>
      </c>
      <c r="M2516" s="5">
        <f>IF(L2516="","",L2516+6)</f>
        <v/>
      </c>
      <c r="N2516" s="6">
        <f>IF(OR(A2516="",B2516=""),"",DATE(YEAR(B2516),MONTH(B2516),1))</f>
        <v/>
      </c>
      <c r="O2516" s="7">
        <f>IF(COUNTA(A2516:K2516)=0,"",IF(OR(A2516="",B2516=""),"Preencher CPF e entrada",IF(COUNTIFS($A$12:$A$5011,A2516,$B$12:$B$5011,B2516)&gt;1,"CPF + dia duplicado",IF(OR(AND(G2516&lt;&gt;"",G2516&lt;&gt;0,G2516&lt;&gt;1),AND(H2516&lt;&gt;"",H2516&lt;&gt;0,H2516&lt;&gt;1)),"Flags devem ser 0 ou 1",IF(AND(H2516=1,LEN(TRIM(I2516))=0),"Preencher nome do indicante",IF(AND(H2516&lt;&gt;1,I2516&lt;&gt;""),"Nome sem indicação interna",IF(AND(G2516=1,F2516=""),"Fechamento sem conversa",IF(OR(AND(E2516&lt;&gt;"",E2516&lt;B2516),AND(F2516&lt;&gt;"",F2516&lt;B2516)),"Evento anterior à entrada",IF(AND(F2516&lt;&gt;"",E2516=""),"Conversa sem agendamento",IF(OR(E2516&gt;TODAY(),F2516&gt;TODAY()),"Verificar evento futuro","OK"))))))))))</f>
        <v/>
      </c>
    </row>
    <row r="2517" spans="12:15">
      <c r="L2517" s="5">
        <f>IF(OR(A2517="",B2517=""),"",B2517-WEEKDAY(B2517,2)+1)</f>
        <v/>
      </c>
      <c r="M2517" s="5">
        <f>IF(L2517="","",L2517+6)</f>
        <v/>
      </c>
      <c r="N2517" s="6">
        <f>IF(OR(A2517="",B2517=""),"",DATE(YEAR(B2517),MONTH(B2517),1))</f>
        <v/>
      </c>
      <c r="O2517" s="7">
        <f>IF(COUNTA(A2517:K2517)=0,"",IF(OR(A2517="",B2517=""),"Preencher CPF e entrada",IF(COUNTIFS($A$12:$A$5011,A2517,$B$12:$B$5011,B2517)&gt;1,"CPF + dia duplicado",IF(OR(AND(G2517&lt;&gt;"",G2517&lt;&gt;0,G2517&lt;&gt;1),AND(H2517&lt;&gt;"",H2517&lt;&gt;0,H2517&lt;&gt;1)),"Flags devem ser 0 ou 1",IF(AND(H2517=1,LEN(TRIM(I2517))=0),"Preencher nome do indicante",IF(AND(H2517&lt;&gt;1,I2517&lt;&gt;""),"Nome sem indicação interna",IF(AND(G2517=1,F2517=""),"Fechamento sem conversa",IF(OR(AND(E2517&lt;&gt;"",E2517&lt;B2517),AND(F2517&lt;&gt;"",F2517&lt;B2517)),"Evento anterior à entrada",IF(AND(F2517&lt;&gt;"",E2517=""),"Conversa sem agendamento",IF(OR(E2517&gt;TODAY(),F2517&gt;TODAY()),"Verificar evento futuro","OK"))))))))))</f>
        <v/>
      </c>
    </row>
    <row r="2518" spans="12:15">
      <c r="L2518" s="5">
        <f>IF(OR(A2518="",B2518=""),"",B2518-WEEKDAY(B2518,2)+1)</f>
        <v/>
      </c>
      <c r="M2518" s="5">
        <f>IF(L2518="","",L2518+6)</f>
        <v/>
      </c>
      <c r="N2518" s="6">
        <f>IF(OR(A2518="",B2518=""),"",DATE(YEAR(B2518),MONTH(B2518),1))</f>
        <v/>
      </c>
      <c r="O2518" s="7">
        <f>IF(COUNTA(A2518:K2518)=0,"",IF(OR(A2518="",B2518=""),"Preencher CPF e entrada",IF(COUNTIFS($A$12:$A$5011,A2518,$B$12:$B$5011,B2518)&gt;1,"CPF + dia duplicado",IF(OR(AND(G2518&lt;&gt;"",G2518&lt;&gt;0,G2518&lt;&gt;1),AND(H2518&lt;&gt;"",H2518&lt;&gt;0,H2518&lt;&gt;1)),"Flags devem ser 0 ou 1",IF(AND(H2518=1,LEN(TRIM(I2518))=0),"Preencher nome do indicante",IF(AND(H2518&lt;&gt;1,I2518&lt;&gt;""),"Nome sem indicação interna",IF(AND(G2518=1,F2518=""),"Fechamento sem conversa",IF(OR(AND(E2518&lt;&gt;"",E2518&lt;B2518),AND(F2518&lt;&gt;"",F2518&lt;B2518)),"Evento anterior à entrada",IF(AND(F2518&lt;&gt;"",E2518=""),"Conversa sem agendamento",IF(OR(E2518&gt;TODAY(),F2518&gt;TODAY()),"Verificar evento futuro","OK"))))))))))</f>
        <v/>
      </c>
    </row>
    <row r="2519" spans="12:15">
      <c r="L2519" s="5">
        <f>IF(OR(A2519="",B2519=""),"",B2519-WEEKDAY(B2519,2)+1)</f>
        <v/>
      </c>
      <c r="M2519" s="5">
        <f>IF(L2519="","",L2519+6)</f>
        <v/>
      </c>
      <c r="N2519" s="6">
        <f>IF(OR(A2519="",B2519=""),"",DATE(YEAR(B2519),MONTH(B2519),1))</f>
        <v/>
      </c>
      <c r="O2519" s="7">
        <f>IF(COUNTA(A2519:K2519)=0,"",IF(OR(A2519="",B2519=""),"Preencher CPF e entrada",IF(COUNTIFS($A$12:$A$5011,A2519,$B$12:$B$5011,B2519)&gt;1,"CPF + dia duplicado",IF(OR(AND(G2519&lt;&gt;"",G2519&lt;&gt;0,G2519&lt;&gt;1),AND(H2519&lt;&gt;"",H2519&lt;&gt;0,H2519&lt;&gt;1)),"Flags devem ser 0 ou 1",IF(AND(H2519=1,LEN(TRIM(I2519))=0),"Preencher nome do indicante",IF(AND(H2519&lt;&gt;1,I2519&lt;&gt;""),"Nome sem indicação interna",IF(AND(G2519=1,F2519=""),"Fechamento sem conversa",IF(OR(AND(E2519&lt;&gt;"",E2519&lt;B2519),AND(F2519&lt;&gt;"",F2519&lt;B2519)),"Evento anterior à entrada",IF(AND(F2519&lt;&gt;"",E2519=""),"Conversa sem agendamento",IF(OR(E2519&gt;TODAY(),F2519&gt;TODAY()),"Verificar evento futuro","OK"))))))))))</f>
        <v/>
      </c>
    </row>
    <row r="2520" spans="12:15">
      <c r="L2520" s="5">
        <f>IF(OR(A2520="",B2520=""),"",B2520-WEEKDAY(B2520,2)+1)</f>
        <v/>
      </c>
      <c r="M2520" s="5">
        <f>IF(L2520="","",L2520+6)</f>
        <v/>
      </c>
      <c r="N2520" s="6">
        <f>IF(OR(A2520="",B2520=""),"",DATE(YEAR(B2520),MONTH(B2520),1))</f>
        <v/>
      </c>
      <c r="O2520" s="7">
        <f>IF(COUNTA(A2520:K2520)=0,"",IF(OR(A2520="",B2520=""),"Preencher CPF e entrada",IF(COUNTIFS($A$12:$A$5011,A2520,$B$12:$B$5011,B2520)&gt;1,"CPF + dia duplicado",IF(OR(AND(G2520&lt;&gt;"",G2520&lt;&gt;0,G2520&lt;&gt;1),AND(H2520&lt;&gt;"",H2520&lt;&gt;0,H2520&lt;&gt;1)),"Flags devem ser 0 ou 1",IF(AND(H2520=1,LEN(TRIM(I2520))=0),"Preencher nome do indicante",IF(AND(H2520&lt;&gt;1,I2520&lt;&gt;""),"Nome sem indicação interna",IF(AND(G2520=1,F2520=""),"Fechamento sem conversa",IF(OR(AND(E2520&lt;&gt;"",E2520&lt;B2520),AND(F2520&lt;&gt;"",F2520&lt;B2520)),"Evento anterior à entrada",IF(AND(F2520&lt;&gt;"",E2520=""),"Conversa sem agendamento",IF(OR(E2520&gt;TODAY(),F2520&gt;TODAY()),"Verificar evento futuro","OK"))))))))))</f>
        <v/>
      </c>
    </row>
    <row r="2521" spans="12:15">
      <c r="L2521" s="5">
        <f>IF(OR(A2521="",B2521=""),"",B2521-WEEKDAY(B2521,2)+1)</f>
        <v/>
      </c>
      <c r="M2521" s="5">
        <f>IF(L2521="","",L2521+6)</f>
        <v/>
      </c>
      <c r="N2521" s="6">
        <f>IF(OR(A2521="",B2521=""),"",DATE(YEAR(B2521),MONTH(B2521),1))</f>
        <v/>
      </c>
      <c r="O2521" s="7">
        <f>IF(COUNTA(A2521:K2521)=0,"",IF(OR(A2521="",B2521=""),"Preencher CPF e entrada",IF(COUNTIFS($A$12:$A$5011,A2521,$B$12:$B$5011,B2521)&gt;1,"CPF + dia duplicado",IF(OR(AND(G2521&lt;&gt;"",G2521&lt;&gt;0,G2521&lt;&gt;1),AND(H2521&lt;&gt;"",H2521&lt;&gt;0,H2521&lt;&gt;1)),"Flags devem ser 0 ou 1",IF(AND(H2521=1,LEN(TRIM(I2521))=0),"Preencher nome do indicante",IF(AND(H2521&lt;&gt;1,I2521&lt;&gt;""),"Nome sem indicação interna",IF(AND(G2521=1,F2521=""),"Fechamento sem conversa",IF(OR(AND(E2521&lt;&gt;"",E2521&lt;B2521),AND(F2521&lt;&gt;"",F2521&lt;B2521)),"Evento anterior à entrada",IF(AND(F2521&lt;&gt;"",E2521=""),"Conversa sem agendamento",IF(OR(E2521&gt;TODAY(),F2521&gt;TODAY()),"Verificar evento futuro","OK"))))))))))</f>
        <v/>
      </c>
    </row>
    <row r="2522" spans="12:15">
      <c r="L2522" s="5">
        <f>IF(OR(A2522="",B2522=""),"",B2522-WEEKDAY(B2522,2)+1)</f>
        <v/>
      </c>
      <c r="M2522" s="5">
        <f>IF(L2522="","",L2522+6)</f>
        <v/>
      </c>
      <c r="N2522" s="6">
        <f>IF(OR(A2522="",B2522=""),"",DATE(YEAR(B2522),MONTH(B2522),1))</f>
        <v/>
      </c>
      <c r="O2522" s="7">
        <f>IF(COUNTA(A2522:K2522)=0,"",IF(OR(A2522="",B2522=""),"Preencher CPF e entrada",IF(COUNTIFS($A$12:$A$5011,A2522,$B$12:$B$5011,B2522)&gt;1,"CPF + dia duplicado",IF(OR(AND(G2522&lt;&gt;"",G2522&lt;&gt;0,G2522&lt;&gt;1),AND(H2522&lt;&gt;"",H2522&lt;&gt;0,H2522&lt;&gt;1)),"Flags devem ser 0 ou 1",IF(AND(H2522=1,LEN(TRIM(I2522))=0),"Preencher nome do indicante",IF(AND(H2522&lt;&gt;1,I2522&lt;&gt;""),"Nome sem indicação interna",IF(AND(G2522=1,F2522=""),"Fechamento sem conversa",IF(OR(AND(E2522&lt;&gt;"",E2522&lt;B2522),AND(F2522&lt;&gt;"",F2522&lt;B2522)),"Evento anterior à entrada",IF(AND(F2522&lt;&gt;"",E2522=""),"Conversa sem agendamento",IF(OR(E2522&gt;TODAY(),F2522&gt;TODAY()),"Verificar evento futuro","OK"))))))))))</f>
        <v/>
      </c>
    </row>
    <row r="2523" spans="12:15">
      <c r="L2523" s="5">
        <f>IF(OR(A2523="",B2523=""),"",B2523-WEEKDAY(B2523,2)+1)</f>
        <v/>
      </c>
      <c r="M2523" s="5">
        <f>IF(L2523="","",L2523+6)</f>
        <v/>
      </c>
      <c r="N2523" s="6">
        <f>IF(OR(A2523="",B2523=""),"",DATE(YEAR(B2523),MONTH(B2523),1))</f>
        <v/>
      </c>
      <c r="O2523" s="7">
        <f>IF(COUNTA(A2523:K2523)=0,"",IF(OR(A2523="",B2523=""),"Preencher CPF e entrada",IF(COUNTIFS($A$12:$A$5011,A2523,$B$12:$B$5011,B2523)&gt;1,"CPF + dia duplicado",IF(OR(AND(G2523&lt;&gt;"",G2523&lt;&gt;0,G2523&lt;&gt;1),AND(H2523&lt;&gt;"",H2523&lt;&gt;0,H2523&lt;&gt;1)),"Flags devem ser 0 ou 1",IF(AND(H2523=1,LEN(TRIM(I2523))=0),"Preencher nome do indicante",IF(AND(H2523&lt;&gt;1,I2523&lt;&gt;""),"Nome sem indicação interna",IF(AND(G2523=1,F2523=""),"Fechamento sem conversa",IF(OR(AND(E2523&lt;&gt;"",E2523&lt;B2523),AND(F2523&lt;&gt;"",F2523&lt;B2523)),"Evento anterior à entrada",IF(AND(F2523&lt;&gt;"",E2523=""),"Conversa sem agendamento",IF(OR(E2523&gt;TODAY(),F2523&gt;TODAY()),"Verificar evento futuro","OK"))))))))))</f>
        <v/>
      </c>
    </row>
    <row r="2524" spans="12:15">
      <c r="L2524" s="5">
        <f>IF(OR(A2524="",B2524=""),"",B2524-WEEKDAY(B2524,2)+1)</f>
        <v/>
      </c>
      <c r="M2524" s="5">
        <f>IF(L2524="","",L2524+6)</f>
        <v/>
      </c>
      <c r="N2524" s="6">
        <f>IF(OR(A2524="",B2524=""),"",DATE(YEAR(B2524),MONTH(B2524),1))</f>
        <v/>
      </c>
      <c r="O2524" s="7">
        <f>IF(COUNTA(A2524:K2524)=0,"",IF(OR(A2524="",B2524=""),"Preencher CPF e entrada",IF(COUNTIFS($A$12:$A$5011,A2524,$B$12:$B$5011,B2524)&gt;1,"CPF + dia duplicado",IF(OR(AND(G2524&lt;&gt;"",G2524&lt;&gt;0,G2524&lt;&gt;1),AND(H2524&lt;&gt;"",H2524&lt;&gt;0,H2524&lt;&gt;1)),"Flags devem ser 0 ou 1",IF(AND(H2524=1,LEN(TRIM(I2524))=0),"Preencher nome do indicante",IF(AND(H2524&lt;&gt;1,I2524&lt;&gt;""),"Nome sem indicação interna",IF(AND(G2524=1,F2524=""),"Fechamento sem conversa",IF(OR(AND(E2524&lt;&gt;"",E2524&lt;B2524),AND(F2524&lt;&gt;"",F2524&lt;B2524)),"Evento anterior à entrada",IF(AND(F2524&lt;&gt;"",E2524=""),"Conversa sem agendamento",IF(OR(E2524&gt;TODAY(),F2524&gt;TODAY()),"Verificar evento futuro","OK"))))))))))</f>
        <v/>
      </c>
    </row>
    <row r="2525" spans="12:15">
      <c r="L2525" s="5">
        <f>IF(OR(A2525="",B2525=""),"",B2525-WEEKDAY(B2525,2)+1)</f>
        <v/>
      </c>
      <c r="M2525" s="5">
        <f>IF(L2525="","",L2525+6)</f>
        <v/>
      </c>
      <c r="N2525" s="6">
        <f>IF(OR(A2525="",B2525=""),"",DATE(YEAR(B2525),MONTH(B2525),1))</f>
        <v/>
      </c>
      <c r="O2525" s="7">
        <f>IF(COUNTA(A2525:K2525)=0,"",IF(OR(A2525="",B2525=""),"Preencher CPF e entrada",IF(COUNTIFS($A$12:$A$5011,A2525,$B$12:$B$5011,B2525)&gt;1,"CPF + dia duplicado",IF(OR(AND(G2525&lt;&gt;"",G2525&lt;&gt;0,G2525&lt;&gt;1),AND(H2525&lt;&gt;"",H2525&lt;&gt;0,H2525&lt;&gt;1)),"Flags devem ser 0 ou 1",IF(AND(H2525=1,LEN(TRIM(I2525))=0),"Preencher nome do indicante",IF(AND(H2525&lt;&gt;1,I2525&lt;&gt;""),"Nome sem indicação interna",IF(AND(G2525=1,F2525=""),"Fechamento sem conversa",IF(OR(AND(E2525&lt;&gt;"",E2525&lt;B2525),AND(F2525&lt;&gt;"",F2525&lt;B2525)),"Evento anterior à entrada",IF(AND(F2525&lt;&gt;"",E2525=""),"Conversa sem agendamento",IF(OR(E2525&gt;TODAY(),F2525&gt;TODAY()),"Verificar evento futuro","OK"))))))))))</f>
        <v/>
      </c>
    </row>
    <row r="2526" spans="12:15">
      <c r="L2526" s="5">
        <f>IF(OR(A2526="",B2526=""),"",B2526-WEEKDAY(B2526,2)+1)</f>
        <v/>
      </c>
      <c r="M2526" s="5">
        <f>IF(L2526="","",L2526+6)</f>
        <v/>
      </c>
      <c r="N2526" s="6">
        <f>IF(OR(A2526="",B2526=""),"",DATE(YEAR(B2526),MONTH(B2526),1))</f>
        <v/>
      </c>
      <c r="O2526" s="7">
        <f>IF(COUNTA(A2526:K2526)=0,"",IF(OR(A2526="",B2526=""),"Preencher CPF e entrada",IF(COUNTIFS($A$12:$A$5011,A2526,$B$12:$B$5011,B2526)&gt;1,"CPF + dia duplicado",IF(OR(AND(G2526&lt;&gt;"",G2526&lt;&gt;0,G2526&lt;&gt;1),AND(H2526&lt;&gt;"",H2526&lt;&gt;0,H2526&lt;&gt;1)),"Flags devem ser 0 ou 1",IF(AND(H2526=1,LEN(TRIM(I2526))=0),"Preencher nome do indicante",IF(AND(H2526&lt;&gt;1,I2526&lt;&gt;""),"Nome sem indicação interna",IF(AND(G2526=1,F2526=""),"Fechamento sem conversa",IF(OR(AND(E2526&lt;&gt;"",E2526&lt;B2526),AND(F2526&lt;&gt;"",F2526&lt;B2526)),"Evento anterior à entrada",IF(AND(F2526&lt;&gt;"",E2526=""),"Conversa sem agendamento",IF(OR(E2526&gt;TODAY(),F2526&gt;TODAY()),"Verificar evento futuro","OK"))))))))))</f>
        <v/>
      </c>
    </row>
    <row r="2527" spans="12:15">
      <c r="L2527" s="5">
        <f>IF(OR(A2527="",B2527=""),"",B2527-WEEKDAY(B2527,2)+1)</f>
        <v/>
      </c>
      <c r="M2527" s="5">
        <f>IF(L2527="","",L2527+6)</f>
        <v/>
      </c>
      <c r="N2527" s="6">
        <f>IF(OR(A2527="",B2527=""),"",DATE(YEAR(B2527),MONTH(B2527),1))</f>
        <v/>
      </c>
      <c r="O2527" s="7">
        <f>IF(COUNTA(A2527:K2527)=0,"",IF(OR(A2527="",B2527=""),"Preencher CPF e entrada",IF(COUNTIFS($A$12:$A$5011,A2527,$B$12:$B$5011,B2527)&gt;1,"CPF + dia duplicado",IF(OR(AND(G2527&lt;&gt;"",G2527&lt;&gt;0,G2527&lt;&gt;1),AND(H2527&lt;&gt;"",H2527&lt;&gt;0,H2527&lt;&gt;1)),"Flags devem ser 0 ou 1",IF(AND(H2527=1,LEN(TRIM(I2527))=0),"Preencher nome do indicante",IF(AND(H2527&lt;&gt;1,I2527&lt;&gt;""),"Nome sem indicação interna",IF(AND(G2527=1,F2527=""),"Fechamento sem conversa",IF(OR(AND(E2527&lt;&gt;"",E2527&lt;B2527),AND(F2527&lt;&gt;"",F2527&lt;B2527)),"Evento anterior à entrada",IF(AND(F2527&lt;&gt;"",E2527=""),"Conversa sem agendamento",IF(OR(E2527&gt;TODAY(),F2527&gt;TODAY()),"Verificar evento futuro","OK"))))))))))</f>
        <v/>
      </c>
    </row>
    <row r="2528" spans="12:15">
      <c r="L2528" s="5">
        <f>IF(OR(A2528="",B2528=""),"",B2528-WEEKDAY(B2528,2)+1)</f>
        <v/>
      </c>
      <c r="M2528" s="5">
        <f>IF(L2528="","",L2528+6)</f>
        <v/>
      </c>
      <c r="N2528" s="6">
        <f>IF(OR(A2528="",B2528=""),"",DATE(YEAR(B2528),MONTH(B2528),1))</f>
        <v/>
      </c>
      <c r="O2528" s="7">
        <f>IF(COUNTA(A2528:K2528)=0,"",IF(OR(A2528="",B2528=""),"Preencher CPF e entrada",IF(COUNTIFS($A$12:$A$5011,A2528,$B$12:$B$5011,B2528)&gt;1,"CPF + dia duplicado",IF(OR(AND(G2528&lt;&gt;"",G2528&lt;&gt;0,G2528&lt;&gt;1),AND(H2528&lt;&gt;"",H2528&lt;&gt;0,H2528&lt;&gt;1)),"Flags devem ser 0 ou 1",IF(AND(H2528=1,LEN(TRIM(I2528))=0),"Preencher nome do indicante",IF(AND(H2528&lt;&gt;1,I2528&lt;&gt;""),"Nome sem indicação interna",IF(AND(G2528=1,F2528=""),"Fechamento sem conversa",IF(OR(AND(E2528&lt;&gt;"",E2528&lt;B2528),AND(F2528&lt;&gt;"",F2528&lt;B2528)),"Evento anterior à entrada",IF(AND(F2528&lt;&gt;"",E2528=""),"Conversa sem agendamento",IF(OR(E2528&gt;TODAY(),F2528&gt;TODAY()),"Verificar evento futuro","OK"))))))))))</f>
        <v/>
      </c>
    </row>
    <row r="2529" spans="12:15">
      <c r="L2529" s="5">
        <f>IF(OR(A2529="",B2529=""),"",B2529-WEEKDAY(B2529,2)+1)</f>
        <v/>
      </c>
      <c r="M2529" s="5">
        <f>IF(L2529="","",L2529+6)</f>
        <v/>
      </c>
      <c r="N2529" s="6">
        <f>IF(OR(A2529="",B2529=""),"",DATE(YEAR(B2529),MONTH(B2529),1))</f>
        <v/>
      </c>
      <c r="O2529" s="7">
        <f>IF(COUNTA(A2529:K2529)=0,"",IF(OR(A2529="",B2529=""),"Preencher CPF e entrada",IF(COUNTIFS($A$12:$A$5011,A2529,$B$12:$B$5011,B2529)&gt;1,"CPF + dia duplicado",IF(OR(AND(G2529&lt;&gt;"",G2529&lt;&gt;0,G2529&lt;&gt;1),AND(H2529&lt;&gt;"",H2529&lt;&gt;0,H2529&lt;&gt;1)),"Flags devem ser 0 ou 1",IF(AND(H2529=1,LEN(TRIM(I2529))=0),"Preencher nome do indicante",IF(AND(H2529&lt;&gt;1,I2529&lt;&gt;""),"Nome sem indicação interna",IF(AND(G2529=1,F2529=""),"Fechamento sem conversa",IF(OR(AND(E2529&lt;&gt;"",E2529&lt;B2529),AND(F2529&lt;&gt;"",F2529&lt;B2529)),"Evento anterior à entrada",IF(AND(F2529&lt;&gt;"",E2529=""),"Conversa sem agendamento",IF(OR(E2529&gt;TODAY(),F2529&gt;TODAY()),"Verificar evento futuro","OK"))))))))))</f>
        <v/>
      </c>
    </row>
    <row r="2530" spans="12:15">
      <c r="L2530" s="5">
        <f>IF(OR(A2530="",B2530=""),"",B2530-WEEKDAY(B2530,2)+1)</f>
        <v/>
      </c>
      <c r="M2530" s="5">
        <f>IF(L2530="","",L2530+6)</f>
        <v/>
      </c>
      <c r="N2530" s="6">
        <f>IF(OR(A2530="",B2530=""),"",DATE(YEAR(B2530),MONTH(B2530),1))</f>
        <v/>
      </c>
      <c r="O2530" s="7">
        <f>IF(COUNTA(A2530:K2530)=0,"",IF(OR(A2530="",B2530=""),"Preencher CPF e entrada",IF(COUNTIFS($A$12:$A$5011,A2530,$B$12:$B$5011,B2530)&gt;1,"CPF + dia duplicado",IF(OR(AND(G2530&lt;&gt;"",G2530&lt;&gt;0,G2530&lt;&gt;1),AND(H2530&lt;&gt;"",H2530&lt;&gt;0,H2530&lt;&gt;1)),"Flags devem ser 0 ou 1",IF(AND(H2530=1,LEN(TRIM(I2530))=0),"Preencher nome do indicante",IF(AND(H2530&lt;&gt;1,I2530&lt;&gt;""),"Nome sem indicação interna",IF(AND(G2530=1,F2530=""),"Fechamento sem conversa",IF(OR(AND(E2530&lt;&gt;"",E2530&lt;B2530),AND(F2530&lt;&gt;"",F2530&lt;B2530)),"Evento anterior à entrada",IF(AND(F2530&lt;&gt;"",E2530=""),"Conversa sem agendamento",IF(OR(E2530&gt;TODAY(),F2530&gt;TODAY()),"Verificar evento futuro","OK"))))))))))</f>
        <v/>
      </c>
    </row>
    <row r="2531" spans="12:15">
      <c r="L2531" s="5">
        <f>IF(OR(A2531="",B2531=""),"",B2531-WEEKDAY(B2531,2)+1)</f>
        <v/>
      </c>
      <c r="M2531" s="5">
        <f>IF(L2531="","",L2531+6)</f>
        <v/>
      </c>
      <c r="N2531" s="6">
        <f>IF(OR(A2531="",B2531=""),"",DATE(YEAR(B2531),MONTH(B2531),1))</f>
        <v/>
      </c>
      <c r="O2531" s="7">
        <f>IF(COUNTA(A2531:K2531)=0,"",IF(OR(A2531="",B2531=""),"Preencher CPF e entrada",IF(COUNTIFS($A$12:$A$5011,A2531,$B$12:$B$5011,B2531)&gt;1,"CPF + dia duplicado",IF(OR(AND(G2531&lt;&gt;"",G2531&lt;&gt;0,G2531&lt;&gt;1),AND(H2531&lt;&gt;"",H2531&lt;&gt;0,H2531&lt;&gt;1)),"Flags devem ser 0 ou 1",IF(AND(H2531=1,LEN(TRIM(I2531))=0),"Preencher nome do indicante",IF(AND(H2531&lt;&gt;1,I2531&lt;&gt;""),"Nome sem indicação interna",IF(AND(G2531=1,F2531=""),"Fechamento sem conversa",IF(OR(AND(E2531&lt;&gt;"",E2531&lt;B2531),AND(F2531&lt;&gt;"",F2531&lt;B2531)),"Evento anterior à entrada",IF(AND(F2531&lt;&gt;"",E2531=""),"Conversa sem agendamento",IF(OR(E2531&gt;TODAY(),F2531&gt;TODAY()),"Verificar evento futuro","OK"))))))))))</f>
        <v/>
      </c>
    </row>
    <row r="2532" spans="12:15">
      <c r="L2532" s="5">
        <f>IF(OR(A2532="",B2532=""),"",B2532-WEEKDAY(B2532,2)+1)</f>
        <v/>
      </c>
      <c r="M2532" s="5">
        <f>IF(L2532="","",L2532+6)</f>
        <v/>
      </c>
      <c r="N2532" s="6">
        <f>IF(OR(A2532="",B2532=""),"",DATE(YEAR(B2532),MONTH(B2532),1))</f>
        <v/>
      </c>
      <c r="O2532" s="7">
        <f>IF(COUNTA(A2532:K2532)=0,"",IF(OR(A2532="",B2532=""),"Preencher CPF e entrada",IF(COUNTIFS($A$12:$A$5011,A2532,$B$12:$B$5011,B2532)&gt;1,"CPF + dia duplicado",IF(OR(AND(G2532&lt;&gt;"",G2532&lt;&gt;0,G2532&lt;&gt;1),AND(H2532&lt;&gt;"",H2532&lt;&gt;0,H2532&lt;&gt;1)),"Flags devem ser 0 ou 1",IF(AND(H2532=1,LEN(TRIM(I2532))=0),"Preencher nome do indicante",IF(AND(H2532&lt;&gt;1,I2532&lt;&gt;""),"Nome sem indicação interna",IF(AND(G2532=1,F2532=""),"Fechamento sem conversa",IF(OR(AND(E2532&lt;&gt;"",E2532&lt;B2532),AND(F2532&lt;&gt;"",F2532&lt;B2532)),"Evento anterior à entrada",IF(AND(F2532&lt;&gt;"",E2532=""),"Conversa sem agendamento",IF(OR(E2532&gt;TODAY(),F2532&gt;TODAY()),"Verificar evento futuro","OK"))))))))))</f>
        <v/>
      </c>
    </row>
    <row r="2533" spans="12:15">
      <c r="L2533" s="5">
        <f>IF(OR(A2533="",B2533=""),"",B2533-WEEKDAY(B2533,2)+1)</f>
        <v/>
      </c>
      <c r="M2533" s="5">
        <f>IF(L2533="","",L2533+6)</f>
        <v/>
      </c>
      <c r="N2533" s="6">
        <f>IF(OR(A2533="",B2533=""),"",DATE(YEAR(B2533),MONTH(B2533),1))</f>
        <v/>
      </c>
      <c r="O2533" s="7">
        <f>IF(COUNTA(A2533:K2533)=0,"",IF(OR(A2533="",B2533=""),"Preencher CPF e entrada",IF(COUNTIFS($A$12:$A$5011,A2533,$B$12:$B$5011,B2533)&gt;1,"CPF + dia duplicado",IF(OR(AND(G2533&lt;&gt;"",G2533&lt;&gt;0,G2533&lt;&gt;1),AND(H2533&lt;&gt;"",H2533&lt;&gt;0,H2533&lt;&gt;1)),"Flags devem ser 0 ou 1",IF(AND(H2533=1,LEN(TRIM(I2533))=0),"Preencher nome do indicante",IF(AND(H2533&lt;&gt;1,I2533&lt;&gt;""),"Nome sem indicação interna",IF(AND(G2533=1,F2533=""),"Fechamento sem conversa",IF(OR(AND(E2533&lt;&gt;"",E2533&lt;B2533),AND(F2533&lt;&gt;"",F2533&lt;B2533)),"Evento anterior à entrada",IF(AND(F2533&lt;&gt;"",E2533=""),"Conversa sem agendamento",IF(OR(E2533&gt;TODAY(),F2533&gt;TODAY()),"Verificar evento futuro","OK"))))))))))</f>
        <v/>
      </c>
    </row>
    <row r="2534" spans="12:15">
      <c r="L2534" s="5">
        <f>IF(OR(A2534="",B2534=""),"",B2534-WEEKDAY(B2534,2)+1)</f>
        <v/>
      </c>
      <c r="M2534" s="5">
        <f>IF(L2534="","",L2534+6)</f>
        <v/>
      </c>
      <c r="N2534" s="6">
        <f>IF(OR(A2534="",B2534=""),"",DATE(YEAR(B2534),MONTH(B2534),1))</f>
        <v/>
      </c>
      <c r="O2534" s="7">
        <f>IF(COUNTA(A2534:K2534)=0,"",IF(OR(A2534="",B2534=""),"Preencher CPF e entrada",IF(COUNTIFS($A$12:$A$5011,A2534,$B$12:$B$5011,B2534)&gt;1,"CPF + dia duplicado",IF(OR(AND(G2534&lt;&gt;"",G2534&lt;&gt;0,G2534&lt;&gt;1),AND(H2534&lt;&gt;"",H2534&lt;&gt;0,H2534&lt;&gt;1)),"Flags devem ser 0 ou 1",IF(AND(H2534=1,LEN(TRIM(I2534))=0),"Preencher nome do indicante",IF(AND(H2534&lt;&gt;1,I2534&lt;&gt;""),"Nome sem indicação interna",IF(AND(G2534=1,F2534=""),"Fechamento sem conversa",IF(OR(AND(E2534&lt;&gt;"",E2534&lt;B2534),AND(F2534&lt;&gt;"",F2534&lt;B2534)),"Evento anterior à entrada",IF(AND(F2534&lt;&gt;"",E2534=""),"Conversa sem agendamento",IF(OR(E2534&gt;TODAY(),F2534&gt;TODAY()),"Verificar evento futuro","OK"))))))))))</f>
        <v/>
      </c>
    </row>
    <row r="2535" spans="12:15">
      <c r="L2535" s="5">
        <f>IF(OR(A2535="",B2535=""),"",B2535-WEEKDAY(B2535,2)+1)</f>
        <v/>
      </c>
      <c r="M2535" s="5">
        <f>IF(L2535="","",L2535+6)</f>
        <v/>
      </c>
      <c r="N2535" s="6">
        <f>IF(OR(A2535="",B2535=""),"",DATE(YEAR(B2535),MONTH(B2535),1))</f>
        <v/>
      </c>
      <c r="O2535" s="7">
        <f>IF(COUNTA(A2535:K2535)=0,"",IF(OR(A2535="",B2535=""),"Preencher CPF e entrada",IF(COUNTIFS($A$12:$A$5011,A2535,$B$12:$B$5011,B2535)&gt;1,"CPF + dia duplicado",IF(OR(AND(G2535&lt;&gt;"",G2535&lt;&gt;0,G2535&lt;&gt;1),AND(H2535&lt;&gt;"",H2535&lt;&gt;0,H2535&lt;&gt;1)),"Flags devem ser 0 ou 1",IF(AND(H2535=1,LEN(TRIM(I2535))=0),"Preencher nome do indicante",IF(AND(H2535&lt;&gt;1,I2535&lt;&gt;""),"Nome sem indicação interna",IF(AND(G2535=1,F2535=""),"Fechamento sem conversa",IF(OR(AND(E2535&lt;&gt;"",E2535&lt;B2535),AND(F2535&lt;&gt;"",F2535&lt;B2535)),"Evento anterior à entrada",IF(AND(F2535&lt;&gt;"",E2535=""),"Conversa sem agendamento",IF(OR(E2535&gt;TODAY(),F2535&gt;TODAY()),"Verificar evento futuro","OK"))))))))))</f>
        <v/>
      </c>
    </row>
    <row r="2536" spans="12:15">
      <c r="L2536" s="5">
        <f>IF(OR(A2536="",B2536=""),"",B2536-WEEKDAY(B2536,2)+1)</f>
        <v/>
      </c>
      <c r="M2536" s="5">
        <f>IF(L2536="","",L2536+6)</f>
        <v/>
      </c>
      <c r="N2536" s="6">
        <f>IF(OR(A2536="",B2536=""),"",DATE(YEAR(B2536),MONTH(B2536),1))</f>
        <v/>
      </c>
      <c r="O2536" s="7">
        <f>IF(COUNTA(A2536:K2536)=0,"",IF(OR(A2536="",B2536=""),"Preencher CPF e entrada",IF(COUNTIFS($A$12:$A$5011,A2536,$B$12:$B$5011,B2536)&gt;1,"CPF + dia duplicado",IF(OR(AND(G2536&lt;&gt;"",G2536&lt;&gt;0,G2536&lt;&gt;1),AND(H2536&lt;&gt;"",H2536&lt;&gt;0,H2536&lt;&gt;1)),"Flags devem ser 0 ou 1",IF(AND(H2536=1,LEN(TRIM(I2536))=0),"Preencher nome do indicante",IF(AND(H2536&lt;&gt;1,I2536&lt;&gt;""),"Nome sem indicação interna",IF(AND(G2536=1,F2536=""),"Fechamento sem conversa",IF(OR(AND(E2536&lt;&gt;"",E2536&lt;B2536),AND(F2536&lt;&gt;"",F2536&lt;B2536)),"Evento anterior à entrada",IF(AND(F2536&lt;&gt;"",E2536=""),"Conversa sem agendamento",IF(OR(E2536&gt;TODAY(),F2536&gt;TODAY()),"Verificar evento futuro","OK"))))))))))</f>
        <v/>
      </c>
    </row>
    <row r="2537" spans="12:15">
      <c r="L2537" s="5">
        <f>IF(OR(A2537="",B2537=""),"",B2537-WEEKDAY(B2537,2)+1)</f>
        <v/>
      </c>
      <c r="M2537" s="5">
        <f>IF(L2537="","",L2537+6)</f>
        <v/>
      </c>
      <c r="N2537" s="6">
        <f>IF(OR(A2537="",B2537=""),"",DATE(YEAR(B2537),MONTH(B2537),1))</f>
        <v/>
      </c>
      <c r="O2537" s="7">
        <f>IF(COUNTA(A2537:K2537)=0,"",IF(OR(A2537="",B2537=""),"Preencher CPF e entrada",IF(COUNTIFS($A$12:$A$5011,A2537,$B$12:$B$5011,B2537)&gt;1,"CPF + dia duplicado",IF(OR(AND(G2537&lt;&gt;"",G2537&lt;&gt;0,G2537&lt;&gt;1),AND(H2537&lt;&gt;"",H2537&lt;&gt;0,H2537&lt;&gt;1)),"Flags devem ser 0 ou 1",IF(AND(H2537=1,LEN(TRIM(I2537))=0),"Preencher nome do indicante",IF(AND(H2537&lt;&gt;1,I2537&lt;&gt;""),"Nome sem indicação interna",IF(AND(G2537=1,F2537=""),"Fechamento sem conversa",IF(OR(AND(E2537&lt;&gt;"",E2537&lt;B2537),AND(F2537&lt;&gt;"",F2537&lt;B2537)),"Evento anterior à entrada",IF(AND(F2537&lt;&gt;"",E2537=""),"Conversa sem agendamento",IF(OR(E2537&gt;TODAY(),F2537&gt;TODAY()),"Verificar evento futuro","OK"))))))))))</f>
        <v/>
      </c>
    </row>
    <row r="2538" spans="12:15">
      <c r="L2538" s="5">
        <f>IF(OR(A2538="",B2538=""),"",B2538-WEEKDAY(B2538,2)+1)</f>
        <v/>
      </c>
      <c r="M2538" s="5">
        <f>IF(L2538="","",L2538+6)</f>
        <v/>
      </c>
      <c r="N2538" s="6">
        <f>IF(OR(A2538="",B2538=""),"",DATE(YEAR(B2538),MONTH(B2538),1))</f>
        <v/>
      </c>
      <c r="O2538" s="7">
        <f>IF(COUNTA(A2538:K2538)=0,"",IF(OR(A2538="",B2538=""),"Preencher CPF e entrada",IF(COUNTIFS($A$12:$A$5011,A2538,$B$12:$B$5011,B2538)&gt;1,"CPF + dia duplicado",IF(OR(AND(G2538&lt;&gt;"",G2538&lt;&gt;0,G2538&lt;&gt;1),AND(H2538&lt;&gt;"",H2538&lt;&gt;0,H2538&lt;&gt;1)),"Flags devem ser 0 ou 1",IF(AND(H2538=1,LEN(TRIM(I2538))=0),"Preencher nome do indicante",IF(AND(H2538&lt;&gt;1,I2538&lt;&gt;""),"Nome sem indicação interna",IF(AND(G2538=1,F2538=""),"Fechamento sem conversa",IF(OR(AND(E2538&lt;&gt;"",E2538&lt;B2538),AND(F2538&lt;&gt;"",F2538&lt;B2538)),"Evento anterior à entrada",IF(AND(F2538&lt;&gt;"",E2538=""),"Conversa sem agendamento",IF(OR(E2538&gt;TODAY(),F2538&gt;TODAY()),"Verificar evento futuro","OK"))))))))))</f>
        <v/>
      </c>
    </row>
    <row r="2539" spans="12:15">
      <c r="L2539" s="5">
        <f>IF(OR(A2539="",B2539=""),"",B2539-WEEKDAY(B2539,2)+1)</f>
        <v/>
      </c>
      <c r="M2539" s="5">
        <f>IF(L2539="","",L2539+6)</f>
        <v/>
      </c>
      <c r="N2539" s="6">
        <f>IF(OR(A2539="",B2539=""),"",DATE(YEAR(B2539),MONTH(B2539),1))</f>
        <v/>
      </c>
      <c r="O2539" s="7">
        <f>IF(COUNTA(A2539:K2539)=0,"",IF(OR(A2539="",B2539=""),"Preencher CPF e entrada",IF(COUNTIFS($A$12:$A$5011,A2539,$B$12:$B$5011,B2539)&gt;1,"CPF + dia duplicado",IF(OR(AND(G2539&lt;&gt;"",G2539&lt;&gt;0,G2539&lt;&gt;1),AND(H2539&lt;&gt;"",H2539&lt;&gt;0,H2539&lt;&gt;1)),"Flags devem ser 0 ou 1",IF(AND(H2539=1,LEN(TRIM(I2539))=0),"Preencher nome do indicante",IF(AND(H2539&lt;&gt;1,I2539&lt;&gt;""),"Nome sem indicação interna",IF(AND(G2539=1,F2539=""),"Fechamento sem conversa",IF(OR(AND(E2539&lt;&gt;"",E2539&lt;B2539),AND(F2539&lt;&gt;"",F2539&lt;B2539)),"Evento anterior à entrada",IF(AND(F2539&lt;&gt;"",E2539=""),"Conversa sem agendamento",IF(OR(E2539&gt;TODAY(),F2539&gt;TODAY()),"Verificar evento futuro","OK"))))))))))</f>
        <v/>
      </c>
    </row>
    <row r="2540" spans="12:15">
      <c r="L2540" s="5">
        <f>IF(OR(A2540="",B2540=""),"",B2540-WEEKDAY(B2540,2)+1)</f>
        <v/>
      </c>
      <c r="M2540" s="5">
        <f>IF(L2540="","",L2540+6)</f>
        <v/>
      </c>
      <c r="N2540" s="6">
        <f>IF(OR(A2540="",B2540=""),"",DATE(YEAR(B2540),MONTH(B2540),1))</f>
        <v/>
      </c>
      <c r="O2540" s="7">
        <f>IF(COUNTA(A2540:K2540)=0,"",IF(OR(A2540="",B2540=""),"Preencher CPF e entrada",IF(COUNTIFS($A$12:$A$5011,A2540,$B$12:$B$5011,B2540)&gt;1,"CPF + dia duplicado",IF(OR(AND(G2540&lt;&gt;"",G2540&lt;&gt;0,G2540&lt;&gt;1),AND(H2540&lt;&gt;"",H2540&lt;&gt;0,H2540&lt;&gt;1)),"Flags devem ser 0 ou 1",IF(AND(H2540=1,LEN(TRIM(I2540))=0),"Preencher nome do indicante",IF(AND(H2540&lt;&gt;1,I2540&lt;&gt;""),"Nome sem indicação interna",IF(AND(G2540=1,F2540=""),"Fechamento sem conversa",IF(OR(AND(E2540&lt;&gt;"",E2540&lt;B2540),AND(F2540&lt;&gt;"",F2540&lt;B2540)),"Evento anterior à entrada",IF(AND(F2540&lt;&gt;"",E2540=""),"Conversa sem agendamento",IF(OR(E2540&gt;TODAY(),F2540&gt;TODAY()),"Verificar evento futuro","OK"))))))))))</f>
        <v/>
      </c>
    </row>
    <row r="2541" spans="12:15">
      <c r="L2541" s="5">
        <f>IF(OR(A2541="",B2541=""),"",B2541-WEEKDAY(B2541,2)+1)</f>
        <v/>
      </c>
      <c r="M2541" s="5">
        <f>IF(L2541="","",L2541+6)</f>
        <v/>
      </c>
      <c r="N2541" s="6">
        <f>IF(OR(A2541="",B2541=""),"",DATE(YEAR(B2541),MONTH(B2541),1))</f>
        <v/>
      </c>
      <c r="O2541" s="7">
        <f>IF(COUNTA(A2541:K2541)=0,"",IF(OR(A2541="",B2541=""),"Preencher CPF e entrada",IF(COUNTIFS($A$12:$A$5011,A2541,$B$12:$B$5011,B2541)&gt;1,"CPF + dia duplicado",IF(OR(AND(G2541&lt;&gt;"",G2541&lt;&gt;0,G2541&lt;&gt;1),AND(H2541&lt;&gt;"",H2541&lt;&gt;0,H2541&lt;&gt;1)),"Flags devem ser 0 ou 1",IF(AND(H2541=1,LEN(TRIM(I2541))=0),"Preencher nome do indicante",IF(AND(H2541&lt;&gt;1,I2541&lt;&gt;""),"Nome sem indicação interna",IF(AND(G2541=1,F2541=""),"Fechamento sem conversa",IF(OR(AND(E2541&lt;&gt;"",E2541&lt;B2541),AND(F2541&lt;&gt;"",F2541&lt;B2541)),"Evento anterior à entrada",IF(AND(F2541&lt;&gt;"",E2541=""),"Conversa sem agendamento",IF(OR(E2541&gt;TODAY(),F2541&gt;TODAY()),"Verificar evento futuro","OK"))))))))))</f>
        <v/>
      </c>
    </row>
    <row r="2542" spans="12:15">
      <c r="L2542" s="5">
        <f>IF(OR(A2542="",B2542=""),"",B2542-WEEKDAY(B2542,2)+1)</f>
        <v/>
      </c>
      <c r="M2542" s="5">
        <f>IF(L2542="","",L2542+6)</f>
        <v/>
      </c>
      <c r="N2542" s="6">
        <f>IF(OR(A2542="",B2542=""),"",DATE(YEAR(B2542),MONTH(B2542),1))</f>
        <v/>
      </c>
      <c r="O2542" s="7">
        <f>IF(COUNTA(A2542:K2542)=0,"",IF(OR(A2542="",B2542=""),"Preencher CPF e entrada",IF(COUNTIFS($A$12:$A$5011,A2542,$B$12:$B$5011,B2542)&gt;1,"CPF + dia duplicado",IF(OR(AND(G2542&lt;&gt;"",G2542&lt;&gt;0,G2542&lt;&gt;1),AND(H2542&lt;&gt;"",H2542&lt;&gt;0,H2542&lt;&gt;1)),"Flags devem ser 0 ou 1",IF(AND(H2542=1,LEN(TRIM(I2542))=0),"Preencher nome do indicante",IF(AND(H2542&lt;&gt;1,I2542&lt;&gt;""),"Nome sem indicação interna",IF(AND(G2542=1,F2542=""),"Fechamento sem conversa",IF(OR(AND(E2542&lt;&gt;"",E2542&lt;B2542),AND(F2542&lt;&gt;"",F2542&lt;B2542)),"Evento anterior à entrada",IF(AND(F2542&lt;&gt;"",E2542=""),"Conversa sem agendamento",IF(OR(E2542&gt;TODAY(),F2542&gt;TODAY()),"Verificar evento futuro","OK"))))))))))</f>
        <v/>
      </c>
    </row>
    <row r="2543" spans="12:15">
      <c r="L2543" s="5">
        <f>IF(OR(A2543="",B2543=""),"",B2543-WEEKDAY(B2543,2)+1)</f>
        <v/>
      </c>
      <c r="M2543" s="5">
        <f>IF(L2543="","",L2543+6)</f>
        <v/>
      </c>
      <c r="N2543" s="6">
        <f>IF(OR(A2543="",B2543=""),"",DATE(YEAR(B2543),MONTH(B2543),1))</f>
        <v/>
      </c>
      <c r="O2543" s="7">
        <f>IF(COUNTA(A2543:K2543)=0,"",IF(OR(A2543="",B2543=""),"Preencher CPF e entrada",IF(COUNTIFS($A$12:$A$5011,A2543,$B$12:$B$5011,B2543)&gt;1,"CPF + dia duplicado",IF(OR(AND(G2543&lt;&gt;"",G2543&lt;&gt;0,G2543&lt;&gt;1),AND(H2543&lt;&gt;"",H2543&lt;&gt;0,H2543&lt;&gt;1)),"Flags devem ser 0 ou 1",IF(AND(H2543=1,LEN(TRIM(I2543))=0),"Preencher nome do indicante",IF(AND(H2543&lt;&gt;1,I2543&lt;&gt;""),"Nome sem indicação interna",IF(AND(G2543=1,F2543=""),"Fechamento sem conversa",IF(OR(AND(E2543&lt;&gt;"",E2543&lt;B2543),AND(F2543&lt;&gt;"",F2543&lt;B2543)),"Evento anterior à entrada",IF(AND(F2543&lt;&gt;"",E2543=""),"Conversa sem agendamento",IF(OR(E2543&gt;TODAY(),F2543&gt;TODAY()),"Verificar evento futuro","OK"))))))))))</f>
        <v/>
      </c>
    </row>
    <row r="2544" spans="12:15">
      <c r="L2544" s="5">
        <f>IF(OR(A2544="",B2544=""),"",B2544-WEEKDAY(B2544,2)+1)</f>
        <v/>
      </c>
      <c r="M2544" s="5">
        <f>IF(L2544="","",L2544+6)</f>
        <v/>
      </c>
      <c r="N2544" s="6">
        <f>IF(OR(A2544="",B2544=""),"",DATE(YEAR(B2544),MONTH(B2544),1))</f>
        <v/>
      </c>
      <c r="O2544" s="7">
        <f>IF(COUNTA(A2544:K2544)=0,"",IF(OR(A2544="",B2544=""),"Preencher CPF e entrada",IF(COUNTIFS($A$12:$A$5011,A2544,$B$12:$B$5011,B2544)&gt;1,"CPF + dia duplicado",IF(OR(AND(G2544&lt;&gt;"",G2544&lt;&gt;0,G2544&lt;&gt;1),AND(H2544&lt;&gt;"",H2544&lt;&gt;0,H2544&lt;&gt;1)),"Flags devem ser 0 ou 1",IF(AND(H2544=1,LEN(TRIM(I2544))=0),"Preencher nome do indicante",IF(AND(H2544&lt;&gt;1,I2544&lt;&gt;""),"Nome sem indicação interna",IF(AND(G2544=1,F2544=""),"Fechamento sem conversa",IF(OR(AND(E2544&lt;&gt;"",E2544&lt;B2544),AND(F2544&lt;&gt;"",F2544&lt;B2544)),"Evento anterior à entrada",IF(AND(F2544&lt;&gt;"",E2544=""),"Conversa sem agendamento",IF(OR(E2544&gt;TODAY(),F2544&gt;TODAY()),"Verificar evento futuro","OK"))))))))))</f>
        <v/>
      </c>
    </row>
    <row r="2545" spans="12:15">
      <c r="L2545" s="5">
        <f>IF(OR(A2545="",B2545=""),"",B2545-WEEKDAY(B2545,2)+1)</f>
        <v/>
      </c>
      <c r="M2545" s="5">
        <f>IF(L2545="","",L2545+6)</f>
        <v/>
      </c>
      <c r="N2545" s="6">
        <f>IF(OR(A2545="",B2545=""),"",DATE(YEAR(B2545),MONTH(B2545),1))</f>
        <v/>
      </c>
      <c r="O2545" s="7">
        <f>IF(COUNTA(A2545:K2545)=0,"",IF(OR(A2545="",B2545=""),"Preencher CPF e entrada",IF(COUNTIFS($A$12:$A$5011,A2545,$B$12:$B$5011,B2545)&gt;1,"CPF + dia duplicado",IF(OR(AND(G2545&lt;&gt;"",G2545&lt;&gt;0,G2545&lt;&gt;1),AND(H2545&lt;&gt;"",H2545&lt;&gt;0,H2545&lt;&gt;1)),"Flags devem ser 0 ou 1",IF(AND(H2545=1,LEN(TRIM(I2545))=0),"Preencher nome do indicante",IF(AND(H2545&lt;&gt;1,I2545&lt;&gt;""),"Nome sem indicação interna",IF(AND(G2545=1,F2545=""),"Fechamento sem conversa",IF(OR(AND(E2545&lt;&gt;"",E2545&lt;B2545),AND(F2545&lt;&gt;"",F2545&lt;B2545)),"Evento anterior à entrada",IF(AND(F2545&lt;&gt;"",E2545=""),"Conversa sem agendamento",IF(OR(E2545&gt;TODAY(),F2545&gt;TODAY()),"Verificar evento futuro","OK"))))))))))</f>
        <v/>
      </c>
    </row>
    <row r="2546" spans="12:15">
      <c r="L2546" s="5">
        <f>IF(OR(A2546="",B2546=""),"",B2546-WEEKDAY(B2546,2)+1)</f>
        <v/>
      </c>
      <c r="M2546" s="5">
        <f>IF(L2546="","",L2546+6)</f>
        <v/>
      </c>
      <c r="N2546" s="6">
        <f>IF(OR(A2546="",B2546=""),"",DATE(YEAR(B2546),MONTH(B2546),1))</f>
        <v/>
      </c>
      <c r="O2546" s="7">
        <f>IF(COUNTA(A2546:K2546)=0,"",IF(OR(A2546="",B2546=""),"Preencher CPF e entrada",IF(COUNTIFS($A$12:$A$5011,A2546,$B$12:$B$5011,B2546)&gt;1,"CPF + dia duplicado",IF(OR(AND(G2546&lt;&gt;"",G2546&lt;&gt;0,G2546&lt;&gt;1),AND(H2546&lt;&gt;"",H2546&lt;&gt;0,H2546&lt;&gt;1)),"Flags devem ser 0 ou 1",IF(AND(H2546=1,LEN(TRIM(I2546))=0),"Preencher nome do indicante",IF(AND(H2546&lt;&gt;1,I2546&lt;&gt;""),"Nome sem indicação interna",IF(AND(G2546=1,F2546=""),"Fechamento sem conversa",IF(OR(AND(E2546&lt;&gt;"",E2546&lt;B2546),AND(F2546&lt;&gt;"",F2546&lt;B2546)),"Evento anterior à entrada",IF(AND(F2546&lt;&gt;"",E2546=""),"Conversa sem agendamento",IF(OR(E2546&gt;TODAY(),F2546&gt;TODAY()),"Verificar evento futuro","OK"))))))))))</f>
        <v/>
      </c>
    </row>
    <row r="2547" spans="12:15">
      <c r="L2547" s="5">
        <f>IF(OR(A2547="",B2547=""),"",B2547-WEEKDAY(B2547,2)+1)</f>
        <v/>
      </c>
      <c r="M2547" s="5">
        <f>IF(L2547="","",L2547+6)</f>
        <v/>
      </c>
      <c r="N2547" s="6">
        <f>IF(OR(A2547="",B2547=""),"",DATE(YEAR(B2547),MONTH(B2547),1))</f>
        <v/>
      </c>
      <c r="O2547" s="7">
        <f>IF(COUNTA(A2547:K2547)=0,"",IF(OR(A2547="",B2547=""),"Preencher CPF e entrada",IF(COUNTIFS($A$12:$A$5011,A2547,$B$12:$B$5011,B2547)&gt;1,"CPF + dia duplicado",IF(OR(AND(G2547&lt;&gt;"",G2547&lt;&gt;0,G2547&lt;&gt;1),AND(H2547&lt;&gt;"",H2547&lt;&gt;0,H2547&lt;&gt;1)),"Flags devem ser 0 ou 1",IF(AND(H2547=1,LEN(TRIM(I2547))=0),"Preencher nome do indicante",IF(AND(H2547&lt;&gt;1,I2547&lt;&gt;""),"Nome sem indicação interna",IF(AND(G2547=1,F2547=""),"Fechamento sem conversa",IF(OR(AND(E2547&lt;&gt;"",E2547&lt;B2547),AND(F2547&lt;&gt;"",F2547&lt;B2547)),"Evento anterior à entrada",IF(AND(F2547&lt;&gt;"",E2547=""),"Conversa sem agendamento",IF(OR(E2547&gt;TODAY(),F2547&gt;TODAY()),"Verificar evento futuro","OK"))))))))))</f>
        <v/>
      </c>
    </row>
    <row r="2548" spans="12:15">
      <c r="L2548" s="5">
        <f>IF(OR(A2548="",B2548=""),"",B2548-WEEKDAY(B2548,2)+1)</f>
        <v/>
      </c>
      <c r="M2548" s="5">
        <f>IF(L2548="","",L2548+6)</f>
        <v/>
      </c>
      <c r="N2548" s="6">
        <f>IF(OR(A2548="",B2548=""),"",DATE(YEAR(B2548),MONTH(B2548),1))</f>
        <v/>
      </c>
      <c r="O2548" s="7">
        <f>IF(COUNTA(A2548:K2548)=0,"",IF(OR(A2548="",B2548=""),"Preencher CPF e entrada",IF(COUNTIFS($A$12:$A$5011,A2548,$B$12:$B$5011,B2548)&gt;1,"CPF + dia duplicado",IF(OR(AND(G2548&lt;&gt;"",G2548&lt;&gt;0,G2548&lt;&gt;1),AND(H2548&lt;&gt;"",H2548&lt;&gt;0,H2548&lt;&gt;1)),"Flags devem ser 0 ou 1",IF(AND(H2548=1,LEN(TRIM(I2548))=0),"Preencher nome do indicante",IF(AND(H2548&lt;&gt;1,I2548&lt;&gt;""),"Nome sem indicação interna",IF(AND(G2548=1,F2548=""),"Fechamento sem conversa",IF(OR(AND(E2548&lt;&gt;"",E2548&lt;B2548),AND(F2548&lt;&gt;"",F2548&lt;B2548)),"Evento anterior à entrada",IF(AND(F2548&lt;&gt;"",E2548=""),"Conversa sem agendamento",IF(OR(E2548&gt;TODAY(),F2548&gt;TODAY()),"Verificar evento futuro","OK"))))))))))</f>
        <v/>
      </c>
    </row>
    <row r="2549" spans="12:15">
      <c r="L2549" s="5">
        <f>IF(OR(A2549="",B2549=""),"",B2549-WEEKDAY(B2549,2)+1)</f>
        <v/>
      </c>
      <c r="M2549" s="5">
        <f>IF(L2549="","",L2549+6)</f>
        <v/>
      </c>
      <c r="N2549" s="6">
        <f>IF(OR(A2549="",B2549=""),"",DATE(YEAR(B2549),MONTH(B2549),1))</f>
        <v/>
      </c>
      <c r="O2549" s="7">
        <f>IF(COUNTA(A2549:K2549)=0,"",IF(OR(A2549="",B2549=""),"Preencher CPF e entrada",IF(COUNTIFS($A$12:$A$5011,A2549,$B$12:$B$5011,B2549)&gt;1,"CPF + dia duplicado",IF(OR(AND(G2549&lt;&gt;"",G2549&lt;&gt;0,G2549&lt;&gt;1),AND(H2549&lt;&gt;"",H2549&lt;&gt;0,H2549&lt;&gt;1)),"Flags devem ser 0 ou 1",IF(AND(H2549=1,LEN(TRIM(I2549))=0),"Preencher nome do indicante",IF(AND(H2549&lt;&gt;1,I2549&lt;&gt;""),"Nome sem indicação interna",IF(AND(G2549=1,F2549=""),"Fechamento sem conversa",IF(OR(AND(E2549&lt;&gt;"",E2549&lt;B2549),AND(F2549&lt;&gt;"",F2549&lt;B2549)),"Evento anterior à entrada",IF(AND(F2549&lt;&gt;"",E2549=""),"Conversa sem agendamento",IF(OR(E2549&gt;TODAY(),F2549&gt;TODAY()),"Verificar evento futuro","OK"))))))))))</f>
        <v/>
      </c>
    </row>
    <row r="2550" spans="12:15">
      <c r="L2550" s="5">
        <f>IF(OR(A2550="",B2550=""),"",B2550-WEEKDAY(B2550,2)+1)</f>
        <v/>
      </c>
      <c r="M2550" s="5">
        <f>IF(L2550="","",L2550+6)</f>
        <v/>
      </c>
      <c r="N2550" s="6">
        <f>IF(OR(A2550="",B2550=""),"",DATE(YEAR(B2550),MONTH(B2550),1))</f>
        <v/>
      </c>
      <c r="O2550" s="7">
        <f>IF(COUNTA(A2550:K2550)=0,"",IF(OR(A2550="",B2550=""),"Preencher CPF e entrada",IF(COUNTIFS($A$12:$A$5011,A2550,$B$12:$B$5011,B2550)&gt;1,"CPF + dia duplicado",IF(OR(AND(G2550&lt;&gt;"",G2550&lt;&gt;0,G2550&lt;&gt;1),AND(H2550&lt;&gt;"",H2550&lt;&gt;0,H2550&lt;&gt;1)),"Flags devem ser 0 ou 1",IF(AND(H2550=1,LEN(TRIM(I2550))=0),"Preencher nome do indicante",IF(AND(H2550&lt;&gt;1,I2550&lt;&gt;""),"Nome sem indicação interna",IF(AND(G2550=1,F2550=""),"Fechamento sem conversa",IF(OR(AND(E2550&lt;&gt;"",E2550&lt;B2550),AND(F2550&lt;&gt;"",F2550&lt;B2550)),"Evento anterior à entrada",IF(AND(F2550&lt;&gt;"",E2550=""),"Conversa sem agendamento",IF(OR(E2550&gt;TODAY(),F2550&gt;TODAY()),"Verificar evento futuro","OK"))))))))))</f>
        <v/>
      </c>
    </row>
    <row r="2551" spans="12:15">
      <c r="L2551" s="5">
        <f>IF(OR(A2551="",B2551=""),"",B2551-WEEKDAY(B2551,2)+1)</f>
        <v/>
      </c>
      <c r="M2551" s="5">
        <f>IF(L2551="","",L2551+6)</f>
        <v/>
      </c>
      <c r="N2551" s="6">
        <f>IF(OR(A2551="",B2551=""),"",DATE(YEAR(B2551),MONTH(B2551),1))</f>
        <v/>
      </c>
      <c r="O2551" s="7">
        <f>IF(COUNTA(A2551:K2551)=0,"",IF(OR(A2551="",B2551=""),"Preencher CPF e entrada",IF(COUNTIFS($A$12:$A$5011,A2551,$B$12:$B$5011,B2551)&gt;1,"CPF + dia duplicado",IF(OR(AND(G2551&lt;&gt;"",G2551&lt;&gt;0,G2551&lt;&gt;1),AND(H2551&lt;&gt;"",H2551&lt;&gt;0,H2551&lt;&gt;1)),"Flags devem ser 0 ou 1",IF(AND(H2551=1,LEN(TRIM(I2551))=0),"Preencher nome do indicante",IF(AND(H2551&lt;&gt;1,I2551&lt;&gt;""),"Nome sem indicação interna",IF(AND(G2551=1,F2551=""),"Fechamento sem conversa",IF(OR(AND(E2551&lt;&gt;"",E2551&lt;B2551),AND(F2551&lt;&gt;"",F2551&lt;B2551)),"Evento anterior à entrada",IF(AND(F2551&lt;&gt;"",E2551=""),"Conversa sem agendamento",IF(OR(E2551&gt;TODAY(),F2551&gt;TODAY()),"Verificar evento futuro","OK"))))))))))</f>
        <v/>
      </c>
    </row>
    <row r="2552" spans="12:15">
      <c r="L2552" s="5">
        <f>IF(OR(A2552="",B2552=""),"",B2552-WEEKDAY(B2552,2)+1)</f>
        <v/>
      </c>
      <c r="M2552" s="5">
        <f>IF(L2552="","",L2552+6)</f>
        <v/>
      </c>
      <c r="N2552" s="6">
        <f>IF(OR(A2552="",B2552=""),"",DATE(YEAR(B2552),MONTH(B2552),1))</f>
        <v/>
      </c>
      <c r="O2552" s="7">
        <f>IF(COUNTA(A2552:K2552)=0,"",IF(OR(A2552="",B2552=""),"Preencher CPF e entrada",IF(COUNTIFS($A$12:$A$5011,A2552,$B$12:$B$5011,B2552)&gt;1,"CPF + dia duplicado",IF(OR(AND(G2552&lt;&gt;"",G2552&lt;&gt;0,G2552&lt;&gt;1),AND(H2552&lt;&gt;"",H2552&lt;&gt;0,H2552&lt;&gt;1)),"Flags devem ser 0 ou 1",IF(AND(H2552=1,LEN(TRIM(I2552))=0),"Preencher nome do indicante",IF(AND(H2552&lt;&gt;1,I2552&lt;&gt;""),"Nome sem indicação interna",IF(AND(G2552=1,F2552=""),"Fechamento sem conversa",IF(OR(AND(E2552&lt;&gt;"",E2552&lt;B2552),AND(F2552&lt;&gt;"",F2552&lt;B2552)),"Evento anterior à entrada",IF(AND(F2552&lt;&gt;"",E2552=""),"Conversa sem agendamento",IF(OR(E2552&gt;TODAY(),F2552&gt;TODAY()),"Verificar evento futuro","OK"))))))))))</f>
        <v/>
      </c>
    </row>
    <row r="2553" spans="12:15">
      <c r="L2553" s="5">
        <f>IF(OR(A2553="",B2553=""),"",B2553-WEEKDAY(B2553,2)+1)</f>
        <v/>
      </c>
      <c r="M2553" s="5">
        <f>IF(L2553="","",L2553+6)</f>
        <v/>
      </c>
      <c r="N2553" s="6">
        <f>IF(OR(A2553="",B2553=""),"",DATE(YEAR(B2553),MONTH(B2553),1))</f>
        <v/>
      </c>
      <c r="O2553" s="7">
        <f>IF(COUNTA(A2553:K2553)=0,"",IF(OR(A2553="",B2553=""),"Preencher CPF e entrada",IF(COUNTIFS($A$12:$A$5011,A2553,$B$12:$B$5011,B2553)&gt;1,"CPF + dia duplicado",IF(OR(AND(G2553&lt;&gt;"",G2553&lt;&gt;0,G2553&lt;&gt;1),AND(H2553&lt;&gt;"",H2553&lt;&gt;0,H2553&lt;&gt;1)),"Flags devem ser 0 ou 1",IF(AND(H2553=1,LEN(TRIM(I2553))=0),"Preencher nome do indicante",IF(AND(H2553&lt;&gt;1,I2553&lt;&gt;""),"Nome sem indicação interna",IF(AND(G2553=1,F2553=""),"Fechamento sem conversa",IF(OR(AND(E2553&lt;&gt;"",E2553&lt;B2553),AND(F2553&lt;&gt;"",F2553&lt;B2553)),"Evento anterior à entrada",IF(AND(F2553&lt;&gt;"",E2553=""),"Conversa sem agendamento",IF(OR(E2553&gt;TODAY(),F2553&gt;TODAY()),"Verificar evento futuro","OK"))))))))))</f>
        <v/>
      </c>
    </row>
    <row r="2554" spans="12:15">
      <c r="L2554" s="5">
        <f>IF(OR(A2554="",B2554=""),"",B2554-WEEKDAY(B2554,2)+1)</f>
        <v/>
      </c>
      <c r="M2554" s="5">
        <f>IF(L2554="","",L2554+6)</f>
        <v/>
      </c>
      <c r="N2554" s="6">
        <f>IF(OR(A2554="",B2554=""),"",DATE(YEAR(B2554),MONTH(B2554),1))</f>
        <v/>
      </c>
      <c r="O2554" s="7">
        <f>IF(COUNTA(A2554:K2554)=0,"",IF(OR(A2554="",B2554=""),"Preencher CPF e entrada",IF(COUNTIFS($A$12:$A$5011,A2554,$B$12:$B$5011,B2554)&gt;1,"CPF + dia duplicado",IF(OR(AND(G2554&lt;&gt;"",G2554&lt;&gt;0,G2554&lt;&gt;1),AND(H2554&lt;&gt;"",H2554&lt;&gt;0,H2554&lt;&gt;1)),"Flags devem ser 0 ou 1",IF(AND(H2554=1,LEN(TRIM(I2554))=0),"Preencher nome do indicante",IF(AND(H2554&lt;&gt;1,I2554&lt;&gt;""),"Nome sem indicação interna",IF(AND(G2554=1,F2554=""),"Fechamento sem conversa",IF(OR(AND(E2554&lt;&gt;"",E2554&lt;B2554),AND(F2554&lt;&gt;"",F2554&lt;B2554)),"Evento anterior à entrada",IF(AND(F2554&lt;&gt;"",E2554=""),"Conversa sem agendamento",IF(OR(E2554&gt;TODAY(),F2554&gt;TODAY()),"Verificar evento futuro","OK"))))))))))</f>
        <v/>
      </c>
    </row>
    <row r="2555" spans="12:15">
      <c r="L2555" s="5">
        <f>IF(OR(A2555="",B2555=""),"",B2555-WEEKDAY(B2555,2)+1)</f>
        <v/>
      </c>
      <c r="M2555" s="5">
        <f>IF(L2555="","",L2555+6)</f>
        <v/>
      </c>
      <c r="N2555" s="6">
        <f>IF(OR(A2555="",B2555=""),"",DATE(YEAR(B2555),MONTH(B2555),1))</f>
        <v/>
      </c>
      <c r="O2555" s="7">
        <f>IF(COUNTA(A2555:K2555)=0,"",IF(OR(A2555="",B2555=""),"Preencher CPF e entrada",IF(COUNTIFS($A$12:$A$5011,A2555,$B$12:$B$5011,B2555)&gt;1,"CPF + dia duplicado",IF(OR(AND(G2555&lt;&gt;"",G2555&lt;&gt;0,G2555&lt;&gt;1),AND(H2555&lt;&gt;"",H2555&lt;&gt;0,H2555&lt;&gt;1)),"Flags devem ser 0 ou 1",IF(AND(H2555=1,LEN(TRIM(I2555))=0),"Preencher nome do indicante",IF(AND(H2555&lt;&gt;1,I2555&lt;&gt;""),"Nome sem indicação interna",IF(AND(G2555=1,F2555=""),"Fechamento sem conversa",IF(OR(AND(E2555&lt;&gt;"",E2555&lt;B2555),AND(F2555&lt;&gt;"",F2555&lt;B2555)),"Evento anterior à entrada",IF(AND(F2555&lt;&gt;"",E2555=""),"Conversa sem agendamento",IF(OR(E2555&gt;TODAY(),F2555&gt;TODAY()),"Verificar evento futuro","OK"))))))))))</f>
        <v/>
      </c>
    </row>
    <row r="2556" spans="12:15">
      <c r="L2556" s="5">
        <f>IF(OR(A2556="",B2556=""),"",B2556-WEEKDAY(B2556,2)+1)</f>
        <v/>
      </c>
      <c r="M2556" s="5">
        <f>IF(L2556="","",L2556+6)</f>
        <v/>
      </c>
      <c r="N2556" s="6">
        <f>IF(OR(A2556="",B2556=""),"",DATE(YEAR(B2556),MONTH(B2556),1))</f>
        <v/>
      </c>
      <c r="O2556" s="7">
        <f>IF(COUNTA(A2556:K2556)=0,"",IF(OR(A2556="",B2556=""),"Preencher CPF e entrada",IF(COUNTIFS($A$12:$A$5011,A2556,$B$12:$B$5011,B2556)&gt;1,"CPF + dia duplicado",IF(OR(AND(G2556&lt;&gt;"",G2556&lt;&gt;0,G2556&lt;&gt;1),AND(H2556&lt;&gt;"",H2556&lt;&gt;0,H2556&lt;&gt;1)),"Flags devem ser 0 ou 1",IF(AND(H2556=1,LEN(TRIM(I2556))=0),"Preencher nome do indicante",IF(AND(H2556&lt;&gt;1,I2556&lt;&gt;""),"Nome sem indicação interna",IF(AND(G2556=1,F2556=""),"Fechamento sem conversa",IF(OR(AND(E2556&lt;&gt;"",E2556&lt;B2556),AND(F2556&lt;&gt;"",F2556&lt;B2556)),"Evento anterior à entrada",IF(AND(F2556&lt;&gt;"",E2556=""),"Conversa sem agendamento",IF(OR(E2556&gt;TODAY(),F2556&gt;TODAY()),"Verificar evento futuro","OK"))))))))))</f>
        <v/>
      </c>
    </row>
    <row r="2557" spans="12:15">
      <c r="L2557" s="5">
        <f>IF(OR(A2557="",B2557=""),"",B2557-WEEKDAY(B2557,2)+1)</f>
        <v/>
      </c>
      <c r="M2557" s="5">
        <f>IF(L2557="","",L2557+6)</f>
        <v/>
      </c>
      <c r="N2557" s="6">
        <f>IF(OR(A2557="",B2557=""),"",DATE(YEAR(B2557),MONTH(B2557),1))</f>
        <v/>
      </c>
      <c r="O2557" s="7">
        <f>IF(COUNTA(A2557:K2557)=0,"",IF(OR(A2557="",B2557=""),"Preencher CPF e entrada",IF(COUNTIFS($A$12:$A$5011,A2557,$B$12:$B$5011,B2557)&gt;1,"CPF + dia duplicado",IF(OR(AND(G2557&lt;&gt;"",G2557&lt;&gt;0,G2557&lt;&gt;1),AND(H2557&lt;&gt;"",H2557&lt;&gt;0,H2557&lt;&gt;1)),"Flags devem ser 0 ou 1",IF(AND(H2557=1,LEN(TRIM(I2557))=0),"Preencher nome do indicante",IF(AND(H2557&lt;&gt;1,I2557&lt;&gt;""),"Nome sem indicação interna",IF(AND(G2557=1,F2557=""),"Fechamento sem conversa",IF(OR(AND(E2557&lt;&gt;"",E2557&lt;B2557),AND(F2557&lt;&gt;"",F2557&lt;B2557)),"Evento anterior à entrada",IF(AND(F2557&lt;&gt;"",E2557=""),"Conversa sem agendamento",IF(OR(E2557&gt;TODAY(),F2557&gt;TODAY()),"Verificar evento futuro","OK"))))))))))</f>
        <v/>
      </c>
    </row>
    <row r="2558" spans="12:15">
      <c r="L2558" s="5">
        <f>IF(OR(A2558="",B2558=""),"",B2558-WEEKDAY(B2558,2)+1)</f>
        <v/>
      </c>
      <c r="M2558" s="5">
        <f>IF(L2558="","",L2558+6)</f>
        <v/>
      </c>
      <c r="N2558" s="6">
        <f>IF(OR(A2558="",B2558=""),"",DATE(YEAR(B2558),MONTH(B2558),1))</f>
        <v/>
      </c>
      <c r="O2558" s="7">
        <f>IF(COUNTA(A2558:K2558)=0,"",IF(OR(A2558="",B2558=""),"Preencher CPF e entrada",IF(COUNTIFS($A$12:$A$5011,A2558,$B$12:$B$5011,B2558)&gt;1,"CPF + dia duplicado",IF(OR(AND(G2558&lt;&gt;"",G2558&lt;&gt;0,G2558&lt;&gt;1),AND(H2558&lt;&gt;"",H2558&lt;&gt;0,H2558&lt;&gt;1)),"Flags devem ser 0 ou 1",IF(AND(H2558=1,LEN(TRIM(I2558))=0),"Preencher nome do indicante",IF(AND(H2558&lt;&gt;1,I2558&lt;&gt;""),"Nome sem indicação interna",IF(AND(G2558=1,F2558=""),"Fechamento sem conversa",IF(OR(AND(E2558&lt;&gt;"",E2558&lt;B2558),AND(F2558&lt;&gt;"",F2558&lt;B2558)),"Evento anterior à entrada",IF(AND(F2558&lt;&gt;"",E2558=""),"Conversa sem agendamento",IF(OR(E2558&gt;TODAY(),F2558&gt;TODAY()),"Verificar evento futuro","OK"))))))))))</f>
        <v/>
      </c>
    </row>
    <row r="2559" spans="12:15">
      <c r="L2559" s="5">
        <f>IF(OR(A2559="",B2559=""),"",B2559-WEEKDAY(B2559,2)+1)</f>
        <v/>
      </c>
      <c r="M2559" s="5">
        <f>IF(L2559="","",L2559+6)</f>
        <v/>
      </c>
      <c r="N2559" s="6">
        <f>IF(OR(A2559="",B2559=""),"",DATE(YEAR(B2559),MONTH(B2559),1))</f>
        <v/>
      </c>
      <c r="O2559" s="7">
        <f>IF(COUNTA(A2559:K2559)=0,"",IF(OR(A2559="",B2559=""),"Preencher CPF e entrada",IF(COUNTIFS($A$12:$A$5011,A2559,$B$12:$B$5011,B2559)&gt;1,"CPF + dia duplicado",IF(OR(AND(G2559&lt;&gt;"",G2559&lt;&gt;0,G2559&lt;&gt;1),AND(H2559&lt;&gt;"",H2559&lt;&gt;0,H2559&lt;&gt;1)),"Flags devem ser 0 ou 1",IF(AND(H2559=1,LEN(TRIM(I2559))=0),"Preencher nome do indicante",IF(AND(H2559&lt;&gt;1,I2559&lt;&gt;""),"Nome sem indicação interna",IF(AND(G2559=1,F2559=""),"Fechamento sem conversa",IF(OR(AND(E2559&lt;&gt;"",E2559&lt;B2559),AND(F2559&lt;&gt;"",F2559&lt;B2559)),"Evento anterior à entrada",IF(AND(F2559&lt;&gt;"",E2559=""),"Conversa sem agendamento",IF(OR(E2559&gt;TODAY(),F2559&gt;TODAY()),"Verificar evento futuro","OK"))))))))))</f>
        <v/>
      </c>
    </row>
    <row r="2560" spans="12:15">
      <c r="L2560" s="5">
        <f>IF(OR(A2560="",B2560=""),"",B2560-WEEKDAY(B2560,2)+1)</f>
        <v/>
      </c>
      <c r="M2560" s="5">
        <f>IF(L2560="","",L2560+6)</f>
        <v/>
      </c>
      <c r="N2560" s="6">
        <f>IF(OR(A2560="",B2560=""),"",DATE(YEAR(B2560),MONTH(B2560),1))</f>
        <v/>
      </c>
      <c r="O2560" s="7">
        <f>IF(COUNTA(A2560:K2560)=0,"",IF(OR(A2560="",B2560=""),"Preencher CPF e entrada",IF(COUNTIFS($A$12:$A$5011,A2560,$B$12:$B$5011,B2560)&gt;1,"CPF + dia duplicado",IF(OR(AND(G2560&lt;&gt;"",G2560&lt;&gt;0,G2560&lt;&gt;1),AND(H2560&lt;&gt;"",H2560&lt;&gt;0,H2560&lt;&gt;1)),"Flags devem ser 0 ou 1",IF(AND(H2560=1,LEN(TRIM(I2560))=0),"Preencher nome do indicante",IF(AND(H2560&lt;&gt;1,I2560&lt;&gt;""),"Nome sem indicação interna",IF(AND(G2560=1,F2560=""),"Fechamento sem conversa",IF(OR(AND(E2560&lt;&gt;"",E2560&lt;B2560),AND(F2560&lt;&gt;"",F2560&lt;B2560)),"Evento anterior à entrada",IF(AND(F2560&lt;&gt;"",E2560=""),"Conversa sem agendamento",IF(OR(E2560&gt;TODAY(),F2560&gt;TODAY()),"Verificar evento futuro","OK"))))))))))</f>
        <v/>
      </c>
    </row>
    <row r="2561" spans="12:15">
      <c r="L2561" s="5">
        <f>IF(OR(A2561="",B2561=""),"",B2561-WEEKDAY(B2561,2)+1)</f>
        <v/>
      </c>
      <c r="M2561" s="5">
        <f>IF(L2561="","",L2561+6)</f>
        <v/>
      </c>
      <c r="N2561" s="6">
        <f>IF(OR(A2561="",B2561=""),"",DATE(YEAR(B2561),MONTH(B2561),1))</f>
        <v/>
      </c>
      <c r="O2561" s="7">
        <f>IF(COUNTA(A2561:K2561)=0,"",IF(OR(A2561="",B2561=""),"Preencher CPF e entrada",IF(COUNTIFS($A$12:$A$5011,A2561,$B$12:$B$5011,B2561)&gt;1,"CPF + dia duplicado",IF(OR(AND(G2561&lt;&gt;"",G2561&lt;&gt;0,G2561&lt;&gt;1),AND(H2561&lt;&gt;"",H2561&lt;&gt;0,H2561&lt;&gt;1)),"Flags devem ser 0 ou 1",IF(AND(H2561=1,LEN(TRIM(I2561))=0),"Preencher nome do indicante",IF(AND(H2561&lt;&gt;1,I2561&lt;&gt;""),"Nome sem indicação interna",IF(AND(G2561=1,F2561=""),"Fechamento sem conversa",IF(OR(AND(E2561&lt;&gt;"",E2561&lt;B2561),AND(F2561&lt;&gt;"",F2561&lt;B2561)),"Evento anterior à entrada",IF(AND(F2561&lt;&gt;"",E2561=""),"Conversa sem agendamento",IF(OR(E2561&gt;TODAY(),F2561&gt;TODAY()),"Verificar evento futuro","OK"))))))))))</f>
        <v/>
      </c>
    </row>
    <row r="2562" spans="12:15">
      <c r="L2562" s="5">
        <f>IF(OR(A2562="",B2562=""),"",B2562-WEEKDAY(B2562,2)+1)</f>
        <v/>
      </c>
      <c r="M2562" s="5">
        <f>IF(L2562="","",L2562+6)</f>
        <v/>
      </c>
      <c r="N2562" s="6">
        <f>IF(OR(A2562="",B2562=""),"",DATE(YEAR(B2562),MONTH(B2562),1))</f>
        <v/>
      </c>
      <c r="O2562" s="7">
        <f>IF(COUNTA(A2562:K2562)=0,"",IF(OR(A2562="",B2562=""),"Preencher CPF e entrada",IF(COUNTIFS($A$12:$A$5011,A2562,$B$12:$B$5011,B2562)&gt;1,"CPF + dia duplicado",IF(OR(AND(G2562&lt;&gt;"",G2562&lt;&gt;0,G2562&lt;&gt;1),AND(H2562&lt;&gt;"",H2562&lt;&gt;0,H2562&lt;&gt;1)),"Flags devem ser 0 ou 1",IF(AND(H2562=1,LEN(TRIM(I2562))=0),"Preencher nome do indicante",IF(AND(H2562&lt;&gt;1,I2562&lt;&gt;""),"Nome sem indicação interna",IF(AND(G2562=1,F2562=""),"Fechamento sem conversa",IF(OR(AND(E2562&lt;&gt;"",E2562&lt;B2562),AND(F2562&lt;&gt;"",F2562&lt;B2562)),"Evento anterior à entrada",IF(AND(F2562&lt;&gt;"",E2562=""),"Conversa sem agendamento",IF(OR(E2562&gt;TODAY(),F2562&gt;TODAY()),"Verificar evento futuro","OK"))))))))))</f>
        <v/>
      </c>
    </row>
    <row r="2563" spans="12:15">
      <c r="L2563" s="5">
        <f>IF(OR(A2563="",B2563=""),"",B2563-WEEKDAY(B2563,2)+1)</f>
        <v/>
      </c>
      <c r="M2563" s="5">
        <f>IF(L2563="","",L2563+6)</f>
        <v/>
      </c>
      <c r="N2563" s="6">
        <f>IF(OR(A2563="",B2563=""),"",DATE(YEAR(B2563),MONTH(B2563),1))</f>
        <v/>
      </c>
      <c r="O2563" s="7">
        <f>IF(COUNTA(A2563:K2563)=0,"",IF(OR(A2563="",B2563=""),"Preencher CPF e entrada",IF(COUNTIFS($A$12:$A$5011,A2563,$B$12:$B$5011,B2563)&gt;1,"CPF + dia duplicado",IF(OR(AND(G2563&lt;&gt;"",G2563&lt;&gt;0,G2563&lt;&gt;1),AND(H2563&lt;&gt;"",H2563&lt;&gt;0,H2563&lt;&gt;1)),"Flags devem ser 0 ou 1",IF(AND(H2563=1,LEN(TRIM(I2563))=0),"Preencher nome do indicante",IF(AND(H2563&lt;&gt;1,I2563&lt;&gt;""),"Nome sem indicação interna",IF(AND(G2563=1,F2563=""),"Fechamento sem conversa",IF(OR(AND(E2563&lt;&gt;"",E2563&lt;B2563),AND(F2563&lt;&gt;"",F2563&lt;B2563)),"Evento anterior à entrada",IF(AND(F2563&lt;&gt;"",E2563=""),"Conversa sem agendamento",IF(OR(E2563&gt;TODAY(),F2563&gt;TODAY()),"Verificar evento futuro","OK"))))))))))</f>
        <v/>
      </c>
    </row>
    <row r="2564" spans="12:15">
      <c r="L2564" s="5">
        <f>IF(OR(A2564="",B2564=""),"",B2564-WEEKDAY(B2564,2)+1)</f>
        <v/>
      </c>
      <c r="M2564" s="5">
        <f>IF(L2564="","",L2564+6)</f>
        <v/>
      </c>
      <c r="N2564" s="6">
        <f>IF(OR(A2564="",B2564=""),"",DATE(YEAR(B2564),MONTH(B2564),1))</f>
        <v/>
      </c>
      <c r="O2564" s="7">
        <f>IF(COUNTA(A2564:K2564)=0,"",IF(OR(A2564="",B2564=""),"Preencher CPF e entrada",IF(COUNTIFS($A$12:$A$5011,A2564,$B$12:$B$5011,B2564)&gt;1,"CPF + dia duplicado",IF(OR(AND(G2564&lt;&gt;"",G2564&lt;&gt;0,G2564&lt;&gt;1),AND(H2564&lt;&gt;"",H2564&lt;&gt;0,H2564&lt;&gt;1)),"Flags devem ser 0 ou 1",IF(AND(H2564=1,LEN(TRIM(I2564))=0),"Preencher nome do indicante",IF(AND(H2564&lt;&gt;1,I2564&lt;&gt;""),"Nome sem indicação interna",IF(AND(G2564=1,F2564=""),"Fechamento sem conversa",IF(OR(AND(E2564&lt;&gt;"",E2564&lt;B2564),AND(F2564&lt;&gt;"",F2564&lt;B2564)),"Evento anterior à entrada",IF(AND(F2564&lt;&gt;"",E2564=""),"Conversa sem agendamento",IF(OR(E2564&gt;TODAY(),F2564&gt;TODAY()),"Verificar evento futuro","OK"))))))))))</f>
        <v/>
      </c>
    </row>
    <row r="2565" spans="12:15">
      <c r="L2565" s="5">
        <f>IF(OR(A2565="",B2565=""),"",B2565-WEEKDAY(B2565,2)+1)</f>
        <v/>
      </c>
      <c r="M2565" s="5">
        <f>IF(L2565="","",L2565+6)</f>
        <v/>
      </c>
      <c r="N2565" s="6">
        <f>IF(OR(A2565="",B2565=""),"",DATE(YEAR(B2565),MONTH(B2565),1))</f>
        <v/>
      </c>
      <c r="O2565" s="7">
        <f>IF(COUNTA(A2565:K2565)=0,"",IF(OR(A2565="",B2565=""),"Preencher CPF e entrada",IF(COUNTIFS($A$12:$A$5011,A2565,$B$12:$B$5011,B2565)&gt;1,"CPF + dia duplicado",IF(OR(AND(G2565&lt;&gt;"",G2565&lt;&gt;0,G2565&lt;&gt;1),AND(H2565&lt;&gt;"",H2565&lt;&gt;0,H2565&lt;&gt;1)),"Flags devem ser 0 ou 1",IF(AND(H2565=1,LEN(TRIM(I2565))=0),"Preencher nome do indicante",IF(AND(H2565&lt;&gt;1,I2565&lt;&gt;""),"Nome sem indicação interna",IF(AND(G2565=1,F2565=""),"Fechamento sem conversa",IF(OR(AND(E2565&lt;&gt;"",E2565&lt;B2565),AND(F2565&lt;&gt;"",F2565&lt;B2565)),"Evento anterior à entrada",IF(AND(F2565&lt;&gt;"",E2565=""),"Conversa sem agendamento",IF(OR(E2565&gt;TODAY(),F2565&gt;TODAY()),"Verificar evento futuro","OK"))))))))))</f>
        <v/>
      </c>
    </row>
    <row r="2566" spans="12:15">
      <c r="L2566" s="5">
        <f>IF(OR(A2566="",B2566=""),"",B2566-WEEKDAY(B2566,2)+1)</f>
        <v/>
      </c>
      <c r="M2566" s="5">
        <f>IF(L2566="","",L2566+6)</f>
        <v/>
      </c>
      <c r="N2566" s="6">
        <f>IF(OR(A2566="",B2566=""),"",DATE(YEAR(B2566),MONTH(B2566),1))</f>
        <v/>
      </c>
      <c r="O2566" s="7">
        <f>IF(COUNTA(A2566:K2566)=0,"",IF(OR(A2566="",B2566=""),"Preencher CPF e entrada",IF(COUNTIFS($A$12:$A$5011,A2566,$B$12:$B$5011,B2566)&gt;1,"CPF + dia duplicado",IF(OR(AND(G2566&lt;&gt;"",G2566&lt;&gt;0,G2566&lt;&gt;1),AND(H2566&lt;&gt;"",H2566&lt;&gt;0,H2566&lt;&gt;1)),"Flags devem ser 0 ou 1",IF(AND(H2566=1,LEN(TRIM(I2566))=0),"Preencher nome do indicante",IF(AND(H2566&lt;&gt;1,I2566&lt;&gt;""),"Nome sem indicação interna",IF(AND(G2566=1,F2566=""),"Fechamento sem conversa",IF(OR(AND(E2566&lt;&gt;"",E2566&lt;B2566),AND(F2566&lt;&gt;"",F2566&lt;B2566)),"Evento anterior à entrada",IF(AND(F2566&lt;&gt;"",E2566=""),"Conversa sem agendamento",IF(OR(E2566&gt;TODAY(),F2566&gt;TODAY()),"Verificar evento futuro","OK"))))))))))</f>
        <v/>
      </c>
    </row>
    <row r="2567" spans="12:15">
      <c r="L2567" s="5">
        <f>IF(OR(A2567="",B2567=""),"",B2567-WEEKDAY(B2567,2)+1)</f>
        <v/>
      </c>
      <c r="M2567" s="5">
        <f>IF(L2567="","",L2567+6)</f>
        <v/>
      </c>
      <c r="N2567" s="6">
        <f>IF(OR(A2567="",B2567=""),"",DATE(YEAR(B2567),MONTH(B2567),1))</f>
        <v/>
      </c>
      <c r="O2567" s="7">
        <f>IF(COUNTA(A2567:K2567)=0,"",IF(OR(A2567="",B2567=""),"Preencher CPF e entrada",IF(COUNTIFS($A$12:$A$5011,A2567,$B$12:$B$5011,B2567)&gt;1,"CPF + dia duplicado",IF(OR(AND(G2567&lt;&gt;"",G2567&lt;&gt;0,G2567&lt;&gt;1),AND(H2567&lt;&gt;"",H2567&lt;&gt;0,H2567&lt;&gt;1)),"Flags devem ser 0 ou 1",IF(AND(H2567=1,LEN(TRIM(I2567))=0),"Preencher nome do indicante",IF(AND(H2567&lt;&gt;1,I2567&lt;&gt;""),"Nome sem indicação interna",IF(AND(G2567=1,F2567=""),"Fechamento sem conversa",IF(OR(AND(E2567&lt;&gt;"",E2567&lt;B2567),AND(F2567&lt;&gt;"",F2567&lt;B2567)),"Evento anterior à entrada",IF(AND(F2567&lt;&gt;"",E2567=""),"Conversa sem agendamento",IF(OR(E2567&gt;TODAY(),F2567&gt;TODAY()),"Verificar evento futuro","OK"))))))))))</f>
        <v/>
      </c>
    </row>
    <row r="2568" spans="12:15">
      <c r="L2568" s="5">
        <f>IF(OR(A2568="",B2568=""),"",B2568-WEEKDAY(B2568,2)+1)</f>
        <v/>
      </c>
      <c r="M2568" s="5">
        <f>IF(L2568="","",L2568+6)</f>
        <v/>
      </c>
      <c r="N2568" s="6">
        <f>IF(OR(A2568="",B2568=""),"",DATE(YEAR(B2568),MONTH(B2568),1))</f>
        <v/>
      </c>
      <c r="O2568" s="7">
        <f>IF(COUNTA(A2568:K2568)=0,"",IF(OR(A2568="",B2568=""),"Preencher CPF e entrada",IF(COUNTIFS($A$12:$A$5011,A2568,$B$12:$B$5011,B2568)&gt;1,"CPF + dia duplicado",IF(OR(AND(G2568&lt;&gt;"",G2568&lt;&gt;0,G2568&lt;&gt;1),AND(H2568&lt;&gt;"",H2568&lt;&gt;0,H2568&lt;&gt;1)),"Flags devem ser 0 ou 1",IF(AND(H2568=1,LEN(TRIM(I2568))=0),"Preencher nome do indicante",IF(AND(H2568&lt;&gt;1,I2568&lt;&gt;""),"Nome sem indicação interna",IF(AND(G2568=1,F2568=""),"Fechamento sem conversa",IF(OR(AND(E2568&lt;&gt;"",E2568&lt;B2568),AND(F2568&lt;&gt;"",F2568&lt;B2568)),"Evento anterior à entrada",IF(AND(F2568&lt;&gt;"",E2568=""),"Conversa sem agendamento",IF(OR(E2568&gt;TODAY(),F2568&gt;TODAY()),"Verificar evento futuro","OK"))))))))))</f>
        <v/>
      </c>
    </row>
    <row r="2569" spans="12:15">
      <c r="L2569" s="5">
        <f>IF(OR(A2569="",B2569=""),"",B2569-WEEKDAY(B2569,2)+1)</f>
        <v/>
      </c>
      <c r="M2569" s="5">
        <f>IF(L2569="","",L2569+6)</f>
        <v/>
      </c>
      <c r="N2569" s="6">
        <f>IF(OR(A2569="",B2569=""),"",DATE(YEAR(B2569),MONTH(B2569),1))</f>
        <v/>
      </c>
      <c r="O2569" s="7">
        <f>IF(COUNTA(A2569:K2569)=0,"",IF(OR(A2569="",B2569=""),"Preencher CPF e entrada",IF(COUNTIFS($A$12:$A$5011,A2569,$B$12:$B$5011,B2569)&gt;1,"CPF + dia duplicado",IF(OR(AND(G2569&lt;&gt;"",G2569&lt;&gt;0,G2569&lt;&gt;1),AND(H2569&lt;&gt;"",H2569&lt;&gt;0,H2569&lt;&gt;1)),"Flags devem ser 0 ou 1",IF(AND(H2569=1,LEN(TRIM(I2569))=0),"Preencher nome do indicante",IF(AND(H2569&lt;&gt;1,I2569&lt;&gt;""),"Nome sem indicação interna",IF(AND(G2569=1,F2569=""),"Fechamento sem conversa",IF(OR(AND(E2569&lt;&gt;"",E2569&lt;B2569),AND(F2569&lt;&gt;"",F2569&lt;B2569)),"Evento anterior à entrada",IF(AND(F2569&lt;&gt;"",E2569=""),"Conversa sem agendamento",IF(OR(E2569&gt;TODAY(),F2569&gt;TODAY()),"Verificar evento futuro","OK"))))))))))</f>
        <v/>
      </c>
    </row>
    <row r="2570" spans="12:15">
      <c r="L2570" s="5">
        <f>IF(OR(A2570="",B2570=""),"",B2570-WEEKDAY(B2570,2)+1)</f>
        <v/>
      </c>
      <c r="M2570" s="5">
        <f>IF(L2570="","",L2570+6)</f>
        <v/>
      </c>
      <c r="N2570" s="6">
        <f>IF(OR(A2570="",B2570=""),"",DATE(YEAR(B2570),MONTH(B2570),1))</f>
        <v/>
      </c>
      <c r="O2570" s="7">
        <f>IF(COUNTA(A2570:K2570)=0,"",IF(OR(A2570="",B2570=""),"Preencher CPF e entrada",IF(COUNTIFS($A$12:$A$5011,A2570,$B$12:$B$5011,B2570)&gt;1,"CPF + dia duplicado",IF(OR(AND(G2570&lt;&gt;"",G2570&lt;&gt;0,G2570&lt;&gt;1),AND(H2570&lt;&gt;"",H2570&lt;&gt;0,H2570&lt;&gt;1)),"Flags devem ser 0 ou 1",IF(AND(H2570=1,LEN(TRIM(I2570))=0),"Preencher nome do indicante",IF(AND(H2570&lt;&gt;1,I2570&lt;&gt;""),"Nome sem indicação interna",IF(AND(G2570=1,F2570=""),"Fechamento sem conversa",IF(OR(AND(E2570&lt;&gt;"",E2570&lt;B2570),AND(F2570&lt;&gt;"",F2570&lt;B2570)),"Evento anterior à entrada",IF(AND(F2570&lt;&gt;"",E2570=""),"Conversa sem agendamento",IF(OR(E2570&gt;TODAY(),F2570&gt;TODAY()),"Verificar evento futuro","OK"))))))))))</f>
        <v/>
      </c>
    </row>
    <row r="2571" spans="12:15">
      <c r="L2571" s="5">
        <f>IF(OR(A2571="",B2571=""),"",B2571-WEEKDAY(B2571,2)+1)</f>
        <v/>
      </c>
      <c r="M2571" s="5">
        <f>IF(L2571="","",L2571+6)</f>
        <v/>
      </c>
      <c r="N2571" s="6">
        <f>IF(OR(A2571="",B2571=""),"",DATE(YEAR(B2571),MONTH(B2571),1))</f>
        <v/>
      </c>
      <c r="O2571" s="7">
        <f>IF(COUNTA(A2571:K2571)=0,"",IF(OR(A2571="",B2571=""),"Preencher CPF e entrada",IF(COUNTIFS($A$12:$A$5011,A2571,$B$12:$B$5011,B2571)&gt;1,"CPF + dia duplicado",IF(OR(AND(G2571&lt;&gt;"",G2571&lt;&gt;0,G2571&lt;&gt;1),AND(H2571&lt;&gt;"",H2571&lt;&gt;0,H2571&lt;&gt;1)),"Flags devem ser 0 ou 1",IF(AND(H2571=1,LEN(TRIM(I2571))=0),"Preencher nome do indicante",IF(AND(H2571&lt;&gt;1,I2571&lt;&gt;""),"Nome sem indicação interna",IF(AND(G2571=1,F2571=""),"Fechamento sem conversa",IF(OR(AND(E2571&lt;&gt;"",E2571&lt;B2571),AND(F2571&lt;&gt;"",F2571&lt;B2571)),"Evento anterior à entrada",IF(AND(F2571&lt;&gt;"",E2571=""),"Conversa sem agendamento",IF(OR(E2571&gt;TODAY(),F2571&gt;TODAY()),"Verificar evento futuro","OK"))))))))))</f>
        <v/>
      </c>
    </row>
    <row r="2572" spans="12:15">
      <c r="L2572" s="5">
        <f>IF(OR(A2572="",B2572=""),"",B2572-WEEKDAY(B2572,2)+1)</f>
        <v/>
      </c>
      <c r="M2572" s="5">
        <f>IF(L2572="","",L2572+6)</f>
        <v/>
      </c>
      <c r="N2572" s="6">
        <f>IF(OR(A2572="",B2572=""),"",DATE(YEAR(B2572),MONTH(B2572),1))</f>
        <v/>
      </c>
      <c r="O2572" s="7">
        <f>IF(COUNTA(A2572:K2572)=0,"",IF(OR(A2572="",B2572=""),"Preencher CPF e entrada",IF(COUNTIFS($A$12:$A$5011,A2572,$B$12:$B$5011,B2572)&gt;1,"CPF + dia duplicado",IF(OR(AND(G2572&lt;&gt;"",G2572&lt;&gt;0,G2572&lt;&gt;1),AND(H2572&lt;&gt;"",H2572&lt;&gt;0,H2572&lt;&gt;1)),"Flags devem ser 0 ou 1",IF(AND(H2572=1,LEN(TRIM(I2572))=0),"Preencher nome do indicante",IF(AND(H2572&lt;&gt;1,I2572&lt;&gt;""),"Nome sem indicação interna",IF(AND(G2572=1,F2572=""),"Fechamento sem conversa",IF(OR(AND(E2572&lt;&gt;"",E2572&lt;B2572),AND(F2572&lt;&gt;"",F2572&lt;B2572)),"Evento anterior à entrada",IF(AND(F2572&lt;&gt;"",E2572=""),"Conversa sem agendamento",IF(OR(E2572&gt;TODAY(),F2572&gt;TODAY()),"Verificar evento futuro","OK"))))))))))</f>
        <v/>
      </c>
    </row>
    <row r="2573" spans="12:15">
      <c r="L2573" s="5">
        <f>IF(OR(A2573="",B2573=""),"",B2573-WEEKDAY(B2573,2)+1)</f>
        <v/>
      </c>
      <c r="M2573" s="5">
        <f>IF(L2573="","",L2573+6)</f>
        <v/>
      </c>
      <c r="N2573" s="6">
        <f>IF(OR(A2573="",B2573=""),"",DATE(YEAR(B2573),MONTH(B2573),1))</f>
        <v/>
      </c>
      <c r="O2573" s="7">
        <f>IF(COUNTA(A2573:K2573)=0,"",IF(OR(A2573="",B2573=""),"Preencher CPF e entrada",IF(COUNTIFS($A$12:$A$5011,A2573,$B$12:$B$5011,B2573)&gt;1,"CPF + dia duplicado",IF(OR(AND(G2573&lt;&gt;"",G2573&lt;&gt;0,G2573&lt;&gt;1),AND(H2573&lt;&gt;"",H2573&lt;&gt;0,H2573&lt;&gt;1)),"Flags devem ser 0 ou 1",IF(AND(H2573=1,LEN(TRIM(I2573))=0),"Preencher nome do indicante",IF(AND(H2573&lt;&gt;1,I2573&lt;&gt;""),"Nome sem indicação interna",IF(AND(G2573=1,F2573=""),"Fechamento sem conversa",IF(OR(AND(E2573&lt;&gt;"",E2573&lt;B2573),AND(F2573&lt;&gt;"",F2573&lt;B2573)),"Evento anterior à entrada",IF(AND(F2573&lt;&gt;"",E2573=""),"Conversa sem agendamento",IF(OR(E2573&gt;TODAY(),F2573&gt;TODAY()),"Verificar evento futuro","OK"))))))))))</f>
        <v/>
      </c>
    </row>
    <row r="2574" spans="12:15">
      <c r="L2574" s="5">
        <f>IF(OR(A2574="",B2574=""),"",B2574-WEEKDAY(B2574,2)+1)</f>
        <v/>
      </c>
      <c r="M2574" s="5">
        <f>IF(L2574="","",L2574+6)</f>
        <v/>
      </c>
      <c r="N2574" s="6">
        <f>IF(OR(A2574="",B2574=""),"",DATE(YEAR(B2574),MONTH(B2574),1))</f>
        <v/>
      </c>
      <c r="O2574" s="7">
        <f>IF(COUNTA(A2574:K2574)=0,"",IF(OR(A2574="",B2574=""),"Preencher CPF e entrada",IF(COUNTIFS($A$12:$A$5011,A2574,$B$12:$B$5011,B2574)&gt;1,"CPF + dia duplicado",IF(OR(AND(G2574&lt;&gt;"",G2574&lt;&gt;0,G2574&lt;&gt;1),AND(H2574&lt;&gt;"",H2574&lt;&gt;0,H2574&lt;&gt;1)),"Flags devem ser 0 ou 1",IF(AND(H2574=1,LEN(TRIM(I2574))=0),"Preencher nome do indicante",IF(AND(H2574&lt;&gt;1,I2574&lt;&gt;""),"Nome sem indicação interna",IF(AND(G2574=1,F2574=""),"Fechamento sem conversa",IF(OR(AND(E2574&lt;&gt;"",E2574&lt;B2574),AND(F2574&lt;&gt;"",F2574&lt;B2574)),"Evento anterior à entrada",IF(AND(F2574&lt;&gt;"",E2574=""),"Conversa sem agendamento",IF(OR(E2574&gt;TODAY(),F2574&gt;TODAY()),"Verificar evento futuro","OK"))))))))))</f>
        <v/>
      </c>
    </row>
    <row r="2575" spans="12:15">
      <c r="L2575" s="5">
        <f>IF(OR(A2575="",B2575=""),"",B2575-WEEKDAY(B2575,2)+1)</f>
        <v/>
      </c>
      <c r="M2575" s="5">
        <f>IF(L2575="","",L2575+6)</f>
        <v/>
      </c>
      <c r="N2575" s="6">
        <f>IF(OR(A2575="",B2575=""),"",DATE(YEAR(B2575),MONTH(B2575),1))</f>
        <v/>
      </c>
      <c r="O2575" s="7">
        <f>IF(COUNTA(A2575:K2575)=0,"",IF(OR(A2575="",B2575=""),"Preencher CPF e entrada",IF(COUNTIFS($A$12:$A$5011,A2575,$B$12:$B$5011,B2575)&gt;1,"CPF + dia duplicado",IF(OR(AND(G2575&lt;&gt;"",G2575&lt;&gt;0,G2575&lt;&gt;1),AND(H2575&lt;&gt;"",H2575&lt;&gt;0,H2575&lt;&gt;1)),"Flags devem ser 0 ou 1",IF(AND(H2575=1,LEN(TRIM(I2575))=0),"Preencher nome do indicante",IF(AND(H2575&lt;&gt;1,I2575&lt;&gt;""),"Nome sem indicação interna",IF(AND(G2575=1,F2575=""),"Fechamento sem conversa",IF(OR(AND(E2575&lt;&gt;"",E2575&lt;B2575),AND(F2575&lt;&gt;"",F2575&lt;B2575)),"Evento anterior à entrada",IF(AND(F2575&lt;&gt;"",E2575=""),"Conversa sem agendamento",IF(OR(E2575&gt;TODAY(),F2575&gt;TODAY()),"Verificar evento futuro","OK"))))))))))</f>
        <v/>
      </c>
    </row>
    <row r="2576" spans="12:15">
      <c r="L2576" s="5">
        <f>IF(OR(A2576="",B2576=""),"",B2576-WEEKDAY(B2576,2)+1)</f>
        <v/>
      </c>
      <c r="M2576" s="5">
        <f>IF(L2576="","",L2576+6)</f>
        <v/>
      </c>
      <c r="N2576" s="6">
        <f>IF(OR(A2576="",B2576=""),"",DATE(YEAR(B2576),MONTH(B2576),1))</f>
        <v/>
      </c>
      <c r="O2576" s="7">
        <f>IF(COUNTA(A2576:K2576)=0,"",IF(OR(A2576="",B2576=""),"Preencher CPF e entrada",IF(COUNTIFS($A$12:$A$5011,A2576,$B$12:$B$5011,B2576)&gt;1,"CPF + dia duplicado",IF(OR(AND(G2576&lt;&gt;"",G2576&lt;&gt;0,G2576&lt;&gt;1),AND(H2576&lt;&gt;"",H2576&lt;&gt;0,H2576&lt;&gt;1)),"Flags devem ser 0 ou 1",IF(AND(H2576=1,LEN(TRIM(I2576))=0),"Preencher nome do indicante",IF(AND(H2576&lt;&gt;1,I2576&lt;&gt;""),"Nome sem indicação interna",IF(AND(G2576=1,F2576=""),"Fechamento sem conversa",IF(OR(AND(E2576&lt;&gt;"",E2576&lt;B2576),AND(F2576&lt;&gt;"",F2576&lt;B2576)),"Evento anterior à entrada",IF(AND(F2576&lt;&gt;"",E2576=""),"Conversa sem agendamento",IF(OR(E2576&gt;TODAY(),F2576&gt;TODAY()),"Verificar evento futuro","OK"))))))))))</f>
        <v/>
      </c>
    </row>
    <row r="2577" spans="12:15">
      <c r="L2577" s="5">
        <f>IF(OR(A2577="",B2577=""),"",B2577-WEEKDAY(B2577,2)+1)</f>
        <v/>
      </c>
      <c r="M2577" s="5">
        <f>IF(L2577="","",L2577+6)</f>
        <v/>
      </c>
      <c r="N2577" s="6">
        <f>IF(OR(A2577="",B2577=""),"",DATE(YEAR(B2577),MONTH(B2577),1))</f>
        <v/>
      </c>
      <c r="O2577" s="7">
        <f>IF(COUNTA(A2577:K2577)=0,"",IF(OR(A2577="",B2577=""),"Preencher CPF e entrada",IF(COUNTIFS($A$12:$A$5011,A2577,$B$12:$B$5011,B2577)&gt;1,"CPF + dia duplicado",IF(OR(AND(G2577&lt;&gt;"",G2577&lt;&gt;0,G2577&lt;&gt;1),AND(H2577&lt;&gt;"",H2577&lt;&gt;0,H2577&lt;&gt;1)),"Flags devem ser 0 ou 1",IF(AND(H2577=1,LEN(TRIM(I2577))=0),"Preencher nome do indicante",IF(AND(H2577&lt;&gt;1,I2577&lt;&gt;""),"Nome sem indicação interna",IF(AND(G2577=1,F2577=""),"Fechamento sem conversa",IF(OR(AND(E2577&lt;&gt;"",E2577&lt;B2577),AND(F2577&lt;&gt;"",F2577&lt;B2577)),"Evento anterior à entrada",IF(AND(F2577&lt;&gt;"",E2577=""),"Conversa sem agendamento",IF(OR(E2577&gt;TODAY(),F2577&gt;TODAY()),"Verificar evento futuro","OK"))))))))))</f>
        <v/>
      </c>
    </row>
    <row r="2578" spans="12:15">
      <c r="L2578" s="5">
        <f>IF(OR(A2578="",B2578=""),"",B2578-WEEKDAY(B2578,2)+1)</f>
        <v/>
      </c>
      <c r="M2578" s="5">
        <f>IF(L2578="","",L2578+6)</f>
        <v/>
      </c>
      <c r="N2578" s="6">
        <f>IF(OR(A2578="",B2578=""),"",DATE(YEAR(B2578),MONTH(B2578),1))</f>
        <v/>
      </c>
      <c r="O2578" s="7">
        <f>IF(COUNTA(A2578:K2578)=0,"",IF(OR(A2578="",B2578=""),"Preencher CPF e entrada",IF(COUNTIFS($A$12:$A$5011,A2578,$B$12:$B$5011,B2578)&gt;1,"CPF + dia duplicado",IF(OR(AND(G2578&lt;&gt;"",G2578&lt;&gt;0,G2578&lt;&gt;1),AND(H2578&lt;&gt;"",H2578&lt;&gt;0,H2578&lt;&gt;1)),"Flags devem ser 0 ou 1",IF(AND(H2578=1,LEN(TRIM(I2578))=0),"Preencher nome do indicante",IF(AND(H2578&lt;&gt;1,I2578&lt;&gt;""),"Nome sem indicação interna",IF(AND(G2578=1,F2578=""),"Fechamento sem conversa",IF(OR(AND(E2578&lt;&gt;"",E2578&lt;B2578),AND(F2578&lt;&gt;"",F2578&lt;B2578)),"Evento anterior à entrada",IF(AND(F2578&lt;&gt;"",E2578=""),"Conversa sem agendamento",IF(OR(E2578&gt;TODAY(),F2578&gt;TODAY()),"Verificar evento futuro","OK"))))))))))</f>
        <v/>
      </c>
    </row>
    <row r="2579" spans="12:15">
      <c r="L2579" s="5">
        <f>IF(OR(A2579="",B2579=""),"",B2579-WEEKDAY(B2579,2)+1)</f>
        <v/>
      </c>
      <c r="M2579" s="5">
        <f>IF(L2579="","",L2579+6)</f>
        <v/>
      </c>
      <c r="N2579" s="6">
        <f>IF(OR(A2579="",B2579=""),"",DATE(YEAR(B2579),MONTH(B2579),1))</f>
        <v/>
      </c>
      <c r="O2579" s="7">
        <f>IF(COUNTA(A2579:K2579)=0,"",IF(OR(A2579="",B2579=""),"Preencher CPF e entrada",IF(COUNTIFS($A$12:$A$5011,A2579,$B$12:$B$5011,B2579)&gt;1,"CPF + dia duplicado",IF(OR(AND(G2579&lt;&gt;"",G2579&lt;&gt;0,G2579&lt;&gt;1),AND(H2579&lt;&gt;"",H2579&lt;&gt;0,H2579&lt;&gt;1)),"Flags devem ser 0 ou 1",IF(AND(H2579=1,LEN(TRIM(I2579))=0),"Preencher nome do indicante",IF(AND(H2579&lt;&gt;1,I2579&lt;&gt;""),"Nome sem indicação interna",IF(AND(G2579=1,F2579=""),"Fechamento sem conversa",IF(OR(AND(E2579&lt;&gt;"",E2579&lt;B2579),AND(F2579&lt;&gt;"",F2579&lt;B2579)),"Evento anterior à entrada",IF(AND(F2579&lt;&gt;"",E2579=""),"Conversa sem agendamento",IF(OR(E2579&gt;TODAY(),F2579&gt;TODAY()),"Verificar evento futuro","OK"))))))))))</f>
        <v/>
      </c>
    </row>
    <row r="2580" spans="12:15">
      <c r="L2580" s="5">
        <f>IF(OR(A2580="",B2580=""),"",B2580-WEEKDAY(B2580,2)+1)</f>
        <v/>
      </c>
      <c r="M2580" s="5">
        <f>IF(L2580="","",L2580+6)</f>
        <v/>
      </c>
      <c r="N2580" s="6">
        <f>IF(OR(A2580="",B2580=""),"",DATE(YEAR(B2580),MONTH(B2580),1))</f>
        <v/>
      </c>
      <c r="O2580" s="7">
        <f>IF(COUNTA(A2580:K2580)=0,"",IF(OR(A2580="",B2580=""),"Preencher CPF e entrada",IF(COUNTIFS($A$12:$A$5011,A2580,$B$12:$B$5011,B2580)&gt;1,"CPF + dia duplicado",IF(OR(AND(G2580&lt;&gt;"",G2580&lt;&gt;0,G2580&lt;&gt;1),AND(H2580&lt;&gt;"",H2580&lt;&gt;0,H2580&lt;&gt;1)),"Flags devem ser 0 ou 1",IF(AND(H2580=1,LEN(TRIM(I2580))=0),"Preencher nome do indicante",IF(AND(H2580&lt;&gt;1,I2580&lt;&gt;""),"Nome sem indicação interna",IF(AND(G2580=1,F2580=""),"Fechamento sem conversa",IF(OR(AND(E2580&lt;&gt;"",E2580&lt;B2580),AND(F2580&lt;&gt;"",F2580&lt;B2580)),"Evento anterior à entrada",IF(AND(F2580&lt;&gt;"",E2580=""),"Conversa sem agendamento",IF(OR(E2580&gt;TODAY(),F2580&gt;TODAY()),"Verificar evento futuro","OK"))))))))))</f>
        <v/>
      </c>
    </row>
    <row r="2581" spans="12:15">
      <c r="L2581" s="5">
        <f>IF(OR(A2581="",B2581=""),"",B2581-WEEKDAY(B2581,2)+1)</f>
        <v/>
      </c>
      <c r="M2581" s="5">
        <f>IF(L2581="","",L2581+6)</f>
        <v/>
      </c>
      <c r="N2581" s="6">
        <f>IF(OR(A2581="",B2581=""),"",DATE(YEAR(B2581),MONTH(B2581),1))</f>
        <v/>
      </c>
      <c r="O2581" s="7">
        <f>IF(COUNTA(A2581:K2581)=0,"",IF(OR(A2581="",B2581=""),"Preencher CPF e entrada",IF(COUNTIFS($A$12:$A$5011,A2581,$B$12:$B$5011,B2581)&gt;1,"CPF + dia duplicado",IF(OR(AND(G2581&lt;&gt;"",G2581&lt;&gt;0,G2581&lt;&gt;1),AND(H2581&lt;&gt;"",H2581&lt;&gt;0,H2581&lt;&gt;1)),"Flags devem ser 0 ou 1",IF(AND(H2581=1,LEN(TRIM(I2581))=0),"Preencher nome do indicante",IF(AND(H2581&lt;&gt;1,I2581&lt;&gt;""),"Nome sem indicação interna",IF(AND(G2581=1,F2581=""),"Fechamento sem conversa",IF(OR(AND(E2581&lt;&gt;"",E2581&lt;B2581),AND(F2581&lt;&gt;"",F2581&lt;B2581)),"Evento anterior à entrada",IF(AND(F2581&lt;&gt;"",E2581=""),"Conversa sem agendamento",IF(OR(E2581&gt;TODAY(),F2581&gt;TODAY()),"Verificar evento futuro","OK"))))))))))</f>
        <v/>
      </c>
    </row>
    <row r="2582" spans="12:15">
      <c r="L2582" s="5">
        <f>IF(OR(A2582="",B2582=""),"",B2582-WEEKDAY(B2582,2)+1)</f>
        <v/>
      </c>
      <c r="M2582" s="5">
        <f>IF(L2582="","",L2582+6)</f>
        <v/>
      </c>
      <c r="N2582" s="6">
        <f>IF(OR(A2582="",B2582=""),"",DATE(YEAR(B2582),MONTH(B2582),1))</f>
        <v/>
      </c>
      <c r="O2582" s="7">
        <f>IF(COUNTA(A2582:K2582)=0,"",IF(OR(A2582="",B2582=""),"Preencher CPF e entrada",IF(COUNTIFS($A$12:$A$5011,A2582,$B$12:$B$5011,B2582)&gt;1,"CPF + dia duplicado",IF(OR(AND(G2582&lt;&gt;"",G2582&lt;&gt;0,G2582&lt;&gt;1),AND(H2582&lt;&gt;"",H2582&lt;&gt;0,H2582&lt;&gt;1)),"Flags devem ser 0 ou 1",IF(AND(H2582=1,LEN(TRIM(I2582))=0),"Preencher nome do indicante",IF(AND(H2582&lt;&gt;1,I2582&lt;&gt;""),"Nome sem indicação interna",IF(AND(G2582=1,F2582=""),"Fechamento sem conversa",IF(OR(AND(E2582&lt;&gt;"",E2582&lt;B2582),AND(F2582&lt;&gt;"",F2582&lt;B2582)),"Evento anterior à entrada",IF(AND(F2582&lt;&gt;"",E2582=""),"Conversa sem agendamento",IF(OR(E2582&gt;TODAY(),F2582&gt;TODAY()),"Verificar evento futuro","OK"))))))))))</f>
        <v/>
      </c>
    </row>
    <row r="2583" spans="12:15">
      <c r="L2583" s="5">
        <f>IF(OR(A2583="",B2583=""),"",B2583-WEEKDAY(B2583,2)+1)</f>
        <v/>
      </c>
      <c r="M2583" s="5">
        <f>IF(L2583="","",L2583+6)</f>
        <v/>
      </c>
      <c r="N2583" s="6">
        <f>IF(OR(A2583="",B2583=""),"",DATE(YEAR(B2583),MONTH(B2583),1))</f>
        <v/>
      </c>
      <c r="O2583" s="7">
        <f>IF(COUNTA(A2583:K2583)=0,"",IF(OR(A2583="",B2583=""),"Preencher CPF e entrada",IF(COUNTIFS($A$12:$A$5011,A2583,$B$12:$B$5011,B2583)&gt;1,"CPF + dia duplicado",IF(OR(AND(G2583&lt;&gt;"",G2583&lt;&gt;0,G2583&lt;&gt;1),AND(H2583&lt;&gt;"",H2583&lt;&gt;0,H2583&lt;&gt;1)),"Flags devem ser 0 ou 1",IF(AND(H2583=1,LEN(TRIM(I2583))=0),"Preencher nome do indicante",IF(AND(H2583&lt;&gt;1,I2583&lt;&gt;""),"Nome sem indicação interna",IF(AND(G2583=1,F2583=""),"Fechamento sem conversa",IF(OR(AND(E2583&lt;&gt;"",E2583&lt;B2583),AND(F2583&lt;&gt;"",F2583&lt;B2583)),"Evento anterior à entrada",IF(AND(F2583&lt;&gt;"",E2583=""),"Conversa sem agendamento",IF(OR(E2583&gt;TODAY(),F2583&gt;TODAY()),"Verificar evento futuro","OK"))))))))))</f>
        <v/>
      </c>
    </row>
    <row r="2584" spans="12:15">
      <c r="L2584" s="5">
        <f>IF(OR(A2584="",B2584=""),"",B2584-WEEKDAY(B2584,2)+1)</f>
        <v/>
      </c>
      <c r="M2584" s="5">
        <f>IF(L2584="","",L2584+6)</f>
        <v/>
      </c>
      <c r="N2584" s="6">
        <f>IF(OR(A2584="",B2584=""),"",DATE(YEAR(B2584),MONTH(B2584),1))</f>
        <v/>
      </c>
      <c r="O2584" s="7">
        <f>IF(COUNTA(A2584:K2584)=0,"",IF(OR(A2584="",B2584=""),"Preencher CPF e entrada",IF(COUNTIFS($A$12:$A$5011,A2584,$B$12:$B$5011,B2584)&gt;1,"CPF + dia duplicado",IF(OR(AND(G2584&lt;&gt;"",G2584&lt;&gt;0,G2584&lt;&gt;1),AND(H2584&lt;&gt;"",H2584&lt;&gt;0,H2584&lt;&gt;1)),"Flags devem ser 0 ou 1",IF(AND(H2584=1,LEN(TRIM(I2584))=0),"Preencher nome do indicante",IF(AND(H2584&lt;&gt;1,I2584&lt;&gt;""),"Nome sem indicação interna",IF(AND(G2584=1,F2584=""),"Fechamento sem conversa",IF(OR(AND(E2584&lt;&gt;"",E2584&lt;B2584),AND(F2584&lt;&gt;"",F2584&lt;B2584)),"Evento anterior à entrada",IF(AND(F2584&lt;&gt;"",E2584=""),"Conversa sem agendamento",IF(OR(E2584&gt;TODAY(),F2584&gt;TODAY()),"Verificar evento futuro","OK"))))))))))</f>
        <v/>
      </c>
    </row>
    <row r="2585" spans="12:15">
      <c r="L2585" s="5">
        <f>IF(OR(A2585="",B2585=""),"",B2585-WEEKDAY(B2585,2)+1)</f>
        <v/>
      </c>
      <c r="M2585" s="5">
        <f>IF(L2585="","",L2585+6)</f>
        <v/>
      </c>
      <c r="N2585" s="6">
        <f>IF(OR(A2585="",B2585=""),"",DATE(YEAR(B2585),MONTH(B2585),1))</f>
        <v/>
      </c>
      <c r="O2585" s="7">
        <f>IF(COUNTA(A2585:K2585)=0,"",IF(OR(A2585="",B2585=""),"Preencher CPF e entrada",IF(COUNTIFS($A$12:$A$5011,A2585,$B$12:$B$5011,B2585)&gt;1,"CPF + dia duplicado",IF(OR(AND(G2585&lt;&gt;"",G2585&lt;&gt;0,G2585&lt;&gt;1),AND(H2585&lt;&gt;"",H2585&lt;&gt;0,H2585&lt;&gt;1)),"Flags devem ser 0 ou 1",IF(AND(H2585=1,LEN(TRIM(I2585))=0),"Preencher nome do indicante",IF(AND(H2585&lt;&gt;1,I2585&lt;&gt;""),"Nome sem indicação interna",IF(AND(G2585=1,F2585=""),"Fechamento sem conversa",IF(OR(AND(E2585&lt;&gt;"",E2585&lt;B2585),AND(F2585&lt;&gt;"",F2585&lt;B2585)),"Evento anterior à entrada",IF(AND(F2585&lt;&gt;"",E2585=""),"Conversa sem agendamento",IF(OR(E2585&gt;TODAY(),F2585&gt;TODAY()),"Verificar evento futuro","OK"))))))))))</f>
        <v/>
      </c>
    </row>
    <row r="2586" spans="12:15">
      <c r="L2586" s="5">
        <f>IF(OR(A2586="",B2586=""),"",B2586-WEEKDAY(B2586,2)+1)</f>
        <v/>
      </c>
      <c r="M2586" s="5">
        <f>IF(L2586="","",L2586+6)</f>
        <v/>
      </c>
      <c r="N2586" s="6">
        <f>IF(OR(A2586="",B2586=""),"",DATE(YEAR(B2586),MONTH(B2586),1))</f>
        <v/>
      </c>
      <c r="O2586" s="7">
        <f>IF(COUNTA(A2586:K2586)=0,"",IF(OR(A2586="",B2586=""),"Preencher CPF e entrada",IF(COUNTIFS($A$12:$A$5011,A2586,$B$12:$B$5011,B2586)&gt;1,"CPF + dia duplicado",IF(OR(AND(G2586&lt;&gt;"",G2586&lt;&gt;0,G2586&lt;&gt;1),AND(H2586&lt;&gt;"",H2586&lt;&gt;0,H2586&lt;&gt;1)),"Flags devem ser 0 ou 1",IF(AND(H2586=1,LEN(TRIM(I2586))=0),"Preencher nome do indicante",IF(AND(H2586&lt;&gt;1,I2586&lt;&gt;""),"Nome sem indicação interna",IF(AND(G2586=1,F2586=""),"Fechamento sem conversa",IF(OR(AND(E2586&lt;&gt;"",E2586&lt;B2586),AND(F2586&lt;&gt;"",F2586&lt;B2586)),"Evento anterior à entrada",IF(AND(F2586&lt;&gt;"",E2586=""),"Conversa sem agendamento",IF(OR(E2586&gt;TODAY(),F2586&gt;TODAY()),"Verificar evento futuro","OK"))))))))))</f>
        <v/>
      </c>
    </row>
    <row r="2587" spans="12:15">
      <c r="L2587" s="5">
        <f>IF(OR(A2587="",B2587=""),"",B2587-WEEKDAY(B2587,2)+1)</f>
        <v/>
      </c>
      <c r="M2587" s="5">
        <f>IF(L2587="","",L2587+6)</f>
        <v/>
      </c>
      <c r="N2587" s="6">
        <f>IF(OR(A2587="",B2587=""),"",DATE(YEAR(B2587),MONTH(B2587),1))</f>
        <v/>
      </c>
      <c r="O2587" s="7">
        <f>IF(COUNTA(A2587:K2587)=0,"",IF(OR(A2587="",B2587=""),"Preencher CPF e entrada",IF(COUNTIFS($A$12:$A$5011,A2587,$B$12:$B$5011,B2587)&gt;1,"CPF + dia duplicado",IF(OR(AND(G2587&lt;&gt;"",G2587&lt;&gt;0,G2587&lt;&gt;1),AND(H2587&lt;&gt;"",H2587&lt;&gt;0,H2587&lt;&gt;1)),"Flags devem ser 0 ou 1",IF(AND(H2587=1,LEN(TRIM(I2587))=0),"Preencher nome do indicante",IF(AND(H2587&lt;&gt;1,I2587&lt;&gt;""),"Nome sem indicação interna",IF(AND(G2587=1,F2587=""),"Fechamento sem conversa",IF(OR(AND(E2587&lt;&gt;"",E2587&lt;B2587),AND(F2587&lt;&gt;"",F2587&lt;B2587)),"Evento anterior à entrada",IF(AND(F2587&lt;&gt;"",E2587=""),"Conversa sem agendamento",IF(OR(E2587&gt;TODAY(),F2587&gt;TODAY()),"Verificar evento futuro","OK"))))))))))</f>
        <v/>
      </c>
    </row>
    <row r="2588" spans="12:15">
      <c r="L2588" s="5">
        <f>IF(OR(A2588="",B2588=""),"",B2588-WEEKDAY(B2588,2)+1)</f>
        <v/>
      </c>
      <c r="M2588" s="5">
        <f>IF(L2588="","",L2588+6)</f>
        <v/>
      </c>
      <c r="N2588" s="6">
        <f>IF(OR(A2588="",B2588=""),"",DATE(YEAR(B2588),MONTH(B2588),1))</f>
        <v/>
      </c>
      <c r="O2588" s="7">
        <f>IF(COUNTA(A2588:K2588)=0,"",IF(OR(A2588="",B2588=""),"Preencher CPF e entrada",IF(COUNTIFS($A$12:$A$5011,A2588,$B$12:$B$5011,B2588)&gt;1,"CPF + dia duplicado",IF(OR(AND(G2588&lt;&gt;"",G2588&lt;&gt;0,G2588&lt;&gt;1),AND(H2588&lt;&gt;"",H2588&lt;&gt;0,H2588&lt;&gt;1)),"Flags devem ser 0 ou 1",IF(AND(H2588=1,LEN(TRIM(I2588))=0),"Preencher nome do indicante",IF(AND(H2588&lt;&gt;1,I2588&lt;&gt;""),"Nome sem indicação interna",IF(AND(G2588=1,F2588=""),"Fechamento sem conversa",IF(OR(AND(E2588&lt;&gt;"",E2588&lt;B2588),AND(F2588&lt;&gt;"",F2588&lt;B2588)),"Evento anterior à entrada",IF(AND(F2588&lt;&gt;"",E2588=""),"Conversa sem agendamento",IF(OR(E2588&gt;TODAY(),F2588&gt;TODAY()),"Verificar evento futuro","OK"))))))))))</f>
        <v/>
      </c>
    </row>
    <row r="2589" spans="12:15">
      <c r="L2589" s="5">
        <f>IF(OR(A2589="",B2589=""),"",B2589-WEEKDAY(B2589,2)+1)</f>
        <v/>
      </c>
      <c r="M2589" s="5">
        <f>IF(L2589="","",L2589+6)</f>
        <v/>
      </c>
      <c r="N2589" s="6">
        <f>IF(OR(A2589="",B2589=""),"",DATE(YEAR(B2589),MONTH(B2589),1))</f>
        <v/>
      </c>
      <c r="O2589" s="7">
        <f>IF(COUNTA(A2589:K2589)=0,"",IF(OR(A2589="",B2589=""),"Preencher CPF e entrada",IF(COUNTIFS($A$12:$A$5011,A2589,$B$12:$B$5011,B2589)&gt;1,"CPF + dia duplicado",IF(OR(AND(G2589&lt;&gt;"",G2589&lt;&gt;0,G2589&lt;&gt;1),AND(H2589&lt;&gt;"",H2589&lt;&gt;0,H2589&lt;&gt;1)),"Flags devem ser 0 ou 1",IF(AND(H2589=1,LEN(TRIM(I2589))=0),"Preencher nome do indicante",IF(AND(H2589&lt;&gt;1,I2589&lt;&gt;""),"Nome sem indicação interna",IF(AND(G2589=1,F2589=""),"Fechamento sem conversa",IF(OR(AND(E2589&lt;&gt;"",E2589&lt;B2589),AND(F2589&lt;&gt;"",F2589&lt;B2589)),"Evento anterior à entrada",IF(AND(F2589&lt;&gt;"",E2589=""),"Conversa sem agendamento",IF(OR(E2589&gt;TODAY(),F2589&gt;TODAY()),"Verificar evento futuro","OK"))))))))))</f>
        <v/>
      </c>
    </row>
    <row r="2590" spans="12:15">
      <c r="L2590" s="5">
        <f>IF(OR(A2590="",B2590=""),"",B2590-WEEKDAY(B2590,2)+1)</f>
        <v/>
      </c>
      <c r="M2590" s="5">
        <f>IF(L2590="","",L2590+6)</f>
        <v/>
      </c>
      <c r="N2590" s="6">
        <f>IF(OR(A2590="",B2590=""),"",DATE(YEAR(B2590),MONTH(B2590),1))</f>
        <v/>
      </c>
      <c r="O2590" s="7">
        <f>IF(COUNTA(A2590:K2590)=0,"",IF(OR(A2590="",B2590=""),"Preencher CPF e entrada",IF(COUNTIFS($A$12:$A$5011,A2590,$B$12:$B$5011,B2590)&gt;1,"CPF + dia duplicado",IF(OR(AND(G2590&lt;&gt;"",G2590&lt;&gt;0,G2590&lt;&gt;1),AND(H2590&lt;&gt;"",H2590&lt;&gt;0,H2590&lt;&gt;1)),"Flags devem ser 0 ou 1",IF(AND(H2590=1,LEN(TRIM(I2590))=0),"Preencher nome do indicante",IF(AND(H2590&lt;&gt;1,I2590&lt;&gt;""),"Nome sem indicação interna",IF(AND(G2590=1,F2590=""),"Fechamento sem conversa",IF(OR(AND(E2590&lt;&gt;"",E2590&lt;B2590),AND(F2590&lt;&gt;"",F2590&lt;B2590)),"Evento anterior à entrada",IF(AND(F2590&lt;&gt;"",E2590=""),"Conversa sem agendamento",IF(OR(E2590&gt;TODAY(),F2590&gt;TODAY()),"Verificar evento futuro","OK"))))))))))</f>
        <v/>
      </c>
    </row>
    <row r="2591" spans="12:15">
      <c r="L2591" s="5">
        <f>IF(OR(A2591="",B2591=""),"",B2591-WEEKDAY(B2591,2)+1)</f>
        <v/>
      </c>
      <c r="M2591" s="5">
        <f>IF(L2591="","",L2591+6)</f>
        <v/>
      </c>
      <c r="N2591" s="6">
        <f>IF(OR(A2591="",B2591=""),"",DATE(YEAR(B2591),MONTH(B2591),1))</f>
        <v/>
      </c>
      <c r="O2591" s="7">
        <f>IF(COUNTA(A2591:K2591)=0,"",IF(OR(A2591="",B2591=""),"Preencher CPF e entrada",IF(COUNTIFS($A$12:$A$5011,A2591,$B$12:$B$5011,B2591)&gt;1,"CPF + dia duplicado",IF(OR(AND(G2591&lt;&gt;"",G2591&lt;&gt;0,G2591&lt;&gt;1),AND(H2591&lt;&gt;"",H2591&lt;&gt;0,H2591&lt;&gt;1)),"Flags devem ser 0 ou 1",IF(AND(H2591=1,LEN(TRIM(I2591))=0),"Preencher nome do indicante",IF(AND(H2591&lt;&gt;1,I2591&lt;&gt;""),"Nome sem indicação interna",IF(AND(G2591=1,F2591=""),"Fechamento sem conversa",IF(OR(AND(E2591&lt;&gt;"",E2591&lt;B2591),AND(F2591&lt;&gt;"",F2591&lt;B2591)),"Evento anterior à entrada",IF(AND(F2591&lt;&gt;"",E2591=""),"Conversa sem agendamento",IF(OR(E2591&gt;TODAY(),F2591&gt;TODAY()),"Verificar evento futuro","OK"))))))))))</f>
        <v/>
      </c>
    </row>
    <row r="2592" spans="12:15">
      <c r="L2592" s="5">
        <f>IF(OR(A2592="",B2592=""),"",B2592-WEEKDAY(B2592,2)+1)</f>
        <v/>
      </c>
      <c r="M2592" s="5">
        <f>IF(L2592="","",L2592+6)</f>
        <v/>
      </c>
      <c r="N2592" s="6">
        <f>IF(OR(A2592="",B2592=""),"",DATE(YEAR(B2592),MONTH(B2592),1))</f>
        <v/>
      </c>
      <c r="O2592" s="7">
        <f>IF(COUNTA(A2592:K2592)=0,"",IF(OR(A2592="",B2592=""),"Preencher CPF e entrada",IF(COUNTIFS($A$12:$A$5011,A2592,$B$12:$B$5011,B2592)&gt;1,"CPF + dia duplicado",IF(OR(AND(G2592&lt;&gt;"",G2592&lt;&gt;0,G2592&lt;&gt;1),AND(H2592&lt;&gt;"",H2592&lt;&gt;0,H2592&lt;&gt;1)),"Flags devem ser 0 ou 1",IF(AND(H2592=1,LEN(TRIM(I2592))=0),"Preencher nome do indicante",IF(AND(H2592&lt;&gt;1,I2592&lt;&gt;""),"Nome sem indicação interna",IF(AND(G2592=1,F2592=""),"Fechamento sem conversa",IF(OR(AND(E2592&lt;&gt;"",E2592&lt;B2592),AND(F2592&lt;&gt;"",F2592&lt;B2592)),"Evento anterior à entrada",IF(AND(F2592&lt;&gt;"",E2592=""),"Conversa sem agendamento",IF(OR(E2592&gt;TODAY(),F2592&gt;TODAY()),"Verificar evento futuro","OK"))))))))))</f>
        <v/>
      </c>
    </row>
    <row r="2593" spans="12:15">
      <c r="L2593" s="5">
        <f>IF(OR(A2593="",B2593=""),"",B2593-WEEKDAY(B2593,2)+1)</f>
        <v/>
      </c>
      <c r="M2593" s="5">
        <f>IF(L2593="","",L2593+6)</f>
        <v/>
      </c>
      <c r="N2593" s="6">
        <f>IF(OR(A2593="",B2593=""),"",DATE(YEAR(B2593),MONTH(B2593),1))</f>
        <v/>
      </c>
      <c r="O2593" s="7">
        <f>IF(COUNTA(A2593:K2593)=0,"",IF(OR(A2593="",B2593=""),"Preencher CPF e entrada",IF(COUNTIFS($A$12:$A$5011,A2593,$B$12:$B$5011,B2593)&gt;1,"CPF + dia duplicado",IF(OR(AND(G2593&lt;&gt;"",G2593&lt;&gt;0,G2593&lt;&gt;1),AND(H2593&lt;&gt;"",H2593&lt;&gt;0,H2593&lt;&gt;1)),"Flags devem ser 0 ou 1",IF(AND(H2593=1,LEN(TRIM(I2593))=0),"Preencher nome do indicante",IF(AND(H2593&lt;&gt;1,I2593&lt;&gt;""),"Nome sem indicação interna",IF(AND(G2593=1,F2593=""),"Fechamento sem conversa",IF(OR(AND(E2593&lt;&gt;"",E2593&lt;B2593),AND(F2593&lt;&gt;"",F2593&lt;B2593)),"Evento anterior à entrada",IF(AND(F2593&lt;&gt;"",E2593=""),"Conversa sem agendamento",IF(OR(E2593&gt;TODAY(),F2593&gt;TODAY()),"Verificar evento futuro","OK"))))))))))</f>
        <v/>
      </c>
    </row>
    <row r="2594" spans="12:15">
      <c r="L2594" s="5">
        <f>IF(OR(A2594="",B2594=""),"",B2594-WEEKDAY(B2594,2)+1)</f>
        <v/>
      </c>
      <c r="M2594" s="5">
        <f>IF(L2594="","",L2594+6)</f>
        <v/>
      </c>
      <c r="N2594" s="6">
        <f>IF(OR(A2594="",B2594=""),"",DATE(YEAR(B2594),MONTH(B2594),1))</f>
        <v/>
      </c>
      <c r="O2594" s="7">
        <f>IF(COUNTA(A2594:K2594)=0,"",IF(OR(A2594="",B2594=""),"Preencher CPF e entrada",IF(COUNTIFS($A$12:$A$5011,A2594,$B$12:$B$5011,B2594)&gt;1,"CPF + dia duplicado",IF(OR(AND(G2594&lt;&gt;"",G2594&lt;&gt;0,G2594&lt;&gt;1),AND(H2594&lt;&gt;"",H2594&lt;&gt;0,H2594&lt;&gt;1)),"Flags devem ser 0 ou 1",IF(AND(H2594=1,LEN(TRIM(I2594))=0),"Preencher nome do indicante",IF(AND(H2594&lt;&gt;1,I2594&lt;&gt;""),"Nome sem indicação interna",IF(AND(G2594=1,F2594=""),"Fechamento sem conversa",IF(OR(AND(E2594&lt;&gt;"",E2594&lt;B2594),AND(F2594&lt;&gt;"",F2594&lt;B2594)),"Evento anterior à entrada",IF(AND(F2594&lt;&gt;"",E2594=""),"Conversa sem agendamento",IF(OR(E2594&gt;TODAY(),F2594&gt;TODAY()),"Verificar evento futuro","OK"))))))))))</f>
        <v/>
      </c>
    </row>
    <row r="2595" spans="12:15">
      <c r="L2595" s="5">
        <f>IF(OR(A2595="",B2595=""),"",B2595-WEEKDAY(B2595,2)+1)</f>
        <v/>
      </c>
      <c r="M2595" s="5">
        <f>IF(L2595="","",L2595+6)</f>
        <v/>
      </c>
      <c r="N2595" s="6">
        <f>IF(OR(A2595="",B2595=""),"",DATE(YEAR(B2595),MONTH(B2595),1))</f>
        <v/>
      </c>
      <c r="O2595" s="7">
        <f>IF(COUNTA(A2595:K2595)=0,"",IF(OR(A2595="",B2595=""),"Preencher CPF e entrada",IF(COUNTIFS($A$12:$A$5011,A2595,$B$12:$B$5011,B2595)&gt;1,"CPF + dia duplicado",IF(OR(AND(G2595&lt;&gt;"",G2595&lt;&gt;0,G2595&lt;&gt;1),AND(H2595&lt;&gt;"",H2595&lt;&gt;0,H2595&lt;&gt;1)),"Flags devem ser 0 ou 1",IF(AND(H2595=1,LEN(TRIM(I2595))=0),"Preencher nome do indicante",IF(AND(H2595&lt;&gt;1,I2595&lt;&gt;""),"Nome sem indicação interna",IF(AND(G2595=1,F2595=""),"Fechamento sem conversa",IF(OR(AND(E2595&lt;&gt;"",E2595&lt;B2595),AND(F2595&lt;&gt;"",F2595&lt;B2595)),"Evento anterior à entrada",IF(AND(F2595&lt;&gt;"",E2595=""),"Conversa sem agendamento",IF(OR(E2595&gt;TODAY(),F2595&gt;TODAY()),"Verificar evento futuro","OK"))))))))))</f>
        <v/>
      </c>
    </row>
    <row r="2596" spans="12:15">
      <c r="L2596" s="5">
        <f>IF(OR(A2596="",B2596=""),"",B2596-WEEKDAY(B2596,2)+1)</f>
        <v/>
      </c>
      <c r="M2596" s="5">
        <f>IF(L2596="","",L2596+6)</f>
        <v/>
      </c>
      <c r="N2596" s="6">
        <f>IF(OR(A2596="",B2596=""),"",DATE(YEAR(B2596),MONTH(B2596),1))</f>
        <v/>
      </c>
      <c r="O2596" s="7">
        <f>IF(COUNTA(A2596:K2596)=0,"",IF(OR(A2596="",B2596=""),"Preencher CPF e entrada",IF(COUNTIFS($A$12:$A$5011,A2596,$B$12:$B$5011,B2596)&gt;1,"CPF + dia duplicado",IF(OR(AND(G2596&lt;&gt;"",G2596&lt;&gt;0,G2596&lt;&gt;1),AND(H2596&lt;&gt;"",H2596&lt;&gt;0,H2596&lt;&gt;1)),"Flags devem ser 0 ou 1",IF(AND(H2596=1,LEN(TRIM(I2596))=0),"Preencher nome do indicante",IF(AND(H2596&lt;&gt;1,I2596&lt;&gt;""),"Nome sem indicação interna",IF(AND(G2596=1,F2596=""),"Fechamento sem conversa",IF(OR(AND(E2596&lt;&gt;"",E2596&lt;B2596),AND(F2596&lt;&gt;"",F2596&lt;B2596)),"Evento anterior à entrada",IF(AND(F2596&lt;&gt;"",E2596=""),"Conversa sem agendamento",IF(OR(E2596&gt;TODAY(),F2596&gt;TODAY()),"Verificar evento futuro","OK"))))))))))</f>
        <v/>
      </c>
    </row>
    <row r="2597" spans="12:15">
      <c r="L2597" s="5">
        <f>IF(OR(A2597="",B2597=""),"",B2597-WEEKDAY(B2597,2)+1)</f>
        <v/>
      </c>
      <c r="M2597" s="5">
        <f>IF(L2597="","",L2597+6)</f>
        <v/>
      </c>
      <c r="N2597" s="6">
        <f>IF(OR(A2597="",B2597=""),"",DATE(YEAR(B2597),MONTH(B2597),1))</f>
        <v/>
      </c>
      <c r="O2597" s="7">
        <f>IF(COUNTA(A2597:K2597)=0,"",IF(OR(A2597="",B2597=""),"Preencher CPF e entrada",IF(COUNTIFS($A$12:$A$5011,A2597,$B$12:$B$5011,B2597)&gt;1,"CPF + dia duplicado",IF(OR(AND(G2597&lt;&gt;"",G2597&lt;&gt;0,G2597&lt;&gt;1),AND(H2597&lt;&gt;"",H2597&lt;&gt;0,H2597&lt;&gt;1)),"Flags devem ser 0 ou 1",IF(AND(H2597=1,LEN(TRIM(I2597))=0),"Preencher nome do indicante",IF(AND(H2597&lt;&gt;1,I2597&lt;&gt;""),"Nome sem indicação interna",IF(AND(G2597=1,F2597=""),"Fechamento sem conversa",IF(OR(AND(E2597&lt;&gt;"",E2597&lt;B2597),AND(F2597&lt;&gt;"",F2597&lt;B2597)),"Evento anterior à entrada",IF(AND(F2597&lt;&gt;"",E2597=""),"Conversa sem agendamento",IF(OR(E2597&gt;TODAY(),F2597&gt;TODAY()),"Verificar evento futuro","OK"))))))))))</f>
        <v/>
      </c>
    </row>
    <row r="2598" spans="12:15">
      <c r="L2598" s="5">
        <f>IF(OR(A2598="",B2598=""),"",B2598-WEEKDAY(B2598,2)+1)</f>
        <v/>
      </c>
      <c r="M2598" s="5">
        <f>IF(L2598="","",L2598+6)</f>
        <v/>
      </c>
      <c r="N2598" s="6">
        <f>IF(OR(A2598="",B2598=""),"",DATE(YEAR(B2598),MONTH(B2598),1))</f>
        <v/>
      </c>
      <c r="O2598" s="7">
        <f>IF(COUNTA(A2598:K2598)=0,"",IF(OR(A2598="",B2598=""),"Preencher CPF e entrada",IF(COUNTIFS($A$12:$A$5011,A2598,$B$12:$B$5011,B2598)&gt;1,"CPF + dia duplicado",IF(OR(AND(G2598&lt;&gt;"",G2598&lt;&gt;0,G2598&lt;&gt;1),AND(H2598&lt;&gt;"",H2598&lt;&gt;0,H2598&lt;&gt;1)),"Flags devem ser 0 ou 1",IF(AND(H2598=1,LEN(TRIM(I2598))=0),"Preencher nome do indicante",IF(AND(H2598&lt;&gt;1,I2598&lt;&gt;""),"Nome sem indicação interna",IF(AND(G2598=1,F2598=""),"Fechamento sem conversa",IF(OR(AND(E2598&lt;&gt;"",E2598&lt;B2598),AND(F2598&lt;&gt;"",F2598&lt;B2598)),"Evento anterior à entrada",IF(AND(F2598&lt;&gt;"",E2598=""),"Conversa sem agendamento",IF(OR(E2598&gt;TODAY(),F2598&gt;TODAY()),"Verificar evento futuro","OK"))))))))))</f>
        <v/>
      </c>
    </row>
    <row r="2599" spans="12:15">
      <c r="L2599" s="5">
        <f>IF(OR(A2599="",B2599=""),"",B2599-WEEKDAY(B2599,2)+1)</f>
        <v/>
      </c>
      <c r="M2599" s="5">
        <f>IF(L2599="","",L2599+6)</f>
        <v/>
      </c>
      <c r="N2599" s="6">
        <f>IF(OR(A2599="",B2599=""),"",DATE(YEAR(B2599),MONTH(B2599),1))</f>
        <v/>
      </c>
      <c r="O2599" s="7">
        <f>IF(COUNTA(A2599:K2599)=0,"",IF(OR(A2599="",B2599=""),"Preencher CPF e entrada",IF(COUNTIFS($A$12:$A$5011,A2599,$B$12:$B$5011,B2599)&gt;1,"CPF + dia duplicado",IF(OR(AND(G2599&lt;&gt;"",G2599&lt;&gt;0,G2599&lt;&gt;1),AND(H2599&lt;&gt;"",H2599&lt;&gt;0,H2599&lt;&gt;1)),"Flags devem ser 0 ou 1",IF(AND(H2599=1,LEN(TRIM(I2599))=0),"Preencher nome do indicante",IF(AND(H2599&lt;&gt;1,I2599&lt;&gt;""),"Nome sem indicação interna",IF(AND(G2599=1,F2599=""),"Fechamento sem conversa",IF(OR(AND(E2599&lt;&gt;"",E2599&lt;B2599),AND(F2599&lt;&gt;"",F2599&lt;B2599)),"Evento anterior à entrada",IF(AND(F2599&lt;&gt;"",E2599=""),"Conversa sem agendamento",IF(OR(E2599&gt;TODAY(),F2599&gt;TODAY()),"Verificar evento futuro","OK"))))))))))</f>
        <v/>
      </c>
    </row>
    <row r="2600" spans="12:15">
      <c r="L2600" s="5">
        <f>IF(OR(A2600="",B2600=""),"",B2600-WEEKDAY(B2600,2)+1)</f>
        <v/>
      </c>
      <c r="M2600" s="5">
        <f>IF(L2600="","",L2600+6)</f>
        <v/>
      </c>
      <c r="N2600" s="6">
        <f>IF(OR(A2600="",B2600=""),"",DATE(YEAR(B2600),MONTH(B2600),1))</f>
        <v/>
      </c>
      <c r="O2600" s="7">
        <f>IF(COUNTA(A2600:K2600)=0,"",IF(OR(A2600="",B2600=""),"Preencher CPF e entrada",IF(COUNTIFS($A$12:$A$5011,A2600,$B$12:$B$5011,B2600)&gt;1,"CPF + dia duplicado",IF(OR(AND(G2600&lt;&gt;"",G2600&lt;&gt;0,G2600&lt;&gt;1),AND(H2600&lt;&gt;"",H2600&lt;&gt;0,H2600&lt;&gt;1)),"Flags devem ser 0 ou 1",IF(AND(H2600=1,LEN(TRIM(I2600))=0),"Preencher nome do indicante",IF(AND(H2600&lt;&gt;1,I2600&lt;&gt;""),"Nome sem indicação interna",IF(AND(G2600=1,F2600=""),"Fechamento sem conversa",IF(OR(AND(E2600&lt;&gt;"",E2600&lt;B2600),AND(F2600&lt;&gt;"",F2600&lt;B2600)),"Evento anterior à entrada",IF(AND(F2600&lt;&gt;"",E2600=""),"Conversa sem agendamento",IF(OR(E2600&gt;TODAY(),F2600&gt;TODAY()),"Verificar evento futuro","OK"))))))))))</f>
        <v/>
      </c>
    </row>
    <row r="2601" spans="12:15">
      <c r="L2601" s="5">
        <f>IF(OR(A2601="",B2601=""),"",B2601-WEEKDAY(B2601,2)+1)</f>
        <v/>
      </c>
      <c r="M2601" s="5">
        <f>IF(L2601="","",L2601+6)</f>
        <v/>
      </c>
      <c r="N2601" s="6">
        <f>IF(OR(A2601="",B2601=""),"",DATE(YEAR(B2601),MONTH(B2601),1))</f>
        <v/>
      </c>
      <c r="O2601" s="7">
        <f>IF(COUNTA(A2601:K2601)=0,"",IF(OR(A2601="",B2601=""),"Preencher CPF e entrada",IF(COUNTIFS($A$12:$A$5011,A2601,$B$12:$B$5011,B2601)&gt;1,"CPF + dia duplicado",IF(OR(AND(G2601&lt;&gt;"",G2601&lt;&gt;0,G2601&lt;&gt;1),AND(H2601&lt;&gt;"",H2601&lt;&gt;0,H2601&lt;&gt;1)),"Flags devem ser 0 ou 1",IF(AND(H2601=1,LEN(TRIM(I2601))=0),"Preencher nome do indicante",IF(AND(H2601&lt;&gt;1,I2601&lt;&gt;""),"Nome sem indicação interna",IF(AND(G2601=1,F2601=""),"Fechamento sem conversa",IF(OR(AND(E2601&lt;&gt;"",E2601&lt;B2601),AND(F2601&lt;&gt;"",F2601&lt;B2601)),"Evento anterior à entrada",IF(AND(F2601&lt;&gt;"",E2601=""),"Conversa sem agendamento",IF(OR(E2601&gt;TODAY(),F2601&gt;TODAY()),"Verificar evento futuro","OK"))))))))))</f>
        <v/>
      </c>
    </row>
    <row r="2602" spans="12:15">
      <c r="L2602" s="5">
        <f>IF(OR(A2602="",B2602=""),"",B2602-WEEKDAY(B2602,2)+1)</f>
        <v/>
      </c>
      <c r="M2602" s="5">
        <f>IF(L2602="","",L2602+6)</f>
        <v/>
      </c>
      <c r="N2602" s="6">
        <f>IF(OR(A2602="",B2602=""),"",DATE(YEAR(B2602),MONTH(B2602),1))</f>
        <v/>
      </c>
      <c r="O2602" s="7">
        <f>IF(COUNTA(A2602:K2602)=0,"",IF(OR(A2602="",B2602=""),"Preencher CPF e entrada",IF(COUNTIFS($A$12:$A$5011,A2602,$B$12:$B$5011,B2602)&gt;1,"CPF + dia duplicado",IF(OR(AND(G2602&lt;&gt;"",G2602&lt;&gt;0,G2602&lt;&gt;1),AND(H2602&lt;&gt;"",H2602&lt;&gt;0,H2602&lt;&gt;1)),"Flags devem ser 0 ou 1",IF(AND(H2602=1,LEN(TRIM(I2602))=0),"Preencher nome do indicante",IF(AND(H2602&lt;&gt;1,I2602&lt;&gt;""),"Nome sem indicação interna",IF(AND(G2602=1,F2602=""),"Fechamento sem conversa",IF(OR(AND(E2602&lt;&gt;"",E2602&lt;B2602),AND(F2602&lt;&gt;"",F2602&lt;B2602)),"Evento anterior à entrada",IF(AND(F2602&lt;&gt;"",E2602=""),"Conversa sem agendamento",IF(OR(E2602&gt;TODAY(),F2602&gt;TODAY()),"Verificar evento futuro","OK"))))))))))</f>
        <v/>
      </c>
    </row>
    <row r="2603" spans="12:15">
      <c r="L2603" s="5">
        <f>IF(OR(A2603="",B2603=""),"",B2603-WEEKDAY(B2603,2)+1)</f>
        <v/>
      </c>
      <c r="M2603" s="5">
        <f>IF(L2603="","",L2603+6)</f>
        <v/>
      </c>
      <c r="N2603" s="6">
        <f>IF(OR(A2603="",B2603=""),"",DATE(YEAR(B2603),MONTH(B2603),1))</f>
        <v/>
      </c>
      <c r="O2603" s="7">
        <f>IF(COUNTA(A2603:K2603)=0,"",IF(OR(A2603="",B2603=""),"Preencher CPF e entrada",IF(COUNTIFS($A$12:$A$5011,A2603,$B$12:$B$5011,B2603)&gt;1,"CPF + dia duplicado",IF(OR(AND(G2603&lt;&gt;"",G2603&lt;&gt;0,G2603&lt;&gt;1),AND(H2603&lt;&gt;"",H2603&lt;&gt;0,H2603&lt;&gt;1)),"Flags devem ser 0 ou 1",IF(AND(H2603=1,LEN(TRIM(I2603))=0),"Preencher nome do indicante",IF(AND(H2603&lt;&gt;1,I2603&lt;&gt;""),"Nome sem indicação interna",IF(AND(G2603=1,F2603=""),"Fechamento sem conversa",IF(OR(AND(E2603&lt;&gt;"",E2603&lt;B2603),AND(F2603&lt;&gt;"",F2603&lt;B2603)),"Evento anterior à entrada",IF(AND(F2603&lt;&gt;"",E2603=""),"Conversa sem agendamento",IF(OR(E2603&gt;TODAY(),F2603&gt;TODAY()),"Verificar evento futuro","OK"))))))))))</f>
        <v/>
      </c>
    </row>
    <row r="2604" spans="12:15">
      <c r="L2604" s="5">
        <f>IF(OR(A2604="",B2604=""),"",B2604-WEEKDAY(B2604,2)+1)</f>
        <v/>
      </c>
      <c r="M2604" s="5">
        <f>IF(L2604="","",L2604+6)</f>
        <v/>
      </c>
      <c r="N2604" s="6">
        <f>IF(OR(A2604="",B2604=""),"",DATE(YEAR(B2604),MONTH(B2604),1))</f>
        <v/>
      </c>
      <c r="O2604" s="7">
        <f>IF(COUNTA(A2604:K2604)=0,"",IF(OR(A2604="",B2604=""),"Preencher CPF e entrada",IF(COUNTIFS($A$12:$A$5011,A2604,$B$12:$B$5011,B2604)&gt;1,"CPF + dia duplicado",IF(OR(AND(G2604&lt;&gt;"",G2604&lt;&gt;0,G2604&lt;&gt;1),AND(H2604&lt;&gt;"",H2604&lt;&gt;0,H2604&lt;&gt;1)),"Flags devem ser 0 ou 1",IF(AND(H2604=1,LEN(TRIM(I2604))=0),"Preencher nome do indicante",IF(AND(H2604&lt;&gt;1,I2604&lt;&gt;""),"Nome sem indicação interna",IF(AND(G2604=1,F2604=""),"Fechamento sem conversa",IF(OR(AND(E2604&lt;&gt;"",E2604&lt;B2604),AND(F2604&lt;&gt;"",F2604&lt;B2604)),"Evento anterior à entrada",IF(AND(F2604&lt;&gt;"",E2604=""),"Conversa sem agendamento",IF(OR(E2604&gt;TODAY(),F2604&gt;TODAY()),"Verificar evento futuro","OK"))))))))))</f>
        <v/>
      </c>
    </row>
    <row r="2605" spans="12:15">
      <c r="L2605" s="5">
        <f>IF(OR(A2605="",B2605=""),"",B2605-WEEKDAY(B2605,2)+1)</f>
        <v/>
      </c>
      <c r="M2605" s="5">
        <f>IF(L2605="","",L2605+6)</f>
        <v/>
      </c>
      <c r="N2605" s="6">
        <f>IF(OR(A2605="",B2605=""),"",DATE(YEAR(B2605),MONTH(B2605),1))</f>
        <v/>
      </c>
      <c r="O2605" s="7">
        <f>IF(COUNTA(A2605:K2605)=0,"",IF(OR(A2605="",B2605=""),"Preencher CPF e entrada",IF(COUNTIFS($A$12:$A$5011,A2605,$B$12:$B$5011,B2605)&gt;1,"CPF + dia duplicado",IF(OR(AND(G2605&lt;&gt;"",G2605&lt;&gt;0,G2605&lt;&gt;1),AND(H2605&lt;&gt;"",H2605&lt;&gt;0,H2605&lt;&gt;1)),"Flags devem ser 0 ou 1",IF(AND(H2605=1,LEN(TRIM(I2605))=0),"Preencher nome do indicante",IF(AND(H2605&lt;&gt;1,I2605&lt;&gt;""),"Nome sem indicação interna",IF(AND(G2605=1,F2605=""),"Fechamento sem conversa",IF(OR(AND(E2605&lt;&gt;"",E2605&lt;B2605),AND(F2605&lt;&gt;"",F2605&lt;B2605)),"Evento anterior à entrada",IF(AND(F2605&lt;&gt;"",E2605=""),"Conversa sem agendamento",IF(OR(E2605&gt;TODAY(),F2605&gt;TODAY()),"Verificar evento futuro","OK"))))))))))</f>
        <v/>
      </c>
    </row>
    <row r="2606" spans="12:15">
      <c r="L2606" s="5">
        <f>IF(OR(A2606="",B2606=""),"",B2606-WEEKDAY(B2606,2)+1)</f>
        <v/>
      </c>
      <c r="M2606" s="5">
        <f>IF(L2606="","",L2606+6)</f>
        <v/>
      </c>
      <c r="N2606" s="6">
        <f>IF(OR(A2606="",B2606=""),"",DATE(YEAR(B2606),MONTH(B2606),1))</f>
        <v/>
      </c>
      <c r="O2606" s="7">
        <f>IF(COUNTA(A2606:K2606)=0,"",IF(OR(A2606="",B2606=""),"Preencher CPF e entrada",IF(COUNTIFS($A$12:$A$5011,A2606,$B$12:$B$5011,B2606)&gt;1,"CPF + dia duplicado",IF(OR(AND(G2606&lt;&gt;"",G2606&lt;&gt;0,G2606&lt;&gt;1),AND(H2606&lt;&gt;"",H2606&lt;&gt;0,H2606&lt;&gt;1)),"Flags devem ser 0 ou 1",IF(AND(H2606=1,LEN(TRIM(I2606))=0),"Preencher nome do indicante",IF(AND(H2606&lt;&gt;1,I2606&lt;&gt;""),"Nome sem indicação interna",IF(AND(G2606=1,F2606=""),"Fechamento sem conversa",IF(OR(AND(E2606&lt;&gt;"",E2606&lt;B2606),AND(F2606&lt;&gt;"",F2606&lt;B2606)),"Evento anterior à entrada",IF(AND(F2606&lt;&gt;"",E2606=""),"Conversa sem agendamento",IF(OR(E2606&gt;TODAY(),F2606&gt;TODAY()),"Verificar evento futuro","OK"))))))))))</f>
        <v/>
      </c>
    </row>
    <row r="2607" spans="12:15">
      <c r="L2607" s="5">
        <f>IF(OR(A2607="",B2607=""),"",B2607-WEEKDAY(B2607,2)+1)</f>
        <v/>
      </c>
      <c r="M2607" s="5">
        <f>IF(L2607="","",L2607+6)</f>
        <v/>
      </c>
      <c r="N2607" s="6">
        <f>IF(OR(A2607="",B2607=""),"",DATE(YEAR(B2607),MONTH(B2607),1))</f>
        <v/>
      </c>
      <c r="O2607" s="7">
        <f>IF(COUNTA(A2607:K2607)=0,"",IF(OR(A2607="",B2607=""),"Preencher CPF e entrada",IF(COUNTIFS($A$12:$A$5011,A2607,$B$12:$B$5011,B2607)&gt;1,"CPF + dia duplicado",IF(OR(AND(G2607&lt;&gt;"",G2607&lt;&gt;0,G2607&lt;&gt;1),AND(H2607&lt;&gt;"",H2607&lt;&gt;0,H2607&lt;&gt;1)),"Flags devem ser 0 ou 1",IF(AND(H2607=1,LEN(TRIM(I2607))=0),"Preencher nome do indicante",IF(AND(H2607&lt;&gt;1,I2607&lt;&gt;""),"Nome sem indicação interna",IF(AND(G2607=1,F2607=""),"Fechamento sem conversa",IF(OR(AND(E2607&lt;&gt;"",E2607&lt;B2607),AND(F2607&lt;&gt;"",F2607&lt;B2607)),"Evento anterior à entrada",IF(AND(F2607&lt;&gt;"",E2607=""),"Conversa sem agendamento",IF(OR(E2607&gt;TODAY(),F2607&gt;TODAY()),"Verificar evento futuro","OK"))))))))))</f>
        <v/>
      </c>
    </row>
    <row r="2608" spans="12:15">
      <c r="L2608" s="5">
        <f>IF(OR(A2608="",B2608=""),"",B2608-WEEKDAY(B2608,2)+1)</f>
        <v/>
      </c>
      <c r="M2608" s="5">
        <f>IF(L2608="","",L2608+6)</f>
        <v/>
      </c>
      <c r="N2608" s="6">
        <f>IF(OR(A2608="",B2608=""),"",DATE(YEAR(B2608),MONTH(B2608),1))</f>
        <v/>
      </c>
      <c r="O2608" s="7">
        <f>IF(COUNTA(A2608:K2608)=0,"",IF(OR(A2608="",B2608=""),"Preencher CPF e entrada",IF(COUNTIFS($A$12:$A$5011,A2608,$B$12:$B$5011,B2608)&gt;1,"CPF + dia duplicado",IF(OR(AND(G2608&lt;&gt;"",G2608&lt;&gt;0,G2608&lt;&gt;1),AND(H2608&lt;&gt;"",H2608&lt;&gt;0,H2608&lt;&gt;1)),"Flags devem ser 0 ou 1",IF(AND(H2608=1,LEN(TRIM(I2608))=0),"Preencher nome do indicante",IF(AND(H2608&lt;&gt;1,I2608&lt;&gt;""),"Nome sem indicação interna",IF(AND(G2608=1,F2608=""),"Fechamento sem conversa",IF(OR(AND(E2608&lt;&gt;"",E2608&lt;B2608),AND(F2608&lt;&gt;"",F2608&lt;B2608)),"Evento anterior à entrada",IF(AND(F2608&lt;&gt;"",E2608=""),"Conversa sem agendamento",IF(OR(E2608&gt;TODAY(),F2608&gt;TODAY()),"Verificar evento futuro","OK"))))))))))</f>
        <v/>
      </c>
    </row>
    <row r="2609" spans="12:15">
      <c r="L2609" s="5">
        <f>IF(OR(A2609="",B2609=""),"",B2609-WEEKDAY(B2609,2)+1)</f>
        <v/>
      </c>
      <c r="M2609" s="5">
        <f>IF(L2609="","",L2609+6)</f>
        <v/>
      </c>
      <c r="N2609" s="6">
        <f>IF(OR(A2609="",B2609=""),"",DATE(YEAR(B2609),MONTH(B2609),1))</f>
        <v/>
      </c>
      <c r="O2609" s="7">
        <f>IF(COUNTA(A2609:K2609)=0,"",IF(OR(A2609="",B2609=""),"Preencher CPF e entrada",IF(COUNTIFS($A$12:$A$5011,A2609,$B$12:$B$5011,B2609)&gt;1,"CPF + dia duplicado",IF(OR(AND(G2609&lt;&gt;"",G2609&lt;&gt;0,G2609&lt;&gt;1),AND(H2609&lt;&gt;"",H2609&lt;&gt;0,H2609&lt;&gt;1)),"Flags devem ser 0 ou 1",IF(AND(H2609=1,LEN(TRIM(I2609))=0),"Preencher nome do indicante",IF(AND(H2609&lt;&gt;1,I2609&lt;&gt;""),"Nome sem indicação interna",IF(AND(G2609=1,F2609=""),"Fechamento sem conversa",IF(OR(AND(E2609&lt;&gt;"",E2609&lt;B2609),AND(F2609&lt;&gt;"",F2609&lt;B2609)),"Evento anterior à entrada",IF(AND(F2609&lt;&gt;"",E2609=""),"Conversa sem agendamento",IF(OR(E2609&gt;TODAY(),F2609&gt;TODAY()),"Verificar evento futuro","OK"))))))))))</f>
        <v/>
      </c>
    </row>
    <row r="2610" spans="12:15">
      <c r="L2610" s="5">
        <f>IF(OR(A2610="",B2610=""),"",B2610-WEEKDAY(B2610,2)+1)</f>
        <v/>
      </c>
      <c r="M2610" s="5">
        <f>IF(L2610="","",L2610+6)</f>
        <v/>
      </c>
      <c r="N2610" s="6">
        <f>IF(OR(A2610="",B2610=""),"",DATE(YEAR(B2610),MONTH(B2610),1))</f>
        <v/>
      </c>
      <c r="O2610" s="7">
        <f>IF(COUNTA(A2610:K2610)=0,"",IF(OR(A2610="",B2610=""),"Preencher CPF e entrada",IF(COUNTIFS($A$12:$A$5011,A2610,$B$12:$B$5011,B2610)&gt;1,"CPF + dia duplicado",IF(OR(AND(G2610&lt;&gt;"",G2610&lt;&gt;0,G2610&lt;&gt;1),AND(H2610&lt;&gt;"",H2610&lt;&gt;0,H2610&lt;&gt;1)),"Flags devem ser 0 ou 1",IF(AND(H2610=1,LEN(TRIM(I2610))=0),"Preencher nome do indicante",IF(AND(H2610&lt;&gt;1,I2610&lt;&gt;""),"Nome sem indicação interna",IF(AND(G2610=1,F2610=""),"Fechamento sem conversa",IF(OR(AND(E2610&lt;&gt;"",E2610&lt;B2610),AND(F2610&lt;&gt;"",F2610&lt;B2610)),"Evento anterior à entrada",IF(AND(F2610&lt;&gt;"",E2610=""),"Conversa sem agendamento",IF(OR(E2610&gt;TODAY(),F2610&gt;TODAY()),"Verificar evento futuro","OK"))))))))))</f>
        <v/>
      </c>
    </row>
    <row r="2611" spans="12:15">
      <c r="L2611" s="5">
        <f>IF(OR(A2611="",B2611=""),"",B2611-WEEKDAY(B2611,2)+1)</f>
        <v/>
      </c>
      <c r="M2611" s="5">
        <f>IF(L2611="","",L2611+6)</f>
        <v/>
      </c>
      <c r="N2611" s="6">
        <f>IF(OR(A2611="",B2611=""),"",DATE(YEAR(B2611),MONTH(B2611),1))</f>
        <v/>
      </c>
      <c r="O2611" s="7">
        <f>IF(COUNTA(A2611:K2611)=0,"",IF(OR(A2611="",B2611=""),"Preencher CPF e entrada",IF(COUNTIFS($A$12:$A$5011,A2611,$B$12:$B$5011,B2611)&gt;1,"CPF + dia duplicado",IF(OR(AND(G2611&lt;&gt;"",G2611&lt;&gt;0,G2611&lt;&gt;1),AND(H2611&lt;&gt;"",H2611&lt;&gt;0,H2611&lt;&gt;1)),"Flags devem ser 0 ou 1",IF(AND(H2611=1,LEN(TRIM(I2611))=0),"Preencher nome do indicante",IF(AND(H2611&lt;&gt;1,I2611&lt;&gt;""),"Nome sem indicação interna",IF(AND(G2611=1,F2611=""),"Fechamento sem conversa",IF(OR(AND(E2611&lt;&gt;"",E2611&lt;B2611),AND(F2611&lt;&gt;"",F2611&lt;B2611)),"Evento anterior à entrada",IF(AND(F2611&lt;&gt;"",E2611=""),"Conversa sem agendamento",IF(OR(E2611&gt;TODAY(),F2611&gt;TODAY()),"Verificar evento futuro","OK"))))))))))</f>
        <v/>
      </c>
    </row>
    <row r="2612" spans="12:15">
      <c r="L2612" s="5">
        <f>IF(OR(A2612="",B2612=""),"",B2612-WEEKDAY(B2612,2)+1)</f>
        <v/>
      </c>
      <c r="M2612" s="5">
        <f>IF(L2612="","",L2612+6)</f>
        <v/>
      </c>
      <c r="N2612" s="6">
        <f>IF(OR(A2612="",B2612=""),"",DATE(YEAR(B2612),MONTH(B2612),1))</f>
        <v/>
      </c>
      <c r="O2612" s="7">
        <f>IF(COUNTA(A2612:K2612)=0,"",IF(OR(A2612="",B2612=""),"Preencher CPF e entrada",IF(COUNTIFS($A$12:$A$5011,A2612,$B$12:$B$5011,B2612)&gt;1,"CPF + dia duplicado",IF(OR(AND(G2612&lt;&gt;"",G2612&lt;&gt;0,G2612&lt;&gt;1),AND(H2612&lt;&gt;"",H2612&lt;&gt;0,H2612&lt;&gt;1)),"Flags devem ser 0 ou 1",IF(AND(H2612=1,LEN(TRIM(I2612))=0),"Preencher nome do indicante",IF(AND(H2612&lt;&gt;1,I2612&lt;&gt;""),"Nome sem indicação interna",IF(AND(G2612=1,F2612=""),"Fechamento sem conversa",IF(OR(AND(E2612&lt;&gt;"",E2612&lt;B2612),AND(F2612&lt;&gt;"",F2612&lt;B2612)),"Evento anterior à entrada",IF(AND(F2612&lt;&gt;"",E2612=""),"Conversa sem agendamento",IF(OR(E2612&gt;TODAY(),F2612&gt;TODAY()),"Verificar evento futuro","OK"))))))))))</f>
        <v/>
      </c>
    </row>
    <row r="2613" spans="12:15">
      <c r="L2613" s="5">
        <f>IF(OR(A2613="",B2613=""),"",B2613-WEEKDAY(B2613,2)+1)</f>
        <v/>
      </c>
      <c r="M2613" s="5">
        <f>IF(L2613="","",L2613+6)</f>
        <v/>
      </c>
      <c r="N2613" s="6">
        <f>IF(OR(A2613="",B2613=""),"",DATE(YEAR(B2613),MONTH(B2613),1))</f>
        <v/>
      </c>
      <c r="O2613" s="7">
        <f>IF(COUNTA(A2613:K2613)=0,"",IF(OR(A2613="",B2613=""),"Preencher CPF e entrada",IF(COUNTIFS($A$12:$A$5011,A2613,$B$12:$B$5011,B2613)&gt;1,"CPF + dia duplicado",IF(OR(AND(G2613&lt;&gt;"",G2613&lt;&gt;0,G2613&lt;&gt;1),AND(H2613&lt;&gt;"",H2613&lt;&gt;0,H2613&lt;&gt;1)),"Flags devem ser 0 ou 1",IF(AND(H2613=1,LEN(TRIM(I2613))=0),"Preencher nome do indicante",IF(AND(H2613&lt;&gt;1,I2613&lt;&gt;""),"Nome sem indicação interna",IF(AND(G2613=1,F2613=""),"Fechamento sem conversa",IF(OR(AND(E2613&lt;&gt;"",E2613&lt;B2613),AND(F2613&lt;&gt;"",F2613&lt;B2613)),"Evento anterior à entrada",IF(AND(F2613&lt;&gt;"",E2613=""),"Conversa sem agendamento",IF(OR(E2613&gt;TODAY(),F2613&gt;TODAY()),"Verificar evento futuro","OK"))))))))))</f>
        <v/>
      </c>
    </row>
    <row r="2614" spans="12:15">
      <c r="L2614" s="5">
        <f>IF(OR(A2614="",B2614=""),"",B2614-WEEKDAY(B2614,2)+1)</f>
        <v/>
      </c>
      <c r="M2614" s="5">
        <f>IF(L2614="","",L2614+6)</f>
        <v/>
      </c>
      <c r="N2614" s="6">
        <f>IF(OR(A2614="",B2614=""),"",DATE(YEAR(B2614),MONTH(B2614),1))</f>
        <v/>
      </c>
      <c r="O2614" s="7">
        <f>IF(COUNTA(A2614:K2614)=0,"",IF(OR(A2614="",B2614=""),"Preencher CPF e entrada",IF(COUNTIFS($A$12:$A$5011,A2614,$B$12:$B$5011,B2614)&gt;1,"CPF + dia duplicado",IF(OR(AND(G2614&lt;&gt;"",G2614&lt;&gt;0,G2614&lt;&gt;1),AND(H2614&lt;&gt;"",H2614&lt;&gt;0,H2614&lt;&gt;1)),"Flags devem ser 0 ou 1",IF(AND(H2614=1,LEN(TRIM(I2614))=0),"Preencher nome do indicante",IF(AND(H2614&lt;&gt;1,I2614&lt;&gt;""),"Nome sem indicação interna",IF(AND(G2614=1,F2614=""),"Fechamento sem conversa",IF(OR(AND(E2614&lt;&gt;"",E2614&lt;B2614),AND(F2614&lt;&gt;"",F2614&lt;B2614)),"Evento anterior à entrada",IF(AND(F2614&lt;&gt;"",E2614=""),"Conversa sem agendamento",IF(OR(E2614&gt;TODAY(),F2614&gt;TODAY()),"Verificar evento futuro","OK"))))))))))</f>
        <v/>
      </c>
    </row>
    <row r="2615" spans="12:15">
      <c r="L2615" s="5">
        <f>IF(OR(A2615="",B2615=""),"",B2615-WEEKDAY(B2615,2)+1)</f>
        <v/>
      </c>
      <c r="M2615" s="5">
        <f>IF(L2615="","",L2615+6)</f>
        <v/>
      </c>
      <c r="N2615" s="6">
        <f>IF(OR(A2615="",B2615=""),"",DATE(YEAR(B2615),MONTH(B2615),1))</f>
        <v/>
      </c>
      <c r="O2615" s="7">
        <f>IF(COUNTA(A2615:K2615)=0,"",IF(OR(A2615="",B2615=""),"Preencher CPF e entrada",IF(COUNTIFS($A$12:$A$5011,A2615,$B$12:$B$5011,B2615)&gt;1,"CPF + dia duplicado",IF(OR(AND(G2615&lt;&gt;"",G2615&lt;&gt;0,G2615&lt;&gt;1),AND(H2615&lt;&gt;"",H2615&lt;&gt;0,H2615&lt;&gt;1)),"Flags devem ser 0 ou 1",IF(AND(H2615=1,LEN(TRIM(I2615))=0),"Preencher nome do indicante",IF(AND(H2615&lt;&gt;1,I2615&lt;&gt;""),"Nome sem indicação interna",IF(AND(G2615=1,F2615=""),"Fechamento sem conversa",IF(OR(AND(E2615&lt;&gt;"",E2615&lt;B2615),AND(F2615&lt;&gt;"",F2615&lt;B2615)),"Evento anterior à entrada",IF(AND(F2615&lt;&gt;"",E2615=""),"Conversa sem agendamento",IF(OR(E2615&gt;TODAY(),F2615&gt;TODAY()),"Verificar evento futuro","OK"))))))))))</f>
        <v/>
      </c>
    </row>
    <row r="2616" spans="12:15">
      <c r="L2616" s="5">
        <f>IF(OR(A2616="",B2616=""),"",B2616-WEEKDAY(B2616,2)+1)</f>
        <v/>
      </c>
      <c r="M2616" s="5">
        <f>IF(L2616="","",L2616+6)</f>
        <v/>
      </c>
      <c r="N2616" s="6">
        <f>IF(OR(A2616="",B2616=""),"",DATE(YEAR(B2616),MONTH(B2616),1))</f>
        <v/>
      </c>
      <c r="O2616" s="7">
        <f>IF(COUNTA(A2616:K2616)=0,"",IF(OR(A2616="",B2616=""),"Preencher CPF e entrada",IF(COUNTIFS($A$12:$A$5011,A2616,$B$12:$B$5011,B2616)&gt;1,"CPF + dia duplicado",IF(OR(AND(G2616&lt;&gt;"",G2616&lt;&gt;0,G2616&lt;&gt;1),AND(H2616&lt;&gt;"",H2616&lt;&gt;0,H2616&lt;&gt;1)),"Flags devem ser 0 ou 1",IF(AND(H2616=1,LEN(TRIM(I2616))=0),"Preencher nome do indicante",IF(AND(H2616&lt;&gt;1,I2616&lt;&gt;""),"Nome sem indicação interna",IF(AND(G2616=1,F2616=""),"Fechamento sem conversa",IF(OR(AND(E2616&lt;&gt;"",E2616&lt;B2616),AND(F2616&lt;&gt;"",F2616&lt;B2616)),"Evento anterior à entrada",IF(AND(F2616&lt;&gt;"",E2616=""),"Conversa sem agendamento",IF(OR(E2616&gt;TODAY(),F2616&gt;TODAY()),"Verificar evento futuro","OK"))))))))))</f>
        <v/>
      </c>
    </row>
    <row r="2617" spans="12:15">
      <c r="L2617" s="5">
        <f>IF(OR(A2617="",B2617=""),"",B2617-WEEKDAY(B2617,2)+1)</f>
        <v/>
      </c>
      <c r="M2617" s="5">
        <f>IF(L2617="","",L2617+6)</f>
        <v/>
      </c>
      <c r="N2617" s="6">
        <f>IF(OR(A2617="",B2617=""),"",DATE(YEAR(B2617),MONTH(B2617),1))</f>
        <v/>
      </c>
      <c r="O2617" s="7">
        <f>IF(COUNTA(A2617:K2617)=0,"",IF(OR(A2617="",B2617=""),"Preencher CPF e entrada",IF(COUNTIFS($A$12:$A$5011,A2617,$B$12:$B$5011,B2617)&gt;1,"CPF + dia duplicado",IF(OR(AND(G2617&lt;&gt;"",G2617&lt;&gt;0,G2617&lt;&gt;1),AND(H2617&lt;&gt;"",H2617&lt;&gt;0,H2617&lt;&gt;1)),"Flags devem ser 0 ou 1",IF(AND(H2617=1,LEN(TRIM(I2617))=0),"Preencher nome do indicante",IF(AND(H2617&lt;&gt;1,I2617&lt;&gt;""),"Nome sem indicação interna",IF(AND(G2617=1,F2617=""),"Fechamento sem conversa",IF(OR(AND(E2617&lt;&gt;"",E2617&lt;B2617),AND(F2617&lt;&gt;"",F2617&lt;B2617)),"Evento anterior à entrada",IF(AND(F2617&lt;&gt;"",E2617=""),"Conversa sem agendamento",IF(OR(E2617&gt;TODAY(),F2617&gt;TODAY()),"Verificar evento futuro","OK"))))))))))</f>
        <v/>
      </c>
    </row>
    <row r="2618" spans="12:15">
      <c r="L2618" s="5">
        <f>IF(OR(A2618="",B2618=""),"",B2618-WEEKDAY(B2618,2)+1)</f>
        <v/>
      </c>
      <c r="M2618" s="5">
        <f>IF(L2618="","",L2618+6)</f>
        <v/>
      </c>
      <c r="N2618" s="6">
        <f>IF(OR(A2618="",B2618=""),"",DATE(YEAR(B2618),MONTH(B2618),1))</f>
        <v/>
      </c>
      <c r="O2618" s="7">
        <f>IF(COUNTA(A2618:K2618)=0,"",IF(OR(A2618="",B2618=""),"Preencher CPF e entrada",IF(COUNTIFS($A$12:$A$5011,A2618,$B$12:$B$5011,B2618)&gt;1,"CPF + dia duplicado",IF(OR(AND(G2618&lt;&gt;"",G2618&lt;&gt;0,G2618&lt;&gt;1),AND(H2618&lt;&gt;"",H2618&lt;&gt;0,H2618&lt;&gt;1)),"Flags devem ser 0 ou 1",IF(AND(H2618=1,LEN(TRIM(I2618))=0),"Preencher nome do indicante",IF(AND(H2618&lt;&gt;1,I2618&lt;&gt;""),"Nome sem indicação interna",IF(AND(G2618=1,F2618=""),"Fechamento sem conversa",IF(OR(AND(E2618&lt;&gt;"",E2618&lt;B2618),AND(F2618&lt;&gt;"",F2618&lt;B2618)),"Evento anterior à entrada",IF(AND(F2618&lt;&gt;"",E2618=""),"Conversa sem agendamento",IF(OR(E2618&gt;TODAY(),F2618&gt;TODAY()),"Verificar evento futuro","OK"))))))))))</f>
        <v/>
      </c>
    </row>
    <row r="2619" spans="12:15">
      <c r="L2619" s="5">
        <f>IF(OR(A2619="",B2619=""),"",B2619-WEEKDAY(B2619,2)+1)</f>
        <v/>
      </c>
      <c r="M2619" s="5">
        <f>IF(L2619="","",L2619+6)</f>
        <v/>
      </c>
      <c r="N2619" s="6">
        <f>IF(OR(A2619="",B2619=""),"",DATE(YEAR(B2619),MONTH(B2619),1))</f>
        <v/>
      </c>
      <c r="O2619" s="7">
        <f>IF(COUNTA(A2619:K2619)=0,"",IF(OR(A2619="",B2619=""),"Preencher CPF e entrada",IF(COUNTIFS($A$12:$A$5011,A2619,$B$12:$B$5011,B2619)&gt;1,"CPF + dia duplicado",IF(OR(AND(G2619&lt;&gt;"",G2619&lt;&gt;0,G2619&lt;&gt;1),AND(H2619&lt;&gt;"",H2619&lt;&gt;0,H2619&lt;&gt;1)),"Flags devem ser 0 ou 1",IF(AND(H2619=1,LEN(TRIM(I2619))=0),"Preencher nome do indicante",IF(AND(H2619&lt;&gt;1,I2619&lt;&gt;""),"Nome sem indicação interna",IF(AND(G2619=1,F2619=""),"Fechamento sem conversa",IF(OR(AND(E2619&lt;&gt;"",E2619&lt;B2619),AND(F2619&lt;&gt;"",F2619&lt;B2619)),"Evento anterior à entrada",IF(AND(F2619&lt;&gt;"",E2619=""),"Conversa sem agendamento",IF(OR(E2619&gt;TODAY(),F2619&gt;TODAY()),"Verificar evento futuro","OK"))))))))))</f>
        <v/>
      </c>
    </row>
    <row r="2620" spans="12:15">
      <c r="L2620" s="5">
        <f>IF(OR(A2620="",B2620=""),"",B2620-WEEKDAY(B2620,2)+1)</f>
        <v/>
      </c>
      <c r="M2620" s="5">
        <f>IF(L2620="","",L2620+6)</f>
        <v/>
      </c>
      <c r="N2620" s="6">
        <f>IF(OR(A2620="",B2620=""),"",DATE(YEAR(B2620),MONTH(B2620),1))</f>
        <v/>
      </c>
      <c r="O2620" s="7">
        <f>IF(COUNTA(A2620:K2620)=0,"",IF(OR(A2620="",B2620=""),"Preencher CPF e entrada",IF(COUNTIFS($A$12:$A$5011,A2620,$B$12:$B$5011,B2620)&gt;1,"CPF + dia duplicado",IF(OR(AND(G2620&lt;&gt;"",G2620&lt;&gt;0,G2620&lt;&gt;1),AND(H2620&lt;&gt;"",H2620&lt;&gt;0,H2620&lt;&gt;1)),"Flags devem ser 0 ou 1",IF(AND(H2620=1,LEN(TRIM(I2620))=0),"Preencher nome do indicante",IF(AND(H2620&lt;&gt;1,I2620&lt;&gt;""),"Nome sem indicação interna",IF(AND(G2620=1,F2620=""),"Fechamento sem conversa",IF(OR(AND(E2620&lt;&gt;"",E2620&lt;B2620),AND(F2620&lt;&gt;"",F2620&lt;B2620)),"Evento anterior à entrada",IF(AND(F2620&lt;&gt;"",E2620=""),"Conversa sem agendamento",IF(OR(E2620&gt;TODAY(),F2620&gt;TODAY()),"Verificar evento futuro","OK"))))))))))</f>
        <v/>
      </c>
    </row>
    <row r="2621" spans="12:15">
      <c r="L2621" s="5">
        <f>IF(OR(A2621="",B2621=""),"",B2621-WEEKDAY(B2621,2)+1)</f>
        <v/>
      </c>
      <c r="M2621" s="5">
        <f>IF(L2621="","",L2621+6)</f>
        <v/>
      </c>
      <c r="N2621" s="6">
        <f>IF(OR(A2621="",B2621=""),"",DATE(YEAR(B2621),MONTH(B2621),1))</f>
        <v/>
      </c>
      <c r="O2621" s="7">
        <f>IF(COUNTA(A2621:K2621)=0,"",IF(OR(A2621="",B2621=""),"Preencher CPF e entrada",IF(COUNTIFS($A$12:$A$5011,A2621,$B$12:$B$5011,B2621)&gt;1,"CPF + dia duplicado",IF(OR(AND(G2621&lt;&gt;"",G2621&lt;&gt;0,G2621&lt;&gt;1),AND(H2621&lt;&gt;"",H2621&lt;&gt;0,H2621&lt;&gt;1)),"Flags devem ser 0 ou 1",IF(AND(H2621=1,LEN(TRIM(I2621))=0),"Preencher nome do indicante",IF(AND(H2621&lt;&gt;1,I2621&lt;&gt;""),"Nome sem indicação interna",IF(AND(G2621=1,F2621=""),"Fechamento sem conversa",IF(OR(AND(E2621&lt;&gt;"",E2621&lt;B2621),AND(F2621&lt;&gt;"",F2621&lt;B2621)),"Evento anterior à entrada",IF(AND(F2621&lt;&gt;"",E2621=""),"Conversa sem agendamento",IF(OR(E2621&gt;TODAY(),F2621&gt;TODAY()),"Verificar evento futuro","OK"))))))))))</f>
        <v/>
      </c>
    </row>
    <row r="2622" spans="12:15">
      <c r="L2622" s="5">
        <f>IF(OR(A2622="",B2622=""),"",B2622-WEEKDAY(B2622,2)+1)</f>
        <v/>
      </c>
      <c r="M2622" s="5">
        <f>IF(L2622="","",L2622+6)</f>
        <v/>
      </c>
      <c r="N2622" s="6">
        <f>IF(OR(A2622="",B2622=""),"",DATE(YEAR(B2622),MONTH(B2622),1))</f>
        <v/>
      </c>
      <c r="O2622" s="7">
        <f>IF(COUNTA(A2622:K2622)=0,"",IF(OR(A2622="",B2622=""),"Preencher CPF e entrada",IF(COUNTIFS($A$12:$A$5011,A2622,$B$12:$B$5011,B2622)&gt;1,"CPF + dia duplicado",IF(OR(AND(G2622&lt;&gt;"",G2622&lt;&gt;0,G2622&lt;&gt;1),AND(H2622&lt;&gt;"",H2622&lt;&gt;0,H2622&lt;&gt;1)),"Flags devem ser 0 ou 1",IF(AND(H2622=1,LEN(TRIM(I2622))=0),"Preencher nome do indicante",IF(AND(H2622&lt;&gt;1,I2622&lt;&gt;""),"Nome sem indicação interna",IF(AND(G2622=1,F2622=""),"Fechamento sem conversa",IF(OR(AND(E2622&lt;&gt;"",E2622&lt;B2622),AND(F2622&lt;&gt;"",F2622&lt;B2622)),"Evento anterior à entrada",IF(AND(F2622&lt;&gt;"",E2622=""),"Conversa sem agendamento",IF(OR(E2622&gt;TODAY(),F2622&gt;TODAY()),"Verificar evento futuro","OK"))))))))))</f>
        <v/>
      </c>
    </row>
    <row r="2623" spans="12:15">
      <c r="L2623" s="5">
        <f>IF(OR(A2623="",B2623=""),"",B2623-WEEKDAY(B2623,2)+1)</f>
        <v/>
      </c>
      <c r="M2623" s="5">
        <f>IF(L2623="","",L2623+6)</f>
        <v/>
      </c>
      <c r="N2623" s="6">
        <f>IF(OR(A2623="",B2623=""),"",DATE(YEAR(B2623),MONTH(B2623),1))</f>
        <v/>
      </c>
      <c r="O2623" s="7">
        <f>IF(COUNTA(A2623:K2623)=0,"",IF(OR(A2623="",B2623=""),"Preencher CPF e entrada",IF(COUNTIFS($A$12:$A$5011,A2623,$B$12:$B$5011,B2623)&gt;1,"CPF + dia duplicado",IF(OR(AND(G2623&lt;&gt;"",G2623&lt;&gt;0,G2623&lt;&gt;1),AND(H2623&lt;&gt;"",H2623&lt;&gt;0,H2623&lt;&gt;1)),"Flags devem ser 0 ou 1",IF(AND(H2623=1,LEN(TRIM(I2623))=0),"Preencher nome do indicante",IF(AND(H2623&lt;&gt;1,I2623&lt;&gt;""),"Nome sem indicação interna",IF(AND(G2623=1,F2623=""),"Fechamento sem conversa",IF(OR(AND(E2623&lt;&gt;"",E2623&lt;B2623),AND(F2623&lt;&gt;"",F2623&lt;B2623)),"Evento anterior à entrada",IF(AND(F2623&lt;&gt;"",E2623=""),"Conversa sem agendamento",IF(OR(E2623&gt;TODAY(),F2623&gt;TODAY()),"Verificar evento futuro","OK"))))))))))</f>
        <v/>
      </c>
    </row>
    <row r="2624" spans="12:15">
      <c r="L2624" s="5">
        <f>IF(OR(A2624="",B2624=""),"",B2624-WEEKDAY(B2624,2)+1)</f>
        <v/>
      </c>
      <c r="M2624" s="5">
        <f>IF(L2624="","",L2624+6)</f>
        <v/>
      </c>
      <c r="N2624" s="6">
        <f>IF(OR(A2624="",B2624=""),"",DATE(YEAR(B2624),MONTH(B2624),1))</f>
        <v/>
      </c>
      <c r="O2624" s="7">
        <f>IF(COUNTA(A2624:K2624)=0,"",IF(OR(A2624="",B2624=""),"Preencher CPF e entrada",IF(COUNTIFS($A$12:$A$5011,A2624,$B$12:$B$5011,B2624)&gt;1,"CPF + dia duplicado",IF(OR(AND(G2624&lt;&gt;"",G2624&lt;&gt;0,G2624&lt;&gt;1),AND(H2624&lt;&gt;"",H2624&lt;&gt;0,H2624&lt;&gt;1)),"Flags devem ser 0 ou 1",IF(AND(H2624=1,LEN(TRIM(I2624))=0),"Preencher nome do indicante",IF(AND(H2624&lt;&gt;1,I2624&lt;&gt;""),"Nome sem indicação interna",IF(AND(G2624=1,F2624=""),"Fechamento sem conversa",IF(OR(AND(E2624&lt;&gt;"",E2624&lt;B2624),AND(F2624&lt;&gt;"",F2624&lt;B2624)),"Evento anterior à entrada",IF(AND(F2624&lt;&gt;"",E2624=""),"Conversa sem agendamento",IF(OR(E2624&gt;TODAY(),F2624&gt;TODAY()),"Verificar evento futuro","OK"))))))))))</f>
        <v/>
      </c>
    </row>
    <row r="2625" spans="12:15">
      <c r="L2625" s="5">
        <f>IF(OR(A2625="",B2625=""),"",B2625-WEEKDAY(B2625,2)+1)</f>
        <v/>
      </c>
      <c r="M2625" s="5">
        <f>IF(L2625="","",L2625+6)</f>
        <v/>
      </c>
      <c r="N2625" s="6">
        <f>IF(OR(A2625="",B2625=""),"",DATE(YEAR(B2625),MONTH(B2625),1))</f>
        <v/>
      </c>
      <c r="O2625" s="7">
        <f>IF(COUNTA(A2625:K2625)=0,"",IF(OR(A2625="",B2625=""),"Preencher CPF e entrada",IF(COUNTIFS($A$12:$A$5011,A2625,$B$12:$B$5011,B2625)&gt;1,"CPF + dia duplicado",IF(OR(AND(G2625&lt;&gt;"",G2625&lt;&gt;0,G2625&lt;&gt;1),AND(H2625&lt;&gt;"",H2625&lt;&gt;0,H2625&lt;&gt;1)),"Flags devem ser 0 ou 1",IF(AND(H2625=1,LEN(TRIM(I2625))=0),"Preencher nome do indicante",IF(AND(H2625&lt;&gt;1,I2625&lt;&gt;""),"Nome sem indicação interna",IF(AND(G2625=1,F2625=""),"Fechamento sem conversa",IF(OR(AND(E2625&lt;&gt;"",E2625&lt;B2625),AND(F2625&lt;&gt;"",F2625&lt;B2625)),"Evento anterior à entrada",IF(AND(F2625&lt;&gt;"",E2625=""),"Conversa sem agendamento",IF(OR(E2625&gt;TODAY(),F2625&gt;TODAY()),"Verificar evento futuro","OK"))))))))))</f>
        <v/>
      </c>
    </row>
    <row r="2626" spans="12:15">
      <c r="L2626" s="5">
        <f>IF(OR(A2626="",B2626=""),"",B2626-WEEKDAY(B2626,2)+1)</f>
        <v/>
      </c>
      <c r="M2626" s="5">
        <f>IF(L2626="","",L2626+6)</f>
        <v/>
      </c>
      <c r="N2626" s="6">
        <f>IF(OR(A2626="",B2626=""),"",DATE(YEAR(B2626),MONTH(B2626),1))</f>
        <v/>
      </c>
      <c r="O2626" s="7">
        <f>IF(COUNTA(A2626:K2626)=0,"",IF(OR(A2626="",B2626=""),"Preencher CPF e entrada",IF(COUNTIFS($A$12:$A$5011,A2626,$B$12:$B$5011,B2626)&gt;1,"CPF + dia duplicado",IF(OR(AND(G2626&lt;&gt;"",G2626&lt;&gt;0,G2626&lt;&gt;1),AND(H2626&lt;&gt;"",H2626&lt;&gt;0,H2626&lt;&gt;1)),"Flags devem ser 0 ou 1",IF(AND(H2626=1,LEN(TRIM(I2626))=0),"Preencher nome do indicante",IF(AND(H2626&lt;&gt;1,I2626&lt;&gt;""),"Nome sem indicação interna",IF(AND(G2626=1,F2626=""),"Fechamento sem conversa",IF(OR(AND(E2626&lt;&gt;"",E2626&lt;B2626),AND(F2626&lt;&gt;"",F2626&lt;B2626)),"Evento anterior à entrada",IF(AND(F2626&lt;&gt;"",E2626=""),"Conversa sem agendamento",IF(OR(E2626&gt;TODAY(),F2626&gt;TODAY()),"Verificar evento futuro","OK"))))))))))</f>
        <v/>
      </c>
    </row>
    <row r="2627" spans="12:15">
      <c r="L2627" s="5">
        <f>IF(OR(A2627="",B2627=""),"",B2627-WEEKDAY(B2627,2)+1)</f>
        <v/>
      </c>
      <c r="M2627" s="5">
        <f>IF(L2627="","",L2627+6)</f>
        <v/>
      </c>
      <c r="N2627" s="6">
        <f>IF(OR(A2627="",B2627=""),"",DATE(YEAR(B2627),MONTH(B2627),1))</f>
        <v/>
      </c>
      <c r="O2627" s="7">
        <f>IF(COUNTA(A2627:K2627)=0,"",IF(OR(A2627="",B2627=""),"Preencher CPF e entrada",IF(COUNTIFS($A$12:$A$5011,A2627,$B$12:$B$5011,B2627)&gt;1,"CPF + dia duplicado",IF(OR(AND(G2627&lt;&gt;"",G2627&lt;&gt;0,G2627&lt;&gt;1),AND(H2627&lt;&gt;"",H2627&lt;&gt;0,H2627&lt;&gt;1)),"Flags devem ser 0 ou 1",IF(AND(H2627=1,LEN(TRIM(I2627))=0),"Preencher nome do indicante",IF(AND(H2627&lt;&gt;1,I2627&lt;&gt;""),"Nome sem indicação interna",IF(AND(G2627=1,F2627=""),"Fechamento sem conversa",IF(OR(AND(E2627&lt;&gt;"",E2627&lt;B2627),AND(F2627&lt;&gt;"",F2627&lt;B2627)),"Evento anterior à entrada",IF(AND(F2627&lt;&gt;"",E2627=""),"Conversa sem agendamento",IF(OR(E2627&gt;TODAY(),F2627&gt;TODAY()),"Verificar evento futuro","OK"))))))))))</f>
        <v/>
      </c>
    </row>
    <row r="2628" spans="12:15">
      <c r="L2628" s="5">
        <f>IF(OR(A2628="",B2628=""),"",B2628-WEEKDAY(B2628,2)+1)</f>
        <v/>
      </c>
      <c r="M2628" s="5">
        <f>IF(L2628="","",L2628+6)</f>
        <v/>
      </c>
      <c r="N2628" s="6">
        <f>IF(OR(A2628="",B2628=""),"",DATE(YEAR(B2628),MONTH(B2628),1))</f>
        <v/>
      </c>
      <c r="O2628" s="7">
        <f>IF(COUNTA(A2628:K2628)=0,"",IF(OR(A2628="",B2628=""),"Preencher CPF e entrada",IF(COUNTIFS($A$12:$A$5011,A2628,$B$12:$B$5011,B2628)&gt;1,"CPF + dia duplicado",IF(OR(AND(G2628&lt;&gt;"",G2628&lt;&gt;0,G2628&lt;&gt;1),AND(H2628&lt;&gt;"",H2628&lt;&gt;0,H2628&lt;&gt;1)),"Flags devem ser 0 ou 1",IF(AND(H2628=1,LEN(TRIM(I2628))=0),"Preencher nome do indicante",IF(AND(H2628&lt;&gt;1,I2628&lt;&gt;""),"Nome sem indicação interna",IF(AND(G2628=1,F2628=""),"Fechamento sem conversa",IF(OR(AND(E2628&lt;&gt;"",E2628&lt;B2628),AND(F2628&lt;&gt;"",F2628&lt;B2628)),"Evento anterior à entrada",IF(AND(F2628&lt;&gt;"",E2628=""),"Conversa sem agendamento",IF(OR(E2628&gt;TODAY(),F2628&gt;TODAY()),"Verificar evento futuro","OK"))))))))))</f>
        <v/>
      </c>
    </row>
    <row r="2629" spans="12:15">
      <c r="L2629" s="5">
        <f>IF(OR(A2629="",B2629=""),"",B2629-WEEKDAY(B2629,2)+1)</f>
        <v/>
      </c>
      <c r="M2629" s="5">
        <f>IF(L2629="","",L2629+6)</f>
        <v/>
      </c>
      <c r="N2629" s="6">
        <f>IF(OR(A2629="",B2629=""),"",DATE(YEAR(B2629),MONTH(B2629),1))</f>
        <v/>
      </c>
      <c r="O2629" s="7">
        <f>IF(COUNTA(A2629:K2629)=0,"",IF(OR(A2629="",B2629=""),"Preencher CPF e entrada",IF(COUNTIFS($A$12:$A$5011,A2629,$B$12:$B$5011,B2629)&gt;1,"CPF + dia duplicado",IF(OR(AND(G2629&lt;&gt;"",G2629&lt;&gt;0,G2629&lt;&gt;1),AND(H2629&lt;&gt;"",H2629&lt;&gt;0,H2629&lt;&gt;1)),"Flags devem ser 0 ou 1",IF(AND(H2629=1,LEN(TRIM(I2629))=0),"Preencher nome do indicante",IF(AND(H2629&lt;&gt;1,I2629&lt;&gt;""),"Nome sem indicação interna",IF(AND(G2629=1,F2629=""),"Fechamento sem conversa",IF(OR(AND(E2629&lt;&gt;"",E2629&lt;B2629),AND(F2629&lt;&gt;"",F2629&lt;B2629)),"Evento anterior à entrada",IF(AND(F2629&lt;&gt;"",E2629=""),"Conversa sem agendamento",IF(OR(E2629&gt;TODAY(),F2629&gt;TODAY()),"Verificar evento futuro","OK"))))))))))</f>
        <v/>
      </c>
    </row>
    <row r="2630" spans="12:15">
      <c r="L2630" s="5">
        <f>IF(OR(A2630="",B2630=""),"",B2630-WEEKDAY(B2630,2)+1)</f>
        <v/>
      </c>
      <c r="M2630" s="5">
        <f>IF(L2630="","",L2630+6)</f>
        <v/>
      </c>
      <c r="N2630" s="6">
        <f>IF(OR(A2630="",B2630=""),"",DATE(YEAR(B2630),MONTH(B2630),1))</f>
        <v/>
      </c>
      <c r="O2630" s="7">
        <f>IF(COUNTA(A2630:K2630)=0,"",IF(OR(A2630="",B2630=""),"Preencher CPF e entrada",IF(COUNTIFS($A$12:$A$5011,A2630,$B$12:$B$5011,B2630)&gt;1,"CPF + dia duplicado",IF(OR(AND(G2630&lt;&gt;"",G2630&lt;&gt;0,G2630&lt;&gt;1),AND(H2630&lt;&gt;"",H2630&lt;&gt;0,H2630&lt;&gt;1)),"Flags devem ser 0 ou 1",IF(AND(H2630=1,LEN(TRIM(I2630))=0),"Preencher nome do indicante",IF(AND(H2630&lt;&gt;1,I2630&lt;&gt;""),"Nome sem indicação interna",IF(AND(G2630=1,F2630=""),"Fechamento sem conversa",IF(OR(AND(E2630&lt;&gt;"",E2630&lt;B2630),AND(F2630&lt;&gt;"",F2630&lt;B2630)),"Evento anterior à entrada",IF(AND(F2630&lt;&gt;"",E2630=""),"Conversa sem agendamento",IF(OR(E2630&gt;TODAY(),F2630&gt;TODAY()),"Verificar evento futuro","OK"))))))))))</f>
        <v/>
      </c>
    </row>
    <row r="2631" spans="12:15">
      <c r="L2631" s="5">
        <f>IF(OR(A2631="",B2631=""),"",B2631-WEEKDAY(B2631,2)+1)</f>
        <v/>
      </c>
      <c r="M2631" s="5">
        <f>IF(L2631="","",L2631+6)</f>
        <v/>
      </c>
      <c r="N2631" s="6">
        <f>IF(OR(A2631="",B2631=""),"",DATE(YEAR(B2631),MONTH(B2631),1))</f>
        <v/>
      </c>
      <c r="O2631" s="7">
        <f>IF(COUNTA(A2631:K2631)=0,"",IF(OR(A2631="",B2631=""),"Preencher CPF e entrada",IF(COUNTIFS($A$12:$A$5011,A2631,$B$12:$B$5011,B2631)&gt;1,"CPF + dia duplicado",IF(OR(AND(G2631&lt;&gt;"",G2631&lt;&gt;0,G2631&lt;&gt;1),AND(H2631&lt;&gt;"",H2631&lt;&gt;0,H2631&lt;&gt;1)),"Flags devem ser 0 ou 1",IF(AND(H2631=1,LEN(TRIM(I2631))=0),"Preencher nome do indicante",IF(AND(H2631&lt;&gt;1,I2631&lt;&gt;""),"Nome sem indicação interna",IF(AND(G2631=1,F2631=""),"Fechamento sem conversa",IF(OR(AND(E2631&lt;&gt;"",E2631&lt;B2631),AND(F2631&lt;&gt;"",F2631&lt;B2631)),"Evento anterior à entrada",IF(AND(F2631&lt;&gt;"",E2631=""),"Conversa sem agendamento",IF(OR(E2631&gt;TODAY(),F2631&gt;TODAY()),"Verificar evento futuro","OK"))))))))))</f>
        <v/>
      </c>
    </row>
    <row r="2632" spans="12:15">
      <c r="L2632" s="5">
        <f>IF(OR(A2632="",B2632=""),"",B2632-WEEKDAY(B2632,2)+1)</f>
        <v/>
      </c>
      <c r="M2632" s="5">
        <f>IF(L2632="","",L2632+6)</f>
        <v/>
      </c>
      <c r="N2632" s="6">
        <f>IF(OR(A2632="",B2632=""),"",DATE(YEAR(B2632),MONTH(B2632),1))</f>
        <v/>
      </c>
      <c r="O2632" s="7">
        <f>IF(COUNTA(A2632:K2632)=0,"",IF(OR(A2632="",B2632=""),"Preencher CPF e entrada",IF(COUNTIFS($A$12:$A$5011,A2632,$B$12:$B$5011,B2632)&gt;1,"CPF + dia duplicado",IF(OR(AND(G2632&lt;&gt;"",G2632&lt;&gt;0,G2632&lt;&gt;1),AND(H2632&lt;&gt;"",H2632&lt;&gt;0,H2632&lt;&gt;1)),"Flags devem ser 0 ou 1",IF(AND(H2632=1,LEN(TRIM(I2632))=0),"Preencher nome do indicante",IF(AND(H2632&lt;&gt;1,I2632&lt;&gt;""),"Nome sem indicação interna",IF(AND(G2632=1,F2632=""),"Fechamento sem conversa",IF(OR(AND(E2632&lt;&gt;"",E2632&lt;B2632),AND(F2632&lt;&gt;"",F2632&lt;B2632)),"Evento anterior à entrada",IF(AND(F2632&lt;&gt;"",E2632=""),"Conversa sem agendamento",IF(OR(E2632&gt;TODAY(),F2632&gt;TODAY()),"Verificar evento futuro","OK"))))))))))</f>
        <v/>
      </c>
    </row>
    <row r="2633" spans="12:15">
      <c r="L2633" s="5">
        <f>IF(OR(A2633="",B2633=""),"",B2633-WEEKDAY(B2633,2)+1)</f>
        <v/>
      </c>
      <c r="M2633" s="5">
        <f>IF(L2633="","",L2633+6)</f>
        <v/>
      </c>
      <c r="N2633" s="6">
        <f>IF(OR(A2633="",B2633=""),"",DATE(YEAR(B2633),MONTH(B2633),1))</f>
        <v/>
      </c>
      <c r="O2633" s="7">
        <f>IF(COUNTA(A2633:K2633)=0,"",IF(OR(A2633="",B2633=""),"Preencher CPF e entrada",IF(COUNTIFS($A$12:$A$5011,A2633,$B$12:$B$5011,B2633)&gt;1,"CPF + dia duplicado",IF(OR(AND(G2633&lt;&gt;"",G2633&lt;&gt;0,G2633&lt;&gt;1),AND(H2633&lt;&gt;"",H2633&lt;&gt;0,H2633&lt;&gt;1)),"Flags devem ser 0 ou 1",IF(AND(H2633=1,LEN(TRIM(I2633))=0),"Preencher nome do indicante",IF(AND(H2633&lt;&gt;1,I2633&lt;&gt;""),"Nome sem indicação interna",IF(AND(G2633=1,F2633=""),"Fechamento sem conversa",IF(OR(AND(E2633&lt;&gt;"",E2633&lt;B2633),AND(F2633&lt;&gt;"",F2633&lt;B2633)),"Evento anterior à entrada",IF(AND(F2633&lt;&gt;"",E2633=""),"Conversa sem agendamento",IF(OR(E2633&gt;TODAY(),F2633&gt;TODAY()),"Verificar evento futuro","OK"))))))))))</f>
        <v/>
      </c>
    </row>
    <row r="2634" spans="12:15">
      <c r="L2634" s="5">
        <f>IF(OR(A2634="",B2634=""),"",B2634-WEEKDAY(B2634,2)+1)</f>
        <v/>
      </c>
      <c r="M2634" s="5">
        <f>IF(L2634="","",L2634+6)</f>
        <v/>
      </c>
      <c r="N2634" s="6">
        <f>IF(OR(A2634="",B2634=""),"",DATE(YEAR(B2634),MONTH(B2634),1))</f>
        <v/>
      </c>
      <c r="O2634" s="7">
        <f>IF(COUNTA(A2634:K2634)=0,"",IF(OR(A2634="",B2634=""),"Preencher CPF e entrada",IF(COUNTIFS($A$12:$A$5011,A2634,$B$12:$B$5011,B2634)&gt;1,"CPF + dia duplicado",IF(OR(AND(G2634&lt;&gt;"",G2634&lt;&gt;0,G2634&lt;&gt;1),AND(H2634&lt;&gt;"",H2634&lt;&gt;0,H2634&lt;&gt;1)),"Flags devem ser 0 ou 1",IF(AND(H2634=1,LEN(TRIM(I2634))=0),"Preencher nome do indicante",IF(AND(H2634&lt;&gt;1,I2634&lt;&gt;""),"Nome sem indicação interna",IF(AND(G2634=1,F2634=""),"Fechamento sem conversa",IF(OR(AND(E2634&lt;&gt;"",E2634&lt;B2634),AND(F2634&lt;&gt;"",F2634&lt;B2634)),"Evento anterior à entrada",IF(AND(F2634&lt;&gt;"",E2634=""),"Conversa sem agendamento",IF(OR(E2634&gt;TODAY(),F2634&gt;TODAY()),"Verificar evento futuro","OK"))))))))))</f>
        <v/>
      </c>
    </row>
    <row r="2635" spans="12:15">
      <c r="L2635" s="5">
        <f>IF(OR(A2635="",B2635=""),"",B2635-WEEKDAY(B2635,2)+1)</f>
        <v/>
      </c>
      <c r="M2635" s="5">
        <f>IF(L2635="","",L2635+6)</f>
        <v/>
      </c>
      <c r="N2635" s="6">
        <f>IF(OR(A2635="",B2635=""),"",DATE(YEAR(B2635),MONTH(B2635),1))</f>
        <v/>
      </c>
      <c r="O2635" s="7">
        <f>IF(COUNTA(A2635:K2635)=0,"",IF(OR(A2635="",B2635=""),"Preencher CPF e entrada",IF(COUNTIFS($A$12:$A$5011,A2635,$B$12:$B$5011,B2635)&gt;1,"CPF + dia duplicado",IF(OR(AND(G2635&lt;&gt;"",G2635&lt;&gt;0,G2635&lt;&gt;1),AND(H2635&lt;&gt;"",H2635&lt;&gt;0,H2635&lt;&gt;1)),"Flags devem ser 0 ou 1",IF(AND(H2635=1,LEN(TRIM(I2635))=0),"Preencher nome do indicante",IF(AND(H2635&lt;&gt;1,I2635&lt;&gt;""),"Nome sem indicação interna",IF(AND(G2635=1,F2635=""),"Fechamento sem conversa",IF(OR(AND(E2635&lt;&gt;"",E2635&lt;B2635),AND(F2635&lt;&gt;"",F2635&lt;B2635)),"Evento anterior à entrada",IF(AND(F2635&lt;&gt;"",E2635=""),"Conversa sem agendamento",IF(OR(E2635&gt;TODAY(),F2635&gt;TODAY()),"Verificar evento futuro","OK"))))))))))</f>
        <v/>
      </c>
    </row>
    <row r="2636" spans="12:15">
      <c r="L2636" s="5">
        <f>IF(OR(A2636="",B2636=""),"",B2636-WEEKDAY(B2636,2)+1)</f>
        <v/>
      </c>
      <c r="M2636" s="5">
        <f>IF(L2636="","",L2636+6)</f>
        <v/>
      </c>
      <c r="N2636" s="6">
        <f>IF(OR(A2636="",B2636=""),"",DATE(YEAR(B2636),MONTH(B2636),1))</f>
        <v/>
      </c>
      <c r="O2636" s="7">
        <f>IF(COUNTA(A2636:K2636)=0,"",IF(OR(A2636="",B2636=""),"Preencher CPF e entrada",IF(COUNTIFS($A$12:$A$5011,A2636,$B$12:$B$5011,B2636)&gt;1,"CPF + dia duplicado",IF(OR(AND(G2636&lt;&gt;"",G2636&lt;&gt;0,G2636&lt;&gt;1),AND(H2636&lt;&gt;"",H2636&lt;&gt;0,H2636&lt;&gt;1)),"Flags devem ser 0 ou 1",IF(AND(H2636=1,LEN(TRIM(I2636))=0),"Preencher nome do indicante",IF(AND(H2636&lt;&gt;1,I2636&lt;&gt;""),"Nome sem indicação interna",IF(AND(G2636=1,F2636=""),"Fechamento sem conversa",IF(OR(AND(E2636&lt;&gt;"",E2636&lt;B2636),AND(F2636&lt;&gt;"",F2636&lt;B2636)),"Evento anterior à entrada",IF(AND(F2636&lt;&gt;"",E2636=""),"Conversa sem agendamento",IF(OR(E2636&gt;TODAY(),F2636&gt;TODAY()),"Verificar evento futuro","OK"))))))))))</f>
        <v/>
      </c>
    </row>
    <row r="2637" spans="12:15">
      <c r="L2637" s="5">
        <f>IF(OR(A2637="",B2637=""),"",B2637-WEEKDAY(B2637,2)+1)</f>
        <v/>
      </c>
      <c r="M2637" s="5">
        <f>IF(L2637="","",L2637+6)</f>
        <v/>
      </c>
      <c r="N2637" s="6">
        <f>IF(OR(A2637="",B2637=""),"",DATE(YEAR(B2637),MONTH(B2637),1))</f>
        <v/>
      </c>
      <c r="O2637" s="7">
        <f>IF(COUNTA(A2637:K2637)=0,"",IF(OR(A2637="",B2637=""),"Preencher CPF e entrada",IF(COUNTIFS($A$12:$A$5011,A2637,$B$12:$B$5011,B2637)&gt;1,"CPF + dia duplicado",IF(OR(AND(G2637&lt;&gt;"",G2637&lt;&gt;0,G2637&lt;&gt;1),AND(H2637&lt;&gt;"",H2637&lt;&gt;0,H2637&lt;&gt;1)),"Flags devem ser 0 ou 1",IF(AND(H2637=1,LEN(TRIM(I2637))=0),"Preencher nome do indicante",IF(AND(H2637&lt;&gt;1,I2637&lt;&gt;""),"Nome sem indicação interna",IF(AND(G2637=1,F2637=""),"Fechamento sem conversa",IF(OR(AND(E2637&lt;&gt;"",E2637&lt;B2637),AND(F2637&lt;&gt;"",F2637&lt;B2637)),"Evento anterior à entrada",IF(AND(F2637&lt;&gt;"",E2637=""),"Conversa sem agendamento",IF(OR(E2637&gt;TODAY(),F2637&gt;TODAY()),"Verificar evento futuro","OK"))))))))))</f>
        <v/>
      </c>
    </row>
    <row r="2638" spans="12:15">
      <c r="L2638" s="5">
        <f>IF(OR(A2638="",B2638=""),"",B2638-WEEKDAY(B2638,2)+1)</f>
        <v/>
      </c>
      <c r="M2638" s="5">
        <f>IF(L2638="","",L2638+6)</f>
        <v/>
      </c>
      <c r="N2638" s="6">
        <f>IF(OR(A2638="",B2638=""),"",DATE(YEAR(B2638),MONTH(B2638),1))</f>
        <v/>
      </c>
      <c r="O2638" s="7">
        <f>IF(COUNTA(A2638:K2638)=0,"",IF(OR(A2638="",B2638=""),"Preencher CPF e entrada",IF(COUNTIFS($A$12:$A$5011,A2638,$B$12:$B$5011,B2638)&gt;1,"CPF + dia duplicado",IF(OR(AND(G2638&lt;&gt;"",G2638&lt;&gt;0,G2638&lt;&gt;1),AND(H2638&lt;&gt;"",H2638&lt;&gt;0,H2638&lt;&gt;1)),"Flags devem ser 0 ou 1",IF(AND(H2638=1,LEN(TRIM(I2638))=0),"Preencher nome do indicante",IF(AND(H2638&lt;&gt;1,I2638&lt;&gt;""),"Nome sem indicação interna",IF(AND(G2638=1,F2638=""),"Fechamento sem conversa",IF(OR(AND(E2638&lt;&gt;"",E2638&lt;B2638),AND(F2638&lt;&gt;"",F2638&lt;B2638)),"Evento anterior à entrada",IF(AND(F2638&lt;&gt;"",E2638=""),"Conversa sem agendamento",IF(OR(E2638&gt;TODAY(),F2638&gt;TODAY()),"Verificar evento futuro","OK"))))))))))</f>
        <v/>
      </c>
    </row>
    <row r="2639" spans="12:15">
      <c r="L2639" s="5">
        <f>IF(OR(A2639="",B2639=""),"",B2639-WEEKDAY(B2639,2)+1)</f>
        <v/>
      </c>
      <c r="M2639" s="5">
        <f>IF(L2639="","",L2639+6)</f>
        <v/>
      </c>
      <c r="N2639" s="6">
        <f>IF(OR(A2639="",B2639=""),"",DATE(YEAR(B2639),MONTH(B2639),1))</f>
        <v/>
      </c>
      <c r="O2639" s="7">
        <f>IF(COUNTA(A2639:K2639)=0,"",IF(OR(A2639="",B2639=""),"Preencher CPF e entrada",IF(COUNTIFS($A$12:$A$5011,A2639,$B$12:$B$5011,B2639)&gt;1,"CPF + dia duplicado",IF(OR(AND(G2639&lt;&gt;"",G2639&lt;&gt;0,G2639&lt;&gt;1),AND(H2639&lt;&gt;"",H2639&lt;&gt;0,H2639&lt;&gt;1)),"Flags devem ser 0 ou 1",IF(AND(H2639=1,LEN(TRIM(I2639))=0),"Preencher nome do indicante",IF(AND(H2639&lt;&gt;1,I2639&lt;&gt;""),"Nome sem indicação interna",IF(AND(G2639=1,F2639=""),"Fechamento sem conversa",IF(OR(AND(E2639&lt;&gt;"",E2639&lt;B2639),AND(F2639&lt;&gt;"",F2639&lt;B2639)),"Evento anterior à entrada",IF(AND(F2639&lt;&gt;"",E2639=""),"Conversa sem agendamento",IF(OR(E2639&gt;TODAY(),F2639&gt;TODAY()),"Verificar evento futuro","OK"))))))))))</f>
        <v/>
      </c>
    </row>
    <row r="2640" spans="12:15">
      <c r="L2640" s="5">
        <f>IF(OR(A2640="",B2640=""),"",B2640-WEEKDAY(B2640,2)+1)</f>
        <v/>
      </c>
      <c r="M2640" s="5">
        <f>IF(L2640="","",L2640+6)</f>
        <v/>
      </c>
      <c r="N2640" s="6">
        <f>IF(OR(A2640="",B2640=""),"",DATE(YEAR(B2640),MONTH(B2640),1))</f>
        <v/>
      </c>
      <c r="O2640" s="7">
        <f>IF(COUNTA(A2640:K2640)=0,"",IF(OR(A2640="",B2640=""),"Preencher CPF e entrada",IF(COUNTIFS($A$12:$A$5011,A2640,$B$12:$B$5011,B2640)&gt;1,"CPF + dia duplicado",IF(OR(AND(G2640&lt;&gt;"",G2640&lt;&gt;0,G2640&lt;&gt;1),AND(H2640&lt;&gt;"",H2640&lt;&gt;0,H2640&lt;&gt;1)),"Flags devem ser 0 ou 1",IF(AND(H2640=1,LEN(TRIM(I2640))=0),"Preencher nome do indicante",IF(AND(H2640&lt;&gt;1,I2640&lt;&gt;""),"Nome sem indicação interna",IF(AND(G2640=1,F2640=""),"Fechamento sem conversa",IF(OR(AND(E2640&lt;&gt;"",E2640&lt;B2640),AND(F2640&lt;&gt;"",F2640&lt;B2640)),"Evento anterior à entrada",IF(AND(F2640&lt;&gt;"",E2640=""),"Conversa sem agendamento",IF(OR(E2640&gt;TODAY(),F2640&gt;TODAY()),"Verificar evento futuro","OK"))))))))))</f>
        <v/>
      </c>
    </row>
    <row r="2641" spans="12:15">
      <c r="L2641" s="5">
        <f>IF(OR(A2641="",B2641=""),"",B2641-WEEKDAY(B2641,2)+1)</f>
        <v/>
      </c>
      <c r="M2641" s="5">
        <f>IF(L2641="","",L2641+6)</f>
        <v/>
      </c>
      <c r="N2641" s="6">
        <f>IF(OR(A2641="",B2641=""),"",DATE(YEAR(B2641),MONTH(B2641),1))</f>
        <v/>
      </c>
      <c r="O2641" s="7">
        <f>IF(COUNTA(A2641:K2641)=0,"",IF(OR(A2641="",B2641=""),"Preencher CPF e entrada",IF(COUNTIFS($A$12:$A$5011,A2641,$B$12:$B$5011,B2641)&gt;1,"CPF + dia duplicado",IF(OR(AND(G2641&lt;&gt;"",G2641&lt;&gt;0,G2641&lt;&gt;1),AND(H2641&lt;&gt;"",H2641&lt;&gt;0,H2641&lt;&gt;1)),"Flags devem ser 0 ou 1",IF(AND(H2641=1,LEN(TRIM(I2641))=0),"Preencher nome do indicante",IF(AND(H2641&lt;&gt;1,I2641&lt;&gt;""),"Nome sem indicação interna",IF(AND(G2641=1,F2641=""),"Fechamento sem conversa",IF(OR(AND(E2641&lt;&gt;"",E2641&lt;B2641),AND(F2641&lt;&gt;"",F2641&lt;B2641)),"Evento anterior à entrada",IF(AND(F2641&lt;&gt;"",E2641=""),"Conversa sem agendamento",IF(OR(E2641&gt;TODAY(),F2641&gt;TODAY()),"Verificar evento futuro","OK"))))))))))</f>
        <v/>
      </c>
    </row>
    <row r="2642" spans="12:15">
      <c r="L2642" s="5">
        <f>IF(OR(A2642="",B2642=""),"",B2642-WEEKDAY(B2642,2)+1)</f>
        <v/>
      </c>
      <c r="M2642" s="5">
        <f>IF(L2642="","",L2642+6)</f>
        <v/>
      </c>
      <c r="N2642" s="6">
        <f>IF(OR(A2642="",B2642=""),"",DATE(YEAR(B2642),MONTH(B2642),1))</f>
        <v/>
      </c>
      <c r="O2642" s="7">
        <f>IF(COUNTA(A2642:K2642)=0,"",IF(OR(A2642="",B2642=""),"Preencher CPF e entrada",IF(COUNTIFS($A$12:$A$5011,A2642,$B$12:$B$5011,B2642)&gt;1,"CPF + dia duplicado",IF(OR(AND(G2642&lt;&gt;"",G2642&lt;&gt;0,G2642&lt;&gt;1),AND(H2642&lt;&gt;"",H2642&lt;&gt;0,H2642&lt;&gt;1)),"Flags devem ser 0 ou 1",IF(AND(H2642=1,LEN(TRIM(I2642))=0),"Preencher nome do indicante",IF(AND(H2642&lt;&gt;1,I2642&lt;&gt;""),"Nome sem indicação interna",IF(AND(G2642=1,F2642=""),"Fechamento sem conversa",IF(OR(AND(E2642&lt;&gt;"",E2642&lt;B2642),AND(F2642&lt;&gt;"",F2642&lt;B2642)),"Evento anterior à entrada",IF(AND(F2642&lt;&gt;"",E2642=""),"Conversa sem agendamento",IF(OR(E2642&gt;TODAY(),F2642&gt;TODAY()),"Verificar evento futuro","OK"))))))))))</f>
        <v/>
      </c>
    </row>
    <row r="2643" spans="12:15">
      <c r="L2643" s="5">
        <f>IF(OR(A2643="",B2643=""),"",B2643-WEEKDAY(B2643,2)+1)</f>
        <v/>
      </c>
      <c r="M2643" s="5">
        <f>IF(L2643="","",L2643+6)</f>
        <v/>
      </c>
      <c r="N2643" s="6">
        <f>IF(OR(A2643="",B2643=""),"",DATE(YEAR(B2643),MONTH(B2643),1))</f>
        <v/>
      </c>
      <c r="O2643" s="7">
        <f>IF(COUNTA(A2643:K2643)=0,"",IF(OR(A2643="",B2643=""),"Preencher CPF e entrada",IF(COUNTIFS($A$12:$A$5011,A2643,$B$12:$B$5011,B2643)&gt;1,"CPF + dia duplicado",IF(OR(AND(G2643&lt;&gt;"",G2643&lt;&gt;0,G2643&lt;&gt;1),AND(H2643&lt;&gt;"",H2643&lt;&gt;0,H2643&lt;&gt;1)),"Flags devem ser 0 ou 1",IF(AND(H2643=1,LEN(TRIM(I2643))=0),"Preencher nome do indicante",IF(AND(H2643&lt;&gt;1,I2643&lt;&gt;""),"Nome sem indicação interna",IF(AND(G2643=1,F2643=""),"Fechamento sem conversa",IF(OR(AND(E2643&lt;&gt;"",E2643&lt;B2643),AND(F2643&lt;&gt;"",F2643&lt;B2643)),"Evento anterior à entrada",IF(AND(F2643&lt;&gt;"",E2643=""),"Conversa sem agendamento",IF(OR(E2643&gt;TODAY(),F2643&gt;TODAY()),"Verificar evento futuro","OK"))))))))))</f>
        <v/>
      </c>
    </row>
    <row r="2644" spans="12:15">
      <c r="L2644" s="5">
        <f>IF(OR(A2644="",B2644=""),"",B2644-WEEKDAY(B2644,2)+1)</f>
        <v/>
      </c>
      <c r="M2644" s="5">
        <f>IF(L2644="","",L2644+6)</f>
        <v/>
      </c>
      <c r="N2644" s="6">
        <f>IF(OR(A2644="",B2644=""),"",DATE(YEAR(B2644),MONTH(B2644),1))</f>
        <v/>
      </c>
      <c r="O2644" s="7">
        <f>IF(COUNTA(A2644:K2644)=0,"",IF(OR(A2644="",B2644=""),"Preencher CPF e entrada",IF(COUNTIFS($A$12:$A$5011,A2644,$B$12:$B$5011,B2644)&gt;1,"CPF + dia duplicado",IF(OR(AND(G2644&lt;&gt;"",G2644&lt;&gt;0,G2644&lt;&gt;1),AND(H2644&lt;&gt;"",H2644&lt;&gt;0,H2644&lt;&gt;1)),"Flags devem ser 0 ou 1",IF(AND(H2644=1,LEN(TRIM(I2644))=0),"Preencher nome do indicante",IF(AND(H2644&lt;&gt;1,I2644&lt;&gt;""),"Nome sem indicação interna",IF(AND(G2644=1,F2644=""),"Fechamento sem conversa",IF(OR(AND(E2644&lt;&gt;"",E2644&lt;B2644),AND(F2644&lt;&gt;"",F2644&lt;B2644)),"Evento anterior à entrada",IF(AND(F2644&lt;&gt;"",E2644=""),"Conversa sem agendamento",IF(OR(E2644&gt;TODAY(),F2644&gt;TODAY()),"Verificar evento futuro","OK"))))))))))</f>
        <v/>
      </c>
    </row>
    <row r="2645" spans="12:15">
      <c r="L2645" s="5">
        <f>IF(OR(A2645="",B2645=""),"",B2645-WEEKDAY(B2645,2)+1)</f>
        <v/>
      </c>
      <c r="M2645" s="5">
        <f>IF(L2645="","",L2645+6)</f>
        <v/>
      </c>
      <c r="N2645" s="6">
        <f>IF(OR(A2645="",B2645=""),"",DATE(YEAR(B2645),MONTH(B2645),1))</f>
        <v/>
      </c>
      <c r="O2645" s="7">
        <f>IF(COUNTA(A2645:K2645)=0,"",IF(OR(A2645="",B2645=""),"Preencher CPF e entrada",IF(COUNTIFS($A$12:$A$5011,A2645,$B$12:$B$5011,B2645)&gt;1,"CPF + dia duplicado",IF(OR(AND(G2645&lt;&gt;"",G2645&lt;&gt;0,G2645&lt;&gt;1),AND(H2645&lt;&gt;"",H2645&lt;&gt;0,H2645&lt;&gt;1)),"Flags devem ser 0 ou 1",IF(AND(H2645=1,LEN(TRIM(I2645))=0),"Preencher nome do indicante",IF(AND(H2645&lt;&gt;1,I2645&lt;&gt;""),"Nome sem indicação interna",IF(AND(G2645=1,F2645=""),"Fechamento sem conversa",IF(OR(AND(E2645&lt;&gt;"",E2645&lt;B2645),AND(F2645&lt;&gt;"",F2645&lt;B2645)),"Evento anterior à entrada",IF(AND(F2645&lt;&gt;"",E2645=""),"Conversa sem agendamento",IF(OR(E2645&gt;TODAY(),F2645&gt;TODAY()),"Verificar evento futuro","OK"))))))))))</f>
        <v/>
      </c>
    </row>
    <row r="2646" spans="12:15">
      <c r="L2646" s="5">
        <f>IF(OR(A2646="",B2646=""),"",B2646-WEEKDAY(B2646,2)+1)</f>
        <v/>
      </c>
      <c r="M2646" s="5">
        <f>IF(L2646="","",L2646+6)</f>
        <v/>
      </c>
      <c r="N2646" s="6">
        <f>IF(OR(A2646="",B2646=""),"",DATE(YEAR(B2646),MONTH(B2646),1))</f>
        <v/>
      </c>
      <c r="O2646" s="7">
        <f>IF(COUNTA(A2646:K2646)=0,"",IF(OR(A2646="",B2646=""),"Preencher CPF e entrada",IF(COUNTIFS($A$12:$A$5011,A2646,$B$12:$B$5011,B2646)&gt;1,"CPF + dia duplicado",IF(OR(AND(G2646&lt;&gt;"",G2646&lt;&gt;0,G2646&lt;&gt;1),AND(H2646&lt;&gt;"",H2646&lt;&gt;0,H2646&lt;&gt;1)),"Flags devem ser 0 ou 1",IF(AND(H2646=1,LEN(TRIM(I2646))=0),"Preencher nome do indicante",IF(AND(H2646&lt;&gt;1,I2646&lt;&gt;""),"Nome sem indicação interna",IF(AND(G2646=1,F2646=""),"Fechamento sem conversa",IF(OR(AND(E2646&lt;&gt;"",E2646&lt;B2646),AND(F2646&lt;&gt;"",F2646&lt;B2646)),"Evento anterior à entrada",IF(AND(F2646&lt;&gt;"",E2646=""),"Conversa sem agendamento",IF(OR(E2646&gt;TODAY(),F2646&gt;TODAY()),"Verificar evento futuro","OK"))))))))))</f>
        <v/>
      </c>
    </row>
    <row r="2647" spans="12:15">
      <c r="L2647" s="5">
        <f>IF(OR(A2647="",B2647=""),"",B2647-WEEKDAY(B2647,2)+1)</f>
        <v/>
      </c>
      <c r="M2647" s="5">
        <f>IF(L2647="","",L2647+6)</f>
        <v/>
      </c>
      <c r="N2647" s="6">
        <f>IF(OR(A2647="",B2647=""),"",DATE(YEAR(B2647),MONTH(B2647),1))</f>
        <v/>
      </c>
      <c r="O2647" s="7">
        <f>IF(COUNTA(A2647:K2647)=0,"",IF(OR(A2647="",B2647=""),"Preencher CPF e entrada",IF(COUNTIFS($A$12:$A$5011,A2647,$B$12:$B$5011,B2647)&gt;1,"CPF + dia duplicado",IF(OR(AND(G2647&lt;&gt;"",G2647&lt;&gt;0,G2647&lt;&gt;1),AND(H2647&lt;&gt;"",H2647&lt;&gt;0,H2647&lt;&gt;1)),"Flags devem ser 0 ou 1",IF(AND(H2647=1,LEN(TRIM(I2647))=0),"Preencher nome do indicante",IF(AND(H2647&lt;&gt;1,I2647&lt;&gt;""),"Nome sem indicação interna",IF(AND(G2647=1,F2647=""),"Fechamento sem conversa",IF(OR(AND(E2647&lt;&gt;"",E2647&lt;B2647),AND(F2647&lt;&gt;"",F2647&lt;B2647)),"Evento anterior à entrada",IF(AND(F2647&lt;&gt;"",E2647=""),"Conversa sem agendamento",IF(OR(E2647&gt;TODAY(),F2647&gt;TODAY()),"Verificar evento futuro","OK"))))))))))</f>
        <v/>
      </c>
    </row>
    <row r="2648" spans="12:15">
      <c r="L2648" s="5">
        <f>IF(OR(A2648="",B2648=""),"",B2648-WEEKDAY(B2648,2)+1)</f>
        <v/>
      </c>
      <c r="M2648" s="5">
        <f>IF(L2648="","",L2648+6)</f>
        <v/>
      </c>
      <c r="N2648" s="6">
        <f>IF(OR(A2648="",B2648=""),"",DATE(YEAR(B2648),MONTH(B2648),1))</f>
        <v/>
      </c>
      <c r="O2648" s="7">
        <f>IF(COUNTA(A2648:K2648)=0,"",IF(OR(A2648="",B2648=""),"Preencher CPF e entrada",IF(COUNTIFS($A$12:$A$5011,A2648,$B$12:$B$5011,B2648)&gt;1,"CPF + dia duplicado",IF(OR(AND(G2648&lt;&gt;"",G2648&lt;&gt;0,G2648&lt;&gt;1),AND(H2648&lt;&gt;"",H2648&lt;&gt;0,H2648&lt;&gt;1)),"Flags devem ser 0 ou 1",IF(AND(H2648=1,LEN(TRIM(I2648))=0),"Preencher nome do indicante",IF(AND(H2648&lt;&gt;1,I2648&lt;&gt;""),"Nome sem indicação interna",IF(AND(G2648=1,F2648=""),"Fechamento sem conversa",IF(OR(AND(E2648&lt;&gt;"",E2648&lt;B2648),AND(F2648&lt;&gt;"",F2648&lt;B2648)),"Evento anterior à entrada",IF(AND(F2648&lt;&gt;"",E2648=""),"Conversa sem agendamento",IF(OR(E2648&gt;TODAY(),F2648&gt;TODAY()),"Verificar evento futuro","OK"))))))))))</f>
        <v/>
      </c>
    </row>
    <row r="2649" spans="12:15">
      <c r="L2649" s="5">
        <f>IF(OR(A2649="",B2649=""),"",B2649-WEEKDAY(B2649,2)+1)</f>
        <v/>
      </c>
      <c r="M2649" s="5">
        <f>IF(L2649="","",L2649+6)</f>
        <v/>
      </c>
      <c r="N2649" s="6">
        <f>IF(OR(A2649="",B2649=""),"",DATE(YEAR(B2649),MONTH(B2649),1))</f>
        <v/>
      </c>
      <c r="O2649" s="7">
        <f>IF(COUNTA(A2649:K2649)=0,"",IF(OR(A2649="",B2649=""),"Preencher CPF e entrada",IF(COUNTIFS($A$12:$A$5011,A2649,$B$12:$B$5011,B2649)&gt;1,"CPF + dia duplicado",IF(OR(AND(G2649&lt;&gt;"",G2649&lt;&gt;0,G2649&lt;&gt;1),AND(H2649&lt;&gt;"",H2649&lt;&gt;0,H2649&lt;&gt;1)),"Flags devem ser 0 ou 1",IF(AND(H2649=1,LEN(TRIM(I2649))=0),"Preencher nome do indicante",IF(AND(H2649&lt;&gt;1,I2649&lt;&gt;""),"Nome sem indicação interna",IF(AND(G2649=1,F2649=""),"Fechamento sem conversa",IF(OR(AND(E2649&lt;&gt;"",E2649&lt;B2649),AND(F2649&lt;&gt;"",F2649&lt;B2649)),"Evento anterior à entrada",IF(AND(F2649&lt;&gt;"",E2649=""),"Conversa sem agendamento",IF(OR(E2649&gt;TODAY(),F2649&gt;TODAY()),"Verificar evento futuro","OK"))))))))))</f>
        <v/>
      </c>
    </row>
    <row r="2650" spans="12:15">
      <c r="L2650" s="5">
        <f>IF(OR(A2650="",B2650=""),"",B2650-WEEKDAY(B2650,2)+1)</f>
        <v/>
      </c>
      <c r="M2650" s="5">
        <f>IF(L2650="","",L2650+6)</f>
        <v/>
      </c>
      <c r="N2650" s="6">
        <f>IF(OR(A2650="",B2650=""),"",DATE(YEAR(B2650),MONTH(B2650),1))</f>
        <v/>
      </c>
      <c r="O2650" s="7">
        <f>IF(COUNTA(A2650:K2650)=0,"",IF(OR(A2650="",B2650=""),"Preencher CPF e entrada",IF(COUNTIFS($A$12:$A$5011,A2650,$B$12:$B$5011,B2650)&gt;1,"CPF + dia duplicado",IF(OR(AND(G2650&lt;&gt;"",G2650&lt;&gt;0,G2650&lt;&gt;1),AND(H2650&lt;&gt;"",H2650&lt;&gt;0,H2650&lt;&gt;1)),"Flags devem ser 0 ou 1",IF(AND(H2650=1,LEN(TRIM(I2650))=0),"Preencher nome do indicante",IF(AND(H2650&lt;&gt;1,I2650&lt;&gt;""),"Nome sem indicação interna",IF(AND(G2650=1,F2650=""),"Fechamento sem conversa",IF(OR(AND(E2650&lt;&gt;"",E2650&lt;B2650),AND(F2650&lt;&gt;"",F2650&lt;B2650)),"Evento anterior à entrada",IF(AND(F2650&lt;&gt;"",E2650=""),"Conversa sem agendamento",IF(OR(E2650&gt;TODAY(),F2650&gt;TODAY()),"Verificar evento futuro","OK"))))))))))</f>
        <v/>
      </c>
    </row>
    <row r="2651" spans="12:15">
      <c r="L2651" s="5">
        <f>IF(OR(A2651="",B2651=""),"",B2651-WEEKDAY(B2651,2)+1)</f>
        <v/>
      </c>
      <c r="M2651" s="5">
        <f>IF(L2651="","",L2651+6)</f>
        <v/>
      </c>
      <c r="N2651" s="6">
        <f>IF(OR(A2651="",B2651=""),"",DATE(YEAR(B2651),MONTH(B2651),1))</f>
        <v/>
      </c>
      <c r="O2651" s="7">
        <f>IF(COUNTA(A2651:K2651)=0,"",IF(OR(A2651="",B2651=""),"Preencher CPF e entrada",IF(COUNTIFS($A$12:$A$5011,A2651,$B$12:$B$5011,B2651)&gt;1,"CPF + dia duplicado",IF(OR(AND(G2651&lt;&gt;"",G2651&lt;&gt;0,G2651&lt;&gt;1),AND(H2651&lt;&gt;"",H2651&lt;&gt;0,H2651&lt;&gt;1)),"Flags devem ser 0 ou 1",IF(AND(H2651=1,LEN(TRIM(I2651))=0),"Preencher nome do indicante",IF(AND(H2651&lt;&gt;1,I2651&lt;&gt;""),"Nome sem indicação interna",IF(AND(G2651=1,F2651=""),"Fechamento sem conversa",IF(OR(AND(E2651&lt;&gt;"",E2651&lt;B2651),AND(F2651&lt;&gt;"",F2651&lt;B2651)),"Evento anterior à entrada",IF(AND(F2651&lt;&gt;"",E2651=""),"Conversa sem agendamento",IF(OR(E2651&gt;TODAY(),F2651&gt;TODAY()),"Verificar evento futuro","OK"))))))))))</f>
        <v/>
      </c>
    </row>
    <row r="2652" spans="12:15">
      <c r="L2652" s="5">
        <f>IF(OR(A2652="",B2652=""),"",B2652-WEEKDAY(B2652,2)+1)</f>
        <v/>
      </c>
      <c r="M2652" s="5">
        <f>IF(L2652="","",L2652+6)</f>
        <v/>
      </c>
      <c r="N2652" s="6">
        <f>IF(OR(A2652="",B2652=""),"",DATE(YEAR(B2652),MONTH(B2652),1))</f>
        <v/>
      </c>
      <c r="O2652" s="7">
        <f>IF(COUNTA(A2652:K2652)=0,"",IF(OR(A2652="",B2652=""),"Preencher CPF e entrada",IF(COUNTIFS($A$12:$A$5011,A2652,$B$12:$B$5011,B2652)&gt;1,"CPF + dia duplicado",IF(OR(AND(G2652&lt;&gt;"",G2652&lt;&gt;0,G2652&lt;&gt;1),AND(H2652&lt;&gt;"",H2652&lt;&gt;0,H2652&lt;&gt;1)),"Flags devem ser 0 ou 1",IF(AND(H2652=1,LEN(TRIM(I2652))=0),"Preencher nome do indicante",IF(AND(H2652&lt;&gt;1,I2652&lt;&gt;""),"Nome sem indicação interna",IF(AND(G2652=1,F2652=""),"Fechamento sem conversa",IF(OR(AND(E2652&lt;&gt;"",E2652&lt;B2652),AND(F2652&lt;&gt;"",F2652&lt;B2652)),"Evento anterior à entrada",IF(AND(F2652&lt;&gt;"",E2652=""),"Conversa sem agendamento",IF(OR(E2652&gt;TODAY(),F2652&gt;TODAY()),"Verificar evento futuro","OK"))))))))))</f>
        <v/>
      </c>
    </row>
    <row r="2653" spans="12:15">
      <c r="L2653" s="5">
        <f>IF(OR(A2653="",B2653=""),"",B2653-WEEKDAY(B2653,2)+1)</f>
        <v/>
      </c>
      <c r="M2653" s="5">
        <f>IF(L2653="","",L2653+6)</f>
        <v/>
      </c>
      <c r="N2653" s="6">
        <f>IF(OR(A2653="",B2653=""),"",DATE(YEAR(B2653),MONTH(B2653),1))</f>
        <v/>
      </c>
      <c r="O2653" s="7">
        <f>IF(COUNTA(A2653:K2653)=0,"",IF(OR(A2653="",B2653=""),"Preencher CPF e entrada",IF(COUNTIFS($A$12:$A$5011,A2653,$B$12:$B$5011,B2653)&gt;1,"CPF + dia duplicado",IF(OR(AND(G2653&lt;&gt;"",G2653&lt;&gt;0,G2653&lt;&gt;1),AND(H2653&lt;&gt;"",H2653&lt;&gt;0,H2653&lt;&gt;1)),"Flags devem ser 0 ou 1",IF(AND(H2653=1,LEN(TRIM(I2653))=0),"Preencher nome do indicante",IF(AND(H2653&lt;&gt;1,I2653&lt;&gt;""),"Nome sem indicação interna",IF(AND(G2653=1,F2653=""),"Fechamento sem conversa",IF(OR(AND(E2653&lt;&gt;"",E2653&lt;B2653),AND(F2653&lt;&gt;"",F2653&lt;B2653)),"Evento anterior à entrada",IF(AND(F2653&lt;&gt;"",E2653=""),"Conversa sem agendamento",IF(OR(E2653&gt;TODAY(),F2653&gt;TODAY()),"Verificar evento futuro","OK"))))))))))</f>
        <v/>
      </c>
    </row>
    <row r="2654" spans="12:15">
      <c r="L2654" s="5">
        <f>IF(OR(A2654="",B2654=""),"",B2654-WEEKDAY(B2654,2)+1)</f>
        <v/>
      </c>
      <c r="M2654" s="5">
        <f>IF(L2654="","",L2654+6)</f>
        <v/>
      </c>
      <c r="N2654" s="6">
        <f>IF(OR(A2654="",B2654=""),"",DATE(YEAR(B2654),MONTH(B2654),1))</f>
        <v/>
      </c>
      <c r="O2654" s="7">
        <f>IF(COUNTA(A2654:K2654)=0,"",IF(OR(A2654="",B2654=""),"Preencher CPF e entrada",IF(COUNTIFS($A$12:$A$5011,A2654,$B$12:$B$5011,B2654)&gt;1,"CPF + dia duplicado",IF(OR(AND(G2654&lt;&gt;"",G2654&lt;&gt;0,G2654&lt;&gt;1),AND(H2654&lt;&gt;"",H2654&lt;&gt;0,H2654&lt;&gt;1)),"Flags devem ser 0 ou 1",IF(AND(H2654=1,LEN(TRIM(I2654))=0),"Preencher nome do indicante",IF(AND(H2654&lt;&gt;1,I2654&lt;&gt;""),"Nome sem indicação interna",IF(AND(G2654=1,F2654=""),"Fechamento sem conversa",IF(OR(AND(E2654&lt;&gt;"",E2654&lt;B2654),AND(F2654&lt;&gt;"",F2654&lt;B2654)),"Evento anterior à entrada",IF(AND(F2654&lt;&gt;"",E2654=""),"Conversa sem agendamento",IF(OR(E2654&gt;TODAY(),F2654&gt;TODAY()),"Verificar evento futuro","OK"))))))))))</f>
        <v/>
      </c>
    </row>
    <row r="2655" spans="12:15">
      <c r="L2655" s="5">
        <f>IF(OR(A2655="",B2655=""),"",B2655-WEEKDAY(B2655,2)+1)</f>
        <v/>
      </c>
      <c r="M2655" s="5">
        <f>IF(L2655="","",L2655+6)</f>
        <v/>
      </c>
      <c r="N2655" s="6">
        <f>IF(OR(A2655="",B2655=""),"",DATE(YEAR(B2655),MONTH(B2655),1))</f>
        <v/>
      </c>
      <c r="O2655" s="7">
        <f>IF(COUNTA(A2655:K2655)=0,"",IF(OR(A2655="",B2655=""),"Preencher CPF e entrada",IF(COUNTIFS($A$12:$A$5011,A2655,$B$12:$B$5011,B2655)&gt;1,"CPF + dia duplicado",IF(OR(AND(G2655&lt;&gt;"",G2655&lt;&gt;0,G2655&lt;&gt;1),AND(H2655&lt;&gt;"",H2655&lt;&gt;0,H2655&lt;&gt;1)),"Flags devem ser 0 ou 1",IF(AND(H2655=1,LEN(TRIM(I2655))=0),"Preencher nome do indicante",IF(AND(H2655&lt;&gt;1,I2655&lt;&gt;""),"Nome sem indicação interna",IF(AND(G2655=1,F2655=""),"Fechamento sem conversa",IF(OR(AND(E2655&lt;&gt;"",E2655&lt;B2655),AND(F2655&lt;&gt;"",F2655&lt;B2655)),"Evento anterior à entrada",IF(AND(F2655&lt;&gt;"",E2655=""),"Conversa sem agendamento",IF(OR(E2655&gt;TODAY(),F2655&gt;TODAY()),"Verificar evento futuro","OK"))))))))))</f>
        <v/>
      </c>
    </row>
    <row r="2656" spans="12:15">
      <c r="L2656" s="5">
        <f>IF(OR(A2656="",B2656=""),"",B2656-WEEKDAY(B2656,2)+1)</f>
        <v/>
      </c>
      <c r="M2656" s="5">
        <f>IF(L2656="","",L2656+6)</f>
        <v/>
      </c>
      <c r="N2656" s="6">
        <f>IF(OR(A2656="",B2656=""),"",DATE(YEAR(B2656),MONTH(B2656),1))</f>
        <v/>
      </c>
      <c r="O2656" s="7">
        <f>IF(COUNTA(A2656:K2656)=0,"",IF(OR(A2656="",B2656=""),"Preencher CPF e entrada",IF(COUNTIFS($A$12:$A$5011,A2656,$B$12:$B$5011,B2656)&gt;1,"CPF + dia duplicado",IF(OR(AND(G2656&lt;&gt;"",G2656&lt;&gt;0,G2656&lt;&gt;1),AND(H2656&lt;&gt;"",H2656&lt;&gt;0,H2656&lt;&gt;1)),"Flags devem ser 0 ou 1",IF(AND(H2656=1,LEN(TRIM(I2656))=0),"Preencher nome do indicante",IF(AND(H2656&lt;&gt;1,I2656&lt;&gt;""),"Nome sem indicação interna",IF(AND(G2656=1,F2656=""),"Fechamento sem conversa",IF(OR(AND(E2656&lt;&gt;"",E2656&lt;B2656),AND(F2656&lt;&gt;"",F2656&lt;B2656)),"Evento anterior à entrada",IF(AND(F2656&lt;&gt;"",E2656=""),"Conversa sem agendamento",IF(OR(E2656&gt;TODAY(),F2656&gt;TODAY()),"Verificar evento futuro","OK"))))))))))</f>
        <v/>
      </c>
    </row>
    <row r="2657" spans="12:15">
      <c r="L2657" s="5">
        <f>IF(OR(A2657="",B2657=""),"",B2657-WEEKDAY(B2657,2)+1)</f>
        <v/>
      </c>
      <c r="M2657" s="5">
        <f>IF(L2657="","",L2657+6)</f>
        <v/>
      </c>
      <c r="N2657" s="6">
        <f>IF(OR(A2657="",B2657=""),"",DATE(YEAR(B2657),MONTH(B2657),1))</f>
        <v/>
      </c>
      <c r="O2657" s="7">
        <f>IF(COUNTA(A2657:K2657)=0,"",IF(OR(A2657="",B2657=""),"Preencher CPF e entrada",IF(COUNTIFS($A$12:$A$5011,A2657,$B$12:$B$5011,B2657)&gt;1,"CPF + dia duplicado",IF(OR(AND(G2657&lt;&gt;"",G2657&lt;&gt;0,G2657&lt;&gt;1),AND(H2657&lt;&gt;"",H2657&lt;&gt;0,H2657&lt;&gt;1)),"Flags devem ser 0 ou 1",IF(AND(H2657=1,LEN(TRIM(I2657))=0),"Preencher nome do indicante",IF(AND(H2657&lt;&gt;1,I2657&lt;&gt;""),"Nome sem indicação interna",IF(AND(G2657=1,F2657=""),"Fechamento sem conversa",IF(OR(AND(E2657&lt;&gt;"",E2657&lt;B2657),AND(F2657&lt;&gt;"",F2657&lt;B2657)),"Evento anterior à entrada",IF(AND(F2657&lt;&gt;"",E2657=""),"Conversa sem agendamento",IF(OR(E2657&gt;TODAY(),F2657&gt;TODAY()),"Verificar evento futuro","OK"))))))))))</f>
        <v/>
      </c>
    </row>
    <row r="2658" spans="12:15">
      <c r="L2658" s="5">
        <f>IF(OR(A2658="",B2658=""),"",B2658-WEEKDAY(B2658,2)+1)</f>
        <v/>
      </c>
      <c r="M2658" s="5">
        <f>IF(L2658="","",L2658+6)</f>
        <v/>
      </c>
      <c r="N2658" s="6">
        <f>IF(OR(A2658="",B2658=""),"",DATE(YEAR(B2658),MONTH(B2658),1))</f>
        <v/>
      </c>
      <c r="O2658" s="7">
        <f>IF(COUNTA(A2658:K2658)=0,"",IF(OR(A2658="",B2658=""),"Preencher CPF e entrada",IF(COUNTIFS($A$12:$A$5011,A2658,$B$12:$B$5011,B2658)&gt;1,"CPF + dia duplicado",IF(OR(AND(G2658&lt;&gt;"",G2658&lt;&gt;0,G2658&lt;&gt;1),AND(H2658&lt;&gt;"",H2658&lt;&gt;0,H2658&lt;&gt;1)),"Flags devem ser 0 ou 1",IF(AND(H2658=1,LEN(TRIM(I2658))=0),"Preencher nome do indicante",IF(AND(H2658&lt;&gt;1,I2658&lt;&gt;""),"Nome sem indicação interna",IF(AND(G2658=1,F2658=""),"Fechamento sem conversa",IF(OR(AND(E2658&lt;&gt;"",E2658&lt;B2658),AND(F2658&lt;&gt;"",F2658&lt;B2658)),"Evento anterior à entrada",IF(AND(F2658&lt;&gt;"",E2658=""),"Conversa sem agendamento",IF(OR(E2658&gt;TODAY(),F2658&gt;TODAY()),"Verificar evento futuro","OK"))))))))))</f>
        <v/>
      </c>
    </row>
    <row r="2659" spans="12:15">
      <c r="L2659" s="5">
        <f>IF(OR(A2659="",B2659=""),"",B2659-WEEKDAY(B2659,2)+1)</f>
        <v/>
      </c>
      <c r="M2659" s="5">
        <f>IF(L2659="","",L2659+6)</f>
        <v/>
      </c>
      <c r="N2659" s="6">
        <f>IF(OR(A2659="",B2659=""),"",DATE(YEAR(B2659),MONTH(B2659),1))</f>
        <v/>
      </c>
      <c r="O2659" s="7">
        <f>IF(COUNTA(A2659:K2659)=0,"",IF(OR(A2659="",B2659=""),"Preencher CPF e entrada",IF(COUNTIFS($A$12:$A$5011,A2659,$B$12:$B$5011,B2659)&gt;1,"CPF + dia duplicado",IF(OR(AND(G2659&lt;&gt;"",G2659&lt;&gt;0,G2659&lt;&gt;1),AND(H2659&lt;&gt;"",H2659&lt;&gt;0,H2659&lt;&gt;1)),"Flags devem ser 0 ou 1",IF(AND(H2659=1,LEN(TRIM(I2659))=0),"Preencher nome do indicante",IF(AND(H2659&lt;&gt;1,I2659&lt;&gt;""),"Nome sem indicação interna",IF(AND(G2659=1,F2659=""),"Fechamento sem conversa",IF(OR(AND(E2659&lt;&gt;"",E2659&lt;B2659),AND(F2659&lt;&gt;"",F2659&lt;B2659)),"Evento anterior à entrada",IF(AND(F2659&lt;&gt;"",E2659=""),"Conversa sem agendamento",IF(OR(E2659&gt;TODAY(),F2659&gt;TODAY()),"Verificar evento futuro","OK"))))))))))</f>
        <v/>
      </c>
    </row>
    <row r="2660" spans="12:15">
      <c r="L2660" s="5">
        <f>IF(OR(A2660="",B2660=""),"",B2660-WEEKDAY(B2660,2)+1)</f>
        <v/>
      </c>
      <c r="M2660" s="5">
        <f>IF(L2660="","",L2660+6)</f>
        <v/>
      </c>
      <c r="N2660" s="6">
        <f>IF(OR(A2660="",B2660=""),"",DATE(YEAR(B2660),MONTH(B2660),1))</f>
        <v/>
      </c>
      <c r="O2660" s="7">
        <f>IF(COUNTA(A2660:K2660)=0,"",IF(OR(A2660="",B2660=""),"Preencher CPF e entrada",IF(COUNTIFS($A$12:$A$5011,A2660,$B$12:$B$5011,B2660)&gt;1,"CPF + dia duplicado",IF(OR(AND(G2660&lt;&gt;"",G2660&lt;&gt;0,G2660&lt;&gt;1),AND(H2660&lt;&gt;"",H2660&lt;&gt;0,H2660&lt;&gt;1)),"Flags devem ser 0 ou 1",IF(AND(H2660=1,LEN(TRIM(I2660))=0),"Preencher nome do indicante",IF(AND(H2660&lt;&gt;1,I2660&lt;&gt;""),"Nome sem indicação interna",IF(AND(G2660=1,F2660=""),"Fechamento sem conversa",IF(OR(AND(E2660&lt;&gt;"",E2660&lt;B2660),AND(F2660&lt;&gt;"",F2660&lt;B2660)),"Evento anterior à entrada",IF(AND(F2660&lt;&gt;"",E2660=""),"Conversa sem agendamento",IF(OR(E2660&gt;TODAY(),F2660&gt;TODAY()),"Verificar evento futuro","OK"))))))))))</f>
        <v/>
      </c>
    </row>
    <row r="2661" spans="12:15">
      <c r="L2661" s="5">
        <f>IF(OR(A2661="",B2661=""),"",B2661-WEEKDAY(B2661,2)+1)</f>
        <v/>
      </c>
      <c r="M2661" s="5">
        <f>IF(L2661="","",L2661+6)</f>
        <v/>
      </c>
      <c r="N2661" s="6">
        <f>IF(OR(A2661="",B2661=""),"",DATE(YEAR(B2661),MONTH(B2661),1))</f>
        <v/>
      </c>
      <c r="O2661" s="7">
        <f>IF(COUNTA(A2661:K2661)=0,"",IF(OR(A2661="",B2661=""),"Preencher CPF e entrada",IF(COUNTIFS($A$12:$A$5011,A2661,$B$12:$B$5011,B2661)&gt;1,"CPF + dia duplicado",IF(OR(AND(G2661&lt;&gt;"",G2661&lt;&gt;0,G2661&lt;&gt;1),AND(H2661&lt;&gt;"",H2661&lt;&gt;0,H2661&lt;&gt;1)),"Flags devem ser 0 ou 1",IF(AND(H2661=1,LEN(TRIM(I2661))=0),"Preencher nome do indicante",IF(AND(H2661&lt;&gt;1,I2661&lt;&gt;""),"Nome sem indicação interna",IF(AND(G2661=1,F2661=""),"Fechamento sem conversa",IF(OR(AND(E2661&lt;&gt;"",E2661&lt;B2661),AND(F2661&lt;&gt;"",F2661&lt;B2661)),"Evento anterior à entrada",IF(AND(F2661&lt;&gt;"",E2661=""),"Conversa sem agendamento",IF(OR(E2661&gt;TODAY(),F2661&gt;TODAY()),"Verificar evento futuro","OK"))))))))))</f>
        <v/>
      </c>
    </row>
    <row r="2662" spans="12:15">
      <c r="L2662" s="5">
        <f>IF(OR(A2662="",B2662=""),"",B2662-WEEKDAY(B2662,2)+1)</f>
        <v/>
      </c>
      <c r="M2662" s="5">
        <f>IF(L2662="","",L2662+6)</f>
        <v/>
      </c>
      <c r="N2662" s="6">
        <f>IF(OR(A2662="",B2662=""),"",DATE(YEAR(B2662),MONTH(B2662),1))</f>
        <v/>
      </c>
      <c r="O2662" s="7">
        <f>IF(COUNTA(A2662:K2662)=0,"",IF(OR(A2662="",B2662=""),"Preencher CPF e entrada",IF(COUNTIFS($A$12:$A$5011,A2662,$B$12:$B$5011,B2662)&gt;1,"CPF + dia duplicado",IF(OR(AND(G2662&lt;&gt;"",G2662&lt;&gt;0,G2662&lt;&gt;1),AND(H2662&lt;&gt;"",H2662&lt;&gt;0,H2662&lt;&gt;1)),"Flags devem ser 0 ou 1",IF(AND(H2662=1,LEN(TRIM(I2662))=0),"Preencher nome do indicante",IF(AND(H2662&lt;&gt;1,I2662&lt;&gt;""),"Nome sem indicação interna",IF(AND(G2662=1,F2662=""),"Fechamento sem conversa",IF(OR(AND(E2662&lt;&gt;"",E2662&lt;B2662),AND(F2662&lt;&gt;"",F2662&lt;B2662)),"Evento anterior à entrada",IF(AND(F2662&lt;&gt;"",E2662=""),"Conversa sem agendamento",IF(OR(E2662&gt;TODAY(),F2662&gt;TODAY()),"Verificar evento futuro","OK"))))))))))</f>
        <v/>
      </c>
    </row>
    <row r="2663" spans="12:15">
      <c r="L2663" s="5">
        <f>IF(OR(A2663="",B2663=""),"",B2663-WEEKDAY(B2663,2)+1)</f>
        <v/>
      </c>
      <c r="M2663" s="5">
        <f>IF(L2663="","",L2663+6)</f>
        <v/>
      </c>
      <c r="N2663" s="6">
        <f>IF(OR(A2663="",B2663=""),"",DATE(YEAR(B2663),MONTH(B2663),1))</f>
        <v/>
      </c>
      <c r="O2663" s="7">
        <f>IF(COUNTA(A2663:K2663)=0,"",IF(OR(A2663="",B2663=""),"Preencher CPF e entrada",IF(COUNTIFS($A$12:$A$5011,A2663,$B$12:$B$5011,B2663)&gt;1,"CPF + dia duplicado",IF(OR(AND(G2663&lt;&gt;"",G2663&lt;&gt;0,G2663&lt;&gt;1),AND(H2663&lt;&gt;"",H2663&lt;&gt;0,H2663&lt;&gt;1)),"Flags devem ser 0 ou 1",IF(AND(H2663=1,LEN(TRIM(I2663))=0),"Preencher nome do indicante",IF(AND(H2663&lt;&gt;1,I2663&lt;&gt;""),"Nome sem indicação interna",IF(AND(G2663=1,F2663=""),"Fechamento sem conversa",IF(OR(AND(E2663&lt;&gt;"",E2663&lt;B2663),AND(F2663&lt;&gt;"",F2663&lt;B2663)),"Evento anterior à entrada",IF(AND(F2663&lt;&gt;"",E2663=""),"Conversa sem agendamento",IF(OR(E2663&gt;TODAY(),F2663&gt;TODAY()),"Verificar evento futuro","OK"))))))))))</f>
        <v/>
      </c>
    </row>
    <row r="2664" spans="12:15">
      <c r="L2664" s="5">
        <f>IF(OR(A2664="",B2664=""),"",B2664-WEEKDAY(B2664,2)+1)</f>
        <v/>
      </c>
      <c r="M2664" s="5">
        <f>IF(L2664="","",L2664+6)</f>
        <v/>
      </c>
      <c r="N2664" s="6">
        <f>IF(OR(A2664="",B2664=""),"",DATE(YEAR(B2664),MONTH(B2664),1))</f>
        <v/>
      </c>
      <c r="O2664" s="7">
        <f>IF(COUNTA(A2664:K2664)=0,"",IF(OR(A2664="",B2664=""),"Preencher CPF e entrada",IF(COUNTIFS($A$12:$A$5011,A2664,$B$12:$B$5011,B2664)&gt;1,"CPF + dia duplicado",IF(OR(AND(G2664&lt;&gt;"",G2664&lt;&gt;0,G2664&lt;&gt;1),AND(H2664&lt;&gt;"",H2664&lt;&gt;0,H2664&lt;&gt;1)),"Flags devem ser 0 ou 1",IF(AND(H2664=1,LEN(TRIM(I2664))=0),"Preencher nome do indicante",IF(AND(H2664&lt;&gt;1,I2664&lt;&gt;""),"Nome sem indicação interna",IF(AND(G2664=1,F2664=""),"Fechamento sem conversa",IF(OR(AND(E2664&lt;&gt;"",E2664&lt;B2664),AND(F2664&lt;&gt;"",F2664&lt;B2664)),"Evento anterior à entrada",IF(AND(F2664&lt;&gt;"",E2664=""),"Conversa sem agendamento",IF(OR(E2664&gt;TODAY(),F2664&gt;TODAY()),"Verificar evento futuro","OK"))))))))))</f>
        <v/>
      </c>
    </row>
    <row r="2665" spans="12:15">
      <c r="L2665" s="5">
        <f>IF(OR(A2665="",B2665=""),"",B2665-WEEKDAY(B2665,2)+1)</f>
        <v/>
      </c>
      <c r="M2665" s="5">
        <f>IF(L2665="","",L2665+6)</f>
        <v/>
      </c>
      <c r="N2665" s="6">
        <f>IF(OR(A2665="",B2665=""),"",DATE(YEAR(B2665),MONTH(B2665),1))</f>
        <v/>
      </c>
      <c r="O2665" s="7">
        <f>IF(COUNTA(A2665:K2665)=0,"",IF(OR(A2665="",B2665=""),"Preencher CPF e entrada",IF(COUNTIFS($A$12:$A$5011,A2665,$B$12:$B$5011,B2665)&gt;1,"CPF + dia duplicado",IF(OR(AND(G2665&lt;&gt;"",G2665&lt;&gt;0,G2665&lt;&gt;1),AND(H2665&lt;&gt;"",H2665&lt;&gt;0,H2665&lt;&gt;1)),"Flags devem ser 0 ou 1",IF(AND(H2665=1,LEN(TRIM(I2665))=0),"Preencher nome do indicante",IF(AND(H2665&lt;&gt;1,I2665&lt;&gt;""),"Nome sem indicação interna",IF(AND(G2665=1,F2665=""),"Fechamento sem conversa",IF(OR(AND(E2665&lt;&gt;"",E2665&lt;B2665),AND(F2665&lt;&gt;"",F2665&lt;B2665)),"Evento anterior à entrada",IF(AND(F2665&lt;&gt;"",E2665=""),"Conversa sem agendamento",IF(OR(E2665&gt;TODAY(),F2665&gt;TODAY()),"Verificar evento futuro","OK"))))))))))</f>
        <v/>
      </c>
    </row>
    <row r="2666" spans="12:15">
      <c r="L2666" s="5">
        <f>IF(OR(A2666="",B2666=""),"",B2666-WEEKDAY(B2666,2)+1)</f>
        <v/>
      </c>
      <c r="M2666" s="5">
        <f>IF(L2666="","",L2666+6)</f>
        <v/>
      </c>
      <c r="N2666" s="6">
        <f>IF(OR(A2666="",B2666=""),"",DATE(YEAR(B2666),MONTH(B2666),1))</f>
        <v/>
      </c>
      <c r="O2666" s="7">
        <f>IF(COUNTA(A2666:K2666)=0,"",IF(OR(A2666="",B2666=""),"Preencher CPF e entrada",IF(COUNTIFS($A$12:$A$5011,A2666,$B$12:$B$5011,B2666)&gt;1,"CPF + dia duplicado",IF(OR(AND(G2666&lt;&gt;"",G2666&lt;&gt;0,G2666&lt;&gt;1),AND(H2666&lt;&gt;"",H2666&lt;&gt;0,H2666&lt;&gt;1)),"Flags devem ser 0 ou 1",IF(AND(H2666=1,LEN(TRIM(I2666))=0),"Preencher nome do indicante",IF(AND(H2666&lt;&gt;1,I2666&lt;&gt;""),"Nome sem indicação interna",IF(AND(G2666=1,F2666=""),"Fechamento sem conversa",IF(OR(AND(E2666&lt;&gt;"",E2666&lt;B2666),AND(F2666&lt;&gt;"",F2666&lt;B2666)),"Evento anterior à entrada",IF(AND(F2666&lt;&gt;"",E2666=""),"Conversa sem agendamento",IF(OR(E2666&gt;TODAY(),F2666&gt;TODAY()),"Verificar evento futuro","OK"))))))))))</f>
        <v/>
      </c>
    </row>
    <row r="2667" spans="12:15">
      <c r="L2667" s="5">
        <f>IF(OR(A2667="",B2667=""),"",B2667-WEEKDAY(B2667,2)+1)</f>
        <v/>
      </c>
      <c r="M2667" s="5">
        <f>IF(L2667="","",L2667+6)</f>
        <v/>
      </c>
      <c r="N2667" s="6">
        <f>IF(OR(A2667="",B2667=""),"",DATE(YEAR(B2667),MONTH(B2667),1))</f>
        <v/>
      </c>
      <c r="O2667" s="7">
        <f>IF(COUNTA(A2667:K2667)=0,"",IF(OR(A2667="",B2667=""),"Preencher CPF e entrada",IF(COUNTIFS($A$12:$A$5011,A2667,$B$12:$B$5011,B2667)&gt;1,"CPF + dia duplicado",IF(OR(AND(G2667&lt;&gt;"",G2667&lt;&gt;0,G2667&lt;&gt;1),AND(H2667&lt;&gt;"",H2667&lt;&gt;0,H2667&lt;&gt;1)),"Flags devem ser 0 ou 1",IF(AND(H2667=1,LEN(TRIM(I2667))=0),"Preencher nome do indicante",IF(AND(H2667&lt;&gt;1,I2667&lt;&gt;""),"Nome sem indicação interna",IF(AND(G2667=1,F2667=""),"Fechamento sem conversa",IF(OR(AND(E2667&lt;&gt;"",E2667&lt;B2667),AND(F2667&lt;&gt;"",F2667&lt;B2667)),"Evento anterior à entrada",IF(AND(F2667&lt;&gt;"",E2667=""),"Conversa sem agendamento",IF(OR(E2667&gt;TODAY(),F2667&gt;TODAY()),"Verificar evento futuro","OK"))))))))))</f>
        <v/>
      </c>
    </row>
    <row r="2668" spans="12:15">
      <c r="L2668" s="5">
        <f>IF(OR(A2668="",B2668=""),"",B2668-WEEKDAY(B2668,2)+1)</f>
        <v/>
      </c>
      <c r="M2668" s="5">
        <f>IF(L2668="","",L2668+6)</f>
        <v/>
      </c>
      <c r="N2668" s="6">
        <f>IF(OR(A2668="",B2668=""),"",DATE(YEAR(B2668),MONTH(B2668),1))</f>
        <v/>
      </c>
      <c r="O2668" s="7">
        <f>IF(COUNTA(A2668:K2668)=0,"",IF(OR(A2668="",B2668=""),"Preencher CPF e entrada",IF(COUNTIFS($A$12:$A$5011,A2668,$B$12:$B$5011,B2668)&gt;1,"CPF + dia duplicado",IF(OR(AND(G2668&lt;&gt;"",G2668&lt;&gt;0,G2668&lt;&gt;1),AND(H2668&lt;&gt;"",H2668&lt;&gt;0,H2668&lt;&gt;1)),"Flags devem ser 0 ou 1",IF(AND(H2668=1,LEN(TRIM(I2668))=0),"Preencher nome do indicante",IF(AND(H2668&lt;&gt;1,I2668&lt;&gt;""),"Nome sem indicação interna",IF(AND(G2668=1,F2668=""),"Fechamento sem conversa",IF(OR(AND(E2668&lt;&gt;"",E2668&lt;B2668),AND(F2668&lt;&gt;"",F2668&lt;B2668)),"Evento anterior à entrada",IF(AND(F2668&lt;&gt;"",E2668=""),"Conversa sem agendamento",IF(OR(E2668&gt;TODAY(),F2668&gt;TODAY()),"Verificar evento futuro","OK"))))))))))</f>
        <v/>
      </c>
    </row>
    <row r="2669" spans="12:15">
      <c r="L2669" s="5">
        <f>IF(OR(A2669="",B2669=""),"",B2669-WEEKDAY(B2669,2)+1)</f>
        <v/>
      </c>
      <c r="M2669" s="5">
        <f>IF(L2669="","",L2669+6)</f>
        <v/>
      </c>
      <c r="N2669" s="6">
        <f>IF(OR(A2669="",B2669=""),"",DATE(YEAR(B2669),MONTH(B2669),1))</f>
        <v/>
      </c>
      <c r="O2669" s="7">
        <f>IF(COUNTA(A2669:K2669)=0,"",IF(OR(A2669="",B2669=""),"Preencher CPF e entrada",IF(COUNTIFS($A$12:$A$5011,A2669,$B$12:$B$5011,B2669)&gt;1,"CPF + dia duplicado",IF(OR(AND(G2669&lt;&gt;"",G2669&lt;&gt;0,G2669&lt;&gt;1),AND(H2669&lt;&gt;"",H2669&lt;&gt;0,H2669&lt;&gt;1)),"Flags devem ser 0 ou 1",IF(AND(H2669=1,LEN(TRIM(I2669))=0),"Preencher nome do indicante",IF(AND(H2669&lt;&gt;1,I2669&lt;&gt;""),"Nome sem indicação interna",IF(AND(G2669=1,F2669=""),"Fechamento sem conversa",IF(OR(AND(E2669&lt;&gt;"",E2669&lt;B2669),AND(F2669&lt;&gt;"",F2669&lt;B2669)),"Evento anterior à entrada",IF(AND(F2669&lt;&gt;"",E2669=""),"Conversa sem agendamento",IF(OR(E2669&gt;TODAY(),F2669&gt;TODAY()),"Verificar evento futuro","OK"))))))))))</f>
        <v/>
      </c>
    </row>
    <row r="2670" spans="12:15">
      <c r="L2670" s="5">
        <f>IF(OR(A2670="",B2670=""),"",B2670-WEEKDAY(B2670,2)+1)</f>
        <v/>
      </c>
      <c r="M2670" s="5">
        <f>IF(L2670="","",L2670+6)</f>
        <v/>
      </c>
      <c r="N2670" s="6">
        <f>IF(OR(A2670="",B2670=""),"",DATE(YEAR(B2670),MONTH(B2670),1))</f>
        <v/>
      </c>
      <c r="O2670" s="7">
        <f>IF(COUNTA(A2670:K2670)=0,"",IF(OR(A2670="",B2670=""),"Preencher CPF e entrada",IF(COUNTIFS($A$12:$A$5011,A2670,$B$12:$B$5011,B2670)&gt;1,"CPF + dia duplicado",IF(OR(AND(G2670&lt;&gt;"",G2670&lt;&gt;0,G2670&lt;&gt;1),AND(H2670&lt;&gt;"",H2670&lt;&gt;0,H2670&lt;&gt;1)),"Flags devem ser 0 ou 1",IF(AND(H2670=1,LEN(TRIM(I2670))=0),"Preencher nome do indicante",IF(AND(H2670&lt;&gt;1,I2670&lt;&gt;""),"Nome sem indicação interna",IF(AND(G2670=1,F2670=""),"Fechamento sem conversa",IF(OR(AND(E2670&lt;&gt;"",E2670&lt;B2670),AND(F2670&lt;&gt;"",F2670&lt;B2670)),"Evento anterior à entrada",IF(AND(F2670&lt;&gt;"",E2670=""),"Conversa sem agendamento",IF(OR(E2670&gt;TODAY(),F2670&gt;TODAY()),"Verificar evento futuro","OK"))))))))))</f>
        <v/>
      </c>
    </row>
    <row r="2671" spans="12:15">
      <c r="L2671" s="5">
        <f>IF(OR(A2671="",B2671=""),"",B2671-WEEKDAY(B2671,2)+1)</f>
        <v/>
      </c>
      <c r="M2671" s="5">
        <f>IF(L2671="","",L2671+6)</f>
        <v/>
      </c>
      <c r="N2671" s="6">
        <f>IF(OR(A2671="",B2671=""),"",DATE(YEAR(B2671),MONTH(B2671),1))</f>
        <v/>
      </c>
      <c r="O2671" s="7">
        <f>IF(COUNTA(A2671:K2671)=0,"",IF(OR(A2671="",B2671=""),"Preencher CPF e entrada",IF(COUNTIFS($A$12:$A$5011,A2671,$B$12:$B$5011,B2671)&gt;1,"CPF + dia duplicado",IF(OR(AND(G2671&lt;&gt;"",G2671&lt;&gt;0,G2671&lt;&gt;1),AND(H2671&lt;&gt;"",H2671&lt;&gt;0,H2671&lt;&gt;1)),"Flags devem ser 0 ou 1",IF(AND(H2671=1,LEN(TRIM(I2671))=0),"Preencher nome do indicante",IF(AND(H2671&lt;&gt;1,I2671&lt;&gt;""),"Nome sem indicação interna",IF(AND(G2671=1,F2671=""),"Fechamento sem conversa",IF(OR(AND(E2671&lt;&gt;"",E2671&lt;B2671),AND(F2671&lt;&gt;"",F2671&lt;B2671)),"Evento anterior à entrada",IF(AND(F2671&lt;&gt;"",E2671=""),"Conversa sem agendamento",IF(OR(E2671&gt;TODAY(),F2671&gt;TODAY()),"Verificar evento futuro","OK"))))))))))</f>
        <v/>
      </c>
    </row>
    <row r="2672" spans="12:15">
      <c r="L2672" s="5">
        <f>IF(OR(A2672="",B2672=""),"",B2672-WEEKDAY(B2672,2)+1)</f>
        <v/>
      </c>
      <c r="M2672" s="5">
        <f>IF(L2672="","",L2672+6)</f>
        <v/>
      </c>
      <c r="N2672" s="6">
        <f>IF(OR(A2672="",B2672=""),"",DATE(YEAR(B2672),MONTH(B2672),1))</f>
        <v/>
      </c>
      <c r="O2672" s="7">
        <f>IF(COUNTA(A2672:K2672)=0,"",IF(OR(A2672="",B2672=""),"Preencher CPF e entrada",IF(COUNTIFS($A$12:$A$5011,A2672,$B$12:$B$5011,B2672)&gt;1,"CPF + dia duplicado",IF(OR(AND(G2672&lt;&gt;"",G2672&lt;&gt;0,G2672&lt;&gt;1),AND(H2672&lt;&gt;"",H2672&lt;&gt;0,H2672&lt;&gt;1)),"Flags devem ser 0 ou 1",IF(AND(H2672=1,LEN(TRIM(I2672))=0),"Preencher nome do indicante",IF(AND(H2672&lt;&gt;1,I2672&lt;&gt;""),"Nome sem indicação interna",IF(AND(G2672=1,F2672=""),"Fechamento sem conversa",IF(OR(AND(E2672&lt;&gt;"",E2672&lt;B2672),AND(F2672&lt;&gt;"",F2672&lt;B2672)),"Evento anterior à entrada",IF(AND(F2672&lt;&gt;"",E2672=""),"Conversa sem agendamento",IF(OR(E2672&gt;TODAY(),F2672&gt;TODAY()),"Verificar evento futuro","OK"))))))))))</f>
        <v/>
      </c>
    </row>
    <row r="2673" spans="12:15">
      <c r="L2673" s="5">
        <f>IF(OR(A2673="",B2673=""),"",B2673-WEEKDAY(B2673,2)+1)</f>
        <v/>
      </c>
      <c r="M2673" s="5">
        <f>IF(L2673="","",L2673+6)</f>
        <v/>
      </c>
      <c r="N2673" s="6">
        <f>IF(OR(A2673="",B2673=""),"",DATE(YEAR(B2673),MONTH(B2673),1))</f>
        <v/>
      </c>
      <c r="O2673" s="7">
        <f>IF(COUNTA(A2673:K2673)=0,"",IF(OR(A2673="",B2673=""),"Preencher CPF e entrada",IF(COUNTIFS($A$12:$A$5011,A2673,$B$12:$B$5011,B2673)&gt;1,"CPF + dia duplicado",IF(OR(AND(G2673&lt;&gt;"",G2673&lt;&gt;0,G2673&lt;&gt;1),AND(H2673&lt;&gt;"",H2673&lt;&gt;0,H2673&lt;&gt;1)),"Flags devem ser 0 ou 1",IF(AND(H2673=1,LEN(TRIM(I2673))=0),"Preencher nome do indicante",IF(AND(H2673&lt;&gt;1,I2673&lt;&gt;""),"Nome sem indicação interna",IF(AND(G2673=1,F2673=""),"Fechamento sem conversa",IF(OR(AND(E2673&lt;&gt;"",E2673&lt;B2673),AND(F2673&lt;&gt;"",F2673&lt;B2673)),"Evento anterior à entrada",IF(AND(F2673&lt;&gt;"",E2673=""),"Conversa sem agendamento",IF(OR(E2673&gt;TODAY(),F2673&gt;TODAY()),"Verificar evento futuro","OK"))))))))))</f>
        <v/>
      </c>
    </row>
    <row r="2674" spans="12:15">
      <c r="L2674" s="5">
        <f>IF(OR(A2674="",B2674=""),"",B2674-WEEKDAY(B2674,2)+1)</f>
        <v/>
      </c>
      <c r="M2674" s="5">
        <f>IF(L2674="","",L2674+6)</f>
        <v/>
      </c>
      <c r="N2674" s="6">
        <f>IF(OR(A2674="",B2674=""),"",DATE(YEAR(B2674),MONTH(B2674),1))</f>
        <v/>
      </c>
      <c r="O2674" s="7">
        <f>IF(COUNTA(A2674:K2674)=0,"",IF(OR(A2674="",B2674=""),"Preencher CPF e entrada",IF(COUNTIFS($A$12:$A$5011,A2674,$B$12:$B$5011,B2674)&gt;1,"CPF + dia duplicado",IF(OR(AND(G2674&lt;&gt;"",G2674&lt;&gt;0,G2674&lt;&gt;1),AND(H2674&lt;&gt;"",H2674&lt;&gt;0,H2674&lt;&gt;1)),"Flags devem ser 0 ou 1",IF(AND(H2674=1,LEN(TRIM(I2674))=0),"Preencher nome do indicante",IF(AND(H2674&lt;&gt;1,I2674&lt;&gt;""),"Nome sem indicação interna",IF(AND(G2674=1,F2674=""),"Fechamento sem conversa",IF(OR(AND(E2674&lt;&gt;"",E2674&lt;B2674),AND(F2674&lt;&gt;"",F2674&lt;B2674)),"Evento anterior à entrada",IF(AND(F2674&lt;&gt;"",E2674=""),"Conversa sem agendamento",IF(OR(E2674&gt;TODAY(),F2674&gt;TODAY()),"Verificar evento futuro","OK"))))))))))</f>
        <v/>
      </c>
    </row>
    <row r="2675" spans="12:15">
      <c r="L2675" s="5">
        <f>IF(OR(A2675="",B2675=""),"",B2675-WEEKDAY(B2675,2)+1)</f>
        <v/>
      </c>
      <c r="M2675" s="5">
        <f>IF(L2675="","",L2675+6)</f>
        <v/>
      </c>
      <c r="N2675" s="6">
        <f>IF(OR(A2675="",B2675=""),"",DATE(YEAR(B2675),MONTH(B2675),1))</f>
        <v/>
      </c>
      <c r="O2675" s="7">
        <f>IF(COUNTA(A2675:K2675)=0,"",IF(OR(A2675="",B2675=""),"Preencher CPF e entrada",IF(COUNTIFS($A$12:$A$5011,A2675,$B$12:$B$5011,B2675)&gt;1,"CPF + dia duplicado",IF(OR(AND(G2675&lt;&gt;"",G2675&lt;&gt;0,G2675&lt;&gt;1),AND(H2675&lt;&gt;"",H2675&lt;&gt;0,H2675&lt;&gt;1)),"Flags devem ser 0 ou 1",IF(AND(H2675=1,LEN(TRIM(I2675))=0),"Preencher nome do indicante",IF(AND(H2675&lt;&gt;1,I2675&lt;&gt;""),"Nome sem indicação interna",IF(AND(G2675=1,F2675=""),"Fechamento sem conversa",IF(OR(AND(E2675&lt;&gt;"",E2675&lt;B2675),AND(F2675&lt;&gt;"",F2675&lt;B2675)),"Evento anterior à entrada",IF(AND(F2675&lt;&gt;"",E2675=""),"Conversa sem agendamento",IF(OR(E2675&gt;TODAY(),F2675&gt;TODAY()),"Verificar evento futuro","OK"))))))))))</f>
        <v/>
      </c>
    </row>
    <row r="2676" spans="12:15">
      <c r="L2676" s="5">
        <f>IF(OR(A2676="",B2676=""),"",B2676-WEEKDAY(B2676,2)+1)</f>
        <v/>
      </c>
      <c r="M2676" s="5">
        <f>IF(L2676="","",L2676+6)</f>
        <v/>
      </c>
      <c r="N2676" s="6">
        <f>IF(OR(A2676="",B2676=""),"",DATE(YEAR(B2676),MONTH(B2676),1))</f>
        <v/>
      </c>
      <c r="O2676" s="7">
        <f>IF(COUNTA(A2676:K2676)=0,"",IF(OR(A2676="",B2676=""),"Preencher CPF e entrada",IF(COUNTIFS($A$12:$A$5011,A2676,$B$12:$B$5011,B2676)&gt;1,"CPF + dia duplicado",IF(OR(AND(G2676&lt;&gt;"",G2676&lt;&gt;0,G2676&lt;&gt;1),AND(H2676&lt;&gt;"",H2676&lt;&gt;0,H2676&lt;&gt;1)),"Flags devem ser 0 ou 1",IF(AND(H2676=1,LEN(TRIM(I2676))=0),"Preencher nome do indicante",IF(AND(H2676&lt;&gt;1,I2676&lt;&gt;""),"Nome sem indicação interna",IF(AND(G2676=1,F2676=""),"Fechamento sem conversa",IF(OR(AND(E2676&lt;&gt;"",E2676&lt;B2676),AND(F2676&lt;&gt;"",F2676&lt;B2676)),"Evento anterior à entrada",IF(AND(F2676&lt;&gt;"",E2676=""),"Conversa sem agendamento",IF(OR(E2676&gt;TODAY(),F2676&gt;TODAY()),"Verificar evento futuro","OK"))))))))))</f>
        <v/>
      </c>
    </row>
    <row r="2677" spans="12:15">
      <c r="L2677" s="5">
        <f>IF(OR(A2677="",B2677=""),"",B2677-WEEKDAY(B2677,2)+1)</f>
        <v/>
      </c>
      <c r="M2677" s="5">
        <f>IF(L2677="","",L2677+6)</f>
        <v/>
      </c>
      <c r="N2677" s="6">
        <f>IF(OR(A2677="",B2677=""),"",DATE(YEAR(B2677),MONTH(B2677),1))</f>
        <v/>
      </c>
      <c r="O2677" s="7">
        <f>IF(COUNTA(A2677:K2677)=0,"",IF(OR(A2677="",B2677=""),"Preencher CPF e entrada",IF(COUNTIFS($A$12:$A$5011,A2677,$B$12:$B$5011,B2677)&gt;1,"CPF + dia duplicado",IF(OR(AND(G2677&lt;&gt;"",G2677&lt;&gt;0,G2677&lt;&gt;1),AND(H2677&lt;&gt;"",H2677&lt;&gt;0,H2677&lt;&gt;1)),"Flags devem ser 0 ou 1",IF(AND(H2677=1,LEN(TRIM(I2677))=0),"Preencher nome do indicante",IF(AND(H2677&lt;&gt;1,I2677&lt;&gt;""),"Nome sem indicação interna",IF(AND(G2677=1,F2677=""),"Fechamento sem conversa",IF(OR(AND(E2677&lt;&gt;"",E2677&lt;B2677),AND(F2677&lt;&gt;"",F2677&lt;B2677)),"Evento anterior à entrada",IF(AND(F2677&lt;&gt;"",E2677=""),"Conversa sem agendamento",IF(OR(E2677&gt;TODAY(),F2677&gt;TODAY()),"Verificar evento futuro","OK"))))))))))</f>
        <v/>
      </c>
    </row>
    <row r="2678" spans="12:15">
      <c r="L2678" s="5">
        <f>IF(OR(A2678="",B2678=""),"",B2678-WEEKDAY(B2678,2)+1)</f>
        <v/>
      </c>
      <c r="M2678" s="5">
        <f>IF(L2678="","",L2678+6)</f>
        <v/>
      </c>
      <c r="N2678" s="6">
        <f>IF(OR(A2678="",B2678=""),"",DATE(YEAR(B2678),MONTH(B2678),1))</f>
        <v/>
      </c>
      <c r="O2678" s="7">
        <f>IF(COUNTA(A2678:K2678)=0,"",IF(OR(A2678="",B2678=""),"Preencher CPF e entrada",IF(COUNTIFS($A$12:$A$5011,A2678,$B$12:$B$5011,B2678)&gt;1,"CPF + dia duplicado",IF(OR(AND(G2678&lt;&gt;"",G2678&lt;&gt;0,G2678&lt;&gt;1),AND(H2678&lt;&gt;"",H2678&lt;&gt;0,H2678&lt;&gt;1)),"Flags devem ser 0 ou 1",IF(AND(H2678=1,LEN(TRIM(I2678))=0),"Preencher nome do indicante",IF(AND(H2678&lt;&gt;1,I2678&lt;&gt;""),"Nome sem indicação interna",IF(AND(G2678=1,F2678=""),"Fechamento sem conversa",IF(OR(AND(E2678&lt;&gt;"",E2678&lt;B2678),AND(F2678&lt;&gt;"",F2678&lt;B2678)),"Evento anterior à entrada",IF(AND(F2678&lt;&gt;"",E2678=""),"Conversa sem agendamento",IF(OR(E2678&gt;TODAY(),F2678&gt;TODAY()),"Verificar evento futuro","OK"))))))))))</f>
        <v/>
      </c>
    </row>
    <row r="2679" spans="12:15">
      <c r="L2679" s="5">
        <f>IF(OR(A2679="",B2679=""),"",B2679-WEEKDAY(B2679,2)+1)</f>
        <v/>
      </c>
      <c r="M2679" s="5">
        <f>IF(L2679="","",L2679+6)</f>
        <v/>
      </c>
      <c r="N2679" s="6">
        <f>IF(OR(A2679="",B2679=""),"",DATE(YEAR(B2679),MONTH(B2679),1))</f>
        <v/>
      </c>
      <c r="O2679" s="7">
        <f>IF(COUNTA(A2679:K2679)=0,"",IF(OR(A2679="",B2679=""),"Preencher CPF e entrada",IF(COUNTIFS($A$12:$A$5011,A2679,$B$12:$B$5011,B2679)&gt;1,"CPF + dia duplicado",IF(OR(AND(G2679&lt;&gt;"",G2679&lt;&gt;0,G2679&lt;&gt;1),AND(H2679&lt;&gt;"",H2679&lt;&gt;0,H2679&lt;&gt;1)),"Flags devem ser 0 ou 1",IF(AND(H2679=1,LEN(TRIM(I2679))=0),"Preencher nome do indicante",IF(AND(H2679&lt;&gt;1,I2679&lt;&gt;""),"Nome sem indicação interna",IF(AND(G2679=1,F2679=""),"Fechamento sem conversa",IF(OR(AND(E2679&lt;&gt;"",E2679&lt;B2679),AND(F2679&lt;&gt;"",F2679&lt;B2679)),"Evento anterior à entrada",IF(AND(F2679&lt;&gt;"",E2679=""),"Conversa sem agendamento",IF(OR(E2679&gt;TODAY(),F2679&gt;TODAY()),"Verificar evento futuro","OK"))))))))))</f>
        <v/>
      </c>
    </row>
    <row r="2680" spans="12:15">
      <c r="L2680" s="5">
        <f>IF(OR(A2680="",B2680=""),"",B2680-WEEKDAY(B2680,2)+1)</f>
        <v/>
      </c>
      <c r="M2680" s="5">
        <f>IF(L2680="","",L2680+6)</f>
        <v/>
      </c>
      <c r="N2680" s="6">
        <f>IF(OR(A2680="",B2680=""),"",DATE(YEAR(B2680),MONTH(B2680),1))</f>
        <v/>
      </c>
      <c r="O2680" s="7">
        <f>IF(COUNTA(A2680:K2680)=0,"",IF(OR(A2680="",B2680=""),"Preencher CPF e entrada",IF(COUNTIFS($A$12:$A$5011,A2680,$B$12:$B$5011,B2680)&gt;1,"CPF + dia duplicado",IF(OR(AND(G2680&lt;&gt;"",G2680&lt;&gt;0,G2680&lt;&gt;1),AND(H2680&lt;&gt;"",H2680&lt;&gt;0,H2680&lt;&gt;1)),"Flags devem ser 0 ou 1",IF(AND(H2680=1,LEN(TRIM(I2680))=0),"Preencher nome do indicante",IF(AND(H2680&lt;&gt;1,I2680&lt;&gt;""),"Nome sem indicação interna",IF(AND(G2680=1,F2680=""),"Fechamento sem conversa",IF(OR(AND(E2680&lt;&gt;"",E2680&lt;B2680),AND(F2680&lt;&gt;"",F2680&lt;B2680)),"Evento anterior à entrada",IF(AND(F2680&lt;&gt;"",E2680=""),"Conversa sem agendamento",IF(OR(E2680&gt;TODAY(),F2680&gt;TODAY()),"Verificar evento futuro","OK"))))))))))</f>
        <v/>
      </c>
    </row>
    <row r="2681" spans="12:15">
      <c r="L2681" s="5">
        <f>IF(OR(A2681="",B2681=""),"",B2681-WEEKDAY(B2681,2)+1)</f>
        <v/>
      </c>
      <c r="M2681" s="5">
        <f>IF(L2681="","",L2681+6)</f>
        <v/>
      </c>
      <c r="N2681" s="6">
        <f>IF(OR(A2681="",B2681=""),"",DATE(YEAR(B2681),MONTH(B2681),1))</f>
        <v/>
      </c>
      <c r="O2681" s="7">
        <f>IF(COUNTA(A2681:K2681)=0,"",IF(OR(A2681="",B2681=""),"Preencher CPF e entrada",IF(COUNTIFS($A$12:$A$5011,A2681,$B$12:$B$5011,B2681)&gt;1,"CPF + dia duplicado",IF(OR(AND(G2681&lt;&gt;"",G2681&lt;&gt;0,G2681&lt;&gt;1),AND(H2681&lt;&gt;"",H2681&lt;&gt;0,H2681&lt;&gt;1)),"Flags devem ser 0 ou 1",IF(AND(H2681=1,LEN(TRIM(I2681))=0),"Preencher nome do indicante",IF(AND(H2681&lt;&gt;1,I2681&lt;&gt;""),"Nome sem indicação interna",IF(AND(G2681=1,F2681=""),"Fechamento sem conversa",IF(OR(AND(E2681&lt;&gt;"",E2681&lt;B2681),AND(F2681&lt;&gt;"",F2681&lt;B2681)),"Evento anterior à entrada",IF(AND(F2681&lt;&gt;"",E2681=""),"Conversa sem agendamento",IF(OR(E2681&gt;TODAY(),F2681&gt;TODAY()),"Verificar evento futuro","OK"))))))))))</f>
        <v/>
      </c>
    </row>
    <row r="2682" spans="12:15">
      <c r="L2682" s="5">
        <f>IF(OR(A2682="",B2682=""),"",B2682-WEEKDAY(B2682,2)+1)</f>
        <v/>
      </c>
      <c r="M2682" s="5">
        <f>IF(L2682="","",L2682+6)</f>
        <v/>
      </c>
      <c r="N2682" s="6">
        <f>IF(OR(A2682="",B2682=""),"",DATE(YEAR(B2682),MONTH(B2682),1))</f>
        <v/>
      </c>
      <c r="O2682" s="7">
        <f>IF(COUNTA(A2682:K2682)=0,"",IF(OR(A2682="",B2682=""),"Preencher CPF e entrada",IF(COUNTIFS($A$12:$A$5011,A2682,$B$12:$B$5011,B2682)&gt;1,"CPF + dia duplicado",IF(OR(AND(G2682&lt;&gt;"",G2682&lt;&gt;0,G2682&lt;&gt;1),AND(H2682&lt;&gt;"",H2682&lt;&gt;0,H2682&lt;&gt;1)),"Flags devem ser 0 ou 1",IF(AND(H2682=1,LEN(TRIM(I2682))=0),"Preencher nome do indicante",IF(AND(H2682&lt;&gt;1,I2682&lt;&gt;""),"Nome sem indicação interna",IF(AND(G2682=1,F2682=""),"Fechamento sem conversa",IF(OR(AND(E2682&lt;&gt;"",E2682&lt;B2682),AND(F2682&lt;&gt;"",F2682&lt;B2682)),"Evento anterior à entrada",IF(AND(F2682&lt;&gt;"",E2682=""),"Conversa sem agendamento",IF(OR(E2682&gt;TODAY(),F2682&gt;TODAY()),"Verificar evento futuro","OK"))))))))))</f>
        <v/>
      </c>
    </row>
    <row r="2683" spans="12:15">
      <c r="L2683" s="5">
        <f>IF(OR(A2683="",B2683=""),"",B2683-WEEKDAY(B2683,2)+1)</f>
        <v/>
      </c>
      <c r="M2683" s="5">
        <f>IF(L2683="","",L2683+6)</f>
        <v/>
      </c>
      <c r="N2683" s="6">
        <f>IF(OR(A2683="",B2683=""),"",DATE(YEAR(B2683),MONTH(B2683),1))</f>
        <v/>
      </c>
      <c r="O2683" s="7">
        <f>IF(COUNTA(A2683:K2683)=0,"",IF(OR(A2683="",B2683=""),"Preencher CPF e entrada",IF(COUNTIFS($A$12:$A$5011,A2683,$B$12:$B$5011,B2683)&gt;1,"CPF + dia duplicado",IF(OR(AND(G2683&lt;&gt;"",G2683&lt;&gt;0,G2683&lt;&gt;1),AND(H2683&lt;&gt;"",H2683&lt;&gt;0,H2683&lt;&gt;1)),"Flags devem ser 0 ou 1",IF(AND(H2683=1,LEN(TRIM(I2683))=0),"Preencher nome do indicante",IF(AND(H2683&lt;&gt;1,I2683&lt;&gt;""),"Nome sem indicação interna",IF(AND(G2683=1,F2683=""),"Fechamento sem conversa",IF(OR(AND(E2683&lt;&gt;"",E2683&lt;B2683),AND(F2683&lt;&gt;"",F2683&lt;B2683)),"Evento anterior à entrada",IF(AND(F2683&lt;&gt;"",E2683=""),"Conversa sem agendamento",IF(OR(E2683&gt;TODAY(),F2683&gt;TODAY()),"Verificar evento futuro","OK"))))))))))</f>
        <v/>
      </c>
    </row>
    <row r="2684" spans="12:15">
      <c r="L2684" s="5">
        <f>IF(OR(A2684="",B2684=""),"",B2684-WEEKDAY(B2684,2)+1)</f>
        <v/>
      </c>
      <c r="M2684" s="5">
        <f>IF(L2684="","",L2684+6)</f>
        <v/>
      </c>
      <c r="N2684" s="6">
        <f>IF(OR(A2684="",B2684=""),"",DATE(YEAR(B2684),MONTH(B2684),1))</f>
        <v/>
      </c>
      <c r="O2684" s="7">
        <f>IF(COUNTA(A2684:K2684)=0,"",IF(OR(A2684="",B2684=""),"Preencher CPF e entrada",IF(COUNTIFS($A$12:$A$5011,A2684,$B$12:$B$5011,B2684)&gt;1,"CPF + dia duplicado",IF(OR(AND(G2684&lt;&gt;"",G2684&lt;&gt;0,G2684&lt;&gt;1),AND(H2684&lt;&gt;"",H2684&lt;&gt;0,H2684&lt;&gt;1)),"Flags devem ser 0 ou 1",IF(AND(H2684=1,LEN(TRIM(I2684))=0),"Preencher nome do indicante",IF(AND(H2684&lt;&gt;1,I2684&lt;&gt;""),"Nome sem indicação interna",IF(AND(G2684=1,F2684=""),"Fechamento sem conversa",IF(OR(AND(E2684&lt;&gt;"",E2684&lt;B2684),AND(F2684&lt;&gt;"",F2684&lt;B2684)),"Evento anterior à entrada",IF(AND(F2684&lt;&gt;"",E2684=""),"Conversa sem agendamento",IF(OR(E2684&gt;TODAY(),F2684&gt;TODAY()),"Verificar evento futuro","OK"))))))))))</f>
        <v/>
      </c>
    </row>
    <row r="2685" spans="12:15">
      <c r="L2685" s="5">
        <f>IF(OR(A2685="",B2685=""),"",B2685-WEEKDAY(B2685,2)+1)</f>
        <v/>
      </c>
      <c r="M2685" s="5">
        <f>IF(L2685="","",L2685+6)</f>
        <v/>
      </c>
      <c r="N2685" s="6">
        <f>IF(OR(A2685="",B2685=""),"",DATE(YEAR(B2685),MONTH(B2685),1))</f>
        <v/>
      </c>
      <c r="O2685" s="7">
        <f>IF(COUNTA(A2685:K2685)=0,"",IF(OR(A2685="",B2685=""),"Preencher CPF e entrada",IF(COUNTIFS($A$12:$A$5011,A2685,$B$12:$B$5011,B2685)&gt;1,"CPF + dia duplicado",IF(OR(AND(G2685&lt;&gt;"",G2685&lt;&gt;0,G2685&lt;&gt;1),AND(H2685&lt;&gt;"",H2685&lt;&gt;0,H2685&lt;&gt;1)),"Flags devem ser 0 ou 1",IF(AND(H2685=1,LEN(TRIM(I2685))=0),"Preencher nome do indicante",IF(AND(H2685&lt;&gt;1,I2685&lt;&gt;""),"Nome sem indicação interna",IF(AND(G2685=1,F2685=""),"Fechamento sem conversa",IF(OR(AND(E2685&lt;&gt;"",E2685&lt;B2685),AND(F2685&lt;&gt;"",F2685&lt;B2685)),"Evento anterior à entrada",IF(AND(F2685&lt;&gt;"",E2685=""),"Conversa sem agendamento",IF(OR(E2685&gt;TODAY(),F2685&gt;TODAY()),"Verificar evento futuro","OK"))))))))))</f>
        <v/>
      </c>
    </row>
    <row r="2686" spans="12:15">
      <c r="L2686" s="5">
        <f>IF(OR(A2686="",B2686=""),"",B2686-WEEKDAY(B2686,2)+1)</f>
        <v/>
      </c>
      <c r="M2686" s="5">
        <f>IF(L2686="","",L2686+6)</f>
        <v/>
      </c>
      <c r="N2686" s="6">
        <f>IF(OR(A2686="",B2686=""),"",DATE(YEAR(B2686),MONTH(B2686),1))</f>
        <v/>
      </c>
      <c r="O2686" s="7">
        <f>IF(COUNTA(A2686:K2686)=0,"",IF(OR(A2686="",B2686=""),"Preencher CPF e entrada",IF(COUNTIFS($A$12:$A$5011,A2686,$B$12:$B$5011,B2686)&gt;1,"CPF + dia duplicado",IF(OR(AND(G2686&lt;&gt;"",G2686&lt;&gt;0,G2686&lt;&gt;1),AND(H2686&lt;&gt;"",H2686&lt;&gt;0,H2686&lt;&gt;1)),"Flags devem ser 0 ou 1",IF(AND(H2686=1,LEN(TRIM(I2686))=0),"Preencher nome do indicante",IF(AND(H2686&lt;&gt;1,I2686&lt;&gt;""),"Nome sem indicação interna",IF(AND(G2686=1,F2686=""),"Fechamento sem conversa",IF(OR(AND(E2686&lt;&gt;"",E2686&lt;B2686),AND(F2686&lt;&gt;"",F2686&lt;B2686)),"Evento anterior à entrada",IF(AND(F2686&lt;&gt;"",E2686=""),"Conversa sem agendamento",IF(OR(E2686&gt;TODAY(),F2686&gt;TODAY()),"Verificar evento futuro","OK"))))))))))</f>
        <v/>
      </c>
    </row>
    <row r="2687" spans="12:15">
      <c r="L2687" s="5">
        <f>IF(OR(A2687="",B2687=""),"",B2687-WEEKDAY(B2687,2)+1)</f>
        <v/>
      </c>
      <c r="M2687" s="5">
        <f>IF(L2687="","",L2687+6)</f>
        <v/>
      </c>
      <c r="N2687" s="6">
        <f>IF(OR(A2687="",B2687=""),"",DATE(YEAR(B2687),MONTH(B2687),1))</f>
        <v/>
      </c>
      <c r="O2687" s="7">
        <f>IF(COUNTA(A2687:K2687)=0,"",IF(OR(A2687="",B2687=""),"Preencher CPF e entrada",IF(COUNTIFS($A$12:$A$5011,A2687,$B$12:$B$5011,B2687)&gt;1,"CPF + dia duplicado",IF(OR(AND(G2687&lt;&gt;"",G2687&lt;&gt;0,G2687&lt;&gt;1),AND(H2687&lt;&gt;"",H2687&lt;&gt;0,H2687&lt;&gt;1)),"Flags devem ser 0 ou 1",IF(AND(H2687=1,LEN(TRIM(I2687))=0),"Preencher nome do indicante",IF(AND(H2687&lt;&gt;1,I2687&lt;&gt;""),"Nome sem indicação interna",IF(AND(G2687=1,F2687=""),"Fechamento sem conversa",IF(OR(AND(E2687&lt;&gt;"",E2687&lt;B2687),AND(F2687&lt;&gt;"",F2687&lt;B2687)),"Evento anterior à entrada",IF(AND(F2687&lt;&gt;"",E2687=""),"Conversa sem agendamento",IF(OR(E2687&gt;TODAY(),F2687&gt;TODAY()),"Verificar evento futuro","OK"))))))))))</f>
        <v/>
      </c>
    </row>
    <row r="2688" spans="12:15">
      <c r="L2688" s="5">
        <f>IF(OR(A2688="",B2688=""),"",B2688-WEEKDAY(B2688,2)+1)</f>
        <v/>
      </c>
      <c r="M2688" s="5">
        <f>IF(L2688="","",L2688+6)</f>
        <v/>
      </c>
      <c r="N2688" s="6">
        <f>IF(OR(A2688="",B2688=""),"",DATE(YEAR(B2688),MONTH(B2688),1))</f>
        <v/>
      </c>
      <c r="O2688" s="7">
        <f>IF(COUNTA(A2688:K2688)=0,"",IF(OR(A2688="",B2688=""),"Preencher CPF e entrada",IF(COUNTIFS($A$12:$A$5011,A2688,$B$12:$B$5011,B2688)&gt;1,"CPF + dia duplicado",IF(OR(AND(G2688&lt;&gt;"",G2688&lt;&gt;0,G2688&lt;&gt;1),AND(H2688&lt;&gt;"",H2688&lt;&gt;0,H2688&lt;&gt;1)),"Flags devem ser 0 ou 1",IF(AND(H2688=1,LEN(TRIM(I2688))=0),"Preencher nome do indicante",IF(AND(H2688&lt;&gt;1,I2688&lt;&gt;""),"Nome sem indicação interna",IF(AND(G2688=1,F2688=""),"Fechamento sem conversa",IF(OR(AND(E2688&lt;&gt;"",E2688&lt;B2688),AND(F2688&lt;&gt;"",F2688&lt;B2688)),"Evento anterior à entrada",IF(AND(F2688&lt;&gt;"",E2688=""),"Conversa sem agendamento",IF(OR(E2688&gt;TODAY(),F2688&gt;TODAY()),"Verificar evento futuro","OK"))))))))))</f>
        <v/>
      </c>
    </row>
    <row r="2689" spans="12:15">
      <c r="L2689" s="5">
        <f>IF(OR(A2689="",B2689=""),"",B2689-WEEKDAY(B2689,2)+1)</f>
        <v/>
      </c>
      <c r="M2689" s="5">
        <f>IF(L2689="","",L2689+6)</f>
        <v/>
      </c>
      <c r="N2689" s="6">
        <f>IF(OR(A2689="",B2689=""),"",DATE(YEAR(B2689),MONTH(B2689),1))</f>
        <v/>
      </c>
      <c r="O2689" s="7">
        <f>IF(COUNTA(A2689:K2689)=0,"",IF(OR(A2689="",B2689=""),"Preencher CPF e entrada",IF(COUNTIFS($A$12:$A$5011,A2689,$B$12:$B$5011,B2689)&gt;1,"CPF + dia duplicado",IF(OR(AND(G2689&lt;&gt;"",G2689&lt;&gt;0,G2689&lt;&gt;1),AND(H2689&lt;&gt;"",H2689&lt;&gt;0,H2689&lt;&gt;1)),"Flags devem ser 0 ou 1",IF(AND(H2689=1,LEN(TRIM(I2689))=0),"Preencher nome do indicante",IF(AND(H2689&lt;&gt;1,I2689&lt;&gt;""),"Nome sem indicação interna",IF(AND(G2689=1,F2689=""),"Fechamento sem conversa",IF(OR(AND(E2689&lt;&gt;"",E2689&lt;B2689),AND(F2689&lt;&gt;"",F2689&lt;B2689)),"Evento anterior à entrada",IF(AND(F2689&lt;&gt;"",E2689=""),"Conversa sem agendamento",IF(OR(E2689&gt;TODAY(),F2689&gt;TODAY()),"Verificar evento futuro","OK"))))))))))</f>
        <v/>
      </c>
    </row>
    <row r="2690" spans="12:15">
      <c r="L2690" s="5">
        <f>IF(OR(A2690="",B2690=""),"",B2690-WEEKDAY(B2690,2)+1)</f>
        <v/>
      </c>
      <c r="M2690" s="5">
        <f>IF(L2690="","",L2690+6)</f>
        <v/>
      </c>
      <c r="N2690" s="6">
        <f>IF(OR(A2690="",B2690=""),"",DATE(YEAR(B2690),MONTH(B2690),1))</f>
        <v/>
      </c>
      <c r="O2690" s="7">
        <f>IF(COUNTA(A2690:K2690)=0,"",IF(OR(A2690="",B2690=""),"Preencher CPF e entrada",IF(COUNTIFS($A$12:$A$5011,A2690,$B$12:$B$5011,B2690)&gt;1,"CPF + dia duplicado",IF(OR(AND(G2690&lt;&gt;"",G2690&lt;&gt;0,G2690&lt;&gt;1),AND(H2690&lt;&gt;"",H2690&lt;&gt;0,H2690&lt;&gt;1)),"Flags devem ser 0 ou 1",IF(AND(H2690=1,LEN(TRIM(I2690))=0),"Preencher nome do indicante",IF(AND(H2690&lt;&gt;1,I2690&lt;&gt;""),"Nome sem indicação interna",IF(AND(G2690=1,F2690=""),"Fechamento sem conversa",IF(OR(AND(E2690&lt;&gt;"",E2690&lt;B2690),AND(F2690&lt;&gt;"",F2690&lt;B2690)),"Evento anterior à entrada",IF(AND(F2690&lt;&gt;"",E2690=""),"Conversa sem agendamento",IF(OR(E2690&gt;TODAY(),F2690&gt;TODAY()),"Verificar evento futuro","OK"))))))))))</f>
        <v/>
      </c>
    </row>
    <row r="2691" spans="12:15">
      <c r="L2691" s="5">
        <f>IF(OR(A2691="",B2691=""),"",B2691-WEEKDAY(B2691,2)+1)</f>
        <v/>
      </c>
      <c r="M2691" s="5">
        <f>IF(L2691="","",L2691+6)</f>
        <v/>
      </c>
      <c r="N2691" s="6">
        <f>IF(OR(A2691="",B2691=""),"",DATE(YEAR(B2691),MONTH(B2691),1))</f>
        <v/>
      </c>
      <c r="O2691" s="7">
        <f>IF(COUNTA(A2691:K2691)=0,"",IF(OR(A2691="",B2691=""),"Preencher CPF e entrada",IF(COUNTIFS($A$12:$A$5011,A2691,$B$12:$B$5011,B2691)&gt;1,"CPF + dia duplicado",IF(OR(AND(G2691&lt;&gt;"",G2691&lt;&gt;0,G2691&lt;&gt;1),AND(H2691&lt;&gt;"",H2691&lt;&gt;0,H2691&lt;&gt;1)),"Flags devem ser 0 ou 1",IF(AND(H2691=1,LEN(TRIM(I2691))=0),"Preencher nome do indicante",IF(AND(H2691&lt;&gt;1,I2691&lt;&gt;""),"Nome sem indicação interna",IF(AND(G2691=1,F2691=""),"Fechamento sem conversa",IF(OR(AND(E2691&lt;&gt;"",E2691&lt;B2691),AND(F2691&lt;&gt;"",F2691&lt;B2691)),"Evento anterior à entrada",IF(AND(F2691&lt;&gt;"",E2691=""),"Conversa sem agendamento",IF(OR(E2691&gt;TODAY(),F2691&gt;TODAY()),"Verificar evento futuro","OK"))))))))))</f>
        <v/>
      </c>
    </row>
    <row r="2692" spans="12:15">
      <c r="L2692" s="5">
        <f>IF(OR(A2692="",B2692=""),"",B2692-WEEKDAY(B2692,2)+1)</f>
        <v/>
      </c>
      <c r="M2692" s="5">
        <f>IF(L2692="","",L2692+6)</f>
        <v/>
      </c>
      <c r="N2692" s="6">
        <f>IF(OR(A2692="",B2692=""),"",DATE(YEAR(B2692),MONTH(B2692),1))</f>
        <v/>
      </c>
      <c r="O2692" s="7">
        <f>IF(COUNTA(A2692:K2692)=0,"",IF(OR(A2692="",B2692=""),"Preencher CPF e entrada",IF(COUNTIFS($A$12:$A$5011,A2692,$B$12:$B$5011,B2692)&gt;1,"CPF + dia duplicado",IF(OR(AND(G2692&lt;&gt;"",G2692&lt;&gt;0,G2692&lt;&gt;1),AND(H2692&lt;&gt;"",H2692&lt;&gt;0,H2692&lt;&gt;1)),"Flags devem ser 0 ou 1",IF(AND(H2692=1,LEN(TRIM(I2692))=0),"Preencher nome do indicante",IF(AND(H2692&lt;&gt;1,I2692&lt;&gt;""),"Nome sem indicação interna",IF(AND(G2692=1,F2692=""),"Fechamento sem conversa",IF(OR(AND(E2692&lt;&gt;"",E2692&lt;B2692),AND(F2692&lt;&gt;"",F2692&lt;B2692)),"Evento anterior à entrada",IF(AND(F2692&lt;&gt;"",E2692=""),"Conversa sem agendamento",IF(OR(E2692&gt;TODAY(),F2692&gt;TODAY()),"Verificar evento futuro","OK"))))))))))</f>
        <v/>
      </c>
    </row>
    <row r="2693" spans="12:15">
      <c r="L2693" s="5">
        <f>IF(OR(A2693="",B2693=""),"",B2693-WEEKDAY(B2693,2)+1)</f>
        <v/>
      </c>
      <c r="M2693" s="5">
        <f>IF(L2693="","",L2693+6)</f>
        <v/>
      </c>
      <c r="N2693" s="6">
        <f>IF(OR(A2693="",B2693=""),"",DATE(YEAR(B2693),MONTH(B2693),1))</f>
        <v/>
      </c>
      <c r="O2693" s="7">
        <f>IF(COUNTA(A2693:K2693)=0,"",IF(OR(A2693="",B2693=""),"Preencher CPF e entrada",IF(COUNTIFS($A$12:$A$5011,A2693,$B$12:$B$5011,B2693)&gt;1,"CPF + dia duplicado",IF(OR(AND(G2693&lt;&gt;"",G2693&lt;&gt;0,G2693&lt;&gt;1),AND(H2693&lt;&gt;"",H2693&lt;&gt;0,H2693&lt;&gt;1)),"Flags devem ser 0 ou 1",IF(AND(H2693=1,LEN(TRIM(I2693))=0),"Preencher nome do indicante",IF(AND(H2693&lt;&gt;1,I2693&lt;&gt;""),"Nome sem indicação interna",IF(AND(G2693=1,F2693=""),"Fechamento sem conversa",IF(OR(AND(E2693&lt;&gt;"",E2693&lt;B2693),AND(F2693&lt;&gt;"",F2693&lt;B2693)),"Evento anterior à entrada",IF(AND(F2693&lt;&gt;"",E2693=""),"Conversa sem agendamento",IF(OR(E2693&gt;TODAY(),F2693&gt;TODAY()),"Verificar evento futuro","OK"))))))))))</f>
        <v/>
      </c>
    </row>
    <row r="2694" spans="12:15">
      <c r="L2694" s="5">
        <f>IF(OR(A2694="",B2694=""),"",B2694-WEEKDAY(B2694,2)+1)</f>
        <v/>
      </c>
      <c r="M2694" s="5">
        <f>IF(L2694="","",L2694+6)</f>
        <v/>
      </c>
      <c r="N2694" s="6">
        <f>IF(OR(A2694="",B2694=""),"",DATE(YEAR(B2694),MONTH(B2694),1))</f>
        <v/>
      </c>
      <c r="O2694" s="7">
        <f>IF(COUNTA(A2694:K2694)=0,"",IF(OR(A2694="",B2694=""),"Preencher CPF e entrada",IF(COUNTIFS($A$12:$A$5011,A2694,$B$12:$B$5011,B2694)&gt;1,"CPF + dia duplicado",IF(OR(AND(G2694&lt;&gt;"",G2694&lt;&gt;0,G2694&lt;&gt;1),AND(H2694&lt;&gt;"",H2694&lt;&gt;0,H2694&lt;&gt;1)),"Flags devem ser 0 ou 1",IF(AND(H2694=1,LEN(TRIM(I2694))=0),"Preencher nome do indicante",IF(AND(H2694&lt;&gt;1,I2694&lt;&gt;""),"Nome sem indicação interna",IF(AND(G2694=1,F2694=""),"Fechamento sem conversa",IF(OR(AND(E2694&lt;&gt;"",E2694&lt;B2694),AND(F2694&lt;&gt;"",F2694&lt;B2694)),"Evento anterior à entrada",IF(AND(F2694&lt;&gt;"",E2694=""),"Conversa sem agendamento",IF(OR(E2694&gt;TODAY(),F2694&gt;TODAY()),"Verificar evento futuro","OK"))))))))))</f>
        <v/>
      </c>
    </row>
    <row r="2695" spans="12:15">
      <c r="L2695" s="5">
        <f>IF(OR(A2695="",B2695=""),"",B2695-WEEKDAY(B2695,2)+1)</f>
        <v/>
      </c>
      <c r="M2695" s="5">
        <f>IF(L2695="","",L2695+6)</f>
        <v/>
      </c>
      <c r="N2695" s="6">
        <f>IF(OR(A2695="",B2695=""),"",DATE(YEAR(B2695),MONTH(B2695),1))</f>
        <v/>
      </c>
      <c r="O2695" s="7">
        <f>IF(COUNTA(A2695:K2695)=0,"",IF(OR(A2695="",B2695=""),"Preencher CPF e entrada",IF(COUNTIFS($A$12:$A$5011,A2695,$B$12:$B$5011,B2695)&gt;1,"CPF + dia duplicado",IF(OR(AND(G2695&lt;&gt;"",G2695&lt;&gt;0,G2695&lt;&gt;1),AND(H2695&lt;&gt;"",H2695&lt;&gt;0,H2695&lt;&gt;1)),"Flags devem ser 0 ou 1",IF(AND(H2695=1,LEN(TRIM(I2695))=0),"Preencher nome do indicante",IF(AND(H2695&lt;&gt;1,I2695&lt;&gt;""),"Nome sem indicação interna",IF(AND(G2695=1,F2695=""),"Fechamento sem conversa",IF(OR(AND(E2695&lt;&gt;"",E2695&lt;B2695),AND(F2695&lt;&gt;"",F2695&lt;B2695)),"Evento anterior à entrada",IF(AND(F2695&lt;&gt;"",E2695=""),"Conversa sem agendamento",IF(OR(E2695&gt;TODAY(),F2695&gt;TODAY()),"Verificar evento futuro","OK"))))))))))</f>
        <v/>
      </c>
    </row>
    <row r="2696" spans="12:15">
      <c r="L2696" s="5">
        <f>IF(OR(A2696="",B2696=""),"",B2696-WEEKDAY(B2696,2)+1)</f>
        <v/>
      </c>
      <c r="M2696" s="5">
        <f>IF(L2696="","",L2696+6)</f>
        <v/>
      </c>
      <c r="N2696" s="6">
        <f>IF(OR(A2696="",B2696=""),"",DATE(YEAR(B2696),MONTH(B2696),1))</f>
        <v/>
      </c>
      <c r="O2696" s="7">
        <f>IF(COUNTA(A2696:K2696)=0,"",IF(OR(A2696="",B2696=""),"Preencher CPF e entrada",IF(COUNTIFS($A$12:$A$5011,A2696,$B$12:$B$5011,B2696)&gt;1,"CPF + dia duplicado",IF(OR(AND(G2696&lt;&gt;"",G2696&lt;&gt;0,G2696&lt;&gt;1),AND(H2696&lt;&gt;"",H2696&lt;&gt;0,H2696&lt;&gt;1)),"Flags devem ser 0 ou 1",IF(AND(H2696=1,LEN(TRIM(I2696))=0),"Preencher nome do indicante",IF(AND(H2696&lt;&gt;1,I2696&lt;&gt;""),"Nome sem indicação interna",IF(AND(G2696=1,F2696=""),"Fechamento sem conversa",IF(OR(AND(E2696&lt;&gt;"",E2696&lt;B2696),AND(F2696&lt;&gt;"",F2696&lt;B2696)),"Evento anterior à entrada",IF(AND(F2696&lt;&gt;"",E2696=""),"Conversa sem agendamento",IF(OR(E2696&gt;TODAY(),F2696&gt;TODAY()),"Verificar evento futuro","OK"))))))))))</f>
        <v/>
      </c>
    </row>
    <row r="2697" spans="12:15">
      <c r="L2697" s="5">
        <f>IF(OR(A2697="",B2697=""),"",B2697-WEEKDAY(B2697,2)+1)</f>
        <v/>
      </c>
      <c r="M2697" s="5">
        <f>IF(L2697="","",L2697+6)</f>
        <v/>
      </c>
      <c r="N2697" s="6">
        <f>IF(OR(A2697="",B2697=""),"",DATE(YEAR(B2697),MONTH(B2697),1))</f>
        <v/>
      </c>
      <c r="O2697" s="7">
        <f>IF(COUNTA(A2697:K2697)=0,"",IF(OR(A2697="",B2697=""),"Preencher CPF e entrada",IF(COUNTIFS($A$12:$A$5011,A2697,$B$12:$B$5011,B2697)&gt;1,"CPF + dia duplicado",IF(OR(AND(G2697&lt;&gt;"",G2697&lt;&gt;0,G2697&lt;&gt;1),AND(H2697&lt;&gt;"",H2697&lt;&gt;0,H2697&lt;&gt;1)),"Flags devem ser 0 ou 1",IF(AND(H2697=1,LEN(TRIM(I2697))=0),"Preencher nome do indicante",IF(AND(H2697&lt;&gt;1,I2697&lt;&gt;""),"Nome sem indicação interna",IF(AND(G2697=1,F2697=""),"Fechamento sem conversa",IF(OR(AND(E2697&lt;&gt;"",E2697&lt;B2697),AND(F2697&lt;&gt;"",F2697&lt;B2697)),"Evento anterior à entrada",IF(AND(F2697&lt;&gt;"",E2697=""),"Conversa sem agendamento",IF(OR(E2697&gt;TODAY(),F2697&gt;TODAY()),"Verificar evento futuro","OK"))))))))))</f>
        <v/>
      </c>
    </row>
    <row r="2698" spans="12:15">
      <c r="L2698" s="5">
        <f>IF(OR(A2698="",B2698=""),"",B2698-WEEKDAY(B2698,2)+1)</f>
        <v/>
      </c>
      <c r="M2698" s="5">
        <f>IF(L2698="","",L2698+6)</f>
        <v/>
      </c>
      <c r="N2698" s="6">
        <f>IF(OR(A2698="",B2698=""),"",DATE(YEAR(B2698),MONTH(B2698),1))</f>
        <v/>
      </c>
      <c r="O2698" s="7">
        <f>IF(COUNTA(A2698:K2698)=0,"",IF(OR(A2698="",B2698=""),"Preencher CPF e entrada",IF(COUNTIFS($A$12:$A$5011,A2698,$B$12:$B$5011,B2698)&gt;1,"CPF + dia duplicado",IF(OR(AND(G2698&lt;&gt;"",G2698&lt;&gt;0,G2698&lt;&gt;1),AND(H2698&lt;&gt;"",H2698&lt;&gt;0,H2698&lt;&gt;1)),"Flags devem ser 0 ou 1",IF(AND(H2698=1,LEN(TRIM(I2698))=0),"Preencher nome do indicante",IF(AND(H2698&lt;&gt;1,I2698&lt;&gt;""),"Nome sem indicação interna",IF(AND(G2698=1,F2698=""),"Fechamento sem conversa",IF(OR(AND(E2698&lt;&gt;"",E2698&lt;B2698),AND(F2698&lt;&gt;"",F2698&lt;B2698)),"Evento anterior à entrada",IF(AND(F2698&lt;&gt;"",E2698=""),"Conversa sem agendamento",IF(OR(E2698&gt;TODAY(),F2698&gt;TODAY()),"Verificar evento futuro","OK"))))))))))</f>
        <v/>
      </c>
    </row>
    <row r="2699" spans="12:15">
      <c r="L2699" s="5">
        <f>IF(OR(A2699="",B2699=""),"",B2699-WEEKDAY(B2699,2)+1)</f>
        <v/>
      </c>
      <c r="M2699" s="5">
        <f>IF(L2699="","",L2699+6)</f>
        <v/>
      </c>
      <c r="N2699" s="6">
        <f>IF(OR(A2699="",B2699=""),"",DATE(YEAR(B2699),MONTH(B2699),1))</f>
        <v/>
      </c>
      <c r="O2699" s="7">
        <f>IF(COUNTA(A2699:K2699)=0,"",IF(OR(A2699="",B2699=""),"Preencher CPF e entrada",IF(COUNTIFS($A$12:$A$5011,A2699,$B$12:$B$5011,B2699)&gt;1,"CPF + dia duplicado",IF(OR(AND(G2699&lt;&gt;"",G2699&lt;&gt;0,G2699&lt;&gt;1),AND(H2699&lt;&gt;"",H2699&lt;&gt;0,H2699&lt;&gt;1)),"Flags devem ser 0 ou 1",IF(AND(H2699=1,LEN(TRIM(I2699))=0),"Preencher nome do indicante",IF(AND(H2699&lt;&gt;1,I2699&lt;&gt;""),"Nome sem indicação interna",IF(AND(G2699=1,F2699=""),"Fechamento sem conversa",IF(OR(AND(E2699&lt;&gt;"",E2699&lt;B2699),AND(F2699&lt;&gt;"",F2699&lt;B2699)),"Evento anterior à entrada",IF(AND(F2699&lt;&gt;"",E2699=""),"Conversa sem agendamento",IF(OR(E2699&gt;TODAY(),F2699&gt;TODAY()),"Verificar evento futuro","OK"))))))))))</f>
        <v/>
      </c>
    </row>
    <row r="2700" spans="12:15">
      <c r="L2700" s="5">
        <f>IF(OR(A2700="",B2700=""),"",B2700-WEEKDAY(B2700,2)+1)</f>
        <v/>
      </c>
      <c r="M2700" s="5">
        <f>IF(L2700="","",L2700+6)</f>
        <v/>
      </c>
      <c r="N2700" s="6">
        <f>IF(OR(A2700="",B2700=""),"",DATE(YEAR(B2700),MONTH(B2700),1))</f>
        <v/>
      </c>
      <c r="O2700" s="7">
        <f>IF(COUNTA(A2700:K2700)=0,"",IF(OR(A2700="",B2700=""),"Preencher CPF e entrada",IF(COUNTIFS($A$12:$A$5011,A2700,$B$12:$B$5011,B2700)&gt;1,"CPF + dia duplicado",IF(OR(AND(G2700&lt;&gt;"",G2700&lt;&gt;0,G2700&lt;&gt;1),AND(H2700&lt;&gt;"",H2700&lt;&gt;0,H2700&lt;&gt;1)),"Flags devem ser 0 ou 1",IF(AND(H2700=1,LEN(TRIM(I2700))=0),"Preencher nome do indicante",IF(AND(H2700&lt;&gt;1,I2700&lt;&gt;""),"Nome sem indicação interna",IF(AND(G2700=1,F2700=""),"Fechamento sem conversa",IF(OR(AND(E2700&lt;&gt;"",E2700&lt;B2700),AND(F2700&lt;&gt;"",F2700&lt;B2700)),"Evento anterior à entrada",IF(AND(F2700&lt;&gt;"",E2700=""),"Conversa sem agendamento",IF(OR(E2700&gt;TODAY(),F2700&gt;TODAY()),"Verificar evento futuro","OK"))))))))))</f>
        <v/>
      </c>
    </row>
    <row r="2701" spans="12:15">
      <c r="L2701" s="5">
        <f>IF(OR(A2701="",B2701=""),"",B2701-WEEKDAY(B2701,2)+1)</f>
        <v/>
      </c>
      <c r="M2701" s="5">
        <f>IF(L2701="","",L2701+6)</f>
        <v/>
      </c>
      <c r="N2701" s="6">
        <f>IF(OR(A2701="",B2701=""),"",DATE(YEAR(B2701),MONTH(B2701),1))</f>
        <v/>
      </c>
      <c r="O2701" s="7">
        <f>IF(COUNTA(A2701:K2701)=0,"",IF(OR(A2701="",B2701=""),"Preencher CPF e entrada",IF(COUNTIFS($A$12:$A$5011,A2701,$B$12:$B$5011,B2701)&gt;1,"CPF + dia duplicado",IF(OR(AND(G2701&lt;&gt;"",G2701&lt;&gt;0,G2701&lt;&gt;1),AND(H2701&lt;&gt;"",H2701&lt;&gt;0,H2701&lt;&gt;1)),"Flags devem ser 0 ou 1",IF(AND(H2701=1,LEN(TRIM(I2701))=0),"Preencher nome do indicante",IF(AND(H2701&lt;&gt;1,I2701&lt;&gt;""),"Nome sem indicação interna",IF(AND(G2701=1,F2701=""),"Fechamento sem conversa",IF(OR(AND(E2701&lt;&gt;"",E2701&lt;B2701),AND(F2701&lt;&gt;"",F2701&lt;B2701)),"Evento anterior à entrada",IF(AND(F2701&lt;&gt;"",E2701=""),"Conversa sem agendamento",IF(OR(E2701&gt;TODAY(),F2701&gt;TODAY()),"Verificar evento futuro","OK"))))))))))</f>
        <v/>
      </c>
    </row>
    <row r="2702" spans="12:15">
      <c r="L2702" s="5">
        <f>IF(OR(A2702="",B2702=""),"",B2702-WEEKDAY(B2702,2)+1)</f>
        <v/>
      </c>
      <c r="M2702" s="5">
        <f>IF(L2702="","",L2702+6)</f>
        <v/>
      </c>
      <c r="N2702" s="6">
        <f>IF(OR(A2702="",B2702=""),"",DATE(YEAR(B2702),MONTH(B2702),1))</f>
        <v/>
      </c>
      <c r="O2702" s="7">
        <f>IF(COUNTA(A2702:K2702)=0,"",IF(OR(A2702="",B2702=""),"Preencher CPF e entrada",IF(COUNTIFS($A$12:$A$5011,A2702,$B$12:$B$5011,B2702)&gt;1,"CPF + dia duplicado",IF(OR(AND(G2702&lt;&gt;"",G2702&lt;&gt;0,G2702&lt;&gt;1),AND(H2702&lt;&gt;"",H2702&lt;&gt;0,H2702&lt;&gt;1)),"Flags devem ser 0 ou 1",IF(AND(H2702=1,LEN(TRIM(I2702))=0),"Preencher nome do indicante",IF(AND(H2702&lt;&gt;1,I2702&lt;&gt;""),"Nome sem indicação interna",IF(AND(G2702=1,F2702=""),"Fechamento sem conversa",IF(OR(AND(E2702&lt;&gt;"",E2702&lt;B2702),AND(F2702&lt;&gt;"",F2702&lt;B2702)),"Evento anterior à entrada",IF(AND(F2702&lt;&gt;"",E2702=""),"Conversa sem agendamento",IF(OR(E2702&gt;TODAY(),F2702&gt;TODAY()),"Verificar evento futuro","OK"))))))))))</f>
        <v/>
      </c>
    </row>
    <row r="2703" spans="12:15">
      <c r="L2703" s="5">
        <f>IF(OR(A2703="",B2703=""),"",B2703-WEEKDAY(B2703,2)+1)</f>
        <v/>
      </c>
      <c r="M2703" s="5">
        <f>IF(L2703="","",L2703+6)</f>
        <v/>
      </c>
      <c r="N2703" s="6">
        <f>IF(OR(A2703="",B2703=""),"",DATE(YEAR(B2703),MONTH(B2703),1))</f>
        <v/>
      </c>
      <c r="O2703" s="7">
        <f>IF(COUNTA(A2703:K2703)=0,"",IF(OR(A2703="",B2703=""),"Preencher CPF e entrada",IF(COUNTIFS($A$12:$A$5011,A2703,$B$12:$B$5011,B2703)&gt;1,"CPF + dia duplicado",IF(OR(AND(G2703&lt;&gt;"",G2703&lt;&gt;0,G2703&lt;&gt;1),AND(H2703&lt;&gt;"",H2703&lt;&gt;0,H2703&lt;&gt;1)),"Flags devem ser 0 ou 1",IF(AND(H2703=1,LEN(TRIM(I2703))=0),"Preencher nome do indicante",IF(AND(H2703&lt;&gt;1,I2703&lt;&gt;""),"Nome sem indicação interna",IF(AND(G2703=1,F2703=""),"Fechamento sem conversa",IF(OR(AND(E2703&lt;&gt;"",E2703&lt;B2703),AND(F2703&lt;&gt;"",F2703&lt;B2703)),"Evento anterior à entrada",IF(AND(F2703&lt;&gt;"",E2703=""),"Conversa sem agendamento",IF(OR(E2703&gt;TODAY(),F2703&gt;TODAY()),"Verificar evento futuro","OK"))))))))))</f>
        <v/>
      </c>
    </row>
    <row r="2704" spans="12:15">
      <c r="L2704" s="5">
        <f>IF(OR(A2704="",B2704=""),"",B2704-WEEKDAY(B2704,2)+1)</f>
        <v/>
      </c>
      <c r="M2704" s="5">
        <f>IF(L2704="","",L2704+6)</f>
        <v/>
      </c>
      <c r="N2704" s="6">
        <f>IF(OR(A2704="",B2704=""),"",DATE(YEAR(B2704),MONTH(B2704),1))</f>
        <v/>
      </c>
      <c r="O2704" s="7">
        <f>IF(COUNTA(A2704:K2704)=0,"",IF(OR(A2704="",B2704=""),"Preencher CPF e entrada",IF(COUNTIFS($A$12:$A$5011,A2704,$B$12:$B$5011,B2704)&gt;1,"CPF + dia duplicado",IF(OR(AND(G2704&lt;&gt;"",G2704&lt;&gt;0,G2704&lt;&gt;1),AND(H2704&lt;&gt;"",H2704&lt;&gt;0,H2704&lt;&gt;1)),"Flags devem ser 0 ou 1",IF(AND(H2704=1,LEN(TRIM(I2704))=0),"Preencher nome do indicante",IF(AND(H2704&lt;&gt;1,I2704&lt;&gt;""),"Nome sem indicação interna",IF(AND(G2704=1,F2704=""),"Fechamento sem conversa",IF(OR(AND(E2704&lt;&gt;"",E2704&lt;B2704),AND(F2704&lt;&gt;"",F2704&lt;B2704)),"Evento anterior à entrada",IF(AND(F2704&lt;&gt;"",E2704=""),"Conversa sem agendamento",IF(OR(E2704&gt;TODAY(),F2704&gt;TODAY()),"Verificar evento futuro","OK"))))))))))</f>
        <v/>
      </c>
    </row>
    <row r="2705" spans="12:15">
      <c r="L2705" s="5">
        <f>IF(OR(A2705="",B2705=""),"",B2705-WEEKDAY(B2705,2)+1)</f>
        <v/>
      </c>
      <c r="M2705" s="5">
        <f>IF(L2705="","",L2705+6)</f>
        <v/>
      </c>
      <c r="N2705" s="6">
        <f>IF(OR(A2705="",B2705=""),"",DATE(YEAR(B2705),MONTH(B2705),1))</f>
        <v/>
      </c>
      <c r="O2705" s="7">
        <f>IF(COUNTA(A2705:K2705)=0,"",IF(OR(A2705="",B2705=""),"Preencher CPF e entrada",IF(COUNTIFS($A$12:$A$5011,A2705,$B$12:$B$5011,B2705)&gt;1,"CPF + dia duplicado",IF(OR(AND(G2705&lt;&gt;"",G2705&lt;&gt;0,G2705&lt;&gt;1),AND(H2705&lt;&gt;"",H2705&lt;&gt;0,H2705&lt;&gt;1)),"Flags devem ser 0 ou 1",IF(AND(H2705=1,LEN(TRIM(I2705))=0),"Preencher nome do indicante",IF(AND(H2705&lt;&gt;1,I2705&lt;&gt;""),"Nome sem indicação interna",IF(AND(G2705=1,F2705=""),"Fechamento sem conversa",IF(OR(AND(E2705&lt;&gt;"",E2705&lt;B2705),AND(F2705&lt;&gt;"",F2705&lt;B2705)),"Evento anterior à entrada",IF(AND(F2705&lt;&gt;"",E2705=""),"Conversa sem agendamento",IF(OR(E2705&gt;TODAY(),F2705&gt;TODAY()),"Verificar evento futuro","OK"))))))))))</f>
        <v/>
      </c>
    </row>
    <row r="2706" spans="12:15">
      <c r="L2706" s="5">
        <f>IF(OR(A2706="",B2706=""),"",B2706-WEEKDAY(B2706,2)+1)</f>
        <v/>
      </c>
      <c r="M2706" s="5">
        <f>IF(L2706="","",L2706+6)</f>
        <v/>
      </c>
      <c r="N2706" s="6">
        <f>IF(OR(A2706="",B2706=""),"",DATE(YEAR(B2706),MONTH(B2706),1))</f>
        <v/>
      </c>
      <c r="O2706" s="7">
        <f>IF(COUNTA(A2706:K2706)=0,"",IF(OR(A2706="",B2706=""),"Preencher CPF e entrada",IF(COUNTIFS($A$12:$A$5011,A2706,$B$12:$B$5011,B2706)&gt;1,"CPF + dia duplicado",IF(OR(AND(G2706&lt;&gt;"",G2706&lt;&gt;0,G2706&lt;&gt;1),AND(H2706&lt;&gt;"",H2706&lt;&gt;0,H2706&lt;&gt;1)),"Flags devem ser 0 ou 1",IF(AND(H2706=1,LEN(TRIM(I2706))=0),"Preencher nome do indicante",IF(AND(H2706&lt;&gt;1,I2706&lt;&gt;""),"Nome sem indicação interna",IF(AND(G2706=1,F2706=""),"Fechamento sem conversa",IF(OR(AND(E2706&lt;&gt;"",E2706&lt;B2706),AND(F2706&lt;&gt;"",F2706&lt;B2706)),"Evento anterior à entrada",IF(AND(F2706&lt;&gt;"",E2706=""),"Conversa sem agendamento",IF(OR(E2706&gt;TODAY(),F2706&gt;TODAY()),"Verificar evento futuro","OK"))))))))))</f>
        <v/>
      </c>
    </row>
    <row r="2707" spans="12:15">
      <c r="L2707" s="5">
        <f>IF(OR(A2707="",B2707=""),"",B2707-WEEKDAY(B2707,2)+1)</f>
        <v/>
      </c>
      <c r="M2707" s="5">
        <f>IF(L2707="","",L2707+6)</f>
        <v/>
      </c>
      <c r="N2707" s="6">
        <f>IF(OR(A2707="",B2707=""),"",DATE(YEAR(B2707),MONTH(B2707),1))</f>
        <v/>
      </c>
      <c r="O2707" s="7">
        <f>IF(COUNTA(A2707:K2707)=0,"",IF(OR(A2707="",B2707=""),"Preencher CPF e entrada",IF(COUNTIFS($A$12:$A$5011,A2707,$B$12:$B$5011,B2707)&gt;1,"CPF + dia duplicado",IF(OR(AND(G2707&lt;&gt;"",G2707&lt;&gt;0,G2707&lt;&gt;1),AND(H2707&lt;&gt;"",H2707&lt;&gt;0,H2707&lt;&gt;1)),"Flags devem ser 0 ou 1",IF(AND(H2707=1,LEN(TRIM(I2707))=0),"Preencher nome do indicante",IF(AND(H2707&lt;&gt;1,I2707&lt;&gt;""),"Nome sem indicação interna",IF(AND(G2707=1,F2707=""),"Fechamento sem conversa",IF(OR(AND(E2707&lt;&gt;"",E2707&lt;B2707),AND(F2707&lt;&gt;"",F2707&lt;B2707)),"Evento anterior à entrada",IF(AND(F2707&lt;&gt;"",E2707=""),"Conversa sem agendamento",IF(OR(E2707&gt;TODAY(),F2707&gt;TODAY()),"Verificar evento futuro","OK"))))))))))</f>
        <v/>
      </c>
    </row>
    <row r="2708" spans="12:15">
      <c r="L2708" s="5">
        <f>IF(OR(A2708="",B2708=""),"",B2708-WEEKDAY(B2708,2)+1)</f>
        <v/>
      </c>
      <c r="M2708" s="5">
        <f>IF(L2708="","",L2708+6)</f>
        <v/>
      </c>
      <c r="N2708" s="6">
        <f>IF(OR(A2708="",B2708=""),"",DATE(YEAR(B2708),MONTH(B2708),1))</f>
        <v/>
      </c>
      <c r="O2708" s="7">
        <f>IF(COUNTA(A2708:K2708)=0,"",IF(OR(A2708="",B2708=""),"Preencher CPF e entrada",IF(COUNTIFS($A$12:$A$5011,A2708,$B$12:$B$5011,B2708)&gt;1,"CPF + dia duplicado",IF(OR(AND(G2708&lt;&gt;"",G2708&lt;&gt;0,G2708&lt;&gt;1),AND(H2708&lt;&gt;"",H2708&lt;&gt;0,H2708&lt;&gt;1)),"Flags devem ser 0 ou 1",IF(AND(H2708=1,LEN(TRIM(I2708))=0),"Preencher nome do indicante",IF(AND(H2708&lt;&gt;1,I2708&lt;&gt;""),"Nome sem indicação interna",IF(AND(G2708=1,F2708=""),"Fechamento sem conversa",IF(OR(AND(E2708&lt;&gt;"",E2708&lt;B2708),AND(F2708&lt;&gt;"",F2708&lt;B2708)),"Evento anterior à entrada",IF(AND(F2708&lt;&gt;"",E2708=""),"Conversa sem agendamento",IF(OR(E2708&gt;TODAY(),F2708&gt;TODAY()),"Verificar evento futuro","OK"))))))))))</f>
        <v/>
      </c>
    </row>
    <row r="2709" spans="12:15">
      <c r="L2709" s="5">
        <f>IF(OR(A2709="",B2709=""),"",B2709-WEEKDAY(B2709,2)+1)</f>
        <v/>
      </c>
      <c r="M2709" s="5">
        <f>IF(L2709="","",L2709+6)</f>
        <v/>
      </c>
      <c r="N2709" s="6">
        <f>IF(OR(A2709="",B2709=""),"",DATE(YEAR(B2709),MONTH(B2709),1))</f>
        <v/>
      </c>
      <c r="O2709" s="7">
        <f>IF(COUNTA(A2709:K2709)=0,"",IF(OR(A2709="",B2709=""),"Preencher CPF e entrada",IF(COUNTIFS($A$12:$A$5011,A2709,$B$12:$B$5011,B2709)&gt;1,"CPF + dia duplicado",IF(OR(AND(G2709&lt;&gt;"",G2709&lt;&gt;0,G2709&lt;&gt;1),AND(H2709&lt;&gt;"",H2709&lt;&gt;0,H2709&lt;&gt;1)),"Flags devem ser 0 ou 1",IF(AND(H2709=1,LEN(TRIM(I2709))=0),"Preencher nome do indicante",IF(AND(H2709&lt;&gt;1,I2709&lt;&gt;""),"Nome sem indicação interna",IF(AND(G2709=1,F2709=""),"Fechamento sem conversa",IF(OR(AND(E2709&lt;&gt;"",E2709&lt;B2709),AND(F2709&lt;&gt;"",F2709&lt;B2709)),"Evento anterior à entrada",IF(AND(F2709&lt;&gt;"",E2709=""),"Conversa sem agendamento",IF(OR(E2709&gt;TODAY(),F2709&gt;TODAY()),"Verificar evento futuro","OK"))))))))))</f>
        <v/>
      </c>
    </row>
    <row r="2710" spans="12:15">
      <c r="L2710" s="5">
        <f>IF(OR(A2710="",B2710=""),"",B2710-WEEKDAY(B2710,2)+1)</f>
        <v/>
      </c>
      <c r="M2710" s="5">
        <f>IF(L2710="","",L2710+6)</f>
        <v/>
      </c>
      <c r="N2710" s="6">
        <f>IF(OR(A2710="",B2710=""),"",DATE(YEAR(B2710),MONTH(B2710),1))</f>
        <v/>
      </c>
      <c r="O2710" s="7">
        <f>IF(COUNTA(A2710:K2710)=0,"",IF(OR(A2710="",B2710=""),"Preencher CPF e entrada",IF(COUNTIFS($A$12:$A$5011,A2710,$B$12:$B$5011,B2710)&gt;1,"CPF + dia duplicado",IF(OR(AND(G2710&lt;&gt;"",G2710&lt;&gt;0,G2710&lt;&gt;1),AND(H2710&lt;&gt;"",H2710&lt;&gt;0,H2710&lt;&gt;1)),"Flags devem ser 0 ou 1",IF(AND(H2710=1,LEN(TRIM(I2710))=0),"Preencher nome do indicante",IF(AND(H2710&lt;&gt;1,I2710&lt;&gt;""),"Nome sem indicação interna",IF(AND(G2710=1,F2710=""),"Fechamento sem conversa",IF(OR(AND(E2710&lt;&gt;"",E2710&lt;B2710),AND(F2710&lt;&gt;"",F2710&lt;B2710)),"Evento anterior à entrada",IF(AND(F2710&lt;&gt;"",E2710=""),"Conversa sem agendamento",IF(OR(E2710&gt;TODAY(),F2710&gt;TODAY()),"Verificar evento futuro","OK"))))))))))</f>
        <v/>
      </c>
    </row>
    <row r="2711" spans="12:15">
      <c r="L2711" s="5">
        <f>IF(OR(A2711="",B2711=""),"",B2711-WEEKDAY(B2711,2)+1)</f>
        <v/>
      </c>
      <c r="M2711" s="5">
        <f>IF(L2711="","",L2711+6)</f>
        <v/>
      </c>
      <c r="N2711" s="6">
        <f>IF(OR(A2711="",B2711=""),"",DATE(YEAR(B2711),MONTH(B2711),1))</f>
        <v/>
      </c>
      <c r="O2711" s="7">
        <f>IF(COUNTA(A2711:K2711)=0,"",IF(OR(A2711="",B2711=""),"Preencher CPF e entrada",IF(COUNTIFS($A$12:$A$5011,A2711,$B$12:$B$5011,B2711)&gt;1,"CPF + dia duplicado",IF(OR(AND(G2711&lt;&gt;"",G2711&lt;&gt;0,G2711&lt;&gt;1),AND(H2711&lt;&gt;"",H2711&lt;&gt;0,H2711&lt;&gt;1)),"Flags devem ser 0 ou 1",IF(AND(H2711=1,LEN(TRIM(I2711))=0),"Preencher nome do indicante",IF(AND(H2711&lt;&gt;1,I2711&lt;&gt;""),"Nome sem indicação interna",IF(AND(G2711=1,F2711=""),"Fechamento sem conversa",IF(OR(AND(E2711&lt;&gt;"",E2711&lt;B2711),AND(F2711&lt;&gt;"",F2711&lt;B2711)),"Evento anterior à entrada",IF(AND(F2711&lt;&gt;"",E2711=""),"Conversa sem agendamento",IF(OR(E2711&gt;TODAY(),F2711&gt;TODAY()),"Verificar evento futuro","OK"))))))))))</f>
        <v/>
      </c>
    </row>
    <row r="2712" spans="12:15">
      <c r="L2712" s="5">
        <f>IF(OR(A2712="",B2712=""),"",B2712-WEEKDAY(B2712,2)+1)</f>
        <v/>
      </c>
      <c r="M2712" s="5">
        <f>IF(L2712="","",L2712+6)</f>
        <v/>
      </c>
      <c r="N2712" s="6">
        <f>IF(OR(A2712="",B2712=""),"",DATE(YEAR(B2712),MONTH(B2712),1))</f>
        <v/>
      </c>
      <c r="O2712" s="7">
        <f>IF(COUNTA(A2712:K2712)=0,"",IF(OR(A2712="",B2712=""),"Preencher CPF e entrada",IF(COUNTIFS($A$12:$A$5011,A2712,$B$12:$B$5011,B2712)&gt;1,"CPF + dia duplicado",IF(OR(AND(G2712&lt;&gt;"",G2712&lt;&gt;0,G2712&lt;&gt;1),AND(H2712&lt;&gt;"",H2712&lt;&gt;0,H2712&lt;&gt;1)),"Flags devem ser 0 ou 1",IF(AND(H2712=1,LEN(TRIM(I2712))=0),"Preencher nome do indicante",IF(AND(H2712&lt;&gt;1,I2712&lt;&gt;""),"Nome sem indicação interna",IF(AND(G2712=1,F2712=""),"Fechamento sem conversa",IF(OR(AND(E2712&lt;&gt;"",E2712&lt;B2712),AND(F2712&lt;&gt;"",F2712&lt;B2712)),"Evento anterior à entrada",IF(AND(F2712&lt;&gt;"",E2712=""),"Conversa sem agendamento",IF(OR(E2712&gt;TODAY(),F2712&gt;TODAY()),"Verificar evento futuro","OK"))))))))))</f>
        <v/>
      </c>
    </row>
    <row r="2713" spans="12:15">
      <c r="L2713" s="5">
        <f>IF(OR(A2713="",B2713=""),"",B2713-WEEKDAY(B2713,2)+1)</f>
        <v/>
      </c>
      <c r="M2713" s="5">
        <f>IF(L2713="","",L2713+6)</f>
        <v/>
      </c>
      <c r="N2713" s="6">
        <f>IF(OR(A2713="",B2713=""),"",DATE(YEAR(B2713),MONTH(B2713),1))</f>
        <v/>
      </c>
      <c r="O2713" s="7">
        <f>IF(COUNTA(A2713:K2713)=0,"",IF(OR(A2713="",B2713=""),"Preencher CPF e entrada",IF(COUNTIFS($A$12:$A$5011,A2713,$B$12:$B$5011,B2713)&gt;1,"CPF + dia duplicado",IF(OR(AND(G2713&lt;&gt;"",G2713&lt;&gt;0,G2713&lt;&gt;1),AND(H2713&lt;&gt;"",H2713&lt;&gt;0,H2713&lt;&gt;1)),"Flags devem ser 0 ou 1",IF(AND(H2713=1,LEN(TRIM(I2713))=0),"Preencher nome do indicante",IF(AND(H2713&lt;&gt;1,I2713&lt;&gt;""),"Nome sem indicação interna",IF(AND(G2713=1,F2713=""),"Fechamento sem conversa",IF(OR(AND(E2713&lt;&gt;"",E2713&lt;B2713),AND(F2713&lt;&gt;"",F2713&lt;B2713)),"Evento anterior à entrada",IF(AND(F2713&lt;&gt;"",E2713=""),"Conversa sem agendamento",IF(OR(E2713&gt;TODAY(),F2713&gt;TODAY()),"Verificar evento futuro","OK"))))))))))</f>
        <v/>
      </c>
    </row>
    <row r="2714" spans="12:15">
      <c r="L2714" s="5">
        <f>IF(OR(A2714="",B2714=""),"",B2714-WEEKDAY(B2714,2)+1)</f>
        <v/>
      </c>
      <c r="M2714" s="5">
        <f>IF(L2714="","",L2714+6)</f>
        <v/>
      </c>
      <c r="N2714" s="6">
        <f>IF(OR(A2714="",B2714=""),"",DATE(YEAR(B2714),MONTH(B2714),1))</f>
        <v/>
      </c>
      <c r="O2714" s="7">
        <f>IF(COUNTA(A2714:K2714)=0,"",IF(OR(A2714="",B2714=""),"Preencher CPF e entrada",IF(COUNTIFS($A$12:$A$5011,A2714,$B$12:$B$5011,B2714)&gt;1,"CPF + dia duplicado",IF(OR(AND(G2714&lt;&gt;"",G2714&lt;&gt;0,G2714&lt;&gt;1),AND(H2714&lt;&gt;"",H2714&lt;&gt;0,H2714&lt;&gt;1)),"Flags devem ser 0 ou 1",IF(AND(H2714=1,LEN(TRIM(I2714))=0),"Preencher nome do indicante",IF(AND(H2714&lt;&gt;1,I2714&lt;&gt;""),"Nome sem indicação interna",IF(AND(G2714=1,F2714=""),"Fechamento sem conversa",IF(OR(AND(E2714&lt;&gt;"",E2714&lt;B2714),AND(F2714&lt;&gt;"",F2714&lt;B2714)),"Evento anterior à entrada",IF(AND(F2714&lt;&gt;"",E2714=""),"Conversa sem agendamento",IF(OR(E2714&gt;TODAY(),F2714&gt;TODAY()),"Verificar evento futuro","OK"))))))))))</f>
        <v/>
      </c>
    </row>
    <row r="2715" spans="12:15">
      <c r="L2715" s="5">
        <f>IF(OR(A2715="",B2715=""),"",B2715-WEEKDAY(B2715,2)+1)</f>
        <v/>
      </c>
      <c r="M2715" s="5">
        <f>IF(L2715="","",L2715+6)</f>
        <v/>
      </c>
      <c r="N2715" s="6">
        <f>IF(OR(A2715="",B2715=""),"",DATE(YEAR(B2715),MONTH(B2715),1))</f>
        <v/>
      </c>
      <c r="O2715" s="7">
        <f>IF(COUNTA(A2715:K2715)=0,"",IF(OR(A2715="",B2715=""),"Preencher CPF e entrada",IF(COUNTIFS($A$12:$A$5011,A2715,$B$12:$B$5011,B2715)&gt;1,"CPF + dia duplicado",IF(OR(AND(G2715&lt;&gt;"",G2715&lt;&gt;0,G2715&lt;&gt;1),AND(H2715&lt;&gt;"",H2715&lt;&gt;0,H2715&lt;&gt;1)),"Flags devem ser 0 ou 1",IF(AND(H2715=1,LEN(TRIM(I2715))=0),"Preencher nome do indicante",IF(AND(H2715&lt;&gt;1,I2715&lt;&gt;""),"Nome sem indicação interna",IF(AND(G2715=1,F2715=""),"Fechamento sem conversa",IF(OR(AND(E2715&lt;&gt;"",E2715&lt;B2715),AND(F2715&lt;&gt;"",F2715&lt;B2715)),"Evento anterior à entrada",IF(AND(F2715&lt;&gt;"",E2715=""),"Conversa sem agendamento",IF(OR(E2715&gt;TODAY(),F2715&gt;TODAY()),"Verificar evento futuro","OK"))))))))))</f>
        <v/>
      </c>
    </row>
    <row r="2716" spans="12:15">
      <c r="L2716" s="5">
        <f>IF(OR(A2716="",B2716=""),"",B2716-WEEKDAY(B2716,2)+1)</f>
        <v/>
      </c>
      <c r="M2716" s="5">
        <f>IF(L2716="","",L2716+6)</f>
        <v/>
      </c>
      <c r="N2716" s="6">
        <f>IF(OR(A2716="",B2716=""),"",DATE(YEAR(B2716),MONTH(B2716),1))</f>
        <v/>
      </c>
      <c r="O2716" s="7">
        <f>IF(COUNTA(A2716:K2716)=0,"",IF(OR(A2716="",B2716=""),"Preencher CPF e entrada",IF(COUNTIFS($A$12:$A$5011,A2716,$B$12:$B$5011,B2716)&gt;1,"CPF + dia duplicado",IF(OR(AND(G2716&lt;&gt;"",G2716&lt;&gt;0,G2716&lt;&gt;1),AND(H2716&lt;&gt;"",H2716&lt;&gt;0,H2716&lt;&gt;1)),"Flags devem ser 0 ou 1",IF(AND(H2716=1,LEN(TRIM(I2716))=0),"Preencher nome do indicante",IF(AND(H2716&lt;&gt;1,I2716&lt;&gt;""),"Nome sem indicação interna",IF(AND(G2716=1,F2716=""),"Fechamento sem conversa",IF(OR(AND(E2716&lt;&gt;"",E2716&lt;B2716),AND(F2716&lt;&gt;"",F2716&lt;B2716)),"Evento anterior à entrada",IF(AND(F2716&lt;&gt;"",E2716=""),"Conversa sem agendamento",IF(OR(E2716&gt;TODAY(),F2716&gt;TODAY()),"Verificar evento futuro","OK"))))))))))</f>
        <v/>
      </c>
    </row>
    <row r="2717" spans="12:15">
      <c r="L2717" s="5">
        <f>IF(OR(A2717="",B2717=""),"",B2717-WEEKDAY(B2717,2)+1)</f>
        <v/>
      </c>
      <c r="M2717" s="5">
        <f>IF(L2717="","",L2717+6)</f>
        <v/>
      </c>
      <c r="N2717" s="6">
        <f>IF(OR(A2717="",B2717=""),"",DATE(YEAR(B2717),MONTH(B2717),1))</f>
        <v/>
      </c>
      <c r="O2717" s="7">
        <f>IF(COUNTA(A2717:K2717)=0,"",IF(OR(A2717="",B2717=""),"Preencher CPF e entrada",IF(COUNTIFS($A$12:$A$5011,A2717,$B$12:$B$5011,B2717)&gt;1,"CPF + dia duplicado",IF(OR(AND(G2717&lt;&gt;"",G2717&lt;&gt;0,G2717&lt;&gt;1),AND(H2717&lt;&gt;"",H2717&lt;&gt;0,H2717&lt;&gt;1)),"Flags devem ser 0 ou 1",IF(AND(H2717=1,LEN(TRIM(I2717))=0),"Preencher nome do indicante",IF(AND(H2717&lt;&gt;1,I2717&lt;&gt;""),"Nome sem indicação interna",IF(AND(G2717=1,F2717=""),"Fechamento sem conversa",IF(OR(AND(E2717&lt;&gt;"",E2717&lt;B2717),AND(F2717&lt;&gt;"",F2717&lt;B2717)),"Evento anterior à entrada",IF(AND(F2717&lt;&gt;"",E2717=""),"Conversa sem agendamento",IF(OR(E2717&gt;TODAY(),F2717&gt;TODAY()),"Verificar evento futuro","OK"))))))))))</f>
        <v/>
      </c>
    </row>
    <row r="2718" spans="12:15">
      <c r="L2718" s="5">
        <f>IF(OR(A2718="",B2718=""),"",B2718-WEEKDAY(B2718,2)+1)</f>
        <v/>
      </c>
      <c r="M2718" s="5">
        <f>IF(L2718="","",L2718+6)</f>
        <v/>
      </c>
      <c r="N2718" s="6">
        <f>IF(OR(A2718="",B2718=""),"",DATE(YEAR(B2718),MONTH(B2718),1))</f>
        <v/>
      </c>
      <c r="O2718" s="7">
        <f>IF(COUNTA(A2718:K2718)=0,"",IF(OR(A2718="",B2718=""),"Preencher CPF e entrada",IF(COUNTIFS($A$12:$A$5011,A2718,$B$12:$B$5011,B2718)&gt;1,"CPF + dia duplicado",IF(OR(AND(G2718&lt;&gt;"",G2718&lt;&gt;0,G2718&lt;&gt;1),AND(H2718&lt;&gt;"",H2718&lt;&gt;0,H2718&lt;&gt;1)),"Flags devem ser 0 ou 1",IF(AND(H2718=1,LEN(TRIM(I2718))=0),"Preencher nome do indicante",IF(AND(H2718&lt;&gt;1,I2718&lt;&gt;""),"Nome sem indicação interna",IF(AND(G2718=1,F2718=""),"Fechamento sem conversa",IF(OR(AND(E2718&lt;&gt;"",E2718&lt;B2718),AND(F2718&lt;&gt;"",F2718&lt;B2718)),"Evento anterior à entrada",IF(AND(F2718&lt;&gt;"",E2718=""),"Conversa sem agendamento",IF(OR(E2718&gt;TODAY(),F2718&gt;TODAY()),"Verificar evento futuro","OK"))))))))))</f>
        <v/>
      </c>
    </row>
    <row r="2719" spans="12:15">
      <c r="L2719" s="5">
        <f>IF(OR(A2719="",B2719=""),"",B2719-WEEKDAY(B2719,2)+1)</f>
        <v/>
      </c>
      <c r="M2719" s="5">
        <f>IF(L2719="","",L2719+6)</f>
        <v/>
      </c>
      <c r="N2719" s="6">
        <f>IF(OR(A2719="",B2719=""),"",DATE(YEAR(B2719),MONTH(B2719),1))</f>
        <v/>
      </c>
      <c r="O2719" s="7">
        <f>IF(COUNTA(A2719:K2719)=0,"",IF(OR(A2719="",B2719=""),"Preencher CPF e entrada",IF(COUNTIFS($A$12:$A$5011,A2719,$B$12:$B$5011,B2719)&gt;1,"CPF + dia duplicado",IF(OR(AND(G2719&lt;&gt;"",G2719&lt;&gt;0,G2719&lt;&gt;1),AND(H2719&lt;&gt;"",H2719&lt;&gt;0,H2719&lt;&gt;1)),"Flags devem ser 0 ou 1",IF(AND(H2719=1,LEN(TRIM(I2719))=0),"Preencher nome do indicante",IF(AND(H2719&lt;&gt;1,I2719&lt;&gt;""),"Nome sem indicação interna",IF(AND(G2719=1,F2719=""),"Fechamento sem conversa",IF(OR(AND(E2719&lt;&gt;"",E2719&lt;B2719),AND(F2719&lt;&gt;"",F2719&lt;B2719)),"Evento anterior à entrada",IF(AND(F2719&lt;&gt;"",E2719=""),"Conversa sem agendamento",IF(OR(E2719&gt;TODAY(),F2719&gt;TODAY()),"Verificar evento futuro","OK"))))))))))</f>
        <v/>
      </c>
    </row>
    <row r="2720" spans="12:15">
      <c r="L2720" s="5">
        <f>IF(OR(A2720="",B2720=""),"",B2720-WEEKDAY(B2720,2)+1)</f>
        <v/>
      </c>
      <c r="M2720" s="5">
        <f>IF(L2720="","",L2720+6)</f>
        <v/>
      </c>
      <c r="N2720" s="6">
        <f>IF(OR(A2720="",B2720=""),"",DATE(YEAR(B2720),MONTH(B2720),1))</f>
        <v/>
      </c>
      <c r="O2720" s="7">
        <f>IF(COUNTA(A2720:K2720)=0,"",IF(OR(A2720="",B2720=""),"Preencher CPF e entrada",IF(COUNTIFS($A$12:$A$5011,A2720,$B$12:$B$5011,B2720)&gt;1,"CPF + dia duplicado",IF(OR(AND(G2720&lt;&gt;"",G2720&lt;&gt;0,G2720&lt;&gt;1),AND(H2720&lt;&gt;"",H2720&lt;&gt;0,H2720&lt;&gt;1)),"Flags devem ser 0 ou 1",IF(AND(H2720=1,LEN(TRIM(I2720))=0),"Preencher nome do indicante",IF(AND(H2720&lt;&gt;1,I2720&lt;&gt;""),"Nome sem indicação interna",IF(AND(G2720=1,F2720=""),"Fechamento sem conversa",IF(OR(AND(E2720&lt;&gt;"",E2720&lt;B2720),AND(F2720&lt;&gt;"",F2720&lt;B2720)),"Evento anterior à entrada",IF(AND(F2720&lt;&gt;"",E2720=""),"Conversa sem agendamento",IF(OR(E2720&gt;TODAY(),F2720&gt;TODAY()),"Verificar evento futuro","OK"))))))))))</f>
        <v/>
      </c>
    </row>
    <row r="2721" spans="12:15">
      <c r="L2721" s="5">
        <f>IF(OR(A2721="",B2721=""),"",B2721-WEEKDAY(B2721,2)+1)</f>
        <v/>
      </c>
      <c r="M2721" s="5">
        <f>IF(L2721="","",L2721+6)</f>
        <v/>
      </c>
      <c r="N2721" s="6">
        <f>IF(OR(A2721="",B2721=""),"",DATE(YEAR(B2721),MONTH(B2721),1))</f>
        <v/>
      </c>
      <c r="O2721" s="7">
        <f>IF(COUNTA(A2721:K2721)=0,"",IF(OR(A2721="",B2721=""),"Preencher CPF e entrada",IF(COUNTIFS($A$12:$A$5011,A2721,$B$12:$B$5011,B2721)&gt;1,"CPF + dia duplicado",IF(OR(AND(G2721&lt;&gt;"",G2721&lt;&gt;0,G2721&lt;&gt;1),AND(H2721&lt;&gt;"",H2721&lt;&gt;0,H2721&lt;&gt;1)),"Flags devem ser 0 ou 1",IF(AND(H2721=1,LEN(TRIM(I2721))=0),"Preencher nome do indicante",IF(AND(H2721&lt;&gt;1,I2721&lt;&gt;""),"Nome sem indicação interna",IF(AND(G2721=1,F2721=""),"Fechamento sem conversa",IF(OR(AND(E2721&lt;&gt;"",E2721&lt;B2721),AND(F2721&lt;&gt;"",F2721&lt;B2721)),"Evento anterior à entrada",IF(AND(F2721&lt;&gt;"",E2721=""),"Conversa sem agendamento",IF(OR(E2721&gt;TODAY(),F2721&gt;TODAY()),"Verificar evento futuro","OK"))))))))))</f>
        <v/>
      </c>
    </row>
    <row r="2722" spans="12:15">
      <c r="L2722" s="5">
        <f>IF(OR(A2722="",B2722=""),"",B2722-WEEKDAY(B2722,2)+1)</f>
        <v/>
      </c>
      <c r="M2722" s="5">
        <f>IF(L2722="","",L2722+6)</f>
        <v/>
      </c>
      <c r="N2722" s="6">
        <f>IF(OR(A2722="",B2722=""),"",DATE(YEAR(B2722),MONTH(B2722),1))</f>
        <v/>
      </c>
      <c r="O2722" s="7">
        <f>IF(COUNTA(A2722:K2722)=0,"",IF(OR(A2722="",B2722=""),"Preencher CPF e entrada",IF(COUNTIFS($A$12:$A$5011,A2722,$B$12:$B$5011,B2722)&gt;1,"CPF + dia duplicado",IF(OR(AND(G2722&lt;&gt;"",G2722&lt;&gt;0,G2722&lt;&gt;1),AND(H2722&lt;&gt;"",H2722&lt;&gt;0,H2722&lt;&gt;1)),"Flags devem ser 0 ou 1",IF(AND(H2722=1,LEN(TRIM(I2722))=0),"Preencher nome do indicante",IF(AND(H2722&lt;&gt;1,I2722&lt;&gt;""),"Nome sem indicação interna",IF(AND(G2722=1,F2722=""),"Fechamento sem conversa",IF(OR(AND(E2722&lt;&gt;"",E2722&lt;B2722),AND(F2722&lt;&gt;"",F2722&lt;B2722)),"Evento anterior à entrada",IF(AND(F2722&lt;&gt;"",E2722=""),"Conversa sem agendamento",IF(OR(E2722&gt;TODAY(),F2722&gt;TODAY()),"Verificar evento futuro","OK"))))))))))</f>
        <v/>
      </c>
    </row>
    <row r="2723" spans="12:15">
      <c r="L2723" s="5">
        <f>IF(OR(A2723="",B2723=""),"",B2723-WEEKDAY(B2723,2)+1)</f>
        <v/>
      </c>
      <c r="M2723" s="5">
        <f>IF(L2723="","",L2723+6)</f>
        <v/>
      </c>
      <c r="N2723" s="6">
        <f>IF(OR(A2723="",B2723=""),"",DATE(YEAR(B2723),MONTH(B2723),1))</f>
        <v/>
      </c>
      <c r="O2723" s="7">
        <f>IF(COUNTA(A2723:K2723)=0,"",IF(OR(A2723="",B2723=""),"Preencher CPF e entrada",IF(COUNTIFS($A$12:$A$5011,A2723,$B$12:$B$5011,B2723)&gt;1,"CPF + dia duplicado",IF(OR(AND(G2723&lt;&gt;"",G2723&lt;&gt;0,G2723&lt;&gt;1),AND(H2723&lt;&gt;"",H2723&lt;&gt;0,H2723&lt;&gt;1)),"Flags devem ser 0 ou 1",IF(AND(H2723=1,LEN(TRIM(I2723))=0),"Preencher nome do indicante",IF(AND(H2723&lt;&gt;1,I2723&lt;&gt;""),"Nome sem indicação interna",IF(AND(G2723=1,F2723=""),"Fechamento sem conversa",IF(OR(AND(E2723&lt;&gt;"",E2723&lt;B2723),AND(F2723&lt;&gt;"",F2723&lt;B2723)),"Evento anterior à entrada",IF(AND(F2723&lt;&gt;"",E2723=""),"Conversa sem agendamento",IF(OR(E2723&gt;TODAY(),F2723&gt;TODAY()),"Verificar evento futuro","OK"))))))))))</f>
        <v/>
      </c>
    </row>
    <row r="2724" spans="12:15">
      <c r="L2724" s="5">
        <f>IF(OR(A2724="",B2724=""),"",B2724-WEEKDAY(B2724,2)+1)</f>
        <v/>
      </c>
      <c r="M2724" s="5">
        <f>IF(L2724="","",L2724+6)</f>
        <v/>
      </c>
      <c r="N2724" s="6">
        <f>IF(OR(A2724="",B2724=""),"",DATE(YEAR(B2724),MONTH(B2724),1))</f>
        <v/>
      </c>
      <c r="O2724" s="7">
        <f>IF(COUNTA(A2724:K2724)=0,"",IF(OR(A2724="",B2724=""),"Preencher CPF e entrada",IF(COUNTIFS($A$12:$A$5011,A2724,$B$12:$B$5011,B2724)&gt;1,"CPF + dia duplicado",IF(OR(AND(G2724&lt;&gt;"",G2724&lt;&gt;0,G2724&lt;&gt;1),AND(H2724&lt;&gt;"",H2724&lt;&gt;0,H2724&lt;&gt;1)),"Flags devem ser 0 ou 1",IF(AND(H2724=1,LEN(TRIM(I2724))=0),"Preencher nome do indicante",IF(AND(H2724&lt;&gt;1,I2724&lt;&gt;""),"Nome sem indicação interna",IF(AND(G2724=1,F2724=""),"Fechamento sem conversa",IF(OR(AND(E2724&lt;&gt;"",E2724&lt;B2724),AND(F2724&lt;&gt;"",F2724&lt;B2724)),"Evento anterior à entrada",IF(AND(F2724&lt;&gt;"",E2724=""),"Conversa sem agendamento",IF(OR(E2724&gt;TODAY(),F2724&gt;TODAY()),"Verificar evento futuro","OK"))))))))))</f>
        <v/>
      </c>
    </row>
    <row r="2725" spans="12:15">
      <c r="L2725" s="5">
        <f>IF(OR(A2725="",B2725=""),"",B2725-WEEKDAY(B2725,2)+1)</f>
        <v/>
      </c>
      <c r="M2725" s="5">
        <f>IF(L2725="","",L2725+6)</f>
        <v/>
      </c>
      <c r="N2725" s="6">
        <f>IF(OR(A2725="",B2725=""),"",DATE(YEAR(B2725),MONTH(B2725),1))</f>
        <v/>
      </c>
      <c r="O2725" s="7">
        <f>IF(COUNTA(A2725:K2725)=0,"",IF(OR(A2725="",B2725=""),"Preencher CPF e entrada",IF(COUNTIFS($A$12:$A$5011,A2725,$B$12:$B$5011,B2725)&gt;1,"CPF + dia duplicado",IF(OR(AND(G2725&lt;&gt;"",G2725&lt;&gt;0,G2725&lt;&gt;1),AND(H2725&lt;&gt;"",H2725&lt;&gt;0,H2725&lt;&gt;1)),"Flags devem ser 0 ou 1",IF(AND(H2725=1,LEN(TRIM(I2725))=0),"Preencher nome do indicante",IF(AND(H2725&lt;&gt;1,I2725&lt;&gt;""),"Nome sem indicação interna",IF(AND(G2725=1,F2725=""),"Fechamento sem conversa",IF(OR(AND(E2725&lt;&gt;"",E2725&lt;B2725),AND(F2725&lt;&gt;"",F2725&lt;B2725)),"Evento anterior à entrada",IF(AND(F2725&lt;&gt;"",E2725=""),"Conversa sem agendamento",IF(OR(E2725&gt;TODAY(),F2725&gt;TODAY()),"Verificar evento futuro","OK"))))))))))</f>
        <v/>
      </c>
    </row>
    <row r="2726" spans="12:15">
      <c r="L2726" s="5">
        <f>IF(OR(A2726="",B2726=""),"",B2726-WEEKDAY(B2726,2)+1)</f>
        <v/>
      </c>
      <c r="M2726" s="5">
        <f>IF(L2726="","",L2726+6)</f>
        <v/>
      </c>
      <c r="N2726" s="6">
        <f>IF(OR(A2726="",B2726=""),"",DATE(YEAR(B2726),MONTH(B2726),1))</f>
        <v/>
      </c>
      <c r="O2726" s="7">
        <f>IF(COUNTA(A2726:K2726)=0,"",IF(OR(A2726="",B2726=""),"Preencher CPF e entrada",IF(COUNTIFS($A$12:$A$5011,A2726,$B$12:$B$5011,B2726)&gt;1,"CPF + dia duplicado",IF(OR(AND(G2726&lt;&gt;"",G2726&lt;&gt;0,G2726&lt;&gt;1),AND(H2726&lt;&gt;"",H2726&lt;&gt;0,H2726&lt;&gt;1)),"Flags devem ser 0 ou 1",IF(AND(H2726=1,LEN(TRIM(I2726))=0),"Preencher nome do indicante",IF(AND(H2726&lt;&gt;1,I2726&lt;&gt;""),"Nome sem indicação interna",IF(AND(G2726=1,F2726=""),"Fechamento sem conversa",IF(OR(AND(E2726&lt;&gt;"",E2726&lt;B2726),AND(F2726&lt;&gt;"",F2726&lt;B2726)),"Evento anterior à entrada",IF(AND(F2726&lt;&gt;"",E2726=""),"Conversa sem agendamento",IF(OR(E2726&gt;TODAY(),F2726&gt;TODAY()),"Verificar evento futuro","OK"))))))))))</f>
        <v/>
      </c>
    </row>
    <row r="2727" spans="12:15">
      <c r="L2727" s="5">
        <f>IF(OR(A2727="",B2727=""),"",B2727-WEEKDAY(B2727,2)+1)</f>
        <v/>
      </c>
      <c r="M2727" s="5">
        <f>IF(L2727="","",L2727+6)</f>
        <v/>
      </c>
      <c r="N2727" s="6">
        <f>IF(OR(A2727="",B2727=""),"",DATE(YEAR(B2727),MONTH(B2727),1))</f>
        <v/>
      </c>
      <c r="O2727" s="7">
        <f>IF(COUNTA(A2727:K2727)=0,"",IF(OR(A2727="",B2727=""),"Preencher CPF e entrada",IF(COUNTIFS($A$12:$A$5011,A2727,$B$12:$B$5011,B2727)&gt;1,"CPF + dia duplicado",IF(OR(AND(G2727&lt;&gt;"",G2727&lt;&gt;0,G2727&lt;&gt;1),AND(H2727&lt;&gt;"",H2727&lt;&gt;0,H2727&lt;&gt;1)),"Flags devem ser 0 ou 1",IF(AND(H2727=1,LEN(TRIM(I2727))=0),"Preencher nome do indicante",IF(AND(H2727&lt;&gt;1,I2727&lt;&gt;""),"Nome sem indicação interna",IF(AND(G2727=1,F2727=""),"Fechamento sem conversa",IF(OR(AND(E2727&lt;&gt;"",E2727&lt;B2727),AND(F2727&lt;&gt;"",F2727&lt;B2727)),"Evento anterior à entrada",IF(AND(F2727&lt;&gt;"",E2727=""),"Conversa sem agendamento",IF(OR(E2727&gt;TODAY(),F2727&gt;TODAY()),"Verificar evento futuro","OK"))))))))))</f>
        <v/>
      </c>
    </row>
    <row r="2728" spans="12:15">
      <c r="L2728" s="5">
        <f>IF(OR(A2728="",B2728=""),"",B2728-WEEKDAY(B2728,2)+1)</f>
        <v/>
      </c>
      <c r="M2728" s="5">
        <f>IF(L2728="","",L2728+6)</f>
        <v/>
      </c>
      <c r="N2728" s="6">
        <f>IF(OR(A2728="",B2728=""),"",DATE(YEAR(B2728),MONTH(B2728),1))</f>
        <v/>
      </c>
      <c r="O2728" s="7">
        <f>IF(COUNTA(A2728:K2728)=0,"",IF(OR(A2728="",B2728=""),"Preencher CPF e entrada",IF(COUNTIFS($A$12:$A$5011,A2728,$B$12:$B$5011,B2728)&gt;1,"CPF + dia duplicado",IF(OR(AND(G2728&lt;&gt;"",G2728&lt;&gt;0,G2728&lt;&gt;1),AND(H2728&lt;&gt;"",H2728&lt;&gt;0,H2728&lt;&gt;1)),"Flags devem ser 0 ou 1",IF(AND(H2728=1,LEN(TRIM(I2728))=0),"Preencher nome do indicante",IF(AND(H2728&lt;&gt;1,I2728&lt;&gt;""),"Nome sem indicação interna",IF(AND(G2728=1,F2728=""),"Fechamento sem conversa",IF(OR(AND(E2728&lt;&gt;"",E2728&lt;B2728),AND(F2728&lt;&gt;"",F2728&lt;B2728)),"Evento anterior à entrada",IF(AND(F2728&lt;&gt;"",E2728=""),"Conversa sem agendamento",IF(OR(E2728&gt;TODAY(),F2728&gt;TODAY()),"Verificar evento futuro","OK"))))))))))</f>
        <v/>
      </c>
    </row>
    <row r="2729" spans="12:15">
      <c r="L2729" s="5">
        <f>IF(OR(A2729="",B2729=""),"",B2729-WEEKDAY(B2729,2)+1)</f>
        <v/>
      </c>
      <c r="M2729" s="5">
        <f>IF(L2729="","",L2729+6)</f>
        <v/>
      </c>
      <c r="N2729" s="6">
        <f>IF(OR(A2729="",B2729=""),"",DATE(YEAR(B2729),MONTH(B2729),1))</f>
        <v/>
      </c>
      <c r="O2729" s="7">
        <f>IF(COUNTA(A2729:K2729)=0,"",IF(OR(A2729="",B2729=""),"Preencher CPF e entrada",IF(COUNTIFS($A$12:$A$5011,A2729,$B$12:$B$5011,B2729)&gt;1,"CPF + dia duplicado",IF(OR(AND(G2729&lt;&gt;"",G2729&lt;&gt;0,G2729&lt;&gt;1),AND(H2729&lt;&gt;"",H2729&lt;&gt;0,H2729&lt;&gt;1)),"Flags devem ser 0 ou 1",IF(AND(H2729=1,LEN(TRIM(I2729))=0),"Preencher nome do indicante",IF(AND(H2729&lt;&gt;1,I2729&lt;&gt;""),"Nome sem indicação interna",IF(AND(G2729=1,F2729=""),"Fechamento sem conversa",IF(OR(AND(E2729&lt;&gt;"",E2729&lt;B2729),AND(F2729&lt;&gt;"",F2729&lt;B2729)),"Evento anterior à entrada",IF(AND(F2729&lt;&gt;"",E2729=""),"Conversa sem agendamento",IF(OR(E2729&gt;TODAY(),F2729&gt;TODAY()),"Verificar evento futuro","OK"))))))))))</f>
        <v/>
      </c>
    </row>
    <row r="2730" spans="12:15">
      <c r="L2730" s="5">
        <f>IF(OR(A2730="",B2730=""),"",B2730-WEEKDAY(B2730,2)+1)</f>
        <v/>
      </c>
      <c r="M2730" s="5">
        <f>IF(L2730="","",L2730+6)</f>
        <v/>
      </c>
      <c r="N2730" s="6">
        <f>IF(OR(A2730="",B2730=""),"",DATE(YEAR(B2730),MONTH(B2730),1))</f>
        <v/>
      </c>
      <c r="O2730" s="7">
        <f>IF(COUNTA(A2730:K2730)=0,"",IF(OR(A2730="",B2730=""),"Preencher CPF e entrada",IF(COUNTIFS($A$12:$A$5011,A2730,$B$12:$B$5011,B2730)&gt;1,"CPF + dia duplicado",IF(OR(AND(G2730&lt;&gt;"",G2730&lt;&gt;0,G2730&lt;&gt;1),AND(H2730&lt;&gt;"",H2730&lt;&gt;0,H2730&lt;&gt;1)),"Flags devem ser 0 ou 1",IF(AND(H2730=1,LEN(TRIM(I2730))=0),"Preencher nome do indicante",IF(AND(H2730&lt;&gt;1,I2730&lt;&gt;""),"Nome sem indicação interna",IF(AND(G2730=1,F2730=""),"Fechamento sem conversa",IF(OR(AND(E2730&lt;&gt;"",E2730&lt;B2730),AND(F2730&lt;&gt;"",F2730&lt;B2730)),"Evento anterior à entrada",IF(AND(F2730&lt;&gt;"",E2730=""),"Conversa sem agendamento",IF(OR(E2730&gt;TODAY(),F2730&gt;TODAY()),"Verificar evento futuro","OK"))))))))))</f>
        <v/>
      </c>
    </row>
    <row r="2731" spans="12:15">
      <c r="L2731" s="5">
        <f>IF(OR(A2731="",B2731=""),"",B2731-WEEKDAY(B2731,2)+1)</f>
        <v/>
      </c>
      <c r="M2731" s="5">
        <f>IF(L2731="","",L2731+6)</f>
        <v/>
      </c>
      <c r="N2731" s="6">
        <f>IF(OR(A2731="",B2731=""),"",DATE(YEAR(B2731),MONTH(B2731),1))</f>
        <v/>
      </c>
      <c r="O2731" s="7">
        <f>IF(COUNTA(A2731:K2731)=0,"",IF(OR(A2731="",B2731=""),"Preencher CPF e entrada",IF(COUNTIFS($A$12:$A$5011,A2731,$B$12:$B$5011,B2731)&gt;1,"CPF + dia duplicado",IF(OR(AND(G2731&lt;&gt;"",G2731&lt;&gt;0,G2731&lt;&gt;1),AND(H2731&lt;&gt;"",H2731&lt;&gt;0,H2731&lt;&gt;1)),"Flags devem ser 0 ou 1",IF(AND(H2731=1,LEN(TRIM(I2731))=0),"Preencher nome do indicante",IF(AND(H2731&lt;&gt;1,I2731&lt;&gt;""),"Nome sem indicação interna",IF(AND(G2731=1,F2731=""),"Fechamento sem conversa",IF(OR(AND(E2731&lt;&gt;"",E2731&lt;B2731),AND(F2731&lt;&gt;"",F2731&lt;B2731)),"Evento anterior à entrada",IF(AND(F2731&lt;&gt;"",E2731=""),"Conversa sem agendamento",IF(OR(E2731&gt;TODAY(),F2731&gt;TODAY()),"Verificar evento futuro","OK"))))))))))</f>
        <v/>
      </c>
    </row>
    <row r="2732" spans="12:15">
      <c r="L2732" s="5">
        <f>IF(OR(A2732="",B2732=""),"",B2732-WEEKDAY(B2732,2)+1)</f>
        <v/>
      </c>
      <c r="M2732" s="5">
        <f>IF(L2732="","",L2732+6)</f>
        <v/>
      </c>
      <c r="N2732" s="6">
        <f>IF(OR(A2732="",B2732=""),"",DATE(YEAR(B2732),MONTH(B2732),1))</f>
        <v/>
      </c>
      <c r="O2732" s="7">
        <f>IF(COUNTA(A2732:K2732)=0,"",IF(OR(A2732="",B2732=""),"Preencher CPF e entrada",IF(COUNTIFS($A$12:$A$5011,A2732,$B$12:$B$5011,B2732)&gt;1,"CPF + dia duplicado",IF(OR(AND(G2732&lt;&gt;"",G2732&lt;&gt;0,G2732&lt;&gt;1),AND(H2732&lt;&gt;"",H2732&lt;&gt;0,H2732&lt;&gt;1)),"Flags devem ser 0 ou 1",IF(AND(H2732=1,LEN(TRIM(I2732))=0),"Preencher nome do indicante",IF(AND(H2732&lt;&gt;1,I2732&lt;&gt;""),"Nome sem indicação interna",IF(AND(G2732=1,F2732=""),"Fechamento sem conversa",IF(OR(AND(E2732&lt;&gt;"",E2732&lt;B2732),AND(F2732&lt;&gt;"",F2732&lt;B2732)),"Evento anterior à entrada",IF(AND(F2732&lt;&gt;"",E2732=""),"Conversa sem agendamento",IF(OR(E2732&gt;TODAY(),F2732&gt;TODAY()),"Verificar evento futuro","OK"))))))))))</f>
        <v/>
      </c>
    </row>
    <row r="2733" spans="12:15">
      <c r="L2733" s="5">
        <f>IF(OR(A2733="",B2733=""),"",B2733-WEEKDAY(B2733,2)+1)</f>
        <v/>
      </c>
      <c r="M2733" s="5">
        <f>IF(L2733="","",L2733+6)</f>
        <v/>
      </c>
      <c r="N2733" s="6">
        <f>IF(OR(A2733="",B2733=""),"",DATE(YEAR(B2733),MONTH(B2733),1))</f>
        <v/>
      </c>
      <c r="O2733" s="7">
        <f>IF(COUNTA(A2733:K2733)=0,"",IF(OR(A2733="",B2733=""),"Preencher CPF e entrada",IF(COUNTIFS($A$12:$A$5011,A2733,$B$12:$B$5011,B2733)&gt;1,"CPF + dia duplicado",IF(OR(AND(G2733&lt;&gt;"",G2733&lt;&gt;0,G2733&lt;&gt;1),AND(H2733&lt;&gt;"",H2733&lt;&gt;0,H2733&lt;&gt;1)),"Flags devem ser 0 ou 1",IF(AND(H2733=1,LEN(TRIM(I2733))=0),"Preencher nome do indicante",IF(AND(H2733&lt;&gt;1,I2733&lt;&gt;""),"Nome sem indicação interna",IF(AND(G2733=1,F2733=""),"Fechamento sem conversa",IF(OR(AND(E2733&lt;&gt;"",E2733&lt;B2733),AND(F2733&lt;&gt;"",F2733&lt;B2733)),"Evento anterior à entrada",IF(AND(F2733&lt;&gt;"",E2733=""),"Conversa sem agendamento",IF(OR(E2733&gt;TODAY(),F2733&gt;TODAY()),"Verificar evento futuro","OK"))))))))))</f>
        <v/>
      </c>
    </row>
    <row r="2734" spans="12:15">
      <c r="L2734" s="5">
        <f>IF(OR(A2734="",B2734=""),"",B2734-WEEKDAY(B2734,2)+1)</f>
        <v/>
      </c>
      <c r="M2734" s="5">
        <f>IF(L2734="","",L2734+6)</f>
        <v/>
      </c>
      <c r="N2734" s="6">
        <f>IF(OR(A2734="",B2734=""),"",DATE(YEAR(B2734),MONTH(B2734),1))</f>
        <v/>
      </c>
      <c r="O2734" s="7">
        <f>IF(COUNTA(A2734:K2734)=0,"",IF(OR(A2734="",B2734=""),"Preencher CPF e entrada",IF(COUNTIFS($A$12:$A$5011,A2734,$B$12:$B$5011,B2734)&gt;1,"CPF + dia duplicado",IF(OR(AND(G2734&lt;&gt;"",G2734&lt;&gt;0,G2734&lt;&gt;1),AND(H2734&lt;&gt;"",H2734&lt;&gt;0,H2734&lt;&gt;1)),"Flags devem ser 0 ou 1",IF(AND(H2734=1,LEN(TRIM(I2734))=0),"Preencher nome do indicante",IF(AND(H2734&lt;&gt;1,I2734&lt;&gt;""),"Nome sem indicação interna",IF(AND(G2734=1,F2734=""),"Fechamento sem conversa",IF(OR(AND(E2734&lt;&gt;"",E2734&lt;B2734),AND(F2734&lt;&gt;"",F2734&lt;B2734)),"Evento anterior à entrada",IF(AND(F2734&lt;&gt;"",E2734=""),"Conversa sem agendamento",IF(OR(E2734&gt;TODAY(),F2734&gt;TODAY()),"Verificar evento futuro","OK"))))))))))</f>
        <v/>
      </c>
    </row>
    <row r="2735" spans="12:15">
      <c r="L2735" s="5">
        <f>IF(OR(A2735="",B2735=""),"",B2735-WEEKDAY(B2735,2)+1)</f>
        <v/>
      </c>
      <c r="M2735" s="5">
        <f>IF(L2735="","",L2735+6)</f>
        <v/>
      </c>
      <c r="N2735" s="6">
        <f>IF(OR(A2735="",B2735=""),"",DATE(YEAR(B2735),MONTH(B2735),1))</f>
        <v/>
      </c>
      <c r="O2735" s="7">
        <f>IF(COUNTA(A2735:K2735)=0,"",IF(OR(A2735="",B2735=""),"Preencher CPF e entrada",IF(COUNTIFS($A$12:$A$5011,A2735,$B$12:$B$5011,B2735)&gt;1,"CPF + dia duplicado",IF(OR(AND(G2735&lt;&gt;"",G2735&lt;&gt;0,G2735&lt;&gt;1),AND(H2735&lt;&gt;"",H2735&lt;&gt;0,H2735&lt;&gt;1)),"Flags devem ser 0 ou 1",IF(AND(H2735=1,LEN(TRIM(I2735))=0),"Preencher nome do indicante",IF(AND(H2735&lt;&gt;1,I2735&lt;&gt;""),"Nome sem indicação interna",IF(AND(G2735=1,F2735=""),"Fechamento sem conversa",IF(OR(AND(E2735&lt;&gt;"",E2735&lt;B2735),AND(F2735&lt;&gt;"",F2735&lt;B2735)),"Evento anterior à entrada",IF(AND(F2735&lt;&gt;"",E2735=""),"Conversa sem agendamento",IF(OR(E2735&gt;TODAY(),F2735&gt;TODAY()),"Verificar evento futuro","OK"))))))))))</f>
        <v/>
      </c>
    </row>
    <row r="2736" spans="12:15">
      <c r="L2736" s="5">
        <f>IF(OR(A2736="",B2736=""),"",B2736-WEEKDAY(B2736,2)+1)</f>
        <v/>
      </c>
      <c r="M2736" s="5">
        <f>IF(L2736="","",L2736+6)</f>
        <v/>
      </c>
      <c r="N2736" s="6">
        <f>IF(OR(A2736="",B2736=""),"",DATE(YEAR(B2736),MONTH(B2736),1))</f>
        <v/>
      </c>
      <c r="O2736" s="7">
        <f>IF(COUNTA(A2736:K2736)=0,"",IF(OR(A2736="",B2736=""),"Preencher CPF e entrada",IF(COUNTIFS($A$12:$A$5011,A2736,$B$12:$B$5011,B2736)&gt;1,"CPF + dia duplicado",IF(OR(AND(G2736&lt;&gt;"",G2736&lt;&gt;0,G2736&lt;&gt;1),AND(H2736&lt;&gt;"",H2736&lt;&gt;0,H2736&lt;&gt;1)),"Flags devem ser 0 ou 1",IF(AND(H2736=1,LEN(TRIM(I2736))=0),"Preencher nome do indicante",IF(AND(H2736&lt;&gt;1,I2736&lt;&gt;""),"Nome sem indicação interna",IF(AND(G2736=1,F2736=""),"Fechamento sem conversa",IF(OR(AND(E2736&lt;&gt;"",E2736&lt;B2736),AND(F2736&lt;&gt;"",F2736&lt;B2736)),"Evento anterior à entrada",IF(AND(F2736&lt;&gt;"",E2736=""),"Conversa sem agendamento",IF(OR(E2736&gt;TODAY(),F2736&gt;TODAY()),"Verificar evento futuro","OK"))))))))))</f>
        <v/>
      </c>
    </row>
    <row r="2737" spans="12:15">
      <c r="L2737" s="5">
        <f>IF(OR(A2737="",B2737=""),"",B2737-WEEKDAY(B2737,2)+1)</f>
        <v/>
      </c>
      <c r="M2737" s="5">
        <f>IF(L2737="","",L2737+6)</f>
        <v/>
      </c>
      <c r="N2737" s="6">
        <f>IF(OR(A2737="",B2737=""),"",DATE(YEAR(B2737),MONTH(B2737),1))</f>
        <v/>
      </c>
      <c r="O2737" s="7">
        <f>IF(COUNTA(A2737:K2737)=0,"",IF(OR(A2737="",B2737=""),"Preencher CPF e entrada",IF(COUNTIFS($A$12:$A$5011,A2737,$B$12:$B$5011,B2737)&gt;1,"CPF + dia duplicado",IF(OR(AND(G2737&lt;&gt;"",G2737&lt;&gt;0,G2737&lt;&gt;1),AND(H2737&lt;&gt;"",H2737&lt;&gt;0,H2737&lt;&gt;1)),"Flags devem ser 0 ou 1",IF(AND(H2737=1,LEN(TRIM(I2737))=0),"Preencher nome do indicante",IF(AND(H2737&lt;&gt;1,I2737&lt;&gt;""),"Nome sem indicação interna",IF(AND(G2737=1,F2737=""),"Fechamento sem conversa",IF(OR(AND(E2737&lt;&gt;"",E2737&lt;B2737),AND(F2737&lt;&gt;"",F2737&lt;B2737)),"Evento anterior à entrada",IF(AND(F2737&lt;&gt;"",E2737=""),"Conversa sem agendamento",IF(OR(E2737&gt;TODAY(),F2737&gt;TODAY()),"Verificar evento futuro","OK"))))))))))</f>
        <v/>
      </c>
    </row>
    <row r="2738" spans="12:15">
      <c r="L2738" s="5">
        <f>IF(OR(A2738="",B2738=""),"",B2738-WEEKDAY(B2738,2)+1)</f>
        <v/>
      </c>
      <c r="M2738" s="5">
        <f>IF(L2738="","",L2738+6)</f>
        <v/>
      </c>
      <c r="N2738" s="6">
        <f>IF(OR(A2738="",B2738=""),"",DATE(YEAR(B2738),MONTH(B2738),1))</f>
        <v/>
      </c>
      <c r="O2738" s="7">
        <f>IF(COUNTA(A2738:K2738)=0,"",IF(OR(A2738="",B2738=""),"Preencher CPF e entrada",IF(COUNTIFS($A$12:$A$5011,A2738,$B$12:$B$5011,B2738)&gt;1,"CPF + dia duplicado",IF(OR(AND(G2738&lt;&gt;"",G2738&lt;&gt;0,G2738&lt;&gt;1),AND(H2738&lt;&gt;"",H2738&lt;&gt;0,H2738&lt;&gt;1)),"Flags devem ser 0 ou 1",IF(AND(H2738=1,LEN(TRIM(I2738))=0),"Preencher nome do indicante",IF(AND(H2738&lt;&gt;1,I2738&lt;&gt;""),"Nome sem indicação interna",IF(AND(G2738=1,F2738=""),"Fechamento sem conversa",IF(OR(AND(E2738&lt;&gt;"",E2738&lt;B2738),AND(F2738&lt;&gt;"",F2738&lt;B2738)),"Evento anterior à entrada",IF(AND(F2738&lt;&gt;"",E2738=""),"Conversa sem agendamento",IF(OR(E2738&gt;TODAY(),F2738&gt;TODAY()),"Verificar evento futuro","OK"))))))))))</f>
        <v/>
      </c>
    </row>
    <row r="2739" spans="12:15">
      <c r="L2739" s="5">
        <f>IF(OR(A2739="",B2739=""),"",B2739-WEEKDAY(B2739,2)+1)</f>
        <v/>
      </c>
      <c r="M2739" s="5">
        <f>IF(L2739="","",L2739+6)</f>
        <v/>
      </c>
      <c r="N2739" s="6">
        <f>IF(OR(A2739="",B2739=""),"",DATE(YEAR(B2739),MONTH(B2739),1))</f>
        <v/>
      </c>
      <c r="O2739" s="7">
        <f>IF(COUNTA(A2739:K2739)=0,"",IF(OR(A2739="",B2739=""),"Preencher CPF e entrada",IF(COUNTIFS($A$12:$A$5011,A2739,$B$12:$B$5011,B2739)&gt;1,"CPF + dia duplicado",IF(OR(AND(G2739&lt;&gt;"",G2739&lt;&gt;0,G2739&lt;&gt;1),AND(H2739&lt;&gt;"",H2739&lt;&gt;0,H2739&lt;&gt;1)),"Flags devem ser 0 ou 1",IF(AND(H2739=1,LEN(TRIM(I2739))=0),"Preencher nome do indicante",IF(AND(H2739&lt;&gt;1,I2739&lt;&gt;""),"Nome sem indicação interna",IF(AND(G2739=1,F2739=""),"Fechamento sem conversa",IF(OR(AND(E2739&lt;&gt;"",E2739&lt;B2739),AND(F2739&lt;&gt;"",F2739&lt;B2739)),"Evento anterior à entrada",IF(AND(F2739&lt;&gt;"",E2739=""),"Conversa sem agendamento",IF(OR(E2739&gt;TODAY(),F2739&gt;TODAY()),"Verificar evento futuro","OK"))))))))))</f>
        <v/>
      </c>
    </row>
    <row r="2740" spans="12:15">
      <c r="L2740" s="5">
        <f>IF(OR(A2740="",B2740=""),"",B2740-WEEKDAY(B2740,2)+1)</f>
        <v/>
      </c>
      <c r="M2740" s="5">
        <f>IF(L2740="","",L2740+6)</f>
        <v/>
      </c>
      <c r="N2740" s="6">
        <f>IF(OR(A2740="",B2740=""),"",DATE(YEAR(B2740),MONTH(B2740),1))</f>
        <v/>
      </c>
      <c r="O2740" s="7">
        <f>IF(COUNTA(A2740:K2740)=0,"",IF(OR(A2740="",B2740=""),"Preencher CPF e entrada",IF(COUNTIFS($A$12:$A$5011,A2740,$B$12:$B$5011,B2740)&gt;1,"CPF + dia duplicado",IF(OR(AND(G2740&lt;&gt;"",G2740&lt;&gt;0,G2740&lt;&gt;1),AND(H2740&lt;&gt;"",H2740&lt;&gt;0,H2740&lt;&gt;1)),"Flags devem ser 0 ou 1",IF(AND(H2740=1,LEN(TRIM(I2740))=0),"Preencher nome do indicante",IF(AND(H2740&lt;&gt;1,I2740&lt;&gt;""),"Nome sem indicação interna",IF(AND(G2740=1,F2740=""),"Fechamento sem conversa",IF(OR(AND(E2740&lt;&gt;"",E2740&lt;B2740),AND(F2740&lt;&gt;"",F2740&lt;B2740)),"Evento anterior à entrada",IF(AND(F2740&lt;&gt;"",E2740=""),"Conversa sem agendamento",IF(OR(E2740&gt;TODAY(),F2740&gt;TODAY()),"Verificar evento futuro","OK"))))))))))</f>
        <v/>
      </c>
    </row>
    <row r="2741" spans="12:15">
      <c r="L2741" s="5">
        <f>IF(OR(A2741="",B2741=""),"",B2741-WEEKDAY(B2741,2)+1)</f>
        <v/>
      </c>
      <c r="M2741" s="5">
        <f>IF(L2741="","",L2741+6)</f>
        <v/>
      </c>
      <c r="N2741" s="6">
        <f>IF(OR(A2741="",B2741=""),"",DATE(YEAR(B2741),MONTH(B2741),1))</f>
        <v/>
      </c>
      <c r="O2741" s="7">
        <f>IF(COUNTA(A2741:K2741)=0,"",IF(OR(A2741="",B2741=""),"Preencher CPF e entrada",IF(COUNTIFS($A$12:$A$5011,A2741,$B$12:$B$5011,B2741)&gt;1,"CPF + dia duplicado",IF(OR(AND(G2741&lt;&gt;"",G2741&lt;&gt;0,G2741&lt;&gt;1),AND(H2741&lt;&gt;"",H2741&lt;&gt;0,H2741&lt;&gt;1)),"Flags devem ser 0 ou 1",IF(AND(H2741=1,LEN(TRIM(I2741))=0),"Preencher nome do indicante",IF(AND(H2741&lt;&gt;1,I2741&lt;&gt;""),"Nome sem indicação interna",IF(AND(G2741=1,F2741=""),"Fechamento sem conversa",IF(OR(AND(E2741&lt;&gt;"",E2741&lt;B2741),AND(F2741&lt;&gt;"",F2741&lt;B2741)),"Evento anterior à entrada",IF(AND(F2741&lt;&gt;"",E2741=""),"Conversa sem agendamento",IF(OR(E2741&gt;TODAY(),F2741&gt;TODAY()),"Verificar evento futuro","OK"))))))))))</f>
        <v/>
      </c>
    </row>
    <row r="2742" spans="12:15">
      <c r="L2742" s="5">
        <f>IF(OR(A2742="",B2742=""),"",B2742-WEEKDAY(B2742,2)+1)</f>
        <v/>
      </c>
      <c r="M2742" s="5">
        <f>IF(L2742="","",L2742+6)</f>
        <v/>
      </c>
      <c r="N2742" s="6">
        <f>IF(OR(A2742="",B2742=""),"",DATE(YEAR(B2742),MONTH(B2742),1))</f>
        <v/>
      </c>
      <c r="O2742" s="7">
        <f>IF(COUNTA(A2742:K2742)=0,"",IF(OR(A2742="",B2742=""),"Preencher CPF e entrada",IF(COUNTIFS($A$12:$A$5011,A2742,$B$12:$B$5011,B2742)&gt;1,"CPF + dia duplicado",IF(OR(AND(G2742&lt;&gt;"",G2742&lt;&gt;0,G2742&lt;&gt;1),AND(H2742&lt;&gt;"",H2742&lt;&gt;0,H2742&lt;&gt;1)),"Flags devem ser 0 ou 1",IF(AND(H2742=1,LEN(TRIM(I2742))=0),"Preencher nome do indicante",IF(AND(H2742&lt;&gt;1,I2742&lt;&gt;""),"Nome sem indicação interna",IF(AND(G2742=1,F2742=""),"Fechamento sem conversa",IF(OR(AND(E2742&lt;&gt;"",E2742&lt;B2742),AND(F2742&lt;&gt;"",F2742&lt;B2742)),"Evento anterior à entrada",IF(AND(F2742&lt;&gt;"",E2742=""),"Conversa sem agendamento",IF(OR(E2742&gt;TODAY(),F2742&gt;TODAY()),"Verificar evento futuro","OK"))))))))))</f>
        <v/>
      </c>
    </row>
    <row r="2743" spans="12:15">
      <c r="L2743" s="5">
        <f>IF(OR(A2743="",B2743=""),"",B2743-WEEKDAY(B2743,2)+1)</f>
        <v/>
      </c>
      <c r="M2743" s="5">
        <f>IF(L2743="","",L2743+6)</f>
        <v/>
      </c>
      <c r="N2743" s="6">
        <f>IF(OR(A2743="",B2743=""),"",DATE(YEAR(B2743),MONTH(B2743),1))</f>
        <v/>
      </c>
      <c r="O2743" s="7">
        <f>IF(COUNTA(A2743:K2743)=0,"",IF(OR(A2743="",B2743=""),"Preencher CPF e entrada",IF(COUNTIFS($A$12:$A$5011,A2743,$B$12:$B$5011,B2743)&gt;1,"CPF + dia duplicado",IF(OR(AND(G2743&lt;&gt;"",G2743&lt;&gt;0,G2743&lt;&gt;1),AND(H2743&lt;&gt;"",H2743&lt;&gt;0,H2743&lt;&gt;1)),"Flags devem ser 0 ou 1",IF(AND(H2743=1,LEN(TRIM(I2743))=0),"Preencher nome do indicante",IF(AND(H2743&lt;&gt;1,I2743&lt;&gt;""),"Nome sem indicação interna",IF(AND(G2743=1,F2743=""),"Fechamento sem conversa",IF(OR(AND(E2743&lt;&gt;"",E2743&lt;B2743),AND(F2743&lt;&gt;"",F2743&lt;B2743)),"Evento anterior à entrada",IF(AND(F2743&lt;&gt;"",E2743=""),"Conversa sem agendamento",IF(OR(E2743&gt;TODAY(),F2743&gt;TODAY()),"Verificar evento futuro","OK"))))))))))</f>
        <v/>
      </c>
    </row>
    <row r="2744" spans="12:15">
      <c r="L2744" s="5">
        <f>IF(OR(A2744="",B2744=""),"",B2744-WEEKDAY(B2744,2)+1)</f>
        <v/>
      </c>
      <c r="M2744" s="5">
        <f>IF(L2744="","",L2744+6)</f>
        <v/>
      </c>
      <c r="N2744" s="6">
        <f>IF(OR(A2744="",B2744=""),"",DATE(YEAR(B2744),MONTH(B2744),1))</f>
        <v/>
      </c>
      <c r="O2744" s="7">
        <f>IF(COUNTA(A2744:K2744)=0,"",IF(OR(A2744="",B2744=""),"Preencher CPF e entrada",IF(COUNTIFS($A$12:$A$5011,A2744,$B$12:$B$5011,B2744)&gt;1,"CPF + dia duplicado",IF(OR(AND(G2744&lt;&gt;"",G2744&lt;&gt;0,G2744&lt;&gt;1),AND(H2744&lt;&gt;"",H2744&lt;&gt;0,H2744&lt;&gt;1)),"Flags devem ser 0 ou 1",IF(AND(H2744=1,LEN(TRIM(I2744))=0),"Preencher nome do indicante",IF(AND(H2744&lt;&gt;1,I2744&lt;&gt;""),"Nome sem indicação interna",IF(AND(G2744=1,F2744=""),"Fechamento sem conversa",IF(OR(AND(E2744&lt;&gt;"",E2744&lt;B2744),AND(F2744&lt;&gt;"",F2744&lt;B2744)),"Evento anterior à entrada",IF(AND(F2744&lt;&gt;"",E2744=""),"Conversa sem agendamento",IF(OR(E2744&gt;TODAY(),F2744&gt;TODAY()),"Verificar evento futuro","OK"))))))))))</f>
        <v/>
      </c>
    </row>
    <row r="2745" spans="12:15">
      <c r="L2745" s="5">
        <f>IF(OR(A2745="",B2745=""),"",B2745-WEEKDAY(B2745,2)+1)</f>
        <v/>
      </c>
      <c r="M2745" s="5">
        <f>IF(L2745="","",L2745+6)</f>
        <v/>
      </c>
      <c r="N2745" s="6">
        <f>IF(OR(A2745="",B2745=""),"",DATE(YEAR(B2745),MONTH(B2745),1))</f>
        <v/>
      </c>
      <c r="O2745" s="7">
        <f>IF(COUNTA(A2745:K2745)=0,"",IF(OR(A2745="",B2745=""),"Preencher CPF e entrada",IF(COUNTIFS($A$12:$A$5011,A2745,$B$12:$B$5011,B2745)&gt;1,"CPF + dia duplicado",IF(OR(AND(G2745&lt;&gt;"",G2745&lt;&gt;0,G2745&lt;&gt;1),AND(H2745&lt;&gt;"",H2745&lt;&gt;0,H2745&lt;&gt;1)),"Flags devem ser 0 ou 1",IF(AND(H2745=1,LEN(TRIM(I2745))=0),"Preencher nome do indicante",IF(AND(H2745&lt;&gt;1,I2745&lt;&gt;""),"Nome sem indicação interna",IF(AND(G2745=1,F2745=""),"Fechamento sem conversa",IF(OR(AND(E2745&lt;&gt;"",E2745&lt;B2745),AND(F2745&lt;&gt;"",F2745&lt;B2745)),"Evento anterior à entrada",IF(AND(F2745&lt;&gt;"",E2745=""),"Conversa sem agendamento",IF(OR(E2745&gt;TODAY(),F2745&gt;TODAY()),"Verificar evento futuro","OK"))))))))))</f>
        <v/>
      </c>
    </row>
    <row r="2746" spans="12:15">
      <c r="L2746" s="5">
        <f>IF(OR(A2746="",B2746=""),"",B2746-WEEKDAY(B2746,2)+1)</f>
        <v/>
      </c>
      <c r="M2746" s="5">
        <f>IF(L2746="","",L2746+6)</f>
        <v/>
      </c>
      <c r="N2746" s="6">
        <f>IF(OR(A2746="",B2746=""),"",DATE(YEAR(B2746),MONTH(B2746),1))</f>
        <v/>
      </c>
      <c r="O2746" s="7">
        <f>IF(COUNTA(A2746:K2746)=0,"",IF(OR(A2746="",B2746=""),"Preencher CPF e entrada",IF(COUNTIFS($A$12:$A$5011,A2746,$B$12:$B$5011,B2746)&gt;1,"CPF + dia duplicado",IF(OR(AND(G2746&lt;&gt;"",G2746&lt;&gt;0,G2746&lt;&gt;1),AND(H2746&lt;&gt;"",H2746&lt;&gt;0,H2746&lt;&gt;1)),"Flags devem ser 0 ou 1",IF(AND(H2746=1,LEN(TRIM(I2746))=0),"Preencher nome do indicante",IF(AND(H2746&lt;&gt;1,I2746&lt;&gt;""),"Nome sem indicação interna",IF(AND(G2746=1,F2746=""),"Fechamento sem conversa",IF(OR(AND(E2746&lt;&gt;"",E2746&lt;B2746),AND(F2746&lt;&gt;"",F2746&lt;B2746)),"Evento anterior à entrada",IF(AND(F2746&lt;&gt;"",E2746=""),"Conversa sem agendamento",IF(OR(E2746&gt;TODAY(),F2746&gt;TODAY()),"Verificar evento futuro","OK"))))))))))</f>
        <v/>
      </c>
    </row>
    <row r="2747" spans="12:15">
      <c r="L2747" s="5">
        <f>IF(OR(A2747="",B2747=""),"",B2747-WEEKDAY(B2747,2)+1)</f>
        <v/>
      </c>
      <c r="M2747" s="5">
        <f>IF(L2747="","",L2747+6)</f>
        <v/>
      </c>
      <c r="N2747" s="6">
        <f>IF(OR(A2747="",B2747=""),"",DATE(YEAR(B2747),MONTH(B2747),1))</f>
        <v/>
      </c>
      <c r="O2747" s="7">
        <f>IF(COUNTA(A2747:K2747)=0,"",IF(OR(A2747="",B2747=""),"Preencher CPF e entrada",IF(COUNTIFS($A$12:$A$5011,A2747,$B$12:$B$5011,B2747)&gt;1,"CPF + dia duplicado",IF(OR(AND(G2747&lt;&gt;"",G2747&lt;&gt;0,G2747&lt;&gt;1),AND(H2747&lt;&gt;"",H2747&lt;&gt;0,H2747&lt;&gt;1)),"Flags devem ser 0 ou 1",IF(AND(H2747=1,LEN(TRIM(I2747))=0),"Preencher nome do indicante",IF(AND(H2747&lt;&gt;1,I2747&lt;&gt;""),"Nome sem indicação interna",IF(AND(G2747=1,F2747=""),"Fechamento sem conversa",IF(OR(AND(E2747&lt;&gt;"",E2747&lt;B2747),AND(F2747&lt;&gt;"",F2747&lt;B2747)),"Evento anterior à entrada",IF(AND(F2747&lt;&gt;"",E2747=""),"Conversa sem agendamento",IF(OR(E2747&gt;TODAY(),F2747&gt;TODAY()),"Verificar evento futuro","OK"))))))))))</f>
        <v/>
      </c>
    </row>
    <row r="2748" spans="12:15">
      <c r="L2748" s="5">
        <f>IF(OR(A2748="",B2748=""),"",B2748-WEEKDAY(B2748,2)+1)</f>
        <v/>
      </c>
      <c r="M2748" s="5">
        <f>IF(L2748="","",L2748+6)</f>
        <v/>
      </c>
      <c r="N2748" s="6">
        <f>IF(OR(A2748="",B2748=""),"",DATE(YEAR(B2748),MONTH(B2748),1))</f>
        <v/>
      </c>
      <c r="O2748" s="7">
        <f>IF(COUNTA(A2748:K2748)=0,"",IF(OR(A2748="",B2748=""),"Preencher CPF e entrada",IF(COUNTIFS($A$12:$A$5011,A2748,$B$12:$B$5011,B2748)&gt;1,"CPF + dia duplicado",IF(OR(AND(G2748&lt;&gt;"",G2748&lt;&gt;0,G2748&lt;&gt;1),AND(H2748&lt;&gt;"",H2748&lt;&gt;0,H2748&lt;&gt;1)),"Flags devem ser 0 ou 1",IF(AND(H2748=1,LEN(TRIM(I2748))=0),"Preencher nome do indicante",IF(AND(H2748&lt;&gt;1,I2748&lt;&gt;""),"Nome sem indicação interna",IF(AND(G2748=1,F2748=""),"Fechamento sem conversa",IF(OR(AND(E2748&lt;&gt;"",E2748&lt;B2748),AND(F2748&lt;&gt;"",F2748&lt;B2748)),"Evento anterior à entrada",IF(AND(F2748&lt;&gt;"",E2748=""),"Conversa sem agendamento",IF(OR(E2748&gt;TODAY(),F2748&gt;TODAY()),"Verificar evento futuro","OK"))))))))))</f>
        <v/>
      </c>
    </row>
    <row r="2749" spans="12:15">
      <c r="L2749" s="5">
        <f>IF(OR(A2749="",B2749=""),"",B2749-WEEKDAY(B2749,2)+1)</f>
        <v/>
      </c>
      <c r="M2749" s="5">
        <f>IF(L2749="","",L2749+6)</f>
        <v/>
      </c>
      <c r="N2749" s="6">
        <f>IF(OR(A2749="",B2749=""),"",DATE(YEAR(B2749),MONTH(B2749),1))</f>
        <v/>
      </c>
      <c r="O2749" s="7">
        <f>IF(COUNTA(A2749:K2749)=0,"",IF(OR(A2749="",B2749=""),"Preencher CPF e entrada",IF(COUNTIFS($A$12:$A$5011,A2749,$B$12:$B$5011,B2749)&gt;1,"CPF + dia duplicado",IF(OR(AND(G2749&lt;&gt;"",G2749&lt;&gt;0,G2749&lt;&gt;1),AND(H2749&lt;&gt;"",H2749&lt;&gt;0,H2749&lt;&gt;1)),"Flags devem ser 0 ou 1",IF(AND(H2749=1,LEN(TRIM(I2749))=0),"Preencher nome do indicante",IF(AND(H2749&lt;&gt;1,I2749&lt;&gt;""),"Nome sem indicação interna",IF(AND(G2749=1,F2749=""),"Fechamento sem conversa",IF(OR(AND(E2749&lt;&gt;"",E2749&lt;B2749),AND(F2749&lt;&gt;"",F2749&lt;B2749)),"Evento anterior à entrada",IF(AND(F2749&lt;&gt;"",E2749=""),"Conversa sem agendamento",IF(OR(E2749&gt;TODAY(),F2749&gt;TODAY()),"Verificar evento futuro","OK"))))))))))</f>
        <v/>
      </c>
    </row>
    <row r="2750" spans="12:15">
      <c r="L2750" s="5">
        <f>IF(OR(A2750="",B2750=""),"",B2750-WEEKDAY(B2750,2)+1)</f>
        <v/>
      </c>
      <c r="M2750" s="5">
        <f>IF(L2750="","",L2750+6)</f>
        <v/>
      </c>
      <c r="N2750" s="6">
        <f>IF(OR(A2750="",B2750=""),"",DATE(YEAR(B2750),MONTH(B2750),1))</f>
        <v/>
      </c>
      <c r="O2750" s="7">
        <f>IF(COUNTA(A2750:K2750)=0,"",IF(OR(A2750="",B2750=""),"Preencher CPF e entrada",IF(COUNTIFS($A$12:$A$5011,A2750,$B$12:$B$5011,B2750)&gt;1,"CPF + dia duplicado",IF(OR(AND(G2750&lt;&gt;"",G2750&lt;&gt;0,G2750&lt;&gt;1),AND(H2750&lt;&gt;"",H2750&lt;&gt;0,H2750&lt;&gt;1)),"Flags devem ser 0 ou 1",IF(AND(H2750=1,LEN(TRIM(I2750))=0),"Preencher nome do indicante",IF(AND(H2750&lt;&gt;1,I2750&lt;&gt;""),"Nome sem indicação interna",IF(AND(G2750=1,F2750=""),"Fechamento sem conversa",IF(OR(AND(E2750&lt;&gt;"",E2750&lt;B2750),AND(F2750&lt;&gt;"",F2750&lt;B2750)),"Evento anterior à entrada",IF(AND(F2750&lt;&gt;"",E2750=""),"Conversa sem agendamento",IF(OR(E2750&gt;TODAY(),F2750&gt;TODAY()),"Verificar evento futuro","OK"))))))))))</f>
        <v/>
      </c>
    </row>
    <row r="2751" spans="12:15">
      <c r="L2751" s="5">
        <f>IF(OR(A2751="",B2751=""),"",B2751-WEEKDAY(B2751,2)+1)</f>
        <v/>
      </c>
      <c r="M2751" s="5">
        <f>IF(L2751="","",L2751+6)</f>
        <v/>
      </c>
      <c r="N2751" s="6">
        <f>IF(OR(A2751="",B2751=""),"",DATE(YEAR(B2751),MONTH(B2751),1))</f>
        <v/>
      </c>
      <c r="O2751" s="7">
        <f>IF(COUNTA(A2751:K2751)=0,"",IF(OR(A2751="",B2751=""),"Preencher CPF e entrada",IF(COUNTIFS($A$12:$A$5011,A2751,$B$12:$B$5011,B2751)&gt;1,"CPF + dia duplicado",IF(OR(AND(G2751&lt;&gt;"",G2751&lt;&gt;0,G2751&lt;&gt;1),AND(H2751&lt;&gt;"",H2751&lt;&gt;0,H2751&lt;&gt;1)),"Flags devem ser 0 ou 1",IF(AND(H2751=1,LEN(TRIM(I2751))=0),"Preencher nome do indicante",IF(AND(H2751&lt;&gt;1,I2751&lt;&gt;""),"Nome sem indicação interna",IF(AND(G2751=1,F2751=""),"Fechamento sem conversa",IF(OR(AND(E2751&lt;&gt;"",E2751&lt;B2751),AND(F2751&lt;&gt;"",F2751&lt;B2751)),"Evento anterior à entrada",IF(AND(F2751&lt;&gt;"",E2751=""),"Conversa sem agendamento",IF(OR(E2751&gt;TODAY(),F2751&gt;TODAY()),"Verificar evento futuro","OK"))))))))))</f>
        <v/>
      </c>
    </row>
    <row r="2752" spans="12:15">
      <c r="L2752" s="5">
        <f>IF(OR(A2752="",B2752=""),"",B2752-WEEKDAY(B2752,2)+1)</f>
        <v/>
      </c>
      <c r="M2752" s="5">
        <f>IF(L2752="","",L2752+6)</f>
        <v/>
      </c>
      <c r="N2752" s="6">
        <f>IF(OR(A2752="",B2752=""),"",DATE(YEAR(B2752),MONTH(B2752),1))</f>
        <v/>
      </c>
      <c r="O2752" s="7">
        <f>IF(COUNTA(A2752:K2752)=0,"",IF(OR(A2752="",B2752=""),"Preencher CPF e entrada",IF(COUNTIFS($A$12:$A$5011,A2752,$B$12:$B$5011,B2752)&gt;1,"CPF + dia duplicado",IF(OR(AND(G2752&lt;&gt;"",G2752&lt;&gt;0,G2752&lt;&gt;1),AND(H2752&lt;&gt;"",H2752&lt;&gt;0,H2752&lt;&gt;1)),"Flags devem ser 0 ou 1",IF(AND(H2752=1,LEN(TRIM(I2752))=0),"Preencher nome do indicante",IF(AND(H2752&lt;&gt;1,I2752&lt;&gt;""),"Nome sem indicação interna",IF(AND(G2752=1,F2752=""),"Fechamento sem conversa",IF(OR(AND(E2752&lt;&gt;"",E2752&lt;B2752),AND(F2752&lt;&gt;"",F2752&lt;B2752)),"Evento anterior à entrada",IF(AND(F2752&lt;&gt;"",E2752=""),"Conversa sem agendamento",IF(OR(E2752&gt;TODAY(),F2752&gt;TODAY()),"Verificar evento futuro","OK"))))))))))</f>
        <v/>
      </c>
    </row>
    <row r="2753" spans="12:15">
      <c r="L2753" s="5">
        <f>IF(OR(A2753="",B2753=""),"",B2753-WEEKDAY(B2753,2)+1)</f>
        <v/>
      </c>
      <c r="M2753" s="5">
        <f>IF(L2753="","",L2753+6)</f>
        <v/>
      </c>
      <c r="N2753" s="6">
        <f>IF(OR(A2753="",B2753=""),"",DATE(YEAR(B2753),MONTH(B2753),1))</f>
        <v/>
      </c>
      <c r="O2753" s="7">
        <f>IF(COUNTA(A2753:K2753)=0,"",IF(OR(A2753="",B2753=""),"Preencher CPF e entrada",IF(COUNTIFS($A$12:$A$5011,A2753,$B$12:$B$5011,B2753)&gt;1,"CPF + dia duplicado",IF(OR(AND(G2753&lt;&gt;"",G2753&lt;&gt;0,G2753&lt;&gt;1),AND(H2753&lt;&gt;"",H2753&lt;&gt;0,H2753&lt;&gt;1)),"Flags devem ser 0 ou 1",IF(AND(H2753=1,LEN(TRIM(I2753))=0),"Preencher nome do indicante",IF(AND(H2753&lt;&gt;1,I2753&lt;&gt;""),"Nome sem indicação interna",IF(AND(G2753=1,F2753=""),"Fechamento sem conversa",IF(OR(AND(E2753&lt;&gt;"",E2753&lt;B2753),AND(F2753&lt;&gt;"",F2753&lt;B2753)),"Evento anterior à entrada",IF(AND(F2753&lt;&gt;"",E2753=""),"Conversa sem agendamento",IF(OR(E2753&gt;TODAY(),F2753&gt;TODAY()),"Verificar evento futuro","OK"))))))))))</f>
        <v/>
      </c>
    </row>
    <row r="2754" spans="12:15">
      <c r="L2754" s="5">
        <f>IF(OR(A2754="",B2754=""),"",B2754-WEEKDAY(B2754,2)+1)</f>
        <v/>
      </c>
      <c r="M2754" s="5">
        <f>IF(L2754="","",L2754+6)</f>
        <v/>
      </c>
      <c r="N2754" s="6">
        <f>IF(OR(A2754="",B2754=""),"",DATE(YEAR(B2754),MONTH(B2754),1))</f>
        <v/>
      </c>
      <c r="O2754" s="7">
        <f>IF(COUNTA(A2754:K2754)=0,"",IF(OR(A2754="",B2754=""),"Preencher CPF e entrada",IF(COUNTIFS($A$12:$A$5011,A2754,$B$12:$B$5011,B2754)&gt;1,"CPF + dia duplicado",IF(OR(AND(G2754&lt;&gt;"",G2754&lt;&gt;0,G2754&lt;&gt;1),AND(H2754&lt;&gt;"",H2754&lt;&gt;0,H2754&lt;&gt;1)),"Flags devem ser 0 ou 1",IF(AND(H2754=1,LEN(TRIM(I2754))=0),"Preencher nome do indicante",IF(AND(H2754&lt;&gt;1,I2754&lt;&gt;""),"Nome sem indicação interna",IF(AND(G2754=1,F2754=""),"Fechamento sem conversa",IF(OR(AND(E2754&lt;&gt;"",E2754&lt;B2754),AND(F2754&lt;&gt;"",F2754&lt;B2754)),"Evento anterior à entrada",IF(AND(F2754&lt;&gt;"",E2754=""),"Conversa sem agendamento",IF(OR(E2754&gt;TODAY(),F2754&gt;TODAY()),"Verificar evento futuro","OK"))))))))))</f>
        <v/>
      </c>
    </row>
    <row r="2755" spans="12:15">
      <c r="L2755" s="5">
        <f>IF(OR(A2755="",B2755=""),"",B2755-WEEKDAY(B2755,2)+1)</f>
        <v/>
      </c>
      <c r="M2755" s="5">
        <f>IF(L2755="","",L2755+6)</f>
        <v/>
      </c>
      <c r="N2755" s="6">
        <f>IF(OR(A2755="",B2755=""),"",DATE(YEAR(B2755),MONTH(B2755),1))</f>
        <v/>
      </c>
      <c r="O2755" s="7">
        <f>IF(COUNTA(A2755:K2755)=0,"",IF(OR(A2755="",B2755=""),"Preencher CPF e entrada",IF(COUNTIFS($A$12:$A$5011,A2755,$B$12:$B$5011,B2755)&gt;1,"CPF + dia duplicado",IF(OR(AND(G2755&lt;&gt;"",G2755&lt;&gt;0,G2755&lt;&gt;1),AND(H2755&lt;&gt;"",H2755&lt;&gt;0,H2755&lt;&gt;1)),"Flags devem ser 0 ou 1",IF(AND(H2755=1,LEN(TRIM(I2755))=0),"Preencher nome do indicante",IF(AND(H2755&lt;&gt;1,I2755&lt;&gt;""),"Nome sem indicação interna",IF(AND(G2755=1,F2755=""),"Fechamento sem conversa",IF(OR(AND(E2755&lt;&gt;"",E2755&lt;B2755),AND(F2755&lt;&gt;"",F2755&lt;B2755)),"Evento anterior à entrada",IF(AND(F2755&lt;&gt;"",E2755=""),"Conversa sem agendamento",IF(OR(E2755&gt;TODAY(),F2755&gt;TODAY()),"Verificar evento futuro","OK"))))))))))</f>
        <v/>
      </c>
    </row>
    <row r="2756" spans="12:15">
      <c r="L2756" s="5">
        <f>IF(OR(A2756="",B2756=""),"",B2756-WEEKDAY(B2756,2)+1)</f>
        <v/>
      </c>
      <c r="M2756" s="5">
        <f>IF(L2756="","",L2756+6)</f>
        <v/>
      </c>
      <c r="N2756" s="6">
        <f>IF(OR(A2756="",B2756=""),"",DATE(YEAR(B2756),MONTH(B2756),1))</f>
        <v/>
      </c>
      <c r="O2756" s="7">
        <f>IF(COUNTA(A2756:K2756)=0,"",IF(OR(A2756="",B2756=""),"Preencher CPF e entrada",IF(COUNTIFS($A$12:$A$5011,A2756,$B$12:$B$5011,B2756)&gt;1,"CPF + dia duplicado",IF(OR(AND(G2756&lt;&gt;"",G2756&lt;&gt;0,G2756&lt;&gt;1),AND(H2756&lt;&gt;"",H2756&lt;&gt;0,H2756&lt;&gt;1)),"Flags devem ser 0 ou 1",IF(AND(H2756=1,LEN(TRIM(I2756))=0),"Preencher nome do indicante",IF(AND(H2756&lt;&gt;1,I2756&lt;&gt;""),"Nome sem indicação interna",IF(AND(G2756=1,F2756=""),"Fechamento sem conversa",IF(OR(AND(E2756&lt;&gt;"",E2756&lt;B2756),AND(F2756&lt;&gt;"",F2756&lt;B2756)),"Evento anterior à entrada",IF(AND(F2756&lt;&gt;"",E2756=""),"Conversa sem agendamento",IF(OR(E2756&gt;TODAY(),F2756&gt;TODAY()),"Verificar evento futuro","OK"))))))))))</f>
        <v/>
      </c>
    </row>
    <row r="2757" spans="12:15">
      <c r="L2757" s="5">
        <f>IF(OR(A2757="",B2757=""),"",B2757-WEEKDAY(B2757,2)+1)</f>
        <v/>
      </c>
      <c r="M2757" s="5">
        <f>IF(L2757="","",L2757+6)</f>
        <v/>
      </c>
      <c r="N2757" s="6">
        <f>IF(OR(A2757="",B2757=""),"",DATE(YEAR(B2757),MONTH(B2757),1))</f>
        <v/>
      </c>
      <c r="O2757" s="7">
        <f>IF(COUNTA(A2757:K2757)=0,"",IF(OR(A2757="",B2757=""),"Preencher CPF e entrada",IF(COUNTIFS($A$12:$A$5011,A2757,$B$12:$B$5011,B2757)&gt;1,"CPF + dia duplicado",IF(OR(AND(G2757&lt;&gt;"",G2757&lt;&gt;0,G2757&lt;&gt;1),AND(H2757&lt;&gt;"",H2757&lt;&gt;0,H2757&lt;&gt;1)),"Flags devem ser 0 ou 1",IF(AND(H2757=1,LEN(TRIM(I2757))=0),"Preencher nome do indicante",IF(AND(H2757&lt;&gt;1,I2757&lt;&gt;""),"Nome sem indicação interna",IF(AND(G2757=1,F2757=""),"Fechamento sem conversa",IF(OR(AND(E2757&lt;&gt;"",E2757&lt;B2757),AND(F2757&lt;&gt;"",F2757&lt;B2757)),"Evento anterior à entrada",IF(AND(F2757&lt;&gt;"",E2757=""),"Conversa sem agendamento",IF(OR(E2757&gt;TODAY(),F2757&gt;TODAY()),"Verificar evento futuro","OK"))))))))))</f>
        <v/>
      </c>
    </row>
    <row r="2758" spans="12:15">
      <c r="L2758" s="5">
        <f>IF(OR(A2758="",B2758=""),"",B2758-WEEKDAY(B2758,2)+1)</f>
        <v/>
      </c>
      <c r="M2758" s="5">
        <f>IF(L2758="","",L2758+6)</f>
        <v/>
      </c>
      <c r="N2758" s="6">
        <f>IF(OR(A2758="",B2758=""),"",DATE(YEAR(B2758),MONTH(B2758),1))</f>
        <v/>
      </c>
      <c r="O2758" s="7">
        <f>IF(COUNTA(A2758:K2758)=0,"",IF(OR(A2758="",B2758=""),"Preencher CPF e entrada",IF(COUNTIFS($A$12:$A$5011,A2758,$B$12:$B$5011,B2758)&gt;1,"CPF + dia duplicado",IF(OR(AND(G2758&lt;&gt;"",G2758&lt;&gt;0,G2758&lt;&gt;1),AND(H2758&lt;&gt;"",H2758&lt;&gt;0,H2758&lt;&gt;1)),"Flags devem ser 0 ou 1",IF(AND(H2758=1,LEN(TRIM(I2758))=0),"Preencher nome do indicante",IF(AND(H2758&lt;&gt;1,I2758&lt;&gt;""),"Nome sem indicação interna",IF(AND(G2758=1,F2758=""),"Fechamento sem conversa",IF(OR(AND(E2758&lt;&gt;"",E2758&lt;B2758),AND(F2758&lt;&gt;"",F2758&lt;B2758)),"Evento anterior à entrada",IF(AND(F2758&lt;&gt;"",E2758=""),"Conversa sem agendamento",IF(OR(E2758&gt;TODAY(),F2758&gt;TODAY()),"Verificar evento futuro","OK"))))))))))</f>
        <v/>
      </c>
    </row>
    <row r="2759" spans="12:15">
      <c r="L2759" s="5">
        <f>IF(OR(A2759="",B2759=""),"",B2759-WEEKDAY(B2759,2)+1)</f>
        <v/>
      </c>
      <c r="M2759" s="5">
        <f>IF(L2759="","",L2759+6)</f>
        <v/>
      </c>
      <c r="N2759" s="6">
        <f>IF(OR(A2759="",B2759=""),"",DATE(YEAR(B2759),MONTH(B2759),1))</f>
        <v/>
      </c>
      <c r="O2759" s="7">
        <f>IF(COUNTA(A2759:K2759)=0,"",IF(OR(A2759="",B2759=""),"Preencher CPF e entrada",IF(COUNTIFS($A$12:$A$5011,A2759,$B$12:$B$5011,B2759)&gt;1,"CPF + dia duplicado",IF(OR(AND(G2759&lt;&gt;"",G2759&lt;&gt;0,G2759&lt;&gt;1),AND(H2759&lt;&gt;"",H2759&lt;&gt;0,H2759&lt;&gt;1)),"Flags devem ser 0 ou 1",IF(AND(H2759=1,LEN(TRIM(I2759))=0),"Preencher nome do indicante",IF(AND(H2759&lt;&gt;1,I2759&lt;&gt;""),"Nome sem indicação interna",IF(AND(G2759=1,F2759=""),"Fechamento sem conversa",IF(OR(AND(E2759&lt;&gt;"",E2759&lt;B2759),AND(F2759&lt;&gt;"",F2759&lt;B2759)),"Evento anterior à entrada",IF(AND(F2759&lt;&gt;"",E2759=""),"Conversa sem agendamento",IF(OR(E2759&gt;TODAY(),F2759&gt;TODAY()),"Verificar evento futuro","OK"))))))))))</f>
        <v/>
      </c>
    </row>
    <row r="2760" spans="12:15">
      <c r="L2760" s="5">
        <f>IF(OR(A2760="",B2760=""),"",B2760-WEEKDAY(B2760,2)+1)</f>
        <v/>
      </c>
      <c r="M2760" s="5">
        <f>IF(L2760="","",L2760+6)</f>
        <v/>
      </c>
      <c r="N2760" s="6">
        <f>IF(OR(A2760="",B2760=""),"",DATE(YEAR(B2760),MONTH(B2760),1))</f>
        <v/>
      </c>
      <c r="O2760" s="7">
        <f>IF(COUNTA(A2760:K2760)=0,"",IF(OR(A2760="",B2760=""),"Preencher CPF e entrada",IF(COUNTIFS($A$12:$A$5011,A2760,$B$12:$B$5011,B2760)&gt;1,"CPF + dia duplicado",IF(OR(AND(G2760&lt;&gt;"",G2760&lt;&gt;0,G2760&lt;&gt;1),AND(H2760&lt;&gt;"",H2760&lt;&gt;0,H2760&lt;&gt;1)),"Flags devem ser 0 ou 1",IF(AND(H2760=1,LEN(TRIM(I2760))=0),"Preencher nome do indicante",IF(AND(H2760&lt;&gt;1,I2760&lt;&gt;""),"Nome sem indicação interna",IF(AND(G2760=1,F2760=""),"Fechamento sem conversa",IF(OR(AND(E2760&lt;&gt;"",E2760&lt;B2760),AND(F2760&lt;&gt;"",F2760&lt;B2760)),"Evento anterior à entrada",IF(AND(F2760&lt;&gt;"",E2760=""),"Conversa sem agendamento",IF(OR(E2760&gt;TODAY(),F2760&gt;TODAY()),"Verificar evento futuro","OK"))))))))))</f>
        <v/>
      </c>
    </row>
    <row r="2761" spans="12:15">
      <c r="L2761" s="5">
        <f>IF(OR(A2761="",B2761=""),"",B2761-WEEKDAY(B2761,2)+1)</f>
        <v/>
      </c>
      <c r="M2761" s="5">
        <f>IF(L2761="","",L2761+6)</f>
        <v/>
      </c>
      <c r="N2761" s="6">
        <f>IF(OR(A2761="",B2761=""),"",DATE(YEAR(B2761),MONTH(B2761),1))</f>
        <v/>
      </c>
      <c r="O2761" s="7">
        <f>IF(COUNTA(A2761:K2761)=0,"",IF(OR(A2761="",B2761=""),"Preencher CPF e entrada",IF(COUNTIFS($A$12:$A$5011,A2761,$B$12:$B$5011,B2761)&gt;1,"CPF + dia duplicado",IF(OR(AND(G2761&lt;&gt;"",G2761&lt;&gt;0,G2761&lt;&gt;1),AND(H2761&lt;&gt;"",H2761&lt;&gt;0,H2761&lt;&gt;1)),"Flags devem ser 0 ou 1",IF(AND(H2761=1,LEN(TRIM(I2761))=0),"Preencher nome do indicante",IF(AND(H2761&lt;&gt;1,I2761&lt;&gt;""),"Nome sem indicação interna",IF(AND(G2761=1,F2761=""),"Fechamento sem conversa",IF(OR(AND(E2761&lt;&gt;"",E2761&lt;B2761),AND(F2761&lt;&gt;"",F2761&lt;B2761)),"Evento anterior à entrada",IF(AND(F2761&lt;&gt;"",E2761=""),"Conversa sem agendamento",IF(OR(E2761&gt;TODAY(),F2761&gt;TODAY()),"Verificar evento futuro","OK"))))))))))</f>
        <v/>
      </c>
    </row>
    <row r="2762" spans="12:15">
      <c r="L2762" s="5">
        <f>IF(OR(A2762="",B2762=""),"",B2762-WEEKDAY(B2762,2)+1)</f>
        <v/>
      </c>
      <c r="M2762" s="5">
        <f>IF(L2762="","",L2762+6)</f>
        <v/>
      </c>
      <c r="N2762" s="6">
        <f>IF(OR(A2762="",B2762=""),"",DATE(YEAR(B2762),MONTH(B2762),1))</f>
        <v/>
      </c>
      <c r="O2762" s="7">
        <f>IF(COUNTA(A2762:K2762)=0,"",IF(OR(A2762="",B2762=""),"Preencher CPF e entrada",IF(COUNTIFS($A$12:$A$5011,A2762,$B$12:$B$5011,B2762)&gt;1,"CPF + dia duplicado",IF(OR(AND(G2762&lt;&gt;"",G2762&lt;&gt;0,G2762&lt;&gt;1),AND(H2762&lt;&gt;"",H2762&lt;&gt;0,H2762&lt;&gt;1)),"Flags devem ser 0 ou 1",IF(AND(H2762=1,LEN(TRIM(I2762))=0),"Preencher nome do indicante",IF(AND(H2762&lt;&gt;1,I2762&lt;&gt;""),"Nome sem indicação interna",IF(AND(G2762=1,F2762=""),"Fechamento sem conversa",IF(OR(AND(E2762&lt;&gt;"",E2762&lt;B2762),AND(F2762&lt;&gt;"",F2762&lt;B2762)),"Evento anterior à entrada",IF(AND(F2762&lt;&gt;"",E2762=""),"Conversa sem agendamento",IF(OR(E2762&gt;TODAY(),F2762&gt;TODAY()),"Verificar evento futuro","OK"))))))))))</f>
        <v/>
      </c>
    </row>
    <row r="2763" spans="12:15">
      <c r="L2763" s="5">
        <f>IF(OR(A2763="",B2763=""),"",B2763-WEEKDAY(B2763,2)+1)</f>
        <v/>
      </c>
      <c r="M2763" s="5">
        <f>IF(L2763="","",L2763+6)</f>
        <v/>
      </c>
      <c r="N2763" s="6">
        <f>IF(OR(A2763="",B2763=""),"",DATE(YEAR(B2763),MONTH(B2763),1))</f>
        <v/>
      </c>
      <c r="O2763" s="7">
        <f>IF(COUNTA(A2763:K2763)=0,"",IF(OR(A2763="",B2763=""),"Preencher CPF e entrada",IF(COUNTIFS($A$12:$A$5011,A2763,$B$12:$B$5011,B2763)&gt;1,"CPF + dia duplicado",IF(OR(AND(G2763&lt;&gt;"",G2763&lt;&gt;0,G2763&lt;&gt;1),AND(H2763&lt;&gt;"",H2763&lt;&gt;0,H2763&lt;&gt;1)),"Flags devem ser 0 ou 1",IF(AND(H2763=1,LEN(TRIM(I2763))=0),"Preencher nome do indicante",IF(AND(H2763&lt;&gt;1,I2763&lt;&gt;""),"Nome sem indicação interna",IF(AND(G2763=1,F2763=""),"Fechamento sem conversa",IF(OR(AND(E2763&lt;&gt;"",E2763&lt;B2763),AND(F2763&lt;&gt;"",F2763&lt;B2763)),"Evento anterior à entrada",IF(AND(F2763&lt;&gt;"",E2763=""),"Conversa sem agendamento",IF(OR(E2763&gt;TODAY(),F2763&gt;TODAY()),"Verificar evento futuro","OK"))))))))))</f>
        <v/>
      </c>
    </row>
    <row r="2764" spans="12:15">
      <c r="L2764" s="5">
        <f>IF(OR(A2764="",B2764=""),"",B2764-WEEKDAY(B2764,2)+1)</f>
        <v/>
      </c>
      <c r="M2764" s="5">
        <f>IF(L2764="","",L2764+6)</f>
        <v/>
      </c>
      <c r="N2764" s="6">
        <f>IF(OR(A2764="",B2764=""),"",DATE(YEAR(B2764),MONTH(B2764),1))</f>
        <v/>
      </c>
      <c r="O2764" s="7">
        <f>IF(COUNTA(A2764:K2764)=0,"",IF(OR(A2764="",B2764=""),"Preencher CPF e entrada",IF(COUNTIFS($A$12:$A$5011,A2764,$B$12:$B$5011,B2764)&gt;1,"CPF + dia duplicado",IF(OR(AND(G2764&lt;&gt;"",G2764&lt;&gt;0,G2764&lt;&gt;1),AND(H2764&lt;&gt;"",H2764&lt;&gt;0,H2764&lt;&gt;1)),"Flags devem ser 0 ou 1",IF(AND(H2764=1,LEN(TRIM(I2764))=0),"Preencher nome do indicante",IF(AND(H2764&lt;&gt;1,I2764&lt;&gt;""),"Nome sem indicação interna",IF(AND(G2764=1,F2764=""),"Fechamento sem conversa",IF(OR(AND(E2764&lt;&gt;"",E2764&lt;B2764),AND(F2764&lt;&gt;"",F2764&lt;B2764)),"Evento anterior à entrada",IF(AND(F2764&lt;&gt;"",E2764=""),"Conversa sem agendamento",IF(OR(E2764&gt;TODAY(),F2764&gt;TODAY()),"Verificar evento futuro","OK"))))))))))</f>
        <v/>
      </c>
    </row>
    <row r="2765" spans="12:15">
      <c r="L2765" s="5">
        <f>IF(OR(A2765="",B2765=""),"",B2765-WEEKDAY(B2765,2)+1)</f>
        <v/>
      </c>
      <c r="M2765" s="5">
        <f>IF(L2765="","",L2765+6)</f>
        <v/>
      </c>
      <c r="N2765" s="6">
        <f>IF(OR(A2765="",B2765=""),"",DATE(YEAR(B2765),MONTH(B2765),1))</f>
        <v/>
      </c>
      <c r="O2765" s="7">
        <f>IF(COUNTA(A2765:K2765)=0,"",IF(OR(A2765="",B2765=""),"Preencher CPF e entrada",IF(COUNTIFS($A$12:$A$5011,A2765,$B$12:$B$5011,B2765)&gt;1,"CPF + dia duplicado",IF(OR(AND(G2765&lt;&gt;"",G2765&lt;&gt;0,G2765&lt;&gt;1),AND(H2765&lt;&gt;"",H2765&lt;&gt;0,H2765&lt;&gt;1)),"Flags devem ser 0 ou 1",IF(AND(H2765=1,LEN(TRIM(I2765))=0),"Preencher nome do indicante",IF(AND(H2765&lt;&gt;1,I2765&lt;&gt;""),"Nome sem indicação interna",IF(AND(G2765=1,F2765=""),"Fechamento sem conversa",IF(OR(AND(E2765&lt;&gt;"",E2765&lt;B2765),AND(F2765&lt;&gt;"",F2765&lt;B2765)),"Evento anterior à entrada",IF(AND(F2765&lt;&gt;"",E2765=""),"Conversa sem agendamento",IF(OR(E2765&gt;TODAY(),F2765&gt;TODAY()),"Verificar evento futuro","OK"))))))))))</f>
        <v/>
      </c>
    </row>
    <row r="2766" spans="12:15">
      <c r="L2766" s="5">
        <f>IF(OR(A2766="",B2766=""),"",B2766-WEEKDAY(B2766,2)+1)</f>
        <v/>
      </c>
      <c r="M2766" s="5">
        <f>IF(L2766="","",L2766+6)</f>
        <v/>
      </c>
      <c r="N2766" s="6">
        <f>IF(OR(A2766="",B2766=""),"",DATE(YEAR(B2766),MONTH(B2766),1))</f>
        <v/>
      </c>
      <c r="O2766" s="7">
        <f>IF(COUNTA(A2766:K2766)=0,"",IF(OR(A2766="",B2766=""),"Preencher CPF e entrada",IF(COUNTIFS($A$12:$A$5011,A2766,$B$12:$B$5011,B2766)&gt;1,"CPF + dia duplicado",IF(OR(AND(G2766&lt;&gt;"",G2766&lt;&gt;0,G2766&lt;&gt;1),AND(H2766&lt;&gt;"",H2766&lt;&gt;0,H2766&lt;&gt;1)),"Flags devem ser 0 ou 1",IF(AND(H2766=1,LEN(TRIM(I2766))=0),"Preencher nome do indicante",IF(AND(H2766&lt;&gt;1,I2766&lt;&gt;""),"Nome sem indicação interna",IF(AND(G2766=1,F2766=""),"Fechamento sem conversa",IF(OR(AND(E2766&lt;&gt;"",E2766&lt;B2766),AND(F2766&lt;&gt;"",F2766&lt;B2766)),"Evento anterior à entrada",IF(AND(F2766&lt;&gt;"",E2766=""),"Conversa sem agendamento",IF(OR(E2766&gt;TODAY(),F2766&gt;TODAY()),"Verificar evento futuro","OK"))))))))))</f>
        <v/>
      </c>
    </row>
    <row r="2767" spans="12:15">
      <c r="L2767" s="5">
        <f>IF(OR(A2767="",B2767=""),"",B2767-WEEKDAY(B2767,2)+1)</f>
        <v/>
      </c>
      <c r="M2767" s="5">
        <f>IF(L2767="","",L2767+6)</f>
        <v/>
      </c>
      <c r="N2767" s="6">
        <f>IF(OR(A2767="",B2767=""),"",DATE(YEAR(B2767),MONTH(B2767),1))</f>
        <v/>
      </c>
      <c r="O2767" s="7">
        <f>IF(COUNTA(A2767:K2767)=0,"",IF(OR(A2767="",B2767=""),"Preencher CPF e entrada",IF(COUNTIFS($A$12:$A$5011,A2767,$B$12:$B$5011,B2767)&gt;1,"CPF + dia duplicado",IF(OR(AND(G2767&lt;&gt;"",G2767&lt;&gt;0,G2767&lt;&gt;1),AND(H2767&lt;&gt;"",H2767&lt;&gt;0,H2767&lt;&gt;1)),"Flags devem ser 0 ou 1",IF(AND(H2767=1,LEN(TRIM(I2767))=0),"Preencher nome do indicante",IF(AND(H2767&lt;&gt;1,I2767&lt;&gt;""),"Nome sem indicação interna",IF(AND(G2767=1,F2767=""),"Fechamento sem conversa",IF(OR(AND(E2767&lt;&gt;"",E2767&lt;B2767),AND(F2767&lt;&gt;"",F2767&lt;B2767)),"Evento anterior à entrada",IF(AND(F2767&lt;&gt;"",E2767=""),"Conversa sem agendamento",IF(OR(E2767&gt;TODAY(),F2767&gt;TODAY()),"Verificar evento futuro","OK"))))))))))</f>
        <v/>
      </c>
    </row>
    <row r="2768" spans="12:15">
      <c r="L2768" s="5">
        <f>IF(OR(A2768="",B2768=""),"",B2768-WEEKDAY(B2768,2)+1)</f>
        <v/>
      </c>
      <c r="M2768" s="5">
        <f>IF(L2768="","",L2768+6)</f>
        <v/>
      </c>
      <c r="N2768" s="6">
        <f>IF(OR(A2768="",B2768=""),"",DATE(YEAR(B2768),MONTH(B2768),1))</f>
        <v/>
      </c>
      <c r="O2768" s="7">
        <f>IF(COUNTA(A2768:K2768)=0,"",IF(OR(A2768="",B2768=""),"Preencher CPF e entrada",IF(COUNTIFS($A$12:$A$5011,A2768,$B$12:$B$5011,B2768)&gt;1,"CPF + dia duplicado",IF(OR(AND(G2768&lt;&gt;"",G2768&lt;&gt;0,G2768&lt;&gt;1),AND(H2768&lt;&gt;"",H2768&lt;&gt;0,H2768&lt;&gt;1)),"Flags devem ser 0 ou 1",IF(AND(H2768=1,LEN(TRIM(I2768))=0),"Preencher nome do indicante",IF(AND(H2768&lt;&gt;1,I2768&lt;&gt;""),"Nome sem indicação interna",IF(AND(G2768=1,F2768=""),"Fechamento sem conversa",IF(OR(AND(E2768&lt;&gt;"",E2768&lt;B2768),AND(F2768&lt;&gt;"",F2768&lt;B2768)),"Evento anterior à entrada",IF(AND(F2768&lt;&gt;"",E2768=""),"Conversa sem agendamento",IF(OR(E2768&gt;TODAY(),F2768&gt;TODAY()),"Verificar evento futuro","OK"))))))))))</f>
        <v/>
      </c>
    </row>
    <row r="2769" spans="12:15">
      <c r="L2769" s="5">
        <f>IF(OR(A2769="",B2769=""),"",B2769-WEEKDAY(B2769,2)+1)</f>
        <v/>
      </c>
      <c r="M2769" s="5">
        <f>IF(L2769="","",L2769+6)</f>
        <v/>
      </c>
      <c r="N2769" s="6">
        <f>IF(OR(A2769="",B2769=""),"",DATE(YEAR(B2769),MONTH(B2769),1))</f>
        <v/>
      </c>
      <c r="O2769" s="7">
        <f>IF(COUNTA(A2769:K2769)=0,"",IF(OR(A2769="",B2769=""),"Preencher CPF e entrada",IF(COUNTIFS($A$12:$A$5011,A2769,$B$12:$B$5011,B2769)&gt;1,"CPF + dia duplicado",IF(OR(AND(G2769&lt;&gt;"",G2769&lt;&gt;0,G2769&lt;&gt;1),AND(H2769&lt;&gt;"",H2769&lt;&gt;0,H2769&lt;&gt;1)),"Flags devem ser 0 ou 1",IF(AND(H2769=1,LEN(TRIM(I2769))=0),"Preencher nome do indicante",IF(AND(H2769&lt;&gt;1,I2769&lt;&gt;""),"Nome sem indicação interna",IF(AND(G2769=1,F2769=""),"Fechamento sem conversa",IF(OR(AND(E2769&lt;&gt;"",E2769&lt;B2769),AND(F2769&lt;&gt;"",F2769&lt;B2769)),"Evento anterior à entrada",IF(AND(F2769&lt;&gt;"",E2769=""),"Conversa sem agendamento",IF(OR(E2769&gt;TODAY(),F2769&gt;TODAY()),"Verificar evento futuro","OK"))))))))))</f>
        <v/>
      </c>
    </row>
    <row r="2770" spans="12:15">
      <c r="L2770" s="5">
        <f>IF(OR(A2770="",B2770=""),"",B2770-WEEKDAY(B2770,2)+1)</f>
        <v/>
      </c>
      <c r="M2770" s="5">
        <f>IF(L2770="","",L2770+6)</f>
        <v/>
      </c>
      <c r="N2770" s="6">
        <f>IF(OR(A2770="",B2770=""),"",DATE(YEAR(B2770),MONTH(B2770),1))</f>
        <v/>
      </c>
      <c r="O2770" s="7">
        <f>IF(COUNTA(A2770:K2770)=0,"",IF(OR(A2770="",B2770=""),"Preencher CPF e entrada",IF(COUNTIFS($A$12:$A$5011,A2770,$B$12:$B$5011,B2770)&gt;1,"CPF + dia duplicado",IF(OR(AND(G2770&lt;&gt;"",G2770&lt;&gt;0,G2770&lt;&gt;1),AND(H2770&lt;&gt;"",H2770&lt;&gt;0,H2770&lt;&gt;1)),"Flags devem ser 0 ou 1",IF(AND(H2770=1,LEN(TRIM(I2770))=0),"Preencher nome do indicante",IF(AND(H2770&lt;&gt;1,I2770&lt;&gt;""),"Nome sem indicação interna",IF(AND(G2770=1,F2770=""),"Fechamento sem conversa",IF(OR(AND(E2770&lt;&gt;"",E2770&lt;B2770),AND(F2770&lt;&gt;"",F2770&lt;B2770)),"Evento anterior à entrada",IF(AND(F2770&lt;&gt;"",E2770=""),"Conversa sem agendamento",IF(OR(E2770&gt;TODAY(),F2770&gt;TODAY()),"Verificar evento futuro","OK"))))))))))</f>
        <v/>
      </c>
    </row>
    <row r="2771" spans="12:15">
      <c r="L2771" s="5">
        <f>IF(OR(A2771="",B2771=""),"",B2771-WEEKDAY(B2771,2)+1)</f>
        <v/>
      </c>
      <c r="M2771" s="5">
        <f>IF(L2771="","",L2771+6)</f>
        <v/>
      </c>
      <c r="N2771" s="6">
        <f>IF(OR(A2771="",B2771=""),"",DATE(YEAR(B2771),MONTH(B2771),1))</f>
        <v/>
      </c>
      <c r="O2771" s="7">
        <f>IF(COUNTA(A2771:K2771)=0,"",IF(OR(A2771="",B2771=""),"Preencher CPF e entrada",IF(COUNTIFS($A$12:$A$5011,A2771,$B$12:$B$5011,B2771)&gt;1,"CPF + dia duplicado",IF(OR(AND(G2771&lt;&gt;"",G2771&lt;&gt;0,G2771&lt;&gt;1),AND(H2771&lt;&gt;"",H2771&lt;&gt;0,H2771&lt;&gt;1)),"Flags devem ser 0 ou 1",IF(AND(H2771=1,LEN(TRIM(I2771))=0),"Preencher nome do indicante",IF(AND(H2771&lt;&gt;1,I2771&lt;&gt;""),"Nome sem indicação interna",IF(AND(G2771=1,F2771=""),"Fechamento sem conversa",IF(OR(AND(E2771&lt;&gt;"",E2771&lt;B2771),AND(F2771&lt;&gt;"",F2771&lt;B2771)),"Evento anterior à entrada",IF(AND(F2771&lt;&gt;"",E2771=""),"Conversa sem agendamento",IF(OR(E2771&gt;TODAY(),F2771&gt;TODAY()),"Verificar evento futuro","OK"))))))))))</f>
        <v/>
      </c>
    </row>
    <row r="2772" spans="12:15">
      <c r="L2772" s="5">
        <f>IF(OR(A2772="",B2772=""),"",B2772-WEEKDAY(B2772,2)+1)</f>
        <v/>
      </c>
      <c r="M2772" s="5">
        <f>IF(L2772="","",L2772+6)</f>
        <v/>
      </c>
      <c r="N2772" s="6">
        <f>IF(OR(A2772="",B2772=""),"",DATE(YEAR(B2772),MONTH(B2772),1))</f>
        <v/>
      </c>
      <c r="O2772" s="7">
        <f>IF(COUNTA(A2772:K2772)=0,"",IF(OR(A2772="",B2772=""),"Preencher CPF e entrada",IF(COUNTIFS($A$12:$A$5011,A2772,$B$12:$B$5011,B2772)&gt;1,"CPF + dia duplicado",IF(OR(AND(G2772&lt;&gt;"",G2772&lt;&gt;0,G2772&lt;&gt;1),AND(H2772&lt;&gt;"",H2772&lt;&gt;0,H2772&lt;&gt;1)),"Flags devem ser 0 ou 1",IF(AND(H2772=1,LEN(TRIM(I2772))=0),"Preencher nome do indicante",IF(AND(H2772&lt;&gt;1,I2772&lt;&gt;""),"Nome sem indicação interna",IF(AND(G2772=1,F2772=""),"Fechamento sem conversa",IF(OR(AND(E2772&lt;&gt;"",E2772&lt;B2772),AND(F2772&lt;&gt;"",F2772&lt;B2772)),"Evento anterior à entrada",IF(AND(F2772&lt;&gt;"",E2772=""),"Conversa sem agendamento",IF(OR(E2772&gt;TODAY(),F2772&gt;TODAY()),"Verificar evento futuro","OK"))))))))))</f>
        <v/>
      </c>
    </row>
    <row r="2773" spans="12:15">
      <c r="L2773" s="5">
        <f>IF(OR(A2773="",B2773=""),"",B2773-WEEKDAY(B2773,2)+1)</f>
        <v/>
      </c>
      <c r="M2773" s="5">
        <f>IF(L2773="","",L2773+6)</f>
        <v/>
      </c>
      <c r="N2773" s="6">
        <f>IF(OR(A2773="",B2773=""),"",DATE(YEAR(B2773),MONTH(B2773),1))</f>
        <v/>
      </c>
      <c r="O2773" s="7">
        <f>IF(COUNTA(A2773:K2773)=0,"",IF(OR(A2773="",B2773=""),"Preencher CPF e entrada",IF(COUNTIFS($A$12:$A$5011,A2773,$B$12:$B$5011,B2773)&gt;1,"CPF + dia duplicado",IF(OR(AND(G2773&lt;&gt;"",G2773&lt;&gt;0,G2773&lt;&gt;1),AND(H2773&lt;&gt;"",H2773&lt;&gt;0,H2773&lt;&gt;1)),"Flags devem ser 0 ou 1",IF(AND(H2773=1,LEN(TRIM(I2773))=0),"Preencher nome do indicante",IF(AND(H2773&lt;&gt;1,I2773&lt;&gt;""),"Nome sem indicação interna",IF(AND(G2773=1,F2773=""),"Fechamento sem conversa",IF(OR(AND(E2773&lt;&gt;"",E2773&lt;B2773),AND(F2773&lt;&gt;"",F2773&lt;B2773)),"Evento anterior à entrada",IF(AND(F2773&lt;&gt;"",E2773=""),"Conversa sem agendamento",IF(OR(E2773&gt;TODAY(),F2773&gt;TODAY()),"Verificar evento futuro","OK"))))))))))</f>
        <v/>
      </c>
    </row>
    <row r="2774" spans="12:15">
      <c r="L2774" s="5">
        <f>IF(OR(A2774="",B2774=""),"",B2774-WEEKDAY(B2774,2)+1)</f>
        <v/>
      </c>
      <c r="M2774" s="5">
        <f>IF(L2774="","",L2774+6)</f>
        <v/>
      </c>
      <c r="N2774" s="6">
        <f>IF(OR(A2774="",B2774=""),"",DATE(YEAR(B2774),MONTH(B2774),1))</f>
        <v/>
      </c>
      <c r="O2774" s="7">
        <f>IF(COUNTA(A2774:K2774)=0,"",IF(OR(A2774="",B2774=""),"Preencher CPF e entrada",IF(COUNTIFS($A$12:$A$5011,A2774,$B$12:$B$5011,B2774)&gt;1,"CPF + dia duplicado",IF(OR(AND(G2774&lt;&gt;"",G2774&lt;&gt;0,G2774&lt;&gt;1),AND(H2774&lt;&gt;"",H2774&lt;&gt;0,H2774&lt;&gt;1)),"Flags devem ser 0 ou 1",IF(AND(H2774=1,LEN(TRIM(I2774))=0),"Preencher nome do indicante",IF(AND(H2774&lt;&gt;1,I2774&lt;&gt;""),"Nome sem indicação interna",IF(AND(G2774=1,F2774=""),"Fechamento sem conversa",IF(OR(AND(E2774&lt;&gt;"",E2774&lt;B2774),AND(F2774&lt;&gt;"",F2774&lt;B2774)),"Evento anterior à entrada",IF(AND(F2774&lt;&gt;"",E2774=""),"Conversa sem agendamento",IF(OR(E2774&gt;TODAY(),F2774&gt;TODAY()),"Verificar evento futuro","OK"))))))))))</f>
        <v/>
      </c>
    </row>
    <row r="2775" spans="12:15">
      <c r="L2775" s="5">
        <f>IF(OR(A2775="",B2775=""),"",B2775-WEEKDAY(B2775,2)+1)</f>
        <v/>
      </c>
      <c r="M2775" s="5">
        <f>IF(L2775="","",L2775+6)</f>
        <v/>
      </c>
      <c r="N2775" s="6">
        <f>IF(OR(A2775="",B2775=""),"",DATE(YEAR(B2775),MONTH(B2775),1))</f>
        <v/>
      </c>
      <c r="O2775" s="7">
        <f>IF(COUNTA(A2775:K2775)=0,"",IF(OR(A2775="",B2775=""),"Preencher CPF e entrada",IF(COUNTIFS($A$12:$A$5011,A2775,$B$12:$B$5011,B2775)&gt;1,"CPF + dia duplicado",IF(OR(AND(G2775&lt;&gt;"",G2775&lt;&gt;0,G2775&lt;&gt;1),AND(H2775&lt;&gt;"",H2775&lt;&gt;0,H2775&lt;&gt;1)),"Flags devem ser 0 ou 1",IF(AND(H2775=1,LEN(TRIM(I2775))=0),"Preencher nome do indicante",IF(AND(H2775&lt;&gt;1,I2775&lt;&gt;""),"Nome sem indicação interna",IF(AND(G2775=1,F2775=""),"Fechamento sem conversa",IF(OR(AND(E2775&lt;&gt;"",E2775&lt;B2775),AND(F2775&lt;&gt;"",F2775&lt;B2775)),"Evento anterior à entrada",IF(AND(F2775&lt;&gt;"",E2775=""),"Conversa sem agendamento",IF(OR(E2775&gt;TODAY(),F2775&gt;TODAY()),"Verificar evento futuro","OK"))))))))))</f>
        <v/>
      </c>
    </row>
    <row r="2776" spans="12:15">
      <c r="L2776" s="5">
        <f>IF(OR(A2776="",B2776=""),"",B2776-WEEKDAY(B2776,2)+1)</f>
        <v/>
      </c>
      <c r="M2776" s="5">
        <f>IF(L2776="","",L2776+6)</f>
        <v/>
      </c>
      <c r="N2776" s="6">
        <f>IF(OR(A2776="",B2776=""),"",DATE(YEAR(B2776),MONTH(B2776),1))</f>
        <v/>
      </c>
      <c r="O2776" s="7">
        <f>IF(COUNTA(A2776:K2776)=0,"",IF(OR(A2776="",B2776=""),"Preencher CPF e entrada",IF(COUNTIFS($A$12:$A$5011,A2776,$B$12:$B$5011,B2776)&gt;1,"CPF + dia duplicado",IF(OR(AND(G2776&lt;&gt;"",G2776&lt;&gt;0,G2776&lt;&gt;1),AND(H2776&lt;&gt;"",H2776&lt;&gt;0,H2776&lt;&gt;1)),"Flags devem ser 0 ou 1",IF(AND(H2776=1,LEN(TRIM(I2776))=0),"Preencher nome do indicante",IF(AND(H2776&lt;&gt;1,I2776&lt;&gt;""),"Nome sem indicação interna",IF(AND(G2776=1,F2776=""),"Fechamento sem conversa",IF(OR(AND(E2776&lt;&gt;"",E2776&lt;B2776),AND(F2776&lt;&gt;"",F2776&lt;B2776)),"Evento anterior à entrada",IF(AND(F2776&lt;&gt;"",E2776=""),"Conversa sem agendamento",IF(OR(E2776&gt;TODAY(),F2776&gt;TODAY()),"Verificar evento futuro","OK"))))))))))</f>
        <v/>
      </c>
    </row>
    <row r="2777" spans="12:15">
      <c r="L2777" s="5">
        <f>IF(OR(A2777="",B2777=""),"",B2777-WEEKDAY(B2777,2)+1)</f>
        <v/>
      </c>
      <c r="M2777" s="5">
        <f>IF(L2777="","",L2777+6)</f>
        <v/>
      </c>
      <c r="N2777" s="6">
        <f>IF(OR(A2777="",B2777=""),"",DATE(YEAR(B2777),MONTH(B2777),1))</f>
        <v/>
      </c>
      <c r="O2777" s="7">
        <f>IF(COUNTA(A2777:K2777)=0,"",IF(OR(A2777="",B2777=""),"Preencher CPF e entrada",IF(COUNTIFS($A$12:$A$5011,A2777,$B$12:$B$5011,B2777)&gt;1,"CPF + dia duplicado",IF(OR(AND(G2777&lt;&gt;"",G2777&lt;&gt;0,G2777&lt;&gt;1),AND(H2777&lt;&gt;"",H2777&lt;&gt;0,H2777&lt;&gt;1)),"Flags devem ser 0 ou 1",IF(AND(H2777=1,LEN(TRIM(I2777))=0),"Preencher nome do indicante",IF(AND(H2777&lt;&gt;1,I2777&lt;&gt;""),"Nome sem indicação interna",IF(AND(G2777=1,F2777=""),"Fechamento sem conversa",IF(OR(AND(E2777&lt;&gt;"",E2777&lt;B2777),AND(F2777&lt;&gt;"",F2777&lt;B2777)),"Evento anterior à entrada",IF(AND(F2777&lt;&gt;"",E2777=""),"Conversa sem agendamento",IF(OR(E2777&gt;TODAY(),F2777&gt;TODAY()),"Verificar evento futuro","OK"))))))))))</f>
        <v/>
      </c>
    </row>
    <row r="2778" spans="12:15">
      <c r="L2778" s="5">
        <f>IF(OR(A2778="",B2778=""),"",B2778-WEEKDAY(B2778,2)+1)</f>
        <v/>
      </c>
      <c r="M2778" s="5">
        <f>IF(L2778="","",L2778+6)</f>
        <v/>
      </c>
      <c r="N2778" s="6">
        <f>IF(OR(A2778="",B2778=""),"",DATE(YEAR(B2778),MONTH(B2778),1))</f>
        <v/>
      </c>
      <c r="O2778" s="7">
        <f>IF(COUNTA(A2778:K2778)=0,"",IF(OR(A2778="",B2778=""),"Preencher CPF e entrada",IF(COUNTIFS($A$12:$A$5011,A2778,$B$12:$B$5011,B2778)&gt;1,"CPF + dia duplicado",IF(OR(AND(G2778&lt;&gt;"",G2778&lt;&gt;0,G2778&lt;&gt;1),AND(H2778&lt;&gt;"",H2778&lt;&gt;0,H2778&lt;&gt;1)),"Flags devem ser 0 ou 1",IF(AND(H2778=1,LEN(TRIM(I2778))=0),"Preencher nome do indicante",IF(AND(H2778&lt;&gt;1,I2778&lt;&gt;""),"Nome sem indicação interna",IF(AND(G2778=1,F2778=""),"Fechamento sem conversa",IF(OR(AND(E2778&lt;&gt;"",E2778&lt;B2778),AND(F2778&lt;&gt;"",F2778&lt;B2778)),"Evento anterior à entrada",IF(AND(F2778&lt;&gt;"",E2778=""),"Conversa sem agendamento",IF(OR(E2778&gt;TODAY(),F2778&gt;TODAY()),"Verificar evento futuro","OK"))))))))))</f>
        <v/>
      </c>
    </row>
    <row r="2779" spans="12:15">
      <c r="L2779" s="5">
        <f>IF(OR(A2779="",B2779=""),"",B2779-WEEKDAY(B2779,2)+1)</f>
        <v/>
      </c>
      <c r="M2779" s="5">
        <f>IF(L2779="","",L2779+6)</f>
        <v/>
      </c>
      <c r="N2779" s="6">
        <f>IF(OR(A2779="",B2779=""),"",DATE(YEAR(B2779),MONTH(B2779),1))</f>
        <v/>
      </c>
      <c r="O2779" s="7">
        <f>IF(COUNTA(A2779:K2779)=0,"",IF(OR(A2779="",B2779=""),"Preencher CPF e entrada",IF(COUNTIFS($A$12:$A$5011,A2779,$B$12:$B$5011,B2779)&gt;1,"CPF + dia duplicado",IF(OR(AND(G2779&lt;&gt;"",G2779&lt;&gt;0,G2779&lt;&gt;1),AND(H2779&lt;&gt;"",H2779&lt;&gt;0,H2779&lt;&gt;1)),"Flags devem ser 0 ou 1",IF(AND(H2779=1,LEN(TRIM(I2779))=0),"Preencher nome do indicante",IF(AND(H2779&lt;&gt;1,I2779&lt;&gt;""),"Nome sem indicação interna",IF(AND(G2779=1,F2779=""),"Fechamento sem conversa",IF(OR(AND(E2779&lt;&gt;"",E2779&lt;B2779),AND(F2779&lt;&gt;"",F2779&lt;B2779)),"Evento anterior à entrada",IF(AND(F2779&lt;&gt;"",E2779=""),"Conversa sem agendamento",IF(OR(E2779&gt;TODAY(),F2779&gt;TODAY()),"Verificar evento futuro","OK"))))))))))</f>
        <v/>
      </c>
    </row>
    <row r="2780" spans="12:15">
      <c r="L2780" s="5">
        <f>IF(OR(A2780="",B2780=""),"",B2780-WEEKDAY(B2780,2)+1)</f>
        <v/>
      </c>
      <c r="M2780" s="5">
        <f>IF(L2780="","",L2780+6)</f>
        <v/>
      </c>
      <c r="N2780" s="6">
        <f>IF(OR(A2780="",B2780=""),"",DATE(YEAR(B2780),MONTH(B2780),1))</f>
        <v/>
      </c>
      <c r="O2780" s="7">
        <f>IF(COUNTA(A2780:K2780)=0,"",IF(OR(A2780="",B2780=""),"Preencher CPF e entrada",IF(COUNTIFS($A$12:$A$5011,A2780,$B$12:$B$5011,B2780)&gt;1,"CPF + dia duplicado",IF(OR(AND(G2780&lt;&gt;"",G2780&lt;&gt;0,G2780&lt;&gt;1),AND(H2780&lt;&gt;"",H2780&lt;&gt;0,H2780&lt;&gt;1)),"Flags devem ser 0 ou 1",IF(AND(H2780=1,LEN(TRIM(I2780))=0),"Preencher nome do indicante",IF(AND(H2780&lt;&gt;1,I2780&lt;&gt;""),"Nome sem indicação interna",IF(AND(G2780=1,F2780=""),"Fechamento sem conversa",IF(OR(AND(E2780&lt;&gt;"",E2780&lt;B2780),AND(F2780&lt;&gt;"",F2780&lt;B2780)),"Evento anterior à entrada",IF(AND(F2780&lt;&gt;"",E2780=""),"Conversa sem agendamento",IF(OR(E2780&gt;TODAY(),F2780&gt;TODAY()),"Verificar evento futuro","OK"))))))))))</f>
        <v/>
      </c>
    </row>
    <row r="2781" spans="12:15">
      <c r="L2781" s="5">
        <f>IF(OR(A2781="",B2781=""),"",B2781-WEEKDAY(B2781,2)+1)</f>
        <v/>
      </c>
      <c r="M2781" s="5">
        <f>IF(L2781="","",L2781+6)</f>
        <v/>
      </c>
      <c r="N2781" s="6">
        <f>IF(OR(A2781="",B2781=""),"",DATE(YEAR(B2781),MONTH(B2781),1))</f>
        <v/>
      </c>
      <c r="O2781" s="7">
        <f>IF(COUNTA(A2781:K2781)=0,"",IF(OR(A2781="",B2781=""),"Preencher CPF e entrada",IF(COUNTIFS($A$12:$A$5011,A2781,$B$12:$B$5011,B2781)&gt;1,"CPF + dia duplicado",IF(OR(AND(G2781&lt;&gt;"",G2781&lt;&gt;0,G2781&lt;&gt;1),AND(H2781&lt;&gt;"",H2781&lt;&gt;0,H2781&lt;&gt;1)),"Flags devem ser 0 ou 1",IF(AND(H2781=1,LEN(TRIM(I2781))=0),"Preencher nome do indicante",IF(AND(H2781&lt;&gt;1,I2781&lt;&gt;""),"Nome sem indicação interna",IF(AND(G2781=1,F2781=""),"Fechamento sem conversa",IF(OR(AND(E2781&lt;&gt;"",E2781&lt;B2781),AND(F2781&lt;&gt;"",F2781&lt;B2781)),"Evento anterior à entrada",IF(AND(F2781&lt;&gt;"",E2781=""),"Conversa sem agendamento",IF(OR(E2781&gt;TODAY(),F2781&gt;TODAY()),"Verificar evento futuro","OK"))))))))))</f>
        <v/>
      </c>
    </row>
    <row r="2782" spans="12:15">
      <c r="L2782" s="5">
        <f>IF(OR(A2782="",B2782=""),"",B2782-WEEKDAY(B2782,2)+1)</f>
        <v/>
      </c>
      <c r="M2782" s="5">
        <f>IF(L2782="","",L2782+6)</f>
        <v/>
      </c>
      <c r="N2782" s="6">
        <f>IF(OR(A2782="",B2782=""),"",DATE(YEAR(B2782),MONTH(B2782),1))</f>
        <v/>
      </c>
      <c r="O2782" s="7">
        <f>IF(COUNTA(A2782:K2782)=0,"",IF(OR(A2782="",B2782=""),"Preencher CPF e entrada",IF(COUNTIFS($A$12:$A$5011,A2782,$B$12:$B$5011,B2782)&gt;1,"CPF + dia duplicado",IF(OR(AND(G2782&lt;&gt;"",G2782&lt;&gt;0,G2782&lt;&gt;1),AND(H2782&lt;&gt;"",H2782&lt;&gt;0,H2782&lt;&gt;1)),"Flags devem ser 0 ou 1",IF(AND(H2782=1,LEN(TRIM(I2782))=0),"Preencher nome do indicante",IF(AND(H2782&lt;&gt;1,I2782&lt;&gt;""),"Nome sem indicação interna",IF(AND(G2782=1,F2782=""),"Fechamento sem conversa",IF(OR(AND(E2782&lt;&gt;"",E2782&lt;B2782),AND(F2782&lt;&gt;"",F2782&lt;B2782)),"Evento anterior à entrada",IF(AND(F2782&lt;&gt;"",E2782=""),"Conversa sem agendamento",IF(OR(E2782&gt;TODAY(),F2782&gt;TODAY()),"Verificar evento futuro","OK"))))))))))</f>
        <v/>
      </c>
    </row>
    <row r="2783" spans="12:15">
      <c r="L2783" s="5">
        <f>IF(OR(A2783="",B2783=""),"",B2783-WEEKDAY(B2783,2)+1)</f>
        <v/>
      </c>
      <c r="M2783" s="5">
        <f>IF(L2783="","",L2783+6)</f>
        <v/>
      </c>
      <c r="N2783" s="6">
        <f>IF(OR(A2783="",B2783=""),"",DATE(YEAR(B2783),MONTH(B2783),1))</f>
        <v/>
      </c>
      <c r="O2783" s="7">
        <f>IF(COUNTA(A2783:K2783)=0,"",IF(OR(A2783="",B2783=""),"Preencher CPF e entrada",IF(COUNTIFS($A$12:$A$5011,A2783,$B$12:$B$5011,B2783)&gt;1,"CPF + dia duplicado",IF(OR(AND(G2783&lt;&gt;"",G2783&lt;&gt;0,G2783&lt;&gt;1),AND(H2783&lt;&gt;"",H2783&lt;&gt;0,H2783&lt;&gt;1)),"Flags devem ser 0 ou 1",IF(AND(H2783=1,LEN(TRIM(I2783))=0),"Preencher nome do indicante",IF(AND(H2783&lt;&gt;1,I2783&lt;&gt;""),"Nome sem indicação interna",IF(AND(G2783=1,F2783=""),"Fechamento sem conversa",IF(OR(AND(E2783&lt;&gt;"",E2783&lt;B2783),AND(F2783&lt;&gt;"",F2783&lt;B2783)),"Evento anterior à entrada",IF(AND(F2783&lt;&gt;"",E2783=""),"Conversa sem agendamento",IF(OR(E2783&gt;TODAY(),F2783&gt;TODAY()),"Verificar evento futuro","OK"))))))))))</f>
        <v/>
      </c>
    </row>
    <row r="2784" spans="12:15">
      <c r="L2784" s="5">
        <f>IF(OR(A2784="",B2784=""),"",B2784-WEEKDAY(B2784,2)+1)</f>
        <v/>
      </c>
      <c r="M2784" s="5">
        <f>IF(L2784="","",L2784+6)</f>
        <v/>
      </c>
      <c r="N2784" s="6">
        <f>IF(OR(A2784="",B2784=""),"",DATE(YEAR(B2784),MONTH(B2784),1))</f>
        <v/>
      </c>
      <c r="O2784" s="7">
        <f>IF(COUNTA(A2784:K2784)=0,"",IF(OR(A2784="",B2784=""),"Preencher CPF e entrada",IF(COUNTIFS($A$12:$A$5011,A2784,$B$12:$B$5011,B2784)&gt;1,"CPF + dia duplicado",IF(OR(AND(G2784&lt;&gt;"",G2784&lt;&gt;0,G2784&lt;&gt;1),AND(H2784&lt;&gt;"",H2784&lt;&gt;0,H2784&lt;&gt;1)),"Flags devem ser 0 ou 1",IF(AND(H2784=1,LEN(TRIM(I2784))=0),"Preencher nome do indicante",IF(AND(H2784&lt;&gt;1,I2784&lt;&gt;""),"Nome sem indicação interna",IF(AND(G2784=1,F2784=""),"Fechamento sem conversa",IF(OR(AND(E2784&lt;&gt;"",E2784&lt;B2784),AND(F2784&lt;&gt;"",F2784&lt;B2784)),"Evento anterior à entrada",IF(AND(F2784&lt;&gt;"",E2784=""),"Conversa sem agendamento",IF(OR(E2784&gt;TODAY(),F2784&gt;TODAY()),"Verificar evento futuro","OK"))))))))))</f>
        <v/>
      </c>
    </row>
    <row r="2785" spans="12:15">
      <c r="L2785" s="5">
        <f>IF(OR(A2785="",B2785=""),"",B2785-WEEKDAY(B2785,2)+1)</f>
        <v/>
      </c>
      <c r="M2785" s="5">
        <f>IF(L2785="","",L2785+6)</f>
        <v/>
      </c>
      <c r="N2785" s="6">
        <f>IF(OR(A2785="",B2785=""),"",DATE(YEAR(B2785),MONTH(B2785),1))</f>
        <v/>
      </c>
      <c r="O2785" s="7">
        <f>IF(COUNTA(A2785:K2785)=0,"",IF(OR(A2785="",B2785=""),"Preencher CPF e entrada",IF(COUNTIFS($A$12:$A$5011,A2785,$B$12:$B$5011,B2785)&gt;1,"CPF + dia duplicado",IF(OR(AND(G2785&lt;&gt;"",G2785&lt;&gt;0,G2785&lt;&gt;1),AND(H2785&lt;&gt;"",H2785&lt;&gt;0,H2785&lt;&gt;1)),"Flags devem ser 0 ou 1",IF(AND(H2785=1,LEN(TRIM(I2785))=0),"Preencher nome do indicante",IF(AND(H2785&lt;&gt;1,I2785&lt;&gt;""),"Nome sem indicação interna",IF(AND(G2785=1,F2785=""),"Fechamento sem conversa",IF(OR(AND(E2785&lt;&gt;"",E2785&lt;B2785),AND(F2785&lt;&gt;"",F2785&lt;B2785)),"Evento anterior à entrada",IF(AND(F2785&lt;&gt;"",E2785=""),"Conversa sem agendamento",IF(OR(E2785&gt;TODAY(),F2785&gt;TODAY()),"Verificar evento futuro","OK"))))))))))</f>
        <v/>
      </c>
    </row>
    <row r="2786" spans="12:15">
      <c r="L2786" s="5">
        <f>IF(OR(A2786="",B2786=""),"",B2786-WEEKDAY(B2786,2)+1)</f>
        <v/>
      </c>
      <c r="M2786" s="5">
        <f>IF(L2786="","",L2786+6)</f>
        <v/>
      </c>
      <c r="N2786" s="6">
        <f>IF(OR(A2786="",B2786=""),"",DATE(YEAR(B2786),MONTH(B2786),1))</f>
        <v/>
      </c>
      <c r="O2786" s="7">
        <f>IF(COUNTA(A2786:K2786)=0,"",IF(OR(A2786="",B2786=""),"Preencher CPF e entrada",IF(COUNTIFS($A$12:$A$5011,A2786,$B$12:$B$5011,B2786)&gt;1,"CPF + dia duplicado",IF(OR(AND(G2786&lt;&gt;"",G2786&lt;&gt;0,G2786&lt;&gt;1),AND(H2786&lt;&gt;"",H2786&lt;&gt;0,H2786&lt;&gt;1)),"Flags devem ser 0 ou 1",IF(AND(H2786=1,LEN(TRIM(I2786))=0),"Preencher nome do indicante",IF(AND(H2786&lt;&gt;1,I2786&lt;&gt;""),"Nome sem indicação interna",IF(AND(G2786=1,F2786=""),"Fechamento sem conversa",IF(OR(AND(E2786&lt;&gt;"",E2786&lt;B2786),AND(F2786&lt;&gt;"",F2786&lt;B2786)),"Evento anterior à entrada",IF(AND(F2786&lt;&gt;"",E2786=""),"Conversa sem agendamento",IF(OR(E2786&gt;TODAY(),F2786&gt;TODAY()),"Verificar evento futuro","OK"))))))))))</f>
        <v/>
      </c>
    </row>
    <row r="2787" spans="12:15">
      <c r="L2787" s="5">
        <f>IF(OR(A2787="",B2787=""),"",B2787-WEEKDAY(B2787,2)+1)</f>
        <v/>
      </c>
      <c r="M2787" s="5">
        <f>IF(L2787="","",L2787+6)</f>
        <v/>
      </c>
      <c r="N2787" s="6">
        <f>IF(OR(A2787="",B2787=""),"",DATE(YEAR(B2787),MONTH(B2787),1))</f>
        <v/>
      </c>
      <c r="O2787" s="7">
        <f>IF(COUNTA(A2787:K2787)=0,"",IF(OR(A2787="",B2787=""),"Preencher CPF e entrada",IF(COUNTIFS($A$12:$A$5011,A2787,$B$12:$B$5011,B2787)&gt;1,"CPF + dia duplicado",IF(OR(AND(G2787&lt;&gt;"",G2787&lt;&gt;0,G2787&lt;&gt;1),AND(H2787&lt;&gt;"",H2787&lt;&gt;0,H2787&lt;&gt;1)),"Flags devem ser 0 ou 1",IF(AND(H2787=1,LEN(TRIM(I2787))=0),"Preencher nome do indicante",IF(AND(H2787&lt;&gt;1,I2787&lt;&gt;""),"Nome sem indicação interna",IF(AND(G2787=1,F2787=""),"Fechamento sem conversa",IF(OR(AND(E2787&lt;&gt;"",E2787&lt;B2787),AND(F2787&lt;&gt;"",F2787&lt;B2787)),"Evento anterior à entrada",IF(AND(F2787&lt;&gt;"",E2787=""),"Conversa sem agendamento",IF(OR(E2787&gt;TODAY(),F2787&gt;TODAY()),"Verificar evento futuro","OK"))))))))))</f>
        <v/>
      </c>
    </row>
    <row r="2788" spans="12:15">
      <c r="L2788" s="5">
        <f>IF(OR(A2788="",B2788=""),"",B2788-WEEKDAY(B2788,2)+1)</f>
        <v/>
      </c>
      <c r="M2788" s="5">
        <f>IF(L2788="","",L2788+6)</f>
        <v/>
      </c>
      <c r="N2788" s="6">
        <f>IF(OR(A2788="",B2788=""),"",DATE(YEAR(B2788),MONTH(B2788),1))</f>
        <v/>
      </c>
      <c r="O2788" s="7">
        <f>IF(COUNTA(A2788:K2788)=0,"",IF(OR(A2788="",B2788=""),"Preencher CPF e entrada",IF(COUNTIFS($A$12:$A$5011,A2788,$B$12:$B$5011,B2788)&gt;1,"CPF + dia duplicado",IF(OR(AND(G2788&lt;&gt;"",G2788&lt;&gt;0,G2788&lt;&gt;1),AND(H2788&lt;&gt;"",H2788&lt;&gt;0,H2788&lt;&gt;1)),"Flags devem ser 0 ou 1",IF(AND(H2788=1,LEN(TRIM(I2788))=0),"Preencher nome do indicante",IF(AND(H2788&lt;&gt;1,I2788&lt;&gt;""),"Nome sem indicação interna",IF(AND(G2788=1,F2788=""),"Fechamento sem conversa",IF(OR(AND(E2788&lt;&gt;"",E2788&lt;B2788),AND(F2788&lt;&gt;"",F2788&lt;B2788)),"Evento anterior à entrada",IF(AND(F2788&lt;&gt;"",E2788=""),"Conversa sem agendamento",IF(OR(E2788&gt;TODAY(),F2788&gt;TODAY()),"Verificar evento futuro","OK"))))))))))</f>
        <v/>
      </c>
    </row>
    <row r="2789" spans="12:15">
      <c r="L2789" s="5">
        <f>IF(OR(A2789="",B2789=""),"",B2789-WEEKDAY(B2789,2)+1)</f>
        <v/>
      </c>
      <c r="M2789" s="5">
        <f>IF(L2789="","",L2789+6)</f>
        <v/>
      </c>
      <c r="N2789" s="6">
        <f>IF(OR(A2789="",B2789=""),"",DATE(YEAR(B2789),MONTH(B2789),1))</f>
        <v/>
      </c>
      <c r="O2789" s="7">
        <f>IF(COUNTA(A2789:K2789)=0,"",IF(OR(A2789="",B2789=""),"Preencher CPF e entrada",IF(COUNTIFS($A$12:$A$5011,A2789,$B$12:$B$5011,B2789)&gt;1,"CPF + dia duplicado",IF(OR(AND(G2789&lt;&gt;"",G2789&lt;&gt;0,G2789&lt;&gt;1),AND(H2789&lt;&gt;"",H2789&lt;&gt;0,H2789&lt;&gt;1)),"Flags devem ser 0 ou 1",IF(AND(H2789=1,LEN(TRIM(I2789))=0),"Preencher nome do indicante",IF(AND(H2789&lt;&gt;1,I2789&lt;&gt;""),"Nome sem indicação interna",IF(AND(G2789=1,F2789=""),"Fechamento sem conversa",IF(OR(AND(E2789&lt;&gt;"",E2789&lt;B2789),AND(F2789&lt;&gt;"",F2789&lt;B2789)),"Evento anterior à entrada",IF(AND(F2789&lt;&gt;"",E2789=""),"Conversa sem agendamento",IF(OR(E2789&gt;TODAY(),F2789&gt;TODAY()),"Verificar evento futuro","OK"))))))))))</f>
        <v/>
      </c>
    </row>
    <row r="2790" spans="12:15">
      <c r="L2790" s="5">
        <f>IF(OR(A2790="",B2790=""),"",B2790-WEEKDAY(B2790,2)+1)</f>
        <v/>
      </c>
      <c r="M2790" s="5">
        <f>IF(L2790="","",L2790+6)</f>
        <v/>
      </c>
      <c r="N2790" s="6">
        <f>IF(OR(A2790="",B2790=""),"",DATE(YEAR(B2790),MONTH(B2790),1))</f>
        <v/>
      </c>
      <c r="O2790" s="7">
        <f>IF(COUNTA(A2790:K2790)=0,"",IF(OR(A2790="",B2790=""),"Preencher CPF e entrada",IF(COUNTIFS($A$12:$A$5011,A2790,$B$12:$B$5011,B2790)&gt;1,"CPF + dia duplicado",IF(OR(AND(G2790&lt;&gt;"",G2790&lt;&gt;0,G2790&lt;&gt;1),AND(H2790&lt;&gt;"",H2790&lt;&gt;0,H2790&lt;&gt;1)),"Flags devem ser 0 ou 1",IF(AND(H2790=1,LEN(TRIM(I2790))=0),"Preencher nome do indicante",IF(AND(H2790&lt;&gt;1,I2790&lt;&gt;""),"Nome sem indicação interna",IF(AND(G2790=1,F2790=""),"Fechamento sem conversa",IF(OR(AND(E2790&lt;&gt;"",E2790&lt;B2790),AND(F2790&lt;&gt;"",F2790&lt;B2790)),"Evento anterior à entrada",IF(AND(F2790&lt;&gt;"",E2790=""),"Conversa sem agendamento",IF(OR(E2790&gt;TODAY(),F2790&gt;TODAY()),"Verificar evento futuro","OK"))))))))))</f>
        <v/>
      </c>
    </row>
    <row r="2791" spans="12:15">
      <c r="L2791" s="5">
        <f>IF(OR(A2791="",B2791=""),"",B2791-WEEKDAY(B2791,2)+1)</f>
        <v/>
      </c>
      <c r="M2791" s="5">
        <f>IF(L2791="","",L2791+6)</f>
        <v/>
      </c>
      <c r="N2791" s="6">
        <f>IF(OR(A2791="",B2791=""),"",DATE(YEAR(B2791),MONTH(B2791),1))</f>
        <v/>
      </c>
      <c r="O2791" s="7">
        <f>IF(COUNTA(A2791:K2791)=0,"",IF(OR(A2791="",B2791=""),"Preencher CPF e entrada",IF(COUNTIFS($A$12:$A$5011,A2791,$B$12:$B$5011,B2791)&gt;1,"CPF + dia duplicado",IF(OR(AND(G2791&lt;&gt;"",G2791&lt;&gt;0,G2791&lt;&gt;1),AND(H2791&lt;&gt;"",H2791&lt;&gt;0,H2791&lt;&gt;1)),"Flags devem ser 0 ou 1",IF(AND(H2791=1,LEN(TRIM(I2791))=0),"Preencher nome do indicante",IF(AND(H2791&lt;&gt;1,I2791&lt;&gt;""),"Nome sem indicação interna",IF(AND(G2791=1,F2791=""),"Fechamento sem conversa",IF(OR(AND(E2791&lt;&gt;"",E2791&lt;B2791),AND(F2791&lt;&gt;"",F2791&lt;B2791)),"Evento anterior à entrada",IF(AND(F2791&lt;&gt;"",E2791=""),"Conversa sem agendamento",IF(OR(E2791&gt;TODAY(),F2791&gt;TODAY()),"Verificar evento futuro","OK"))))))))))</f>
        <v/>
      </c>
    </row>
    <row r="2792" spans="12:15">
      <c r="L2792" s="5">
        <f>IF(OR(A2792="",B2792=""),"",B2792-WEEKDAY(B2792,2)+1)</f>
        <v/>
      </c>
      <c r="M2792" s="5">
        <f>IF(L2792="","",L2792+6)</f>
        <v/>
      </c>
      <c r="N2792" s="6">
        <f>IF(OR(A2792="",B2792=""),"",DATE(YEAR(B2792),MONTH(B2792),1))</f>
        <v/>
      </c>
      <c r="O2792" s="7">
        <f>IF(COUNTA(A2792:K2792)=0,"",IF(OR(A2792="",B2792=""),"Preencher CPF e entrada",IF(COUNTIFS($A$12:$A$5011,A2792,$B$12:$B$5011,B2792)&gt;1,"CPF + dia duplicado",IF(OR(AND(G2792&lt;&gt;"",G2792&lt;&gt;0,G2792&lt;&gt;1),AND(H2792&lt;&gt;"",H2792&lt;&gt;0,H2792&lt;&gt;1)),"Flags devem ser 0 ou 1",IF(AND(H2792=1,LEN(TRIM(I2792))=0),"Preencher nome do indicante",IF(AND(H2792&lt;&gt;1,I2792&lt;&gt;""),"Nome sem indicação interna",IF(AND(G2792=1,F2792=""),"Fechamento sem conversa",IF(OR(AND(E2792&lt;&gt;"",E2792&lt;B2792),AND(F2792&lt;&gt;"",F2792&lt;B2792)),"Evento anterior à entrada",IF(AND(F2792&lt;&gt;"",E2792=""),"Conversa sem agendamento",IF(OR(E2792&gt;TODAY(),F2792&gt;TODAY()),"Verificar evento futuro","OK"))))))))))</f>
        <v/>
      </c>
    </row>
    <row r="2793" spans="12:15">
      <c r="L2793" s="5">
        <f>IF(OR(A2793="",B2793=""),"",B2793-WEEKDAY(B2793,2)+1)</f>
        <v/>
      </c>
      <c r="M2793" s="5">
        <f>IF(L2793="","",L2793+6)</f>
        <v/>
      </c>
      <c r="N2793" s="6">
        <f>IF(OR(A2793="",B2793=""),"",DATE(YEAR(B2793),MONTH(B2793),1))</f>
        <v/>
      </c>
      <c r="O2793" s="7">
        <f>IF(COUNTA(A2793:K2793)=0,"",IF(OR(A2793="",B2793=""),"Preencher CPF e entrada",IF(COUNTIFS($A$12:$A$5011,A2793,$B$12:$B$5011,B2793)&gt;1,"CPF + dia duplicado",IF(OR(AND(G2793&lt;&gt;"",G2793&lt;&gt;0,G2793&lt;&gt;1),AND(H2793&lt;&gt;"",H2793&lt;&gt;0,H2793&lt;&gt;1)),"Flags devem ser 0 ou 1",IF(AND(H2793=1,LEN(TRIM(I2793))=0),"Preencher nome do indicante",IF(AND(H2793&lt;&gt;1,I2793&lt;&gt;""),"Nome sem indicação interna",IF(AND(G2793=1,F2793=""),"Fechamento sem conversa",IF(OR(AND(E2793&lt;&gt;"",E2793&lt;B2793),AND(F2793&lt;&gt;"",F2793&lt;B2793)),"Evento anterior à entrada",IF(AND(F2793&lt;&gt;"",E2793=""),"Conversa sem agendamento",IF(OR(E2793&gt;TODAY(),F2793&gt;TODAY()),"Verificar evento futuro","OK"))))))))))</f>
        <v/>
      </c>
    </row>
    <row r="2794" spans="12:15">
      <c r="L2794" s="5">
        <f>IF(OR(A2794="",B2794=""),"",B2794-WEEKDAY(B2794,2)+1)</f>
        <v/>
      </c>
      <c r="M2794" s="5">
        <f>IF(L2794="","",L2794+6)</f>
        <v/>
      </c>
      <c r="N2794" s="6">
        <f>IF(OR(A2794="",B2794=""),"",DATE(YEAR(B2794),MONTH(B2794),1))</f>
        <v/>
      </c>
      <c r="O2794" s="7">
        <f>IF(COUNTA(A2794:K2794)=0,"",IF(OR(A2794="",B2794=""),"Preencher CPF e entrada",IF(COUNTIFS($A$12:$A$5011,A2794,$B$12:$B$5011,B2794)&gt;1,"CPF + dia duplicado",IF(OR(AND(G2794&lt;&gt;"",G2794&lt;&gt;0,G2794&lt;&gt;1),AND(H2794&lt;&gt;"",H2794&lt;&gt;0,H2794&lt;&gt;1)),"Flags devem ser 0 ou 1",IF(AND(H2794=1,LEN(TRIM(I2794))=0),"Preencher nome do indicante",IF(AND(H2794&lt;&gt;1,I2794&lt;&gt;""),"Nome sem indicação interna",IF(AND(G2794=1,F2794=""),"Fechamento sem conversa",IF(OR(AND(E2794&lt;&gt;"",E2794&lt;B2794),AND(F2794&lt;&gt;"",F2794&lt;B2794)),"Evento anterior à entrada",IF(AND(F2794&lt;&gt;"",E2794=""),"Conversa sem agendamento",IF(OR(E2794&gt;TODAY(),F2794&gt;TODAY()),"Verificar evento futuro","OK"))))))))))</f>
        <v/>
      </c>
    </row>
    <row r="2795" spans="12:15">
      <c r="L2795" s="5">
        <f>IF(OR(A2795="",B2795=""),"",B2795-WEEKDAY(B2795,2)+1)</f>
        <v/>
      </c>
      <c r="M2795" s="5">
        <f>IF(L2795="","",L2795+6)</f>
        <v/>
      </c>
      <c r="N2795" s="6">
        <f>IF(OR(A2795="",B2795=""),"",DATE(YEAR(B2795),MONTH(B2795),1))</f>
        <v/>
      </c>
      <c r="O2795" s="7">
        <f>IF(COUNTA(A2795:K2795)=0,"",IF(OR(A2795="",B2795=""),"Preencher CPF e entrada",IF(COUNTIFS($A$12:$A$5011,A2795,$B$12:$B$5011,B2795)&gt;1,"CPF + dia duplicado",IF(OR(AND(G2795&lt;&gt;"",G2795&lt;&gt;0,G2795&lt;&gt;1),AND(H2795&lt;&gt;"",H2795&lt;&gt;0,H2795&lt;&gt;1)),"Flags devem ser 0 ou 1",IF(AND(H2795=1,LEN(TRIM(I2795))=0),"Preencher nome do indicante",IF(AND(H2795&lt;&gt;1,I2795&lt;&gt;""),"Nome sem indicação interna",IF(AND(G2795=1,F2795=""),"Fechamento sem conversa",IF(OR(AND(E2795&lt;&gt;"",E2795&lt;B2795),AND(F2795&lt;&gt;"",F2795&lt;B2795)),"Evento anterior à entrada",IF(AND(F2795&lt;&gt;"",E2795=""),"Conversa sem agendamento",IF(OR(E2795&gt;TODAY(),F2795&gt;TODAY()),"Verificar evento futuro","OK"))))))))))</f>
        <v/>
      </c>
    </row>
    <row r="2796" spans="12:15">
      <c r="L2796" s="5">
        <f>IF(OR(A2796="",B2796=""),"",B2796-WEEKDAY(B2796,2)+1)</f>
        <v/>
      </c>
      <c r="M2796" s="5">
        <f>IF(L2796="","",L2796+6)</f>
        <v/>
      </c>
      <c r="N2796" s="6">
        <f>IF(OR(A2796="",B2796=""),"",DATE(YEAR(B2796),MONTH(B2796),1))</f>
        <v/>
      </c>
      <c r="O2796" s="7">
        <f>IF(COUNTA(A2796:K2796)=0,"",IF(OR(A2796="",B2796=""),"Preencher CPF e entrada",IF(COUNTIFS($A$12:$A$5011,A2796,$B$12:$B$5011,B2796)&gt;1,"CPF + dia duplicado",IF(OR(AND(G2796&lt;&gt;"",G2796&lt;&gt;0,G2796&lt;&gt;1),AND(H2796&lt;&gt;"",H2796&lt;&gt;0,H2796&lt;&gt;1)),"Flags devem ser 0 ou 1",IF(AND(H2796=1,LEN(TRIM(I2796))=0),"Preencher nome do indicante",IF(AND(H2796&lt;&gt;1,I2796&lt;&gt;""),"Nome sem indicação interna",IF(AND(G2796=1,F2796=""),"Fechamento sem conversa",IF(OR(AND(E2796&lt;&gt;"",E2796&lt;B2796),AND(F2796&lt;&gt;"",F2796&lt;B2796)),"Evento anterior à entrada",IF(AND(F2796&lt;&gt;"",E2796=""),"Conversa sem agendamento",IF(OR(E2796&gt;TODAY(),F2796&gt;TODAY()),"Verificar evento futuro","OK"))))))))))</f>
        <v/>
      </c>
    </row>
    <row r="2797" spans="12:15">
      <c r="L2797" s="5">
        <f>IF(OR(A2797="",B2797=""),"",B2797-WEEKDAY(B2797,2)+1)</f>
        <v/>
      </c>
      <c r="M2797" s="5">
        <f>IF(L2797="","",L2797+6)</f>
        <v/>
      </c>
      <c r="N2797" s="6">
        <f>IF(OR(A2797="",B2797=""),"",DATE(YEAR(B2797),MONTH(B2797),1))</f>
        <v/>
      </c>
      <c r="O2797" s="7">
        <f>IF(COUNTA(A2797:K2797)=0,"",IF(OR(A2797="",B2797=""),"Preencher CPF e entrada",IF(COUNTIFS($A$12:$A$5011,A2797,$B$12:$B$5011,B2797)&gt;1,"CPF + dia duplicado",IF(OR(AND(G2797&lt;&gt;"",G2797&lt;&gt;0,G2797&lt;&gt;1),AND(H2797&lt;&gt;"",H2797&lt;&gt;0,H2797&lt;&gt;1)),"Flags devem ser 0 ou 1",IF(AND(H2797=1,LEN(TRIM(I2797))=0),"Preencher nome do indicante",IF(AND(H2797&lt;&gt;1,I2797&lt;&gt;""),"Nome sem indicação interna",IF(AND(G2797=1,F2797=""),"Fechamento sem conversa",IF(OR(AND(E2797&lt;&gt;"",E2797&lt;B2797),AND(F2797&lt;&gt;"",F2797&lt;B2797)),"Evento anterior à entrada",IF(AND(F2797&lt;&gt;"",E2797=""),"Conversa sem agendamento",IF(OR(E2797&gt;TODAY(),F2797&gt;TODAY()),"Verificar evento futuro","OK"))))))))))</f>
        <v/>
      </c>
    </row>
    <row r="2798" spans="12:15">
      <c r="L2798" s="5">
        <f>IF(OR(A2798="",B2798=""),"",B2798-WEEKDAY(B2798,2)+1)</f>
        <v/>
      </c>
      <c r="M2798" s="5">
        <f>IF(L2798="","",L2798+6)</f>
        <v/>
      </c>
      <c r="N2798" s="6">
        <f>IF(OR(A2798="",B2798=""),"",DATE(YEAR(B2798),MONTH(B2798),1))</f>
        <v/>
      </c>
      <c r="O2798" s="7">
        <f>IF(COUNTA(A2798:K2798)=0,"",IF(OR(A2798="",B2798=""),"Preencher CPF e entrada",IF(COUNTIFS($A$12:$A$5011,A2798,$B$12:$B$5011,B2798)&gt;1,"CPF + dia duplicado",IF(OR(AND(G2798&lt;&gt;"",G2798&lt;&gt;0,G2798&lt;&gt;1),AND(H2798&lt;&gt;"",H2798&lt;&gt;0,H2798&lt;&gt;1)),"Flags devem ser 0 ou 1",IF(AND(H2798=1,LEN(TRIM(I2798))=0),"Preencher nome do indicante",IF(AND(H2798&lt;&gt;1,I2798&lt;&gt;""),"Nome sem indicação interna",IF(AND(G2798=1,F2798=""),"Fechamento sem conversa",IF(OR(AND(E2798&lt;&gt;"",E2798&lt;B2798),AND(F2798&lt;&gt;"",F2798&lt;B2798)),"Evento anterior à entrada",IF(AND(F2798&lt;&gt;"",E2798=""),"Conversa sem agendamento",IF(OR(E2798&gt;TODAY(),F2798&gt;TODAY()),"Verificar evento futuro","OK"))))))))))</f>
        <v/>
      </c>
    </row>
    <row r="2799" spans="12:15">
      <c r="L2799" s="5">
        <f>IF(OR(A2799="",B2799=""),"",B2799-WEEKDAY(B2799,2)+1)</f>
        <v/>
      </c>
      <c r="M2799" s="5">
        <f>IF(L2799="","",L2799+6)</f>
        <v/>
      </c>
      <c r="N2799" s="6">
        <f>IF(OR(A2799="",B2799=""),"",DATE(YEAR(B2799),MONTH(B2799),1))</f>
        <v/>
      </c>
      <c r="O2799" s="7">
        <f>IF(COUNTA(A2799:K2799)=0,"",IF(OR(A2799="",B2799=""),"Preencher CPF e entrada",IF(COUNTIFS($A$12:$A$5011,A2799,$B$12:$B$5011,B2799)&gt;1,"CPF + dia duplicado",IF(OR(AND(G2799&lt;&gt;"",G2799&lt;&gt;0,G2799&lt;&gt;1),AND(H2799&lt;&gt;"",H2799&lt;&gt;0,H2799&lt;&gt;1)),"Flags devem ser 0 ou 1",IF(AND(H2799=1,LEN(TRIM(I2799))=0),"Preencher nome do indicante",IF(AND(H2799&lt;&gt;1,I2799&lt;&gt;""),"Nome sem indicação interna",IF(AND(G2799=1,F2799=""),"Fechamento sem conversa",IF(OR(AND(E2799&lt;&gt;"",E2799&lt;B2799),AND(F2799&lt;&gt;"",F2799&lt;B2799)),"Evento anterior à entrada",IF(AND(F2799&lt;&gt;"",E2799=""),"Conversa sem agendamento",IF(OR(E2799&gt;TODAY(),F2799&gt;TODAY()),"Verificar evento futuro","OK"))))))))))</f>
        <v/>
      </c>
    </row>
    <row r="2800" spans="12:15">
      <c r="L2800" s="5">
        <f>IF(OR(A2800="",B2800=""),"",B2800-WEEKDAY(B2800,2)+1)</f>
        <v/>
      </c>
      <c r="M2800" s="5">
        <f>IF(L2800="","",L2800+6)</f>
        <v/>
      </c>
      <c r="N2800" s="6">
        <f>IF(OR(A2800="",B2800=""),"",DATE(YEAR(B2800),MONTH(B2800),1))</f>
        <v/>
      </c>
      <c r="O2800" s="7">
        <f>IF(COUNTA(A2800:K2800)=0,"",IF(OR(A2800="",B2800=""),"Preencher CPF e entrada",IF(COUNTIFS($A$12:$A$5011,A2800,$B$12:$B$5011,B2800)&gt;1,"CPF + dia duplicado",IF(OR(AND(G2800&lt;&gt;"",G2800&lt;&gt;0,G2800&lt;&gt;1),AND(H2800&lt;&gt;"",H2800&lt;&gt;0,H2800&lt;&gt;1)),"Flags devem ser 0 ou 1",IF(AND(H2800=1,LEN(TRIM(I2800))=0),"Preencher nome do indicante",IF(AND(H2800&lt;&gt;1,I2800&lt;&gt;""),"Nome sem indicação interna",IF(AND(G2800=1,F2800=""),"Fechamento sem conversa",IF(OR(AND(E2800&lt;&gt;"",E2800&lt;B2800),AND(F2800&lt;&gt;"",F2800&lt;B2800)),"Evento anterior à entrada",IF(AND(F2800&lt;&gt;"",E2800=""),"Conversa sem agendamento",IF(OR(E2800&gt;TODAY(),F2800&gt;TODAY()),"Verificar evento futuro","OK"))))))))))</f>
        <v/>
      </c>
    </row>
    <row r="2801" spans="12:15">
      <c r="L2801" s="5">
        <f>IF(OR(A2801="",B2801=""),"",B2801-WEEKDAY(B2801,2)+1)</f>
        <v/>
      </c>
      <c r="M2801" s="5">
        <f>IF(L2801="","",L2801+6)</f>
        <v/>
      </c>
      <c r="N2801" s="6">
        <f>IF(OR(A2801="",B2801=""),"",DATE(YEAR(B2801),MONTH(B2801),1))</f>
        <v/>
      </c>
      <c r="O2801" s="7">
        <f>IF(COUNTA(A2801:K2801)=0,"",IF(OR(A2801="",B2801=""),"Preencher CPF e entrada",IF(COUNTIFS($A$12:$A$5011,A2801,$B$12:$B$5011,B2801)&gt;1,"CPF + dia duplicado",IF(OR(AND(G2801&lt;&gt;"",G2801&lt;&gt;0,G2801&lt;&gt;1),AND(H2801&lt;&gt;"",H2801&lt;&gt;0,H2801&lt;&gt;1)),"Flags devem ser 0 ou 1",IF(AND(H2801=1,LEN(TRIM(I2801))=0),"Preencher nome do indicante",IF(AND(H2801&lt;&gt;1,I2801&lt;&gt;""),"Nome sem indicação interna",IF(AND(G2801=1,F2801=""),"Fechamento sem conversa",IF(OR(AND(E2801&lt;&gt;"",E2801&lt;B2801),AND(F2801&lt;&gt;"",F2801&lt;B2801)),"Evento anterior à entrada",IF(AND(F2801&lt;&gt;"",E2801=""),"Conversa sem agendamento",IF(OR(E2801&gt;TODAY(),F2801&gt;TODAY()),"Verificar evento futuro","OK"))))))))))</f>
        <v/>
      </c>
    </row>
    <row r="2802" spans="12:15">
      <c r="L2802" s="5">
        <f>IF(OR(A2802="",B2802=""),"",B2802-WEEKDAY(B2802,2)+1)</f>
        <v/>
      </c>
      <c r="M2802" s="5">
        <f>IF(L2802="","",L2802+6)</f>
        <v/>
      </c>
      <c r="N2802" s="6">
        <f>IF(OR(A2802="",B2802=""),"",DATE(YEAR(B2802),MONTH(B2802),1))</f>
        <v/>
      </c>
      <c r="O2802" s="7">
        <f>IF(COUNTA(A2802:K2802)=0,"",IF(OR(A2802="",B2802=""),"Preencher CPF e entrada",IF(COUNTIFS($A$12:$A$5011,A2802,$B$12:$B$5011,B2802)&gt;1,"CPF + dia duplicado",IF(OR(AND(G2802&lt;&gt;"",G2802&lt;&gt;0,G2802&lt;&gt;1),AND(H2802&lt;&gt;"",H2802&lt;&gt;0,H2802&lt;&gt;1)),"Flags devem ser 0 ou 1",IF(AND(H2802=1,LEN(TRIM(I2802))=0),"Preencher nome do indicante",IF(AND(H2802&lt;&gt;1,I2802&lt;&gt;""),"Nome sem indicação interna",IF(AND(G2802=1,F2802=""),"Fechamento sem conversa",IF(OR(AND(E2802&lt;&gt;"",E2802&lt;B2802),AND(F2802&lt;&gt;"",F2802&lt;B2802)),"Evento anterior à entrada",IF(AND(F2802&lt;&gt;"",E2802=""),"Conversa sem agendamento",IF(OR(E2802&gt;TODAY(),F2802&gt;TODAY()),"Verificar evento futuro","OK"))))))))))</f>
        <v/>
      </c>
    </row>
    <row r="2803" spans="12:15">
      <c r="L2803" s="5">
        <f>IF(OR(A2803="",B2803=""),"",B2803-WEEKDAY(B2803,2)+1)</f>
        <v/>
      </c>
      <c r="M2803" s="5">
        <f>IF(L2803="","",L2803+6)</f>
        <v/>
      </c>
      <c r="N2803" s="6">
        <f>IF(OR(A2803="",B2803=""),"",DATE(YEAR(B2803),MONTH(B2803),1))</f>
        <v/>
      </c>
      <c r="O2803" s="7">
        <f>IF(COUNTA(A2803:K2803)=0,"",IF(OR(A2803="",B2803=""),"Preencher CPF e entrada",IF(COUNTIFS($A$12:$A$5011,A2803,$B$12:$B$5011,B2803)&gt;1,"CPF + dia duplicado",IF(OR(AND(G2803&lt;&gt;"",G2803&lt;&gt;0,G2803&lt;&gt;1),AND(H2803&lt;&gt;"",H2803&lt;&gt;0,H2803&lt;&gt;1)),"Flags devem ser 0 ou 1",IF(AND(H2803=1,LEN(TRIM(I2803))=0),"Preencher nome do indicante",IF(AND(H2803&lt;&gt;1,I2803&lt;&gt;""),"Nome sem indicação interna",IF(AND(G2803=1,F2803=""),"Fechamento sem conversa",IF(OR(AND(E2803&lt;&gt;"",E2803&lt;B2803),AND(F2803&lt;&gt;"",F2803&lt;B2803)),"Evento anterior à entrada",IF(AND(F2803&lt;&gt;"",E2803=""),"Conversa sem agendamento",IF(OR(E2803&gt;TODAY(),F2803&gt;TODAY()),"Verificar evento futuro","OK"))))))))))</f>
        <v/>
      </c>
    </row>
    <row r="2804" spans="12:15">
      <c r="L2804" s="5">
        <f>IF(OR(A2804="",B2804=""),"",B2804-WEEKDAY(B2804,2)+1)</f>
        <v/>
      </c>
      <c r="M2804" s="5">
        <f>IF(L2804="","",L2804+6)</f>
        <v/>
      </c>
      <c r="N2804" s="6">
        <f>IF(OR(A2804="",B2804=""),"",DATE(YEAR(B2804),MONTH(B2804),1))</f>
        <v/>
      </c>
      <c r="O2804" s="7">
        <f>IF(COUNTA(A2804:K2804)=0,"",IF(OR(A2804="",B2804=""),"Preencher CPF e entrada",IF(COUNTIFS($A$12:$A$5011,A2804,$B$12:$B$5011,B2804)&gt;1,"CPF + dia duplicado",IF(OR(AND(G2804&lt;&gt;"",G2804&lt;&gt;0,G2804&lt;&gt;1),AND(H2804&lt;&gt;"",H2804&lt;&gt;0,H2804&lt;&gt;1)),"Flags devem ser 0 ou 1",IF(AND(H2804=1,LEN(TRIM(I2804))=0),"Preencher nome do indicante",IF(AND(H2804&lt;&gt;1,I2804&lt;&gt;""),"Nome sem indicação interna",IF(AND(G2804=1,F2804=""),"Fechamento sem conversa",IF(OR(AND(E2804&lt;&gt;"",E2804&lt;B2804),AND(F2804&lt;&gt;"",F2804&lt;B2804)),"Evento anterior à entrada",IF(AND(F2804&lt;&gt;"",E2804=""),"Conversa sem agendamento",IF(OR(E2804&gt;TODAY(),F2804&gt;TODAY()),"Verificar evento futuro","OK"))))))))))</f>
        <v/>
      </c>
    </row>
    <row r="2805" spans="12:15">
      <c r="L2805" s="5">
        <f>IF(OR(A2805="",B2805=""),"",B2805-WEEKDAY(B2805,2)+1)</f>
        <v/>
      </c>
      <c r="M2805" s="5">
        <f>IF(L2805="","",L2805+6)</f>
        <v/>
      </c>
      <c r="N2805" s="6">
        <f>IF(OR(A2805="",B2805=""),"",DATE(YEAR(B2805),MONTH(B2805),1))</f>
        <v/>
      </c>
      <c r="O2805" s="7">
        <f>IF(COUNTA(A2805:K2805)=0,"",IF(OR(A2805="",B2805=""),"Preencher CPF e entrada",IF(COUNTIFS($A$12:$A$5011,A2805,$B$12:$B$5011,B2805)&gt;1,"CPF + dia duplicado",IF(OR(AND(G2805&lt;&gt;"",G2805&lt;&gt;0,G2805&lt;&gt;1),AND(H2805&lt;&gt;"",H2805&lt;&gt;0,H2805&lt;&gt;1)),"Flags devem ser 0 ou 1",IF(AND(H2805=1,LEN(TRIM(I2805))=0),"Preencher nome do indicante",IF(AND(H2805&lt;&gt;1,I2805&lt;&gt;""),"Nome sem indicação interna",IF(AND(G2805=1,F2805=""),"Fechamento sem conversa",IF(OR(AND(E2805&lt;&gt;"",E2805&lt;B2805),AND(F2805&lt;&gt;"",F2805&lt;B2805)),"Evento anterior à entrada",IF(AND(F2805&lt;&gt;"",E2805=""),"Conversa sem agendamento",IF(OR(E2805&gt;TODAY(),F2805&gt;TODAY()),"Verificar evento futuro","OK"))))))))))</f>
        <v/>
      </c>
    </row>
    <row r="2806" spans="12:15">
      <c r="L2806" s="5">
        <f>IF(OR(A2806="",B2806=""),"",B2806-WEEKDAY(B2806,2)+1)</f>
        <v/>
      </c>
      <c r="M2806" s="5">
        <f>IF(L2806="","",L2806+6)</f>
        <v/>
      </c>
      <c r="N2806" s="6">
        <f>IF(OR(A2806="",B2806=""),"",DATE(YEAR(B2806),MONTH(B2806),1))</f>
        <v/>
      </c>
      <c r="O2806" s="7">
        <f>IF(COUNTA(A2806:K2806)=0,"",IF(OR(A2806="",B2806=""),"Preencher CPF e entrada",IF(COUNTIFS($A$12:$A$5011,A2806,$B$12:$B$5011,B2806)&gt;1,"CPF + dia duplicado",IF(OR(AND(G2806&lt;&gt;"",G2806&lt;&gt;0,G2806&lt;&gt;1),AND(H2806&lt;&gt;"",H2806&lt;&gt;0,H2806&lt;&gt;1)),"Flags devem ser 0 ou 1",IF(AND(H2806=1,LEN(TRIM(I2806))=0),"Preencher nome do indicante",IF(AND(H2806&lt;&gt;1,I2806&lt;&gt;""),"Nome sem indicação interna",IF(AND(G2806=1,F2806=""),"Fechamento sem conversa",IF(OR(AND(E2806&lt;&gt;"",E2806&lt;B2806),AND(F2806&lt;&gt;"",F2806&lt;B2806)),"Evento anterior à entrada",IF(AND(F2806&lt;&gt;"",E2806=""),"Conversa sem agendamento",IF(OR(E2806&gt;TODAY(),F2806&gt;TODAY()),"Verificar evento futuro","OK"))))))))))</f>
        <v/>
      </c>
    </row>
    <row r="2807" spans="12:15">
      <c r="L2807" s="5">
        <f>IF(OR(A2807="",B2807=""),"",B2807-WEEKDAY(B2807,2)+1)</f>
        <v/>
      </c>
      <c r="M2807" s="5">
        <f>IF(L2807="","",L2807+6)</f>
        <v/>
      </c>
      <c r="N2807" s="6">
        <f>IF(OR(A2807="",B2807=""),"",DATE(YEAR(B2807),MONTH(B2807),1))</f>
        <v/>
      </c>
      <c r="O2807" s="7">
        <f>IF(COUNTA(A2807:K2807)=0,"",IF(OR(A2807="",B2807=""),"Preencher CPF e entrada",IF(COUNTIFS($A$12:$A$5011,A2807,$B$12:$B$5011,B2807)&gt;1,"CPF + dia duplicado",IF(OR(AND(G2807&lt;&gt;"",G2807&lt;&gt;0,G2807&lt;&gt;1),AND(H2807&lt;&gt;"",H2807&lt;&gt;0,H2807&lt;&gt;1)),"Flags devem ser 0 ou 1",IF(AND(H2807=1,LEN(TRIM(I2807))=0),"Preencher nome do indicante",IF(AND(H2807&lt;&gt;1,I2807&lt;&gt;""),"Nome sem indicação interna",IF(AND(G2807=1,F2807=""),"Fechamento sem conversa",IF(OR(AND(E2807&lt;&gt;"",E2807&lt;B2807),AND(F2807&lt;&gt;"",F2807&lt;B2807)),"Evento anterior à entrada",IF(AND(F2807&lt;&gt;"",E2807=""),"Conversa sem agendamento",IF(OR(E2807&gt;TODAY(),F2807&gt;TODAY()),"Verificar evento futuro","OK"))))))))))</f>
        <v/>
      </c>
    </row>
    <row r="2808" spans="12:15">
      <c r="L2808" s="5">
        <f>IF(OR(A2808="",B2808=""),"",B2808-WEEKDAY(B2808,2)+1)</f>
        <v/>
      </c>
      <c r="M2808" s="5">
        <f>IF(L2808="","",L2808+6)</f>
        <v/>
      </c>
      <c r="N2808" s="6">
        <f>IF(OR(A2808="",B2808=""),"",DATE(YEAR(B2808),MONTH(B2808),1))</f>
        <v/>
      </c>
      <c r="O2808" s="7">
        <f>IF(COUNTA(A2808:K2808)=0,"",IF(OR(A2808="",B2808=""),"Preencher CPF e entrada",IF(COUNTIFS($A$12:$A$5011,A2808,$B$12:$B$5011,B2808)&gt;1,"CPF + dia duplicado",IF(OR(AND(G2808&lt;&gt;"",G2808&lt;&gt;0,G2808&lt;&gt;1),AND(H2808&lt;&gt;"",H2808&lt;&gt;0,H2808&lt;&gt;1)),"Flags devem ser 0 ou 1",IF(AND(H2808=1,LEN(TRIM(I2808))=0),"Preencher nome do indicante",IF(AND(H2808&lt;&gt;1,I2808&lt;&gt;""),"Nome sem indicação interna",IF(AND(G2808=1,F2808=""),"Fechamento sem conversa",IF(OR(AND(E2808&lt;&gt;"",E2808&lt;B2808),AND(F2808&lt;&gt;"",F2808&lt;B2808)),"Evento anterior à entrada",IF(AND(F2808&lt;&gt;"",E2808=""),"Conversa sem agendamento",IF(OR(E2808&gt;TODAY(),F2808&gt;TODAY()),"Verificar evento futuro","OK"))))))))))</f>
        <v/>
      </c>
    </row>
    <row r="2809" spans="12:15">
      <c r="L2809" s="5">
        <f>IF(OR(A2809="",B2809=""),"",B2809-WEEKDAY(B2809,2)+1)</f>
        <v/>
      </c>
      <c r="M2809" s="5">
        <f>IF(L2809="","",L2809+6)</f>
        <v/>
      </c>
      <c r="N2809" s="6">
        <f>IF(OR(A2809="",B2809=""),"",DATE(YEAR(B2809),MONTH(B2809),1))</f>
        <v/>
      </c>
      <c r="O2809" s="7">
        <f>IF(COUNTA(A2809:K2809)=0,"",IF(OR(A2809="",B2809=""),"Preencher CPF e entrada",IF(COUNTIFS($A$12:$A$5011,A2809,$B$12:$B$5011,B2809)&gt;1,"CPF + dia duplicado",IF(OR(AND(G2809&lt;&gt;"",G2809&lt;&gt;0,G2809&lt;&gt;1),AND(H2809&lt;&gt;"",H2809&lt;&gt;0,H2809&lt;&gt;1)),"Flags devem ser 0 ou 1",IF(AND(H2809=1,LEN(TRIM(I2809))=0),"Preencher nome do indicante",IF(AND(H2809&lt;&gt;1,I2809&lt;&gt;""),"Nome sem indicação interna",IF(AND(G2809=1,F2809=""),"Fechamento sem conversa",IF(OR(AND(E2809&lt;&gt;"",E2809&lt;B2809),AND(F2809&lt;&gt;"",F2809&lt;B2809)),"Evento anterior à entrada",IF(AND(F2809&lt;&gt;"",E2809=""),"Conversa sem agendamento",IF(OR(E2809&gt;TODAY(),F2809&gt;TODAY()),"Verificar evento futuro","OK"))))))))))</f>
        <v/>
      </c>
    </row>
    <row r="2810" spans="12:15">
      <c r="L2810" s="5">
        <f>IF(OR(A2810="",B2810=""),"",B2810-WEEKDAY(B2810,2)+1)</f>
        <v/>
      </c>
      <c r="M2810" s="5">
        <f>IF(L2810="","",L2810+6)</f>
        <v/>
      </c>
      <c r="N2810" s="6">
        <f>IF(OR(A2810="",B2810=""),"",DATE(YEAR(B2810),MONTH(B2810),1))</f>
        <v/>
      </c>
      <c r="O2810" s="7">
        <f>IF(COUNTA(A2810:K2810)=0,"",IF(OR(A2810="",B2810=""),"Preencher CPF e entrada",IF(COUNTIFS($A$12:$A$5011,A2810,$B$12:$B$5011,B2810)&gt;1,"CPF + dia duplicado",IF(OR(AND(G2810&lt;&gt;"",G2810&lt;&gt;0,G2810&lt;&gt;1),AND(H2810&lt;&gt;"",H2810&lt;&gt;0,H2810&lt;&gt;1)),"Flags devem ser 0 ou 1",IF(AND(H2810=1,LEN(TRIM(I2810))=0),"Preencher nome do indicante",IF(AND(H2810&lt;&gt;1,I2810&lt;&gt;""),"Nome sem indicação interna",IF(AND(G2810=1,F2810=""),"Fechamento sem conversa",IF(OR(AND(E2810&lt;&gt;"",E2810&lt;B2810),AND(F2810&lt;&gt;"",F2810&lt;B2810)),"Evento anterior à entrada",IF(AND(F2810&lt;&gt;"",E2810=""),"Conversa sem agendamento",IF(OR(E2810&gt;TODAY(),F2810&gt;TODAY()),"Verificar evento futuro","OK"))))))))))</f>
        <v/>
      </c>
    </row>
    <row r="2811" spans="12:15">
      <c r="L2811" s="5">
        <f>IF(OR(A2811="",B2811=""),"",B2811-WEEKDAY(B2811,2)+1)</f>
        <v/>
      </c>
      <c r="M2811" s="5">
        <f>IF(L2811="","",L2811+6)</f>
        <v/>
      </c>
      <c r="N2811" s="6">
        <f>IF(OR(A2811="",B2811=""),"",DATE(YEAR(B2811),MONTH(B2811),1))</f>
        <v/>
      </c>
      <c r="O2811" s="7">
        <f>IF(COUNTA(A2811:K2811)=0,"",IF(OR(A2811="",B2811=""),"Preencher CPF e entrada",IF(COUNTIFS($A$12:$A$5011,A2811,$B$12:$B$5011,B2811)&gt;1,"CPF + dia duplicado",IF(OR(AND(G2811&lt;&gt;"",G2811&lt;&gt;0,G2811&lt;&gt;1),AND(H2811&lt;&gt;"",H2811&lt;&gt;0,H2811&lt;&gt;1)),"Flags devem ser 0 ou 1",IF(AND(H2811=1,LEN(TRIM(I2811))=0),"Preencher nome do indicante",IF(AND(H2811&lt;&gt;1,I2811&lt;&gt;""),"Nome sem indicação interna",IF(AND(G2811=1,F2811=""),"Fechamento sem conversa",IF(OR(AND(E2811&lt;&gt;"",E2811&lt;B2811),AND(F2811&lt;&gt;"",F2811&lt;B2811)),"Evento anterior à entrada",IF(AND(F2811&lt;&gt;"",E2811=""),"Conversa sem agendamento",IF(OR(E2811&gt;TODAY(),F2811&gt;TODAY()),"Verificar evento futuro","OK"))))))))))</f>
        <v/>
      </c>
    </row>
    <row r="2812" spans="12:15">
      <c r="L2812" s="5">
        <f>IF(OR(A2812="",B2812=""),"",B2812-WEEKDAY(B2812,2)+1)</f>
        <v/>
      </c>
      <c r="M2812" s="5">
        <f>IF(L2812="","",L2812+6)</f>
        <v/>
      </c>
      <c r="N2812" s="6">
        <f>IF(OR(A2812="",B2812=""),"",DATE(YEAR(B2812),MONTH(B2812),1))</f>
        <v/>
      </c>
      <c r="O2812" s="7">
        <f>IF(COUNTA(A2812:K2812)=0,"",IF(OR(A2812="",B2812=""),"Preencher CPF e entrada",IF(COUNTIFS($A$12:$A$5011,A2812,$B$12:$B$5011,B2812)&gt;1,"CPF + dia duplicado",IF(OR(AND(G2812&lt;&gt;"",G2812&lt;&gt;0,G2812&lt;&gt;1),AND(H2812&lt;&gt;"",H2812&lt;&gt;0,H2812&lt;&gt;1)),"Flags devem ser 0 ou 1",IF(AND(H2812=1,LEN(TRIM(I2812))=0),"Preencher nome do indicante",IF(AND(H2812&lt;&gt;1,I2812&lt;&gt;""),"Nome sem indicação interna",IF(AND(G2812=1,F2812=""),"Fechamento sem conversa",IF(OR(AND(E2812&lt;&gt;"",E2812&lt;B2812),AND(F2812&lt;&gt;"",F2812&lt;B2812)),"Evento anterior à entrada",IF(AND(F2812&lt;&gt;"",E2812=""),"Conversa sem agendamento",IF(OR(E2812&gt;TODAY(),F2812&gt;TODAY()),"Verificar evento futuro","OK"))))))))))</f>
        <v/>
      </c>
    </row>
    <row r="2813" spans="12:15">
      <c r="L2813" s="5">
        <f>IF(OR(A2813="",B2813=""),"",B2813-WEEKDAY(B2813,2)+1)</f>
        <v/>
      </c>
      <c r="M2813" s="5">
        <f>IF(L2813="","",L2813+6)</f>
        <v/>
      </c>
      <c r="N2813" s="6">
        <f>IF(OR(A2813="",B2813=""),"",DATE(YEAR(B2813),MONTH(B2813),1))</f>
        <v/>
      </c>
      <c r="O2813" s="7">
        <f>IF(COUNTA(A2813:K2813)=0,"",IF(OR(A2813="",B2813=""),"Preencher CPF e entrada",IF(COUNTIFS($A$12:$A$5011,A2813,$B$12:$B$5011,B2813)&gt;1,"CPF + dia duplicado",IF(OR(AND(G2813&lt;&gt;"",G2813&lt;&gt;0,G2813&lt;&gt;1),AND(H2813&lt;&gt;"",H2813&lt;&gt;0,H2813&lt;&gt;1)),"Flags devem ser 0 ou 1",IF(AND(H2813=1,LEN(TRIM(I2813))=0),"Preencher nome do indicante",IF(AND(H2813&lt;&gt;1,I2813&lt;&gt;""),"Nome sem indicação interna",IF(AND(G2813=1,F2813=""),"Fechamento sem conversa",IF(OR(AND(E2813&lt;&gt;"",E2813&lt;B2813),AND(F2813&lt;&gt;"",F2813&lt;B2813)),"Evento anterior à entrada",IF(AND(F2813&lt;&gt;"",E2813=""),"Conversa sem agendamento",IF(OR(E2813&gt;TODAY(),F2813&gt;TODAY()),"Verificar evento futuro","OK"))))))))))</f>
        <v/>
      </c>
    </row>
    <row r="2814" spans="12:15">
      <c r="L2814" s="5">
        <f>IF(OR(A2814="",B2814=""),"",B2814-WEEKDAY(B2814,2)+1)</f>
        <v/>
      </c>
      <c r="M2814" s="5">
        <f>IF(L2814="","",L2814+6)</f>
        <v/>
      </c>
      <c r="N2814" s="6">
        <f>IF(OR(A2814="",B2814=""),"",DATE(YEAR(B2814),MONTH(B2814),1))</f>
        <v/>
      </c>
      <c r="O2814" s="7">
        <f>IF(COUNTA(A2814:K2814)=0,"",IF(OR(A2814="",B2814=""),"Preencher CPF e entrada",IF(COUNTIFS($A$12:$A$5011,A2814,$B$12:$B$5011,B2814)&gt;1,"CPF + dia duplicado",IF(OR(AND(G2814&lt;&gt;"",G2814&lt;&gt;0,G2814&lt;&gt;1),AND(H2814&lt;&gt;"",H2814&lt;&gt;0,H2814&lt;&gt;1)),"Flags devem ser 0 ou 1",IF(AND(H2814=1,LEN(TRIM(I2814))=0),"Preencher nome do indicante",IF(AND(H2814&lt;&gt;1,I2814&lt;&gt;""),"Nome sem indicação interna",IF(AND(G2814=1,F2814=""),"Fechamento sem conversa",IF(OR(AND(E2814&lt;&gt;"",E2814&lt;B2814),AND(F2814&lt;&gt;"",F2814&lt;B2814)),"Evento anterior à entrada",IF(AND(F2814&lt;&gt;"",E2814=""),"Conversa sem agendamento",IF(OR(E2814&gt;TODAY(),F2814&gt;TODAY()),"Verificar evento futuro","OK"))))))))))</f>
        <v/>
      </c>
    </row>
    <row r="2815" spans="12:15">
      <c r="L2815" s="5">
        <f>IF(OR(A2815="",B2815=""),"",B2815-WEEKDAY(B2815,2)+1)</f>
        <v/>
      </c>
      <c r="M2815" s="5">
        <f>IF(L2815="","",L2815+6)</f>
        <v/>
      </c>
      <c r="N2815" s="6">
        <f>IF(OR(A2815="",B2815=""),"",DATE(YEAR(B2815),MONTH(B2815),1))</f>
        <v/>
      </c>
      <c r="O2815" s="7">
        <f>IF(COUNTA(A2815:K2815)=0,"",IF(OR(A2815="",B2815=""),"Preencher CPF e entrada",IF(COUNTIFS($A$12:$A$5011,A2815,$B$12:$B$5011,B2815)&gt;1,"CPF + dia duplicado",IF(OR(AND(G2815&lt;&gt;"",G2815&lt;&gt;0,G2815&lt;&gt;1),AND(H2815&lt;&gt;"",H2815&lt;&gt;0,H2815&lt;&gt;1)),"Flags devem ser 0 ou 1",IF(AND(H2815=1,LEN(TRIM(I2815))=0),"Preencher nome do indicante",IF(AND(H2815&lt;&gt;1,I2815&lt;&gt;""),"Nome sem indicação interna",IF(AND(G2815=1,F2815=""),"Fechamento sem conversa",IF(OR(AND(E2815&lt;&gt;"",E2815&lt;B2815),AND(F2815&lt;&gt;"",F2815&lt;B2815)),"Evento anterior à entrada",IF(AND(F2815&lt;&gt;"",E2815=""),"Conversa sem agendamento",IF(OR(E2815&gt;TODAY(),F2815&gt;TODAY()),"Verificar evento futuro","OK"))))))))))</f>
        <v/>
      </c>
    </row>
    <row r="2816" spans="12:15">
      <c r="L2816" s="5">
        <f>IF(OR(A2816="",B2816=""),"",B2816-WEEKDAY(B2816,2)+1)</f>
        <v/>
      </c>
      <c r="M2816" s="5">
        <f>IF(L2816="","",L2816+6)</f>
        <v/>
      </c>
      <c r="N2816" s="6">
        <f>IF(OR(A2816="",B2816=""),"",DATE(YEAR(B2816),MONTH(B2816),1))</f>
        <v/>
      </c>
      <c r="O2816" s="7">
        <f>IF(COUNTA(A2816:K2816)=0,"",IF(OR(A2816="",B2816=""),"Preencher CPF e entrada",IF(COUNTIFS($A$12:$A$5011,A2816,$B$12:$B$5011,B2816)&gt;1,"CPF + dia duplicado",IF(OR(AND(G2816&lt;&gt;"",G2816&lt;&gt;0,G2816&lt;&gt;1),AND(H2816&lt;&gt;"",H2816&lt;&gt;0,H2816&lt;&gt;1)),"Flags devem ser 0 ou 1",IF(AND(H2816=1,LEN(TRIM(I2816))=0),"Preencher nome do indicante",IF(AND(H2816&lt;&gt;1,I2816&lt;&gt;""),"Nome sem indicação interna",IF(AND(G2816=1,F2816=""),"Fechamento sem conversa",IF(OR(AND(E2816&lt;&gt;"",E2816&lt;B2816),AND(F2816&lt;&gt;"",F2816&lt;B2816)),"Evento anterior à entrada",IF(AND(F2816&lt;&gt;"",E2816=""),"Conversa sem agendamento",IF(OR(E2816&gt;TODAY(),F2816&gt;TODAY()),"Verificar evento futuro","OK"))))))))))</f>
        <v/>
      </c>
    </row>
    <row r="2817" spans="12:15">
      <c r="L2817" s="5">
        <f>IF(OR(A2817="",B2817=""),"",B2817-WEEKDAY(B2817,2)+1)</f>
        <v/>
      </c>
      <c r="M2817" s="5">
        <f>IF(L2817="","",L2817+6)</f>
        <v/>
      </c>
      <c r="N2817" s="6">
        <f>IF(OR(A2817="",B2817=""),"",DATE(YEAR(B2817),MONTH(B2817),1))</f>
        <v/>
      </c>
      <c r="O2817" s="7">
        <f>IF(COUNTA(A2817:K2817)=0,"",IF(OR(A2817="",B2817=""),"Preencher CPF e entrada",IF(COUNTIFS($A$12:$A$5011,A2817,$B$12:$B$5011,B2817)&gt;1,"CPF + dia duplicado",IF(OR(AND(G2817&lt;&gt;"",G2817&lt;&gt;0,G2817&lt;&gt;1),AND(H2817&lt;&gt;"",H2817&lt;&gt;0,H2817&lt;&gt;1)),"Flags devem ser 0 ou 1",IF(AND(H2817=1,LEN(TRIM(I2817))=0),"Preencher nome do indicante",IF(AND(H2817&lt;&gt;1,I2817&lt;&gt;""),"Nome sem indicação interna",IF(AND(G2817=1,F2817=""),"Fechamento sem conversa",IF(OR(AND(E2817&lt;&gt;"",E2817&lt;B2817),AND(F2817&lt;&gt;"",F2817&lt;B2817)),"Evento anterior à entrada",IF(AND(F2817&lt;&gt;"",E2817=""),"Conversa sem agendamento",IF(OR(E2817&gt;TODAY(),F2817&gt;TODAY()),"Verificar evento futuro","OK"))))))))))</f>
        <v/>
      </c>
    </row>
    <row r="2818" spans="12:15">
      <c r="L2818" s="5">
        <f>IF(OR(A2818="",B2818=""),"",B2818-WEEKDAY(B2818,2)+1)</f>
        <v/>
      </c>
      <c r="M2818" s="5">
        <f>IF(L2818="","",L2818+6)</f>
        <v/>
      </c>
      <c r="N2818" s="6">
        <f>IF(OR(A2818="",B2818=""),"",DATE(YEAR(B2818),MONTH(B2818),1))</f>
        <v/>
      </c>
      <c r="O2818" s="7">
        <f>IF(COUNTA(A2818:K2818)=0,"",IF(OR(A2818="",B2818=""),"Preencher CPF e entrada",IF(COUNTIFS($A$12:$A$5011,A2818,$B$12:$B$5011,B2818)&gt;1,"CPF + dia duplicado",IF(OR(AND(G2818&lt;&gt;"",G2818&lt;&gt;0,G2818&lt;&gt;1),AND(H2818&lt;&gt;"",H2818&lt;&gt;0,H2818&lt;&gt;1)),"Flags devem ser 0 ou 1",IF(AND(H2818=1,LEN(TRIM(I2818))=0),"Preencher nome do indicante",IF(AND(H2818&lt;&gt;1,I2818&lt;&gt;""),"Nome sem indicação interna",IF(AND(G2818=1,F2818=""),"Fechamento sem conversa",IF(OR(AND(E2818&lt;&gt;"",E2818&lt;B2818),AND(F2818&lt;&gt;"",F2818&lt;B2818)),"Evento anterior à entrada",IF(AND(F2818&lt;&gt;"",E2818=""),"Conversa sem agendamento",IF(OR(E2818&gt;TODAY(),F2818&gt;TODAY()),"Verificar evento futuro","OK"))))))))))</f>
        <v/>
      </c>
    </row>
    <row r="2819" spans="12:15">
      <c r="L2819" s="5">
        <f>IF(OR(A2819="",B2819=""),"",B2819-WEEKDAY(B2819,2)+1)</f>
        <v/>
      </c>
      <c r="M2819" s="5">
        <f>IF(L2819="","",L2819+6)</f>
        <v/>
      </c>
      <c r="N2819" s="6">
        <f>IF(OR(A2819="",B2819=""),"",DATE(YEAR(B2819),MONTH(B2819),1))</f>
        <v/>
      </c>
      <c r="O2819" s="7">
        <f>IF(COUNTA(A2819:K2819)=0,"",IF(OR(A2819="",B2819=""),"Preencher CPF e entrada",IF(COUNTIFS($A$12:$A$5011,A2819,$B$12:$B$5011,B2819)&gt;1,"CPF + dia duplicado",IF(OR(AND(G2819&lt;&gt;"",G2819&lt;&gt;0,G2819&lt;&gt;1),AND(H2819&lt;&gt;"",H2819&lt;&gt;0,H2819&lt;&gt;1)),"Flags devem ser 0 ou 1",IF(AND(H2819=1,LEN(TRIM(I2819))=0),"Preencher nome do indicante",IF(AND(H2819&lt;&gt;1,I2819&lt;&gt;""),"Nome sem indicação interna",IF(AND(G2819=1,F2819=""),"Fechamento sem conversa",IF(OR(AND(E2819&lt;&gt;"",E2819&lt;B2819),AND(F2819&lt;&gt;"",F2819&lt;B2819)),"Evento anterior à entrada",IF(AND(F2819&lt;&gt;"",E2819=""),"Conversa sem agendamento",IF(OR(E2819&gt;TODAY(),F2819&gt;TODAY()),"Verificar evento futuro","OK"))))))))))</f>
        <v/>
      </c>
    </row>
    <row r="2820" spans="12:15">
      <c r="L2820" s="5">
        <f>IF(OR(A2820="",B2820=""),"",B2820-WEEKDAY(B2820,2)+1)</f>
        <v/>
      </c>
      <c r="M2820" s="5">
        <f>IF(L2820="","",L2820+6)</f>
        <v/>
      </c>
      <c r="N2820" s="6">
        <f>IF(OR(A2820="",B2820=""),"",DATE(YEAR(B2820),MONTH(B2820),1))</f>
        <v/>
      </c>
      <c r="O2820" s="7">
        <f>IF(COUNTA(A2820:K2820)=0,"",IF(OR(A2820="",B2820=""),"Preencher CPF e entrada",IF(COUNTIFS($A$12:$A$5011,A2820,$B$12:$B$5011,B2820)&gt;1,"CPF + dia duplicado",IF(OR(AND(G2820&lt;&gt;"",G2820&lt;&gt;0,G2820&lt;&gt;1),AND(H2820&lt;&gt;"",H2820&lt;&gt;0,H2820&lt;&gt;1)),"Flags devem ser 0 ou 1",IF(AND(H2820=1,LEN(TRIM(I2820))=0),"Preencher nome do indicante",IF(AND(H2820&lt;&gt;1,I2820&lt;&gt;""),"Nome sem indicação interna",IF(AND(G2820=1,F2820=""),"Fechamento sem conversa",IF(OR(AND(E2820&lt;&gt;"",E2820&lt;B2820),AND(F2820&lt;&gt;"",F2820&lt;B2820)),"Evento anterior à entrada",IF(AND(F2820&lt;&gt;"",E2820=""),"Conversa sem agendamento",IF(OR(E2820&gt;TODAY(),F2820&gt;TODAY()),"Verificar evento futuro","OK"))))))))))</f>
        <v/>
      </c>
    </row>
    <row r="2821" spans="12:15">
      <c r="L2821" s="5">
        <f>IF(OR(A2821="",B2821=""),"",B2821-WEEKDAY(B2821,2)+1)</f>
        <v/>
      </c>
      <c r="M2821" s="5">
        <f>IF(L2821="","",L2821+6)</f>
        <v/>
      </c>
      <c r="N2821" s="6">
        <f>IF(OR(A2821="",B2821=""),"",DATE(YEAR(B2821),MONTH(B2821),1))</f>
        <v/>
      </c>
      <c r="O2821" s="7">
        <f>IF(COUNTA(A2821:K2821)=0,"",IF(OR(A2821="",B2821=""),"Preencher CPF e entrada",IF(COUNTIFS($A$12:$A$5011,A2821,$B$12:$B$5011,B2821)&gt;1,"CPF + dia duplicado",IF(OR(AND(G2821&lt;&gt;"",G2821&lt;&gt;0,G2821&lt;&gt;1),AND(H2821&lt;&gt;"",H2821&lt;&gt;0,H2821&lt;&gt;1)),"Flags devem ser 0 ou 1",IF(AND(H2821=1,LEN(TRIM(I2821))=0),"Preencher nome do indicante",IF(AND(H2821&lt;&gt;1,I2821&lt;&gt;""),"Nome sem indicação interna",IF(AND(G2821=1,F2821=""),"Fechamento sem conversa",IF(OR(AND(E2821&lt;&gt;"",E2821&lt;B2821),AND(F2821&lt;&gt;"",F2821&lt;B2821)),"Evento anterior à entrada",IF(AND(F2821&lt;&gt;"",E2821=""),"Conversa sem agendamento",IF(OR(E2821&gt;TODAY(),F2821&gt;TODAY()),"Verificar evento futuro","OK"))))))))))</f>
        <v/>
      </c>
    </row>
    <row r="2822" spans="12:15">
      <c r="L2822" s="5">
        <f>IF(OR(A2822="",B2822=""),"",B2822-WEEKDAY(B2822,2)+1)</f>
        <v/>
      </c>
      <c r="M2822" s="5">
        <f>IF(L2822="","",L2822+6)</f>
        <v/>
      </c>
      <c r="N2822" s="6">
        <f>IF(OR(A2822="",B2822=""),"",DATE(YEAR(B2822),MONTH(B2822),1))</f>
        <v/>
      </c>
      <c r="O2822" s="7">
        <f>IF(COUNTA(A2822:K2822)=0,"",IF(OR(A2822="",B2822=""),"Preencher CPF e entrada",IF(COUNTIFS($A$12:$A$5011,A2822,$B$12:$B$5011,B2822)&gt;1,"CPF + dia duplicado",IF(OR(AND(G2822&lt;&gt;"",G2822&lt;&gt;0,G2822&lt;&gt;1),AND(H2822&lt;&gt;"",H2822&lt;&gt;0,H2822&lt;&gt;1)),"Flags devem ser 0 ou 1",IF(AND(H2822=1,LEN(TRIM(I2822))=0),"Preencher nome do indicante",IF(AND(H2822&lt;&gt;1,I2822&lt;&gt;""),"Nome sem indicação interna",IF(AND(G2822=1,F2822=""),"Fechamento sem conversa",IF(OR(AND(E2822&lt;&gt;"",E2822&lt;B2822),AND(F2822&lt;&gt;"",F2822&lt;B2822)),"Evento anterior à entrada",IF(AND(F2822&lt;&gt;"",E2822=""),"Conversa sem agendamento",IF(OR(E2822&gt;TODAY(),F2822&gt;TODAY()),"Verificar evento futuro","OK"))))))))))</f>
        <v/>
      </c>
    </row>
    <row r="2823" spans="12:15">
      <c r="L2823" s="5">
        <f>IF(OR(A2823="",B2823=""),"",B2823-WEEKDAY(B2823,2)+1)</f>
        <v/>
      </c>
      <c r="M2823" s="5">
        <f>IF(L2823="","",L2823+6)</f>
        <v/>
      </c>
      <c r="N2823" s="6">
        <f>IF(OR(A2823="",B2823=""),"",DATE(YEAR(B2823),MONTH(B2823),1))</f>
        <v/>
      </c>
      <c r="O2823" s="7">
        <f>IF(COUNTA(A2823:K2823)=0,"",IF(OR(A2823="",B2823=""),"Preencher CPF e entrada",IF(COUNTIFS($A$12:$A$5011,A2823,$B$12:$B$5011,B2823)&gt;1,"CPF + dia duplicado",IF(OR(AND(G2823&lt;&gt;"",G2823&lt;&gt;0,G2823&lt;&gt;1),AND(H2823&lt;&gt;"",H2823&lt;&gt;0,H2823&lt;&gt;1)),"Flags devem ser 0 ou 1",IF(AND(H2823=1,LEN(TRIM(I2823))=0),"Preencher nome do indicante",IF(AND(H2823&lt;&gt;1,I2823&lt;&gt;""),"Nome sem indicação interna",IF(AND(G2823=1,F2823=""),"Fechamento sem conversa",IF(OR(AND(E2823&lt;&gt;"",E2823&lt;B2823),AND(F2823&lt;&gt;"",F2823&lt;B2823)),"Evento anterior à entrada",IF(AND(F2823&lt;&gt;"",E2823=""),"Conversa sem agendamento",IF(OR(E2823&gt;TODAY(),F2823&gt;TODAY()),"Verificar evento futuro","OK"))))))))))</f>
        <v/>
      </c>
    </row>
    <row r="2824" spans="12:15">
      <c r="L2824" s="5">
        <f>IF(OR(A2824="",B2824=""),"",B2824-WEEKDAY(B2824,2)+1)</f>
        <v/>
      </c>
      <c r="M2824" s="5">
        <f>IF(L2824="","",L2824+6)</f>
        <v/>
      </c>
      <c r="N2824" s="6">
        <f>IF(OR(A2824="",B2824=""),"",DATE(YEAR(B2824),MONTH(B2824),1))</f>
        <v/>
      </c>
      <c r="O2824" s="7">
        <f>IF(COUNTA(A2824:K2824)=0,"",IF(OR(A2824="",B2824=""),"Preencher CPF e entrada",IF(COUNTIFS($A$12:$A$5011,A2824,$B$12:$B$5011,B2824)&gt;1,"CPF + dia duplicado",IF(OR(AND(G2824&lt;&gt;"",G2824&lt;&gt;0,G2824&lt;&gt;1),AND(H2824&lt;&gt;"",H2824&lt;&gt;0,H2824&lt;&gt;1)),"Flags devem ser 0 ou 1",IF(AND(H2824=1,LEN(TRIM(I2824))=0),"Preencher nome do indicante",IF(AND(H2824&lt;&gt;1,I2824&lt;&gt;""),"Nome sem indicação interna",IF(AND(G2824=1,F2824=""),"Fechamento sem conversa",IF(OR(AND(E2824&lt;&gt;"",E2824&lt;B2824),AND(F2824&lt;&gt;"",F2824&lt;B2824)),"Evento anterior à entrada",IF(AND(F2824&lt;&gt;"",E2824=""),"Conversa sem agendamento",IF(OR(E2824&gt;TODAY(),F2824&gt;TODAY()),"Verificar evento futuro","OK"))))))))))</f>
        <v/>
      </c>
    </row>
    <row r="2825" spans="12:15">
      <c r="L2825" s="5">
        <f>IF(OR(A2825="",B2825=""),"",B2825-WEEKDAY(B2825,2)+1)</f>
        <v/>
      </c>
      <c r="M2825" s="5">
        <f>IF(L2825="","",L2825+6)</f>
        <v/>
      </c>
      <c r="N2825" s="6">
        <f>IF(OR(A2825="",B2825=""),"",DATE(YEAR(B2825),MONTH(B2825),1))</f>
        <v/>
      </c>
      <c r="O2825" s="7">
        <f>IF(COUNTA(A2825:K2825)=0,"",IF(OR(A2825="",B2825=""),"Preencher CPF e entrada",IF(COUNTIFS($A$12:$A$5011,A2825,$B$12:$B$5011,B2825)&gt;1,"CPF + dia duplicado",IF(OR(AND(G2825&lt;&gt;"",G2825&lt;&gt;0,G2825&lt;&gt;1),AND(H2825&lt;&gt;"",H2825&lt;&gt;0,H2825&lt;&gt;1)),"Flags devem ser 0 ou 1",IF(AND(H2825=1,LEN(TRIM(I2825))=0),"Preencher nome do indicante",IF(AND(H2825&lt;&gt;1,I2825&lt;&gt;""),"Nome sem indicação interna",IF(AND(G2825=1,F2825=""),"Fechamento sem conversa",IF(OR(AND(E2825&lt;&gt;"",E2825&lt;B2825),AND(F2825&lt;&gt;"",F2825&lt;B2825)),"Evento anterior à entrada",IF(AND(F2825&lt;&gt;"",E2825=""),"Conversa sem agendamento",IF(OR(E2825&gt;TODAY(),F2825&gt;TODAY()),"Verificar evento futuro","OK"))))))))))</f>
        <v/>
      </c>
    </row>
    <row r="2826" spans="12:15">
      <c r="L2826" s="5">
        <f>IF(OR(A2826="",B2826=""),"",B2826-WEEKDAY(B2826,2)+1)</f>
        <v/>
      </c>
      <c r="M2826" s="5">
        <f>IF(L2826="","",L2826+6)</f>
        <v/>
      </c>
      <c r="N2826" s="6">
        <f>IF(OR(A2826="",B2826=""),"",DATE(YEAR(B2826),MONTH(B2826),1))</f>
        <v/>
      </c>
      <c r="O2826" s="7">
        <f>IF(COUNTA(A2826:K2826)=0,"",IF(OR(A2826="",B2826=""),"Preencher CPF e entrada",IF(COUNTIFS($A$12:$A$5011,A2826,$B$12:$B$5011,B2826)&gt;1,"CPF + dia duplicado",IF(OR(AND(G2826&lt;&gt;"",G2826&lt;&gt;0,G2826&lt;&gt;1),AND(H2826&lt;&gt;"",H2826&lt;&gt;0,H2826&lt;&gt;1)),"Flags devem ser 0 ou 1",IF(AND(H2826=1,LEN(TRIM(I2826))=0),"Preencher nome do indicante",IF(AND(H2826&lt;&gt;1,I2826&lt;&gt;""),"Nome sem indicação interna",IF(AND(G2826=1,F2826=""),"Fechamento sem conversa",IF(OR(AND(E2826&lt;&gt;"",E2826&lt;B2826),AND(F2826&lt;&gt;"",F2826&lt;B2826)),"Evento anterior à entrada",IF(AND(F2826&lt;&gt;"",E2826=""),"Conversa sem agendamento",IF(OR(E2826&gt;TODAY(),F2826&gt;TODAY()),"Verificar evento futuro","OK"))))))))))</f>
        <v/>
      </c>
    </row>
    <row r="2827" spans="12:15">
      <c r="L2827" s="5">
        <f>IF(OR(A2827="",B2827=""),"",B2827-WEEKDAY(B2827,2)+1)</f>
        <v/>
      </c>
      <c r="M2827" s="5">
        <f>IF(L2827="","",L2827+6)</f>
        <v/>
      </c>
      <c r="N2827" s="6">
        <f>IF(OR(A2827="",B2827=""),"",DATE(YEAR(B2827),MONTH(B2827),1))</f>
        <v/>
      </c>
      <c r="O2827" s="7">
        <f>IF(COUNTA(A2827:K2827)=0,"",IF(OR(A2827="",B2827=""),"Preencher CPF e entrada",IF(COUNTIFS($A$12:$A$5011,A2827,$B$12:$B$5011,B2827)&gt;1,"CPF + dia duplicado",IF(OR(AND(G2827&lt;&gt;"",G2827&lt;&gt;0,G2827&lt;&gt;1),AND(H2827&lt;&gt;"",H2827&lt;&gt;0,H2827&lt;&gt;1)),"Flags devem ser 0 ou 1",IF(AND(H2827=1,LEN(TRIM(I2827))=0),"Preencher nome do indicante",IF(AND(H2827&lt;&gt;1,I2827&lt;&gt;""),"Nome sem indicação interna",IF(AND(G2827=1,F2827=""),"Fechamento sem conversa",IF(OR(AND(E2827&lt;&gt;"",E2827&lt;B2827),AND(F2827&lt;&gt;"",F2827&lt;B2827)),"Evento anterior à entrada",IF(AND(F2827&lt;&gt;"",E2827=""),"Conversa sem agendamento",IF(OR(E2827&gt;TODAY(),F2827&gt;TODAY()),"Verificar evento futuro","OK"))))))))))</f>
        <v/>
      </c>
    </row>
    <row r="2828" spans="12:15">
      <c r="L2828" s="5">
        <f>IF(OR(A2828="",B2828=""),"",B2828-WEEKDAY(B2828,2)+1)</f>
        <v/>
      </c>
      <c r="M2828" s="5">
        <f>IF(L2828="","",L2828+6)</f>
        <v/>
      </c>
      <c r="N2828" s="6">
        <f>IF(OR(A2828="",B2828=""),"",DATE(YEAR(B2828),MONTH(B2828),1))</f>
        <v/>
      </c>
      <c r="O2828" s="7">
        <f>IF(COUNTA(A2828:K2828)=0,"",IF(OR(A2828="",B2828=""),"Preencher CPF e entrada",IF(COUNTIFS($A$12:$A$5011,A2828,$B$12:$B$5011,B2828)&gt;1,"CPF + dia duplicado",IF(OR(AND(G2828&lt;&gt;"",G2828&lt;&gt;0,G2828&lt;&gt;1),AND(H2828&lt;&gt;"",H2828&lt;&gt;0,H2828&lt;&gt;1)),"Flags devem ser 0 ou 1",IF(AND(H2828=1,LEN(TRIM(I2828))=0),"Preencher nome do indicante",IF(AND(H2828&lt;&gt;1,I2828&lt;&gt;""),"Nome sem indicação interna",IF(AND(G2828=1,F2828=""),"Fechamento sem conversa",IF(OR(AND(E2828&lt;&gt;"",E2828&lt;B2828),AND(F2828&lt;&gt;"",F2828&lt;B2828)),"Evento anterior à entrada",IF(AND(F2828&lt;&gt;"",E2828=""),"Conversa sem agendamento",IF(OR(E2828&gt;TODAY(),F2828&gt;TODAY()),"Verificar evento futuro","OK"))))))))))</f>
        <v/>
      </c>
    </row>
    <row r="2829" spans="12:15">
      <c r="L2829" s="5">
        <f>IF(OR(A2829="",B2829=""),"",B2829-WEEKDAY(B2829,2)+1)</f>
        <v/>
      </c>
      <c r="M2829" s="5">
        <f>IF(L2829="","",L2829+6)</f>
        <v/>
      </c>
      <c r="N2829" s="6">
        <f>IF(OR(A2829="",B2829=""),"",DATE(YEAR(B2829),MONTH(B2829),1))</f>
        <v/>
      </c>
      <c r="O2829" s="7">
        <f>IF(COUNTA(A2829:K2829)=0,"",IF(OR(A2829="",B2829=""),"Preencher CPF e entrada",IF(COUNTIFS($A$12:$A$5011,A2829,$B$12:$B$5011,B2829)&gt;1,"CPF + dia duplicado",IF(OR(AND(G2829&lt;&gt;"",G2829&lt;&gt;0,G2829&lt;&gt;1),AND(H2829&lt;&gt;"",H2829&lt;&gt;0,H2829&lt;&gt;1)),"Flags devem ser 0 ou 1",IF(AND(H2829=1,LEN(TRIM(I2829))=0),"Preencher nome do indicante",IF(AND(H2829&lt;&gt;1,I2829&lt;&gt;""),"Nome sem indicação interna",IF(AND(G2829=1,F2829=""),"Fechamento sem conversa",IF(OR(AND(E2829&lt;&gt;"",E2829&lt;B2829),AND(F2829&lt;&gt;"",F2829&lt;B2829)),"Evento anterior à entrada",IF(AND(F2829&lt;&gt;"",E2829=""),"Conversa sem agendamento",IF(OR(E2829&gt;TODAY(),F2829&gt;TODAY()),"Verificar evento futuro","OK"))))))))))</f>
        <v/>
      </c>
    </row>
    <row r="2830" spans="12:15">
      <c r="L2830" s="5">
        <f>IF(OR(A2830="",B2830=""),"",B2830-WEEKDAY(B2830,2)+1)</f>
        <v/>
      </c>
      <c r="M2830" s="5">
        <f>IF(L2830="","",L2830+6)</f>
        <v/>
      </c>
      <c r="N2830" s="6">
        <f>IF(OR(A2830="",B2830=""),"",DATE(YEAR(B2830),MONTH(B2830),1))</f>
        <v/>
      </c>
      <c r="O2830" s="7">
        <f>IF(COUNTA(A2830:K2830)=0,"",IF(OR(A2830="",B2830=""),"Preencher CPF e entrada",IF(COUNTIFS($A$12:$A$5011,A2830,$B$12:$B$5011,B2830)&gt;1,"CPF + dia duplicado",IF(OR(AND(G2830&lt;&gt;"",G2830&lt;&gt;0,G2830&lt;&gt;1),AND(H2830&lt;&gt;"",H2830&lt;&gt;0,H2830&lt;&gt;1)),"Flags devem ser 0 ou 1",IF(AND(H2830=1,LEN(TRIM(I2830))=0),"Preencher nome do indicante",IF(AND(H2830&lt;&gt;1,I2830&lt;&gt;""),"Nome sem indicação interna",IF(AND(G2830=1,F2830=""),"Fechamento sem conversa",IF(OR(AND(E2830&lt;&gt;"",E2830&lt;B2830),AND(F2830&lt;&gt;"",F2830&lt;B2830)),"Evento anterior à entrada",IF(AND(F2830&lt;&gt;"",E2830=""),"Conversa sem agendamento",IF(OR(E2830&gt;TODAY(),F2830&gt;TODAY()),"Verificar evento futuro","OK"))))))))))</f>
        <v/>
      </c>
    </row>
    <row r="2831" spans="12:15">
      <c r="L2831" s="5">
        <f>IF(OR(A2831="",B2831=""),"",B2831-WEEKDAY(B2831,2)+1)</f>
        <v/>
      </c>
      <c r="M2831" s="5">
        <f>IF(L2831="","",L2831+6)</f>
        <v/>
      </c>
      <c r="N2831" s="6">
        <f>IF(OR(A2831="",B2831=""),"",DATE(YEAR(B2831),MONTH(B2831),1))</f>
        <v/>
      </c>
      <c r="O2831" s="7">
        <f>IF(COUNTA(A2831:K2831)=0,"",IF(OR(A2831="",B2831=""),"Preencher CPF e entrada",IF(COUNTIFS($A$12:$A$5011,A2831,$B$12:$B$5011,B2831)&gt;1,"CPF + dia duplicado",IF(OR(AND(G2831&lt;&gt;"",G2831&lt;&gt;0,G2831&lt;&gt;1),AND(H2831&lt;&gt;"",H2831&lt;&gt;0,H2831&lt;&gt;1)),"Flags devem ser 0 ou 1",IF(AND(H2831=1,LEN(TRIM(I2831))=0),"Preencher nome do indicante",IF(AND(H2831&lt;&gt;1,I2831&lt;&gt;""),"Nome sem indicação interna",IF(AND(G2831=1,F2831=""),"Fechamento sem conversa",IF(OR(AND(E2831&lt;&gt;"",E2831&lt;B2831),AND(F2831&lt;&gt;"",F2831&lt;B2831)),"Evento anterior à entrada",IF(AND(F2831&lt;&gt;"",E2831=""),"Conversa sem agendamento",IF(OR(E2831&gt;TODAY(),F2831&gt;TODAY()),"Verificar evento futuro","OK"))))))))))</f>
        <v/>
      </c>
    </row>
    <row r="2832" spans="12:15">
      <c r="L2832" s="5">
        <f>IF(OR(A2832="",B2832=""),"",B2832-WEEKDAY(B2832,2)+1)</f>
        <v/>
      </c>
      <c r="M2832" s="5">
        <f>IF(L2832="","",L2832+6)</f>
        <v/>
      </c>
      <c r="N2832" s="6">
        <f>IF(OR(A2832="",B2832=""),"",DATE(YEAR(B2832),MONTH(B2832),1))</f>
        <v/>
      </c>
      <c r="O2832" s="7">
        <f>IF(COUNTA(A2832:K2832)=0,"",IF(OR(A2832="",B2832=""),"Preencher CPF e entrada",IF(COUNTIFS($A$12:$A$5011,A2832,$B$12:$B$5011,B2832)&gt;1,"CPF + dia duplicado",IF(OR(AND(G2832&lt;&gt;"",G2832&lt;&gt;0,G2832&lt;&gt;1),AND(H2832&lt;&gt;"",H2832&lt;&gt;0,H2832&lt;&gt;1)),"Flags devem ser 0 ou 1",IF(AND(H2832=1,LEN(TRIM(I2832))=0),"Preencher nome do indicante",IF(AND(H2832&lt;&gt;1,I2832&lt;&gt;""),"Nome sem indicação interna",IF(AND(G2832=1,F2832=""),"Fechamento sem conversa",IF(OR(AND(E2832&lt;&gt;"",E2832&lt;B2832),AND(F2832&lt;&gt;"",F2832&lt;B2832)),"Evento anterior à entrada",IF(AND(F2832&lt;&gt;"",E2832=""),"Conversa sem agendamento",IF(OR(E2832&gt;TODAY(),F2832&gt;TODAY()),"Verificar evento futuro","OK"))))))))))</f>
        <v/>
      </c>
    </row>
    <row r="2833" spans="12:15">
      <c r="L2833" s="5">
        <f>IF(OR(A2833="",B2833=""),"",B2833-WEEKDAY(B2833,2)+1)</f>
        <v/>
      </c>
      <c r="M2833" s="5">
        <f>IF(L2833="","",L2833+6)</f>
        <v/>
      </c>
      <c r="N2833" s="6">
        <f>IF(OR(A2833="",B2833=""),"",DATE(YEAR(B2833),MONTH(B2833),1))</f>
        <v/>
      </c>
      <c r="O2833" s="7">
        <f>IF(COUNTA(A2833:K2833)=0,"",IF(OR(A2833="",B2833=""),"Preencher CPF e entrada",IF(COUNTIFS($A$12:$A$5011,A2833,$B$12:$B$5011,B2833)&gt;1,"CPF + dia duplicado",IF(OR(AND(G2833&lt;&gt;"",G2833&lt;&gt;0,G2833&lt;&gt;1),AND(H2833&lt;&gt;"",H2833&lt;&gt;0,H2833&lt;&gt;1)),"Flags devem ser 0 ou 1",IF(AND(H2833=1,LEN(TRIM(I2833))=0),"Preencher nome do indicante",IF(AND(H2833&lt;&gt;1,I2833&lt;&gt;""),"Nome sem indicação interna",IF(AND(G2833=1,F2833=""),"Fechamento sem conversa",IF(OR(AND(E2833&lt;&gt;"",E2833&lt;B2833),AND(F2833&lt;&gt;"",F2833&lt;B2833)),"Evento anterior à entrada",IF(AND(F2833&lt;&gt;"",E2833=""),"Conversa sem agendamento",IF(OR(E2833&gt;TODAY(),F2833&gt;TODAY()),"Verificar evento futuro","OK"))))))))))</f>
        <v/>
      </c>
    </row>
    <row r="2834" spans="12:15">
      <c r="L2834" s="5">
        <f>IF(OR(A2834="",B2834=""),"",B2834-WEEKDAY(B2834,2)+1)</f>
        <v/>
      </c>
      <c r="M2834" s="5">
        <f>IF(L2834="","",L2834+6)</f>
        <v/>
      </c>
      <c r="N2834" s="6">
        <f>IF(OR(A2834="",B2834=""),"",DATE(YEAR(B2834),MONTH(B2834),1))</f>
        <v/>
      </c>
      <c r="O2834" s="7">
        <f>IF(COUNTA(A2834:K2834)=0,"",IF(OR(A2834="",B2834=""),"Preencher CPF e entrada",IF(COUNTIFS($A$12:$A$5011,A2834,$B$12:$B$5011,B2834)&gt;1,"CPF + dia duplicado",IF(OR(AND(G2834&lt;&gt;"",G2834&lt;&gt;0,G2834&lt;&gt;1),AND(H2834&lt;&gt;"",H2834&lt;&gt;0,H2834&lt;&gt;1)),"Flags devem ser 0 ou 1",IF(AND(H2834=1,LEN(TRIM(I2834))=0),"Preencher nome do indicante",IF(AND(H2834&lt;&gt;1,I2834&lt;&gt;""),"Nome sem indicação interna",IF(AND(G2834=1,F2834=""),"Fechamento sem conversa",IF(OR(AND(E2834&lt;&gt;"",E2834&lt;B2834),AND(F2834&lt;&gt;"",F2834&lt;B2834)),"Evento anterior à entrada",IF(AND(F2834&lt;&gt;"",E2834=""),"Conversa sem agendamento",IF(OR(E2834&gt;TODAY(),F2834&gt;TODAY()),"Verificar evento futuro","OK"))))))))))</f>
        <v/>
      </c>
    </row>
    <row r="2835" spans="12:15">
      <c r="L2835" s="5">
        <f>IF(OR(A2835="",B2835=""),"",B2835-WEEKDAY(B2835,2)+1)</f>
        <v/>
      </c>
      <c r="M2835" s="5">
        <f>IF(L2835="","",L2835+6)</f>
        <v/>
      </c>
      <c r="N2835" s="6">
        <f>IF(OR(A2835="",B2835=""),"",DATE(YEAR(B2835),MONTH(B2835),1))</f>
        <v/>
      </c>
      <c r="O2835" s="7">
        <f>IF(COUNTA(A2835:K2835)=0,"",IF(OR(A2835="",B2835=""),"Preencher CPF e entrada",IF(COUNTIFS($A$12:$A$5011,A2835,$B$12:$B$5011,B2835)&gt;1,"CPF + dia duplicado",IF(OR(AND(G2835&lt;&gt;"",G2835&lt;&gt;0,G2835&lt;&gt;1),AND(H2835&lt;&gt;"",H2835&lt;&gt;0,H2835&lt;&gt;1)),"Flags devem ser 0 ou 1",IF(AND(H2835=1,LEN(TRIM(I2835))=0),"Preencher nome do indicante",IF(AND(H2835&lt;&gt;1,I2835&lt;&gt;""),"Nome sem indicação interna",IF(AND(G2835=1,F2835=""),"Fechamento sem conversa",IF(OR(AND(E2835&lt;&gt;"",E2835&lt;B2835),AND(F2835&lt;&gt;"",F2835&lt;B2835)),"Evento anterior à entrada",IF(AND(F2835&lt;&gt;"",E2835=""),"Conversa sem agendamento",IF(OR(E2835&gt;TODAY(),F2835&gt;TODAY()),"Verificar evento futuro","OK"))))))))))</f>
        <v/>
      </c>
    </row>
    <row r="2836" spans="12:15">
      <c r="L2836" s="5">
        <f>IF(OR(A2836="",B2836=""),"",B2836-WEEKDAY(B2836,2)+1)</f>
        <v/>
      </c>
      <c r="M2836" s="5">
        <f>IF(L2836="","",L2836+6)</f>
        <v/>
      </c>
      <c r="N2836" s="6">
        <f>IF(OR(A2836="",B2836=""),"",DATE(YEAR(B2836),MONTH(B2836),1))</f>
        <v/>
      </c>
      <c r="O2836" s="7">
        <f>IF(COUNTA(A2836:K2836)=0,"",IF(OR(A2836="",B2836=""),"Preencher CPF e entrada",IF(COUNTIFS($A$12:$A$5011,A2836,$B$12:$B$5011,B2836)&gt;1,"CPF + dia duplicado",IF(OR(AND(G2836&lt;&gt;"",G2836&lt;&gt;0,G2836&lt;&gt;1),AND(H2836&lt;&gt;"",H2836&lt;&gt;0,H2836&lt;&gt;1)),"Flags devem ser 0 ou 1",IF(AND(H2836=1,LEN(TRIM(I2836))=0),"Preencher nome do indicante",IF(AND(H2836&lt;&gt;1,I2836&lt;&gt;""),"Nome sem indicação interna",IF(AND(G2836=1,F2836=""),"Fechamento sem conversa",IF(OR(AND(E2836&lt;&gt;"",E2836&lt;B2836),AND(F2836&lt;&gt;"",F2836&lt;B2836)),"Evento anterior à entrada",IF(AND(F2836&lt;&gt;"",E2836=""),"Conversa sem agendamento",IF(OR(E2836&gt;TODAY(),F2836&gt;TODAY()),"Verificar evento futuro","OK"))))))))))</f>
        <v/>
      </c>
    </row>
    <row r="2837" spans="12:15">
      <c r="L2837" s="5">
        <f>IF(OR(A2837="",B2837=""),"",B2837-WEEKDAY(B2837,2)+1)</f>
        <v/>
      </c>
      <c r="M2837" s="5">
        <f>IF(L2837="","",L2837+6)</f>
        <v/>
      </c>
      <c r="N2837" s="6">
        <f>IF(OR(A2837="",B2837=""),"",DATE(YEAR(B2837),MONTH(B2837),1))</f>
        <v/>
      </c>
      <c r="O2837" s="7">
        <f>IF(COUNTA(A2837:K2837)=0,"",IF(OR(A2837="",B2837=""),"Preencher CPF e entrada",IF(COUNTIFS($A$12:$A$5011,A2837,$B$12:$B$5011,B2837)&gt;1,"CPF + dia duplicado",IF(OR(AND(G2837&lt;&gt;"",G2837&lt;&gt;0,G2837&lt;&gt;1),AND(H2837&lt;&gt;"",H2837&lt;&gt;0,H2837&lt;&gt;1)),"Flags devem ser 0 ou 1",IF(AND(H2837=1,LEN(TRIM(I2837))=0),"Preencher nome do indicante",IF(AND(H2837&lt;&gt;1,I2837&lt;&gt;""),"Nome sem indicação interna",IF(AND(G2837=1,F2837=""),"Fechamento sem conversa",IF(OR(AND(E2837&lt;&gt;"",E2837&lt;B2837),AND(F2837&lt;&gt;"",F2837&lt;B2837)),"Evento anterior à entrada",IF(AND(F2837&lt;&gt;"",E2837=""),"Conversa sem agendamento",IF(OR(E2837&gt;TODAY(),F2837&gt;TODAY()),"Verificar evento futuro","OK"))))))))))</f>
        <v/>
      </c>
    </row>
    <row r="2838" spans="12:15">
      <c r="L2838" s="5">
        <f>IF(OR(A2838="",B2838=""),"",B2838-WEEKDAY(B2838,2)+1)</f>
        <v/>
      </c>
      <c r="M2838" s="5">
        <f>IF(L2838="","",L2838+6)</f>
        <v/>
      </c>
      <c r="N2838" s="6">
        <f>IF(OR(A2838="",B2838=""),"",DATE(YEAR(B2838),MONTH(B2838),1))</f>
        <v/>
      </c>
      <c r="O2838" s="7">
        <f>IF(COUNTA(A2838:K2838)=0,"",IF(OR(A2838="",B2838=""),"Preencher CPF e entrada",IF(COUNTIFS($A$12:$A$5011,A2838,$B$12:$B$5011,B2838)&gt;1,"CPF + dia duplicado",IF(OR(AND(G2838&lt;&gt;"",G2838&lt;&gt;0,G2838&lt;&gt;1),AND(H2838&lt;&gt;"",H2838&lt;&gt;0,H2838&lt;&gt;1)),"Flags devem ser 0 ou 1",IF(AND(H2838=1,LEN(TRIM(I2838))=0),"Preencher nome do indicante",IF(AND(H2838&lt;&gt;1,I2838&lt;&gt;""),"Nome sem indicação interna",IF(AND(G2838=1,F2838=""),"Fechamento sem conversa",IF(OR(AND(E2838&lt;&gt;"",E2838&lt;B2838),AND(F2838&lt;&gt;"",F2838&lt;B2838)),"Evento anterior à entrada",IF(AND(F2838&lt;&gt;"",E2838=""),"Conversa sem agendamento",IF(OR(E2838&gt;TODAY(),F2838&gt;TODAY()),"Verificar evento futuro","OK"))))))))))</f>
        <v/>
      </c>
    </row>
    <row r="2839" spans="12:15">
      <c r="L2839" s="5">
        <f>IF(OR(A2839="",B2839=""),"",B2839-WEEKDAY(B2839,2)+1)</f>
        <v/>
      </c>
      <c r="M2839" s="5">
        <f>IF(L2839="","",L2839+6)</f>
        <v/>
      </c>
      <c r="N2839" s="6">
        <f>IF(OR(A2839="",B2839=""),"",DATE(YEAR(B2839),MONTH(B2839),1))</f>
        <v/>
      </c>
      <c r="O2839" s="7">
        <f>IF(COUNTA(A2839:K2839)=0,"",IF(OR(A2839="",B2839=""),"Preencher CPF e entrada",IF(COUNTIFS($A$12:$A$5011,A2839,$B$12:$B$5011,B2839)&gt;1,"CPF + dia duplicado",IF(OR(AND(G2839&lt;&gt;"",G2839&lt;&gt;0,G2839&lt;&gt;1),AND(H2839&lt;&gt;"",H2839&lt;&gt;0,H2839&lt;&gt;1)),"Flags devem ser 0 ou 1",IF(AND(H2839=1,LEN(TRIM(I2839))=0),"Preencher nome do indicante",IF(AND(H2839&lt;&gt;1,I2839&lt;&gt;""),"Nome sem indicação interna",IF(AND(G2839=1,F2839=""),"Fechamento sem conversa",IF(OR(AND(E2839&lt;&gt;"",E2839&lt;B2839),AND(F2839&lt;&gt;"",F2839&lt;B2839)),"Evento anterior à entrada",IF(AND(F2839&lt;&gt;"",E2839=""),"Conversa sem agendamento",IF(OR(E2839&gt;TODAY(),F2839&gt;TODAY()),"Verificar evento futuro","OK"))))))))))</f>
        <v/>
      </c>
    </row>
    <row r="2840" spans="12:15">
      <c r="L2840" s="5">
        <f>IF(OR(A2840="",B2840=""),"",B2840-WEEKDAY(B2840,2)+1)</f>
        <v/>
      </c>
      <c r="M2840" s="5">
        <f>IF(L2840="","",L2840+6)</f>
        <v/>
      </c>
      <c r="N2840" s="6">
        <f>IF(OR(A2840="",B2840=""),"",DATE(YEAR(B2840),MONTH(B2840),1))</f>
        <v/>
      </c>
      <c r="O2840" s="7">
        <f>IF(COUNTA(A2840:K2840)=0,"",IF(OR(A2840="",B2840=""),"Preencher CPF e entrada",IF(COUNTIFS($A$12:$A$5011,A2840,$B$12:$B$5011,B2840)&gt;1,"CPF + dia duplicado",IF(OR(AND(G2840&lt;&gt;"",G2840&lt;&gt;0,G2840&lt;&gt;1),AND(H2840&lt;&gt;"",H2840&lt;&gt;0,H2840&lt;&gt;1)),"Flags devem ser 0 ou 1",IF(AND(H2840=1,LEN(TRIM(I2840))=0),"Preencher nome do indicante",IF(AND(H2840&lt;&gt;1,I2840&lt;&gt;""),"Nome sem indicação interna",IF(AND(G2840=1,F2840=""),"Fechamento sem conversa",IF(OR(AND(E2840&lt;&gt;"",E2840&lt;B2840),AND(F2840&lt;&gt;"",F2840&lt;B2840)),"Evento anterior à entrada",IF(AND(F2840&lt;&gt;"",E2840=""),"Conversa sem agendamento",IF(OR(E2840&gt;TODAY(),F2840&gt;TODAY()),"Verificar evento futuro","OK"))))))))))</f>
        <v/>
      </c>
    </row>
    <row r="2841" spans="12:15">
      <c r="L2841" s="5">
        <f>IF(OR(A2841="",B2841=""),"",B2841-WEEKDAY(B2841,2)+1)</f>
        <v/>
      </c>
      <c r="M2841" s="5">
        <f>IF(L2841="","",L2841+6)</f>
        <v/>
      </c>
      <c r="N2841" s="6">
        <f>IF(OR(A2841="",B2841=""),"",DATE(YEAR(B2841),MONTH(B2841),1))</f>
        <v/>
      </c>
      <c r="O2841" s="7">
        <f>IF(COUNTA(A2841:K2841)=0,"",IF(OR(A2841="",B2841=""),"Preencher CPF e entrada",IF(COUNTIFS($A$12:$A$5011,A2841,$B$12:$B$5011,B2841)&gt;1,"CPF + dia duplicado",IF(OR(AND(G2841&lt;&gt;"",G2841&lt;&gt;0,G2841&lt;&gt;1),AND(H2841&lt;&gt;"",H2841&lt;&gt;0,H2841&lt;&gt;1)),"Flags devem ser 0 ou 1",IF(AND(H2841=1,LEN(TRIM(I2841))=0),"Preencher nome do indicante",IF(AND(H2841&lt;&gt;1,I2841&lt;&gt;""),"Nome sem indicação interna",IF(AND(G2841=1,F2841=""),"Fechamento sem conversa",IF(OR(AND(E2841&lt;&gt;"",E2841&lt;B2841),AND(F2841&lt;&gt;"",F2841&lt;B2841)),"Evento anterior à entrada",IF(AND(F2841&lt;&gt;"",E2841=""),"Conversa sem agendamento",IF(OR(E2841&gt;TODAY(),F2841&gt;TODAY()),"Verificar evento futuro","OK"))))))))))</f>
        <v/>
      </c>
    </row>
    <row r="2842" spans="12:15">
      <c r="L2842" s="5">
        <f>IF(OR(A2842="",B2842=""),"",B2842-WEEKDAY(B2842,2)+1)</f>
        <v/>
      </c>
      <c r="M2842" s="5">
        <f>IF(L2842="","",L2842+6)</f>
        <v/>
      </c>
      <c r="N2842" s="6">
        <f>IF(OR(A2842="",B2842=""),"",DATE(YEAR(B2842),MONTH(B2842),1))</f>
        <v/>
      </c>
      <c r="O2842" s="7">
        <f>IF(COUNTA(A2842:K2842)=0,"",IF(OR(A2842="",B2842=""),"Preencher CPF e entrada",IF(COUNTIFS($A$12:$A$5011,A2842,$B$12:$B$5011,B2842)&gt;1,"CPF + dia duplicado",IF(OR(AND(G2842&lt;&gt;"",G2842&lt;&gt;0,G2842&lt;&gt;1),AND(H2842&lt;&gt;"",H2842&lt;&gt;0,H2842&lt;&gt;1)),"Flags devem ser 0 ou 1",IF(AND(H2842=1,LEN(TRIM(I2842))=0),"Preencher nome do indicante",IF(AND(H2842&lt;&gt;1,I2842&lt;&gt;""),"Nome sem indicação interna",IF(AND(G2842=1,F2842=""),"Fechamento sem conversa",IF(OR(AND(E2842&lt;&gt;"",E2842&lt;B2842),AND(F2842&lt;&gt;"",F2842&lt;B2842)),"Evento anterior à entrada",IF(AND(F2842&lt;&gt;"",E2842=""),"Conversa sem agendamento",IF(OR(E2842&gt;TODAY(),F2842&gt;TODAY()),"Verificar evento futuro","OK"))))))))))</f>
        <v/>
      </c>
    </row>
    <row r="2843" spans="12:15">
      <c r="L2843" s="5">
        <f>IF(OR(A2843="",B2843=""),"",B2843-WEEKDAY(B2843,2)+1)</f>
        <v/>
      </c>
      <c r="M2843" s="5">
        <f>IF(L2843="","",L2843+6)</f>
        <v/>
      </c>
      <c r="N2843" s="6">
        <f>IF(OR(A2843="",B2843=""),"",DATE(YEAR(B2843),MONTH(B2843),1))</f>
        <v/>
      </c>
      <c r="O2843" s="7">
        <f>IF(COUNTA(A2843:K2843)=0,"",IF(OR(A2843="",B2843=""),"Preencher CPF e entrada",IF(COUNTIFS($A$12:$A$5011,A2843,$B$12:$B$5011,B2843)&gt;1,"CPF + dia duplicado",IF(OR(AND(G2843&lt;&gt;"",G2843&lt;&gt;0,G2843&lt;&gt;1),AND(H2843&lt;&gt;"",H2843&lt;&gt;0,H2843&lt;&gt;1)),"Flags devem ser 0 ou 1",IF(AND(H2843=1,LEN(TRIM(I2843))=0),"Preencher nome do indicante",IF(AND(H2843&lt;&gt;1,I2843&lt;&gt;""),"Nome sem indicação interna",IF(AND(G2843=1,F2843=""),"Fechamento sem conversa",IF(OR(AND(E2843&lt;&gt;"",E2843&lt;B2843),AND(F2843&lt;&gt;"",F2843&lt;B2843)),"Evento anterior à entrada",IF(AND(F2843&lt;&gt;"",E2843=""),"Conversa sem agendamento",IF(OR(E2843&gt;TODAY(),F2843&gt;TODAY()),"Verificar evento futuro","OK"))))))))))</f>
        <v/>
      </c>
    </row>
    <row r="2844" spans="12:15">
      <c r="L2844" s="5">
        <f>IF(OR(A2844="",B2844=""),"",B2844-WEEKDAY(B2844,2)+1)</f>
        <v/>
      </c>
      <c r="M2844" s="5">
        <f>IF(L2844="","",L2844+6)</f>
        <v/>
      </c>
      <c r="N2844" s="6">
        <f>IF(OR(A2844="",B2844=""),"",DATE(YEAR(B2844),MONTH(B2844),1))</f>
        <v/>
      </c>
      <c r="O2844" s="7">
        <f>IF(COUNTA(A2844:K2844)=0,"",IF(OR(A2844="",B2844=""),"Preencher CPF e entrada",IF(COUNTIFS($A$12:$A$5011,A2844,$B$12:$B$5011,B2844)&gt;1,"CPF + dia duplicado",IF(OR(AND(G2844&lt;&gt;"",G2844&lt;&gt;0,G2844&lt;&gt;1),AND(H2844&lt;&gt;"",H2844&lt;&gt;0,H2844&lt;&gt;1)),"Flags devem ser 0 ou 1",IF(AND(H2844=1,LEN(TRIM(I2844))=0),"Preencher nome do indicante",IF(AND(H2844&lt;&gt;1,I2844&lt;&gt;""),"Nome sem indicação interna",IF(AND(G2844=1,F2844=""),"Fechamento sem conversa",IF(OR(AND(E2844&lt;&gt;"",E2844&lt;B2844),AND(F2844&lt;&gt;"",F2844&lt;B2844)),"Evento anterior à entrada",IF(AND(F2844&lt;&gt;"",E2844=""),"Conversa sem agendamento",IF(OR(E2844&gt;TODAY(),F2844&gt;TODAY()),"Verificar evento futuro","OK"))))))))))</f>
        <v/>
      </c>
    </row>
    <row r="2845" spans="12:15">
      <c r="L2845" s="5">
        <f>IF(OR(A2845="",B2845=""),"",B2845-WEEKDAY(B2845,2)+1)</f>
        <v/>
      </c>
      <c r="M2845" s="5">
        <f>IF(L2845="","",L2845+6)</f>
        <v/>
      </c>
      <c r="N2845" s="6">
        <f>IF(OR(A2845="",B2845=""),"",DATE(YEAR(B2845),MONTH(B2845),1))</f>
        <v/>
      </c>
      <c r="O2845" s="7">
        <f>IF(COUNTA(A2845:K2845)=0,"",IF(OR(A2845="",B2845=""),"Preencher CPF e entrada",IF(COUNTIFS($A$12:$A$5011,A2845,$B$12:$B$5011,B2845)&gt;1,"CPF + dia duplicado",IF(OR(AND(G2845&lt;&gt;"",G2845&lt;&gt;0,G2845&lt;&gt;1),AND(H2845&lt;&gt;"",H2845&lt;&gt;0,H2845&lt;&gt;1)),"Flags devem ser 0 ou 1",IF(AND(H2845=1,LEN(TRIM(I2845))=0),"Preencher nome do indicante",IF(AND(H2845&lt;&gt;1,I2845&lt;&gt;""),"Nome sem indicação interna",IF(AND(G2845=1,F2845=""),"Fechamento sem conversa",IF(OR(AND(E2845&lt;&gt;"",E2845&lt;B2845),AND(F2845&lt;&gt;"",F2845&lt;B2845)),"Evento anterior à entrada",IF(AND(F2845&lt;&gt;"",E2845=""),"Conversa sem agendamento",IF(OR(E2845&gt;TODAY(),F2845&gt;TODAY()),"Verificar evento futuro","OK"))))))))))</f>
        <v/>
      </c>
    </row>
    <row r="2846" spans="12:15">
      <c r="L2846" s="5">
        <f>IF(OR(A2846="",B2846=""),"",B2846-WEEKDAY(B2846,2)+1)</f>
        <v/>
      </c>
      <c r="M2846" s="5">
        <f>IF(L2846="","",L2846+6)</f>
        <v/>
      </c>
      <c r="N2846" s="6">
        <f>IF(OR(A2846="",B2846=""),"",DATE(YEAR(B2846),MONTH(B2846),1))</f>
        <v/>
      </c>
      <c r="O2846" s="7">
        <f>IF(COUNTA(A2846:K2846)=0,"",IF(OR(A2846="",B2846=""),"Preencher CPF e entrada",IF(COUNTIFS($A$12:$A$5011,A2846,$B$12:$B$5011,B2846)&gt;1,"CPF + dia duplicado",IF(OR(AND(G2846&lt;&gt;"",G2846&lt;&gt;0,G2846&lt;&gt;1),AND(H2846&lt;&gt;"",H2846&lt;&gt;0,H2846&lt;&gt;1)),"Flags devem ser 0 ou 1",IF(AND(H2846=1,LEN(TRIM(I2846))=0),"Preencher nome do indicante",IF(AND(H2846&lt;&gt;1,I2846&lt;&gt;""),"Nome sem indicação interna",IF(AND(G2846=1,F2846=""),"Fechamento sem conversa",IF(OR(AND(E2846&lt;&gt;"",E2846&lt;B2846),AND(F2846&lt;&gt;"",F2846&lt;B2846)),"Evento anterior à entrada",IF(AND(F2846&lt;&gt;"",E2846=""),"Conversa sem agendamento",IF(OR(E2846&gt;TODAY(),F2846&gt;TODAY()),"Verificar evento futuro","OK"))))))))))</f>
        <v/>
      </c>
    </row>
    <row r="2847" spans="12:15">
      <c r="L2847" s="5">
        <f>IF(OR(A2847="",B2847=""),"",B2847-WEEKDAY(B2847,2)+1)</f>
        <v/>
      </c>
      <c r="M2847" s="5">
        <f>IF(L2847="","",L2847+6)</f>
        <v/>
      </c>
      <c r="N2847" s="6">
        <f>IF(OR(A2847="",B2847=""),"",DATE(YEAR(B2847),MONTH(B2847),1))</f>
        <v/>
      </c>
      <c r="O2847" s="7">
        <f>IF(COUNTA(A2847:K2847)=0,"",IF(OR(A2847="",B2847=""),"Preencher CPF e entrada",IF(COUNTIFS($A$12:$A$5011,A2847,$B$12:$B$5011,B2847)&gt;1,"CPF + dia duplicado",IF(OR(AND(G2847&lt;&gt;"",G2847&lt;&gt;0,G2847&lt;&gt;1),AND(H2847&lt;&gt;"",H2847&lt;&gt;0,H2847&lt;&gt;1)),"Flags devem ser 0 ou 1",IF(AND(H2847=1,LEN(TRIM(I2847))=0),"Preencher nome do indicante",IF(AND(H2847&lt;&gt;1,I2847&lt;&gt;""),"Nome sem indicação interna",IF(AND(G2847=1,F2847=""),"Fechamento sem conversa",IF(OR(AND(E2847&lt;&gt;"",E2847&lt;B2847),AND(F2847&lt;&gt;"",F2847&lt;B2847)),"Evento anterior à entrada",IF(AND(F2847&lt;&gt;"",E2847=""),"Conversa sem agendamento",IF(OR(E2847&gt;TODAY(),F2847&gt;TODAY()),"Verificar evento futuro","OK"))))))))))</f>
        <v/>
      </c>
    </row>
    <row r="2848" spans="12:15">
      <c r="L2848" s="5">
        <f>IF(OR(A2848="",B2848=""),"",B2848-WEEKDAY(B2848,2)+1)</f>
        <v/>
      </c>
      <c r="M2848" s="5">
        <f>IF(L2848="","",L2848+6)</f>
        <v/>
      </c>
      <c r="N2848" s="6">
        <f>IF(OR(A2848="",B2848=""),"",DATE(YEAR(B2848),MONTH(B2848),1))</f>
        <v/>
      </c>
      <c r="O2848" s="7">
        <f>IF(COUNTA(A2848:K2848)=0,"",IF(OR(A2848="",B2848=""),"Preencher CPF e entrada",IF(COUNTIFS($A$12:$A$5011,A2848,$B$12:$B$5011,B2848)&gt;1,"CPF + dia duplicado",IF(OR(AND(G2848&lt;&gt;"",G2848&lt;&gt;0,G2848&lt;&gt;1),AND(H2848&lt;&gt;"",H2848&lt;&gt;0,H2848&lt;&gt;1)),"Flags devem ser 0 ou 1",IF(AND(H2848=1,LEN(TRIM(I2848))=0),"Preencher nome do indicante",IF(AND(H2848&lt;&gt;1,I2848&lt;&gt;""),"Nome sem indicação interna",IF(AND(G2848=1,F2848=""),"Fechamento sem conversa",IF(OR(AND(E2848&lt;&gt;"",E2848&lt;B2848),AND(F2848&lt;&gt;"",F2848&lt;B2848)),"Evento anterior à entrada",IF(AND(F2848&lt;&gt;"",E2848=""),"Conversa sem agendamento",IF(OR(E2848&gt;TODAY(),F2848&gt;TODAY()),"Verificar evento futuro","OK"))))))))))</f>
        <v/>
      </c>
    </row>
    <row r="2849" spans="12:15">
      <c r="L2849" s="5">
        <f>IF(OR(A2849="",B2849=""),"",B2849-WEEKDAY(B2849,2)+1)</f>
        <v/>
      </c>
      <c r="M2849" s="5">
        <f>IF(L2849="","",L2849+6)</f>
        <v/>
      </c>
      <c r="N2849" s="6">
        <f>IF(OR(A2849="",B2849=""),"",DATE(YEAR(B2849),MONTH(B2849),1))</f>
        <v/>
      </c>
      <c r="O2849" s="7">
        <f>IF(COUNTA(A2849:K2849)=0,"",IF(OR(A2849="",B2849=""),"Preencher CPF e entrada",IF(COUNTIFS($A$12:$A$5011,A2849,$B$12:$B$5011,B2849)&gt;1,"CPF + dia duplicado",IF(OR(AND(G2849&lt;&gt;"",G2849&lt;&gt;0,G2849&lt;&gt;1),AND(H2849&lt;&gt;"",H2849&lt;&gt;0,H2849&lt;&gt;1)),"Flags devem ser 0 ou 1",IF(AND(H2849=1,LEN(TRIM(I2849))=0),"Preencher nome do indicante",IF(AND(H2849&lt;&gt;1,I2849&lt;&gt;""),"Nome sem indicação interna",IF(AND(G2849=1,F2849=""),"Fechamento sem conversa",IF(OR(AND(E2849&lt;&gt;"",E2849&lt;B2849),AND(F2849&lt;&gt;"",F2849&lt;B2849)),"Evento anterior à entrada",IF(AND(F2849&lt;&gt;"",E2849=""),"Conversa sem agendamento",IF(OR(E2849&gt;TODAY(),F2849&gt;TODAY()),"Verificar evento futuro","OK"))))))))))</f>
        <v/>
      </c>
    </row>
    <row r="2850" spans="12:15">
      <c r="L2850" s="5">
        <f>IF(OR(A2850="",B2850=""),"",B2850-WEEKDAY(B2850,2)+1)</f>
        <v/>
      </c>
      <c r="M2850" s="5">
        <f>IF(L2850="","",L2850+6)</f>
        <v/>
      </c>
      <c r="N2850" s="6">
        <f>IF(OR(A2850="",B2850=""),"",DATE(YEAR(B2850),MONTH(B2850),1))</f>
        <v/>
      </c>
      <c r="O2850" s="7">
        <f>IF(COUNTA(A2850:K2850)=0,"",IF(OR(A2850="",B2850=""),"Preencher CPF e entrada",IF(COUNTIFS($A$12:$A$5011,A2850,$B$12:$B$5011,B2850)&gt;1,"CPF + dia duplicado",IF(OR(AND(G2850&lt;&gt;"",G2850&lt;&gt;0,G2850&lt;&gt;1),AND(H2850&lt;&gt;"",H2850&lt;&gt;0,H2850&lt;&gt;1)),"Flags devem ser 0 ou 1",IF(AND(H2850=1,LEN(TRIM(I2850))=0),"Preencher nome do indicante",IF(AND(H2850&lt;&gt;1,I2850&lt;&gt;""),"Nome sem indicação interna",IF(AND(G2850=1,F2850=""),"Fechamento sem conversa",IF(OR(AND(E2850&lt;&gt;"",E2850&lt;B2850),AND(F2850&lt;&gt;"",F2850&lt;B2850)),"Evento anterior à entrada",IF(AND(F2850&lt;&gt;"",E2850=""),"Conversa sem agendamento",IF(OR(E2850&gt;TODAY(),F2850&gt;TODAY()),"Verificar evento futuro","OK"))))))))))</f>
        <v/>
      </c>
    </row>
    <row r="2851" spans="12:15">
      <c r="L2851" s="5">
        <f>IF(OR(A2851="",B2851=""),"",B2851-WEEKDAY(B2851,2)+1)</f>
        <v/>
      </c>
      <c r="M2851" s="5">
        <f>IF(L2851="","",L2851+6)</f>
        <v/>
      </c>
      <c r="N2851" s="6">
        <f>IF(OR(A2851="",B2851=""),"",DATE(YEAR(B2851),MONTH(B2851),1))</f>
        <v/>
      </c>
      <c r="O2851" s="7">
        <f>IF(COUNTA(A2851:K2851)=0,"",IF(OR(A2851="",B2851=""),"Preencher CPF e entrada",IF(COUNTIFS($A$12:$A$5011,A2851,$B$12:$B$5011,B2851)&gt;1,"CPF + dia duplicado",IF(OR(AND(G2851&lt;&gt;"",G2851&lt;&gt;0,G2851&lt;&gt;1),AND(H2851&lt;&gt;"",H2851&lt;&gt;0,H2851&lt;&gt;1)),"Flags devem ser 0 ou 1",IF(AND(H2851=1,LEN(TRIM(I2851))=0),"Preencher nome do indicante",IF(AND(H2851&lt;&gt;1,I2851&lt;&gt;""),"Nome sem indicação interna",IF(AND(G2851=1,F2851=""),"Fechamento sem conversa",IF(OR(AND(E2851&lt;&gt;"",E2851&lt;B2851),AND(F2851&lt;&gt;"",F2851&lt;B2851)),"Evento anterior à entrada",IF(AND(F2851&lt;&gt;"",E2851=""),"Conversa sem agendamento",IF(OR(E2851&gt;TODAY(),F2851&gt;TODAY()),"Verificar evento futuro","OK"))))))))))</f>
        <v/>
      </c>
    </row>
    <row r="2852" spans="12:15">
      <c r="L2852" s="5">
        <f>IF(OR(A2852="",B2852=""),"",B2852-WEEKDAY(B2852,2)+1)</f>
        <v/>
      </c>
      <c r="M2852" s="5">
        <f>IF(L2852="","",L2852+6)</f>
        <v/>
      </c>
      <c r="N2852" s="6">
        <f>IF(OR(A2852="",B2852=""),"",DATE(YEAR(B2852),MONTH(B2852),1))</f>
        <v/>
      </c>
      <c r="O2852" s="7">
        <f>IF(COUNTA(A2852:K2852)=0,"",IF(OR(A2852="",B2852=""),"Preencher CPF e entrada",IF(COUNTIFS($A$12:$A$5011,A2852,$B$12:$B$5011,B2852)&gt;1,"CPF + dia duplicado",IF(OR(AND(G2852&lt;&gt;"",G2852&lt;&gt;0,G2852&lt;&gt;1),AND(H2852&lt;&gt;"",H2852&lt;&gt;0,H2852&lt;&gt;1)),"Flags devem ser 0 ou 1",IF(AND(H2852=1,LEN(TRIM(I2852))=0),"Preencher nome do indicante",IF(AND(H2852&lt;&gt;1,I2852&lt;&gt;""),"Nome sem indicação interna",IF(AND(G2852=1,F2852=""),"Fechamento sem conversa",IF(OR(AND(E2852&lt;&gt;"",E2852&lt;B2852),AND(F2852&lt;&gt;"",F2852&lt;B2852)),"Evento anterior à entrada",IF(AND(F2852&lt;&gt;"",E2852=""),"Conversa sem agendamento",IF(OR(E2852&gt;TODAY(),F2852&gt;TODAY()),"Verificar evento futuro","OK"))))))))))</f>
        <v/>
      </c>
    </row>
    <row r="2853" spans="12:15">
      <c r="L2853" s="5">
        <f>IF(OR(A2853="",B2853=""),"",B2853-WEEKDAY(B2853,2)+1)</f>
        <v/>
      </c>
      <c r="M2853" s="5">
        <f>IF(L2853="","",L2853+6)</f>
        <v/>
      </c>
      <c r="N2853" s="6">
        <f>IF(OR(A2853="",B2853=""),"",DATE(YEAR(B2853),MONTH(B2853),1))</f>
        <v/>
      </c>
      <c r="O2853" s="7">
        <f>IF(COUNTA(A2853:K2853)=0,"",IF(OR(A2853="",B2853=""),"Preencher CPF e entrada",IF(COUNTIFS($A$12:$A$5011,A2853,$B$12:$B$5011,B2853)&gt;1,"CPF + dia duplicado",IF(OR(AND(G2853&lt;&gt;"",G2853&lt;&gt;0,G2853&lt;&gt;1),AND(H2853&lt;&gt;"",H2853&lt;&gt;0,H2853&lt;&gt;1)),"Flags devem ser 0 ou 1",IF(AND(H2853=1,LEN(TRIM(I2853))=0),"Preencher nome do indicante",IF(AND(H2853&lt;&gt;1,I2853&lt;&gt;""),"Nome sem indicação interna",IF(AND(G2853=1,F2853=""),"Fechamento sem conversa",IF(OR(AND(E2853&lt;&gt;"",E2853&lt;B2853),AND(F2853&lt;&gt;"",F2853&lt;B2853)),"Evento anterior à entrada",IF(AND(F2853&lt;&gt;"",E2853=""),"Conversa sem agendamento",IF(OR(E2853&gt;TODAY(),F2853&gt;TODAY()),"Verificar evento futuro","OK"))))))))))</f>
        <v/>
      </c>
    </row>
    <row r="2854" spans="12:15">
      <c r="L2854" s="5">
        <f>IF(OR(A2854="",B2854=""),"",B2854-WEEKDAY(B2854,2)+1)</f>
        <v/>
      </c>
      <c r="M2854" s="5">
        <f>IF(L2854="","",L2854+6)</f>
        <v/>
      </c>
      <c r="N2854" s="6">
        <f>IF(OR(A2854="",B2854=""),"",DATE(YEAR(B2854),MONTH(B2854),1))</f>
        <v/>
      </c>
      <c r="O2854" s="7">
        <f>IF(COUNTA(A2854:K2854)=0,"",IF(OR(A2854="",B2854=""),"Preencher CPF e entrada",IF(COUNTIFS($A$12:$A$5011,A2854,$B$12:$B$5011,B2854)&gt;1,"CPF + dia duplicado",IF(OR(AND(G2854&lt;&gt;"",G2854&lt;&gt;0,G2854&lt;&gt;1),AND(H2854&lt;&gt;"",H2854&lt;&gt;0,H2854&lt;&gt;1)),"Flags devem ser 0 ou 1",IF(AND(H2854=1,LEN(TRIM(I2854))=0),"Preencher nome do indicante",IF(AND(H2854&lt;&gt;1,I2854&lt;&gt;""),"Nome sem indicação interna",IF(AND(G2854=1,F2854=""),"Fechamento sem conversa",IF(OR(AND(E2854&lt;&gt;"",E2854&lt;B2854),AND(F2854&lt;&gt;"",F2854&lt;B2854)),"Evento anterior à entrada",IF(AND(F2854&lt;&gt;"",E2854=""),"Conversa sem agendamento",IF(OR(E2854&gt;TODAY(),F2854&gt;TODAY()),"Verificar evento futuro","OK"))))))))))</f>
        <v/>
      </c>
    </row>
    <row r="2855" spans="12:15">
      <c r="L2855" s="5">
        <f>IF(OR(A2855="",B2855=""),"",B2855-WEEKDAY(B2855,2)+1)</f>
        <v/>
      </c>
      <c r="M2855" s="5">
        <f>IF(L2855="","",L2855+6)</f>
        <v/>
      </c>
      <c r="N2855" s="6">
        <f>IF(OR(A2855="",B2855=""),"",DATE(YEAR(B2855),MONTH(B2855),1))</f>
        <v/>
      </c>
      <c r="O2855" s="7">
        <f>IF(COUNTA(A2855:K2855)=0,"",IF(OR(A2855="",B2855=""),"Preencher CPF e entrada",IF(COUNTIFS($A$12:$A$5011,A2855,$B$12:$B$5011,B2855)&gt;1,"CPF + dia duplicado",IF(OR(AND(G2855&lt;&gt;"",G2855&lt;&gt;0,G2855&lt;&gt;1),AND(H2855&lt;&gt;"",H2855&lt;&gt;0,H2855&lt;&gt;1)),"Flags devem ser 0 ou 1",IF(AND(H2855=1,LEN(TRIM(I2855))=0),"Preencher nome do indicante",IF(AND(H2855&lt;&gt;1,I2855&lt;&gt;""),"Nome sem indicação interna",IF(AND(G2855=1,F2855=""),"Fechamento sem conversa",IF(OR(AND(E2855&lt;&gt;"",E2855&lt;B2855),AND(F2855&lt;&gt;"",F2855&lt;B2855)),"Evento anterior à entrada",IF(AND(F2855&lt;&gt;"",E2855=""),"Conversa sem agendamento",IF(OR(E2855&gt;TODAY(),F2855&gt;TODAY()),"Verificar evento futuro","OK"))))))))))</f>
        <v/>
      </c>
    </row>
    <row r="2856" spans="12:15">
      <c r="L2856" s="5">
        <f>IF(OR(A2856="",B2856=""),"",B2856-WEEKDAY(B2856,2)+1)</f>
        <v/>
      </c>
      <c r="M2856" s="5">
        <f>IF(L2856="","",L2856+6)</f>
        <v/>
      </c>
      <c r="N2856" s="6">
        <f>IF(OR(A2856="",B2856=""),"",DATE(YEAR(B2856),MONTH(B2856),1))</f>
        <v/>
      </c>
      <c r="O2856" s="7">
        <f>IF(COUNTA(A2856:K2856)=0,"",IF(OR(A2856="",B2856=""),"Preencher CPF e entrada",IF(COUNTIFS($A$12:$A$5011,A2856,$B$12:$B$5011,B2856)&gt;1,"CPF + dia duplicado",IF(OR(AND(G2856&lt;&gt;"",G2856&lt;&gt;0,G2856&lt;&gt;1),AND(H2856&lt;&gt;"",H2856&lt;&gt;0,H2856&lt;&gt;1)),"Flags devem ser 0 ou 1",IF(AND(H2856=1,LEN(TRIM(I2856))=0),"Preencher nome do indicante",IF(AND(H2856&lt;&gt;1,I2856&lt;&gt;""),"Nome sem indicação interna",IF(AND(G2856=1,F2856=""),"Fechamento sem conversa",IF(OR(AND(E2856&lt;&gt;"",E2856&lt;B2856),AND(F2856&lt;&gt;"",F2856&lt;B2856)),"Evento anterior à entrada",IF(AND(F2856&lt;&gt;"",E2856=""),"Conversa sem agendamento",IF(OR(E2856&gt;TODAY(),F2856&gt;TODAY()),"Verificar evento futuro","OK"))))))))))</f>
        <v/>
      </c>
    </row>
    <row r="2857" spans="12:15">
      <c r="L2857" s="5">
        <f>IF(OR(A2857="",B2857=""),"",B2857-WEEKDAY(B2857,2)+1)</f>
        <v/>
      </c>
      <c r="M2857" s="5">
        <f>IF(L2857="","",L2857+6)</f>
        <v/>
      </c>
      <c r="N2857" s="6">
        <f>IF(OR(A2857="",B2857=""),"",DATE(YEAR(B2857),MONTH(B2857),1))</f>
        <v/>
      </c>
      <c r="O2857" s="7">
        <f>IF(COUNTA(A2857:K2857)=0,"",IF(OR(A2857="",B2857=""),"Preencher CPF e entrada",IF(COUNTIFS($A$12:$A$5011,A2857,$B$12:$B$5011,B2857)&gt;1,"CPF + dia duplicado",IF(OR(AND(G2857&lt;&gt;"",G2857&lt;&gt;0,G2857&lt;&gt;1),AND(H2857&lt;&gt;"",H2857&lt;&gt;0,H2857&lt;&gt;1)),"Flags devem ser 0 ou 1",IF(AND(H2857=1,LEN(TRIM(I2857))=0),"Preencher nome do indicante",IF(AND(H2857&lt;&gt;1,I2857&lt;&gt;""),"Nome sem indicação interna",IF(AND(G2857=1,F2857=""),"Fechamento sem conversa",IF(OR(AND(E2857&lt;&gt;"",E2857&lt;B2857),AND(F2857&lt;&gt;"",F2857&lt;B2857)),"Evento anterior à entrada",IF(AND(F2857&lt;&gt;"",E2857=""),"Conversa sem agendamento",IF(OR(E2857&gt;TODAY(),F2857&gt;TODAY()),"Verificar evento futuro","OK"))))))))))</f>
        <v/>
      </c>
    </row>
    <row r="2858" spans="12:15">
      <c r="L2858" s="5">
        <f>IF(OR(A2858="",B2858=""),"",B2858-WEEKDAY(B2858,2)+1)</f>
        <v/>
      </c>
      <c r="M2858" s="5">
        <f>IF(L2858="","",L2858+6)</f>
        <v/>
      </c>
      <c r="N2858" s="6">
        <f>IF(OR(A2858="",B2858=""),"",DATE(YEAR(B2858),MONTH(B2858),1))</f>
        <v/>
      </c>
      <c r="O2858" s="7">
        <f>IF(COUNTA(A2858:K2858)=0,"",IF(OR(A2858="",B2858=""),"Preencher CPF e entrada",IF(COUNTIFS($A$12:$A$5011,A2858,$B$12:$B$5011,B2858)&gt;1,"CPF + dia duplicado",IF(OR(AND(G2858&lt;&gt;"",G2858&lt;&gt;0,G2858&lt;&gt;1),AND(H2858&lt;&gt;"",H2858&lt;&gt;0,H2858&lt;&gt;1)),"Flags devem ser 0 ou 1",IF(AND(H2858=1,LEN(TRIM(I2858))=0),"Preencher nome do indicante",IF(AND(H2858&lt;&gt;1,I2858&lt;&gt;""),"Nome sem indicação interna",IF(AND(G2858=1,F2858=""),"Fechamento sem conversa",IF(OR(AND(E2858&lt;&gt;"",E2858&lt;B2858),AND(F2858&lt;&gt;"",F2858&lt;B2858)),"Evento anterior à entrada",IF(AND(F2858&lt;&gt;"",E2858=""),"Conversa sem agendamento",IF(OR(E2858&gt;TODAY(),F2858&gt;TODAY()),"Verificar evento futuro","OK"))))))))))</f>
        <v/>
      </c>
    </row>
    <row r="2859" spans="12:15">
      <c r="L2859" s="5">
        <f>IF(OR(A2859="",B2859=""),"",B2859-WEEKDAY(B2859,2)+1)</f>
        <v/>
      </c>
      <c r="M2859" s="5">
        <f>IF(L2859="","",L2859+6)</f>
        <v/>
      </c>
      <c r="N2859" s="6">
        <f>IF(OR(A2859="",B2859=""),"",DATE(YEAR(B2859),MONTH(B2859),1))</f>
        <v/>
      </c>
      <c r="O2859" s="7">
        <f>IF(COUNTA(A2859:K2859)=0,"",IF(OR(A2859="",B2859=""),"Preencher CPF e entrada",IF(COUNTIFS($A$12:$A$5011,A2859,$B$12:$B$5011,B2859)&gt;1,"CPF + dia duplicado",IF(OR(AND(G2859&lt;&gt;"",G2859&lt;&gt;0,G2859&lt;&gt;1),AND(H2859&lt;&gt;"",H2859&lt;&gt;0,H2859&lt;&gt;1)),"Flags devem ser 0 ou 1",IF(AND(H2859=1,LEN(TRIM(I2859))=0),"Preencher nome do indicante",IF(AND(H2859&lt;&gt;1,I2859&lt;&gt;""),"Nome sem indicação interna",IF(AND(G2859=1,F2859=""),"Fechamento sem conversa",IF(OR(AND(E2859&lt;&gt;"",E2859&lt;B2859),AND(F2859&lt;&gt;"",F2859&lt;B2859)),"Evento anterior à entrada",IF(AND(F2859&lt;&gt;"",E2859=""),"Conversa sem agendamento",IF(OR(E2859&gt;TODAY(),F2859&gt;TODAY()),"Verificar evento futuro","OK"))))))))))</f>
        <v/>
      </c>
    </row>
    <row r="2860" spans="12:15">
      <c r="L2860" s="5">
        <f>IF(OR(A2860="",B2860=""),"",B2860-WEEKDAY(B2860,2)+1)</f>
        <v/>
      </c>
      <c r="M2860" s="5">
        <f>IF(L2860="","",L2860+6)</f>
        <v/>
      </c>
      <c r="N2860" s="6">
        <f>IF(OR(A2860="",B2860=""),"",DATE(YEAR(B2860),MONTH(B2860),1))</f>
        <v/>
      </c>
      <c r="O2860" s="7">
        <f>IF(COUNTA(A2860:K2860)=0,"",IF(OR(A2860="",B2860=""),"Preencher CPF e entrada",IF(COUNTIFS($A$12:$A$5011,A2860,$B$12:$B$5011,B2860)&gt;1,"CPF + dia duplicado",IF(OR(AND(G2860&lt;&gt;"",G2860&lt;&gt;0,G2860&lt;&gt;1),AND(H2860&lt;&gt;"",H2860&lt;&gt;0,H2860&lt;&gt;1)),"Flags devem ser 0 ou 1",IF(AND(H2860=1,LEN(TRIM(I2860))=0),"Preencher nome do indicante",IF(AND(H2860&lt;&gt;1,I2860&lt;&gt;""),"Nome sem indicação interna",IF(AND(G2860=1,F2860=""),"Fechamento sem conversa",IF(OR(AND(E2860&lt;&gt;"",E2860&lt;B2860),AND(F2860&lt;&gt;"",F2860&lt;B2860)),"Evento anterior à entrada",IF(AND(F2860&lt;&gt;"",E2860=""),"Conversa sem agendamento",IF(OR(E2860&gt;TODAY(),F2860&gt;TODAY()),"Verificar evento futuro","OK"))))))))))</f>
        <v/>
      </c>
    </row>
    <row r="2861" spans="12:15">
      <c r="L2861" s="5">
        <f>IF(OR(A2861="",B2861=""),"",B2861-WEEKDAY(B2861,2)+1)</f>
        <v/>
      </c>
      <c r="M2861" s="5">
        <f>IF(L2861="","",L2861+6)</f>
        <v/>
      </c>
      <c r="N2861" s="6">
        <f>IF(OR(A2861="",B2861=""),"",DATE(YEAR(B2861),MONTH(B2861),1))</f>
        <v/>
      </c>
      <c r="O2861" s="7">
        <f>IF(COUNTA(A2861:K2861)=0,"",IF(OR(A2861="",B2861=""),"Preencher CPF e entrada",IF(COUNTIFS($A$12:$A$5011,A2861,$B$12:$B$5011,B2861)&gt;1,"CPF + dia duplicado",IF(OR(AND(G2861&lt;&gt;"",G2861&lt;&gt;0,G2861&lt;&gt;1),AND(H2861&lt;&gt;"",H2861&lt;&gt;0,H2861&lt;&gt;1)),"Flags devem ser 0 ou 1",IF(AND(H2861=1,LEN(TRIM(I2861))=0),"Preencher nome do indicante",IF(AND(H2861&lt;&gt;1,I2861&lt;&gt;""),"Nome sem indicação interna",IF(AND(G2861=1,F2861=""),"Fechamento sem conversa",IF(OR(AND(E2861&lt;&gt;"",E2861&lt;B2861),AND(F2861&lt;&gt;"",F2861&lt;B2861)),"Evento anterior à entrada",IF(AND(F2861&lt;&gt;"",E2861=""),"Conversa sem agendamento",IF(OR(E2861&gt;TODAY(),F2861&gt;TODAY()),"Verificar evento futuro","OK"))))))))))</f>
        <v/>
      </c>
    </row>
    <row r="2862" spans="12:15">
      <c r="L2862" s="5">
        <f>IF(OR(A2862="",B2862=""),"",B2862-WEEKDAY(B2862,2)+1)</f>
        <v/>
      </c>
      <c r="M2862" s="5">
        <f>IF(L2862="","",L2862+6)</f>
        <v/>
      </c>
      <c r="N2862" s="6">
        <f>IF(OR(A2862="",B2862=""),"",DATE(YEAR(B2862),MONTH(B2862),1))</f>
        <v/>
      </c>
      <c r="O2862" s="7">
        <f>IF(COUNTA(A2862:K2862)=0,"",IF(OR(A2862="",B2862=""),"Preencher CPF e entrada",IF(COUNTIFS($A$12:$A$5011,A2862,$B$12:$B$5011,B2862)&gt;1,"CPF + dia duplicado",IF(OR(AND(G2862&lt;&gt;"",G2862&lt;&gt;0,G2862&lt;&gt;1),AND(H2862&lt;&gt;"",H2862&lt;&gt;0,H2862&lt;&gt;1)),"Flags devem ser 0 ou 1",IF(AND(H2862=1,LEN(TRIM(I2862))=0),"Preencher nome do indicante",IF(AND(H2862&lt;&gt;1,I2862&lt;&gt;""),"Nome sem indicação interna",IF(AND(G2862=1,F2862=""),"Fechamento sem conversa",IF(OR(AND(E2862&lt;&gt;"",E2862&lt;B2862),AND(F2862&lt;&gt;"",F2862&lt;B2862)),"Evento anterior à entrada",IF(AND(F2862&lt;&gt;"",E2862=""),"Conversa sem agendamento",IF(OR(E2862&gt;TODAY(),F2862&gt;TODAY()),"Verificar evento futuro","OK"))))))))))</f>
        <v/>
      </c>
    </row>
    <row r="2863" spans="12:15">
      <c r="L2863" s="5">
        <f>IF(OR(A2863="",B2863=""),"",B2863-WEEKDAY(B2863,2)+1)</f>
        <v/>
      </c>
      <c r="M2863" s="5">
        <f>IF(L2863="","",L2863+6)</f>
        <v/>
      </c>
      <c r="N2863" s="6">
        <f>IF(OR(A2863="",B2863=""),"",DATE(YEAR(B2863),MONTH(B2863),1))</f>
        <v/>
      </c>
      <c r="O2863" s="7">
        <f>IF(COUNTA(A2863:K2863)=0,"",IF(OR(A2863="",B2863=""),"Preencher CPF e entrada",IF(COUNTIFS($A$12:$A$5011,A2863,$B$12:$B$5011,B2863)&gt;1,"CPF + dia duplicado",IF(OR(AND(G2863&lt;&gt;"",G2863&lt;&gt;0,G2863&lt;&gt;1),AND(H2863&lt;&gt;"",H2863&lt;&gt;0,H2863&lt;&gt;1)),"Flags devem ser 0 ou 1",IF(AND(H2863=1,LEN(TRIM(I2863))=0),"Preencher nome do indicante",IF(AND(H2863&lt;&gt;1,I2863&lt;&gt;""),"Nome sem indicação interna",IF(AND(G2863=1,F2863=""),"Fechamento sem conversa",IF(OR(AND(E2863&lt;&gt;"",E2863&lt;B2863),AND(F2863&lt;&gt;"",F2863&lt;B2863)),"Evento anterior à entrada",IF(AND(F2863&lt;&gt;"",E2863=""),"Conversa sem agendamento",IF(OR(E2863&gt;TODAY(),F2863&gt;TODAY()),"Verificar evento futuro","OK"))))))))))</f>
        <v/>
      </c>
    </row>
    <row r="2864" spans="12:15">
      <c r="L2864" s="5">
        <f>IF(OR(A2864="",B2864=""),"",B2864-WEEKDAY(B2864,2)+1)</f>
        <v/>
      </c>
      <c r="M2864" s="5">
        <f>IF(L2864="","",L2864+6)</f>
        <v/>
      </c>
      <c r="N2864" s="6">
        <f>IF(OR(A2864="",B2864=""),"",DATE(YEAR(B2864),MONTH(B2864),1))</f>
        <v/>
      </c>
      <c r="O2864" s="7">
        <f>IF(COUNTA(A2864:K2864)=0,"",IF(OR(A2864="",B2864=""),"Preencher CPF e entrada",IF(COUNTIFS($A$12:$A$5011,A2864,$B$12:$B$5011,B2864)&gt;1,"CPF + dia duplicado",IF(OR(AND(G2864&lt;&gt;"",G2864&lt;&gt;0,G2864&lt;&gt;1),AND(H2864&lt;&gt;"",H2864&lt;&gt;0,H2864&lt;&gt;1)),"Flags devem ser 0 ou 1",IF(AND(H2864=1,LEN(TRIM(I2864))=0),"Preencher nome do indicante",IF(AND(H2864&lt;&gt;1,I2864&lt;&gt;""),"Nome sem indicação interna",IF(AND(G2864=1,F2864=""),"Fechamento sem conversa",IF(OR(AND(E2864&lt;&gt;"",E2864&lt;B2864),AND(F2864&lt;&gt;"",F2864&lt;B2864)),"Evento anterior à entrada",IF(AND(F2864&lt;&gt;"",E2864=""),"Conversa sem agendamento",IF(OR(E2864&gt;TODAY(),F2864&gt;TODAY()),"Verificar evento futuro","OK"))))))))))</f>
        <v/>
      </c>
    </row>
    <row r="2865" spans="12:15">
      <c r="L2865" s="5">
        <f>IF(OR(A2865="",B2865=""),"",B2865-WEEKDAY(B2865,2)+1)</f>
        <v/>
      </c>
      <c r="M2865" s="5">
        <f>IF(L2865="","",L2865+6)</f>
        <v/>
      </c>
      <c r="N2865" s="6">
        <f>IF(OR(A2865="",B2865=""),"",DATE(YEAR(B2865),MONTH(B2865),1))</f>
        <v/>
      </c>
      <c r="O2865" s="7">
        <f>IF(COUNTA(A2865:K2865)=0,"",IF(OR(A2865="",B2865=""),"Preencher CPF e entrada",IF(COUNTIFS($A$12:$A$5011,A2865,$B$12:$B$5011,B2865)&gt;1,"CPF + dia duplicado",IF(OR(AND(G2865&lt;&gt;"",G2865&lt;&gt;0,G2865&lt;&gt;1),AND(H2865&lt;&gt;"",H2865&lt;&gt;0,H2865&lt;&gt;1)),"Flags devem ser 0 ou 1",IF(AND(H2865=1,LEN(TRIM(I2865))=0),"Preencher nome do indicante",IF(AND(H2865&lt;&gt;1,I2865&lt;&gt;""),"Nome sem indicação interna",IF(AND(G2865=1,F2865=""),"Fechamento sem conversa",IF(OR(AND(E2865&lt;&gt;"",E2865&lt;B2865),AND(F2865&lt;&gt;"",F2865&lt;B2865)),"Evento anterior à entrada",IF(AND(F2865&lt;&gt;"",E2865=""),"Conversa sem agendamento",IF(OR(E2865&gt;TODAY(),F2865&gt;TODAY()),"Verificar evento futuro","OK"))))))))))</f>
        <v/>
      </c>
    </row>
    <row r="2866" spans="12:15">
      <c r="L2866" s="5">
        <f>IF(OR(A2866="",B2866=""),"",B2866-WEEKDAY(B2866,2)+1)</f>
        <v/>
      </c>
      <c r="M2866" s="5">
        <f>IF(L2866="","",L2866+6)</f>
        <v/>
      </c>
      <c r="N2866" s="6">
        <f>IF(OR(A2866="",B2866=""),"",DATE(YEAR(B2866),MONTH(B2866),1))</f>
        <v/>
      </c>
      <c r="O2866" s="7">
        <f>IF(COUNTA(A2866:K2866)=0,"",IF(OR(A2866="",B2866=""),"Preencher CPF e entrada",IF(COUNTIFS($A$12:$A$5011,A2866,$B$12:$B$5011,B2866)&gt;1,"CPF + dia duplicado",IF(OR(AND(G2866&lt;&gt;"",G2866&lt;&gt;0,G2866&lt;&gt;1),AND(H2866&lt;&gt;"",H2866&lt;&gt;0,H2866&lt;&gt;1)),"Flags devem ser 0 ou 1",IF(AND(H2866=1,LEN(TRIM(I2866))=0),"Preencher nome do indicante",IF(AND(H2866&lt;&gt;1,I2866&lt;&gt;""),"Nome sem indicação interna",IF(AND(G2866=1,F2866=""),"Fechamento sem conversa",IF(OR(AND(E2866&lt;&gt;"",E2866&lt;B2866),AND(F2866&lt;&gt;"",F2866&lt;B2866)),"Evento anterior à entrada",IF(AND(F2866&lt;&gt;"",E2866=""),"Conversa sem agendamento",IF(OR(E2866&gt;TODAY(),F2866&gt;TODAY()),"Verificar evento futuro","OK"))))))))))</f>
        <v/>
      </c>
    </row>
    <row r="2867" spans="12:15">
      <c r="L2867" s="5">
        <f>IF(OR(A2867="",B2867=""),"",B2867-WEEKDAY(B2867,2)+1)</f>
        <v/>
      </c>
      <c r="M2867" s="5">
        <f>IF(L2867="","",L2867+6)</f>
        <v/>
      </c>
      <c r="N2867" s="6">
        <f>IF(OR(A2867="",B2867=""),"",DATE(YEAR(B2867),MONTH(B2867),1))</f>
        <v/>
      </c>
      <c r="O2867" s="7">
        <f>IF(COUNTA(A2867:K2867)=0,"",IF(OR(A2867="",B2867=""),"Preencher CPF e entrada",IF(COUNTIFS($A$12:$A$5011,A2867,$B$12:$B$5011,B2867)&gt;1,"CPF + dia duplicado",IF(OR(AND(G2867&lt;&gt;"",G2867&lt;&gt;0,G2867&lt;&gt;1),AND(H2867&lt;&gt;"",H2867&lt;&gt;0,H2867&lt;&gt;1)),"Flags devem ser 0 ou 1",IF(AND(H2867=1,LEN(TRIM(I2867))=0),"Preencher nome do indicante",IF(AND(H2867&lt;&gt;1,I2867&lt;&gt;""),"Nome sem indicação interna",IF(AND(G2867=1,F2867=""),"Fechamento sem conversa",IF(OR(AND(E2867&lt;&gt;"",E2867&lt;B2867),AND(F2867&lt;&gt;"",F2867&lt;B2867)),"Evento anterior à entrada",IF(AND(F2867&lt;&gt;"",E2867=""),"Conversa sem agendamento",IF(OR(E2867&gt;TODAY(),F2867&gt;TODAY()),"Verificar evento futuro","OK"))))))))))</f>
        <v/>
      </c>
    </row>
    <row r="2868" spans="12:15">
      <c r="L2868" s="5">
        <f>IF(OR(A2868="",B2868=""),"",B2868-WEEKDAY(B2868,2)+1)</f>
        <v/>
      </c>
      <c r="M2868" s="5">
        <f>IF(L2868="","",L2868+6)</f>
        <v/>
      </c>
      <c r="N2868" s="6">
        <f>IF(OR(A2868="",B2868=""),"",DATE(YEAR(B2868),MONTH(B2868),1))</f>
        <v/>
      </c>
      <c r="O2868" s="7">
        <f>IF(COUNTA(A2868:K2868)=0,"",IF(OR(A2868="",B2868=""),"Preencher CPF e entrada",IF(COUNTIFS($A$12:$A$5011,A2868,$B$12:$B$5011,B2868)&gt;1,"CPF + dia duplicado",IF(OR(AND(G2868&lt;&gt;"",G2868&lt;&gt;0,G2868&lt;&gt;1),AND(H2868&lt;&gt;"",H2868&lt;&gt;0,H2868&lt;&gt;1)),"Flags devem ser 0 ou 1",IF(AND(H2868=1,LEN(TRIM(I2868))=0),"Preencher nome do indicante",IF(AND(H2868&lt;&gt;1,I2868&lt;&gt;""),"Nome sem indicação interna",IF(AND(G2868=1,F2868=""),"Fechamento sem conversa",IF(OR(AND(E2868&lt;&gt;"",E2868&lt;B2868),AND(F2868&lt;&gt;"",F2868&lt;B2868)),"Evento anterior à entrada",IF(AND(F2868&lt;&gt;"",E2868=""),"Conversa sem agendamento",IF(OR(E2868&gt;TODAY(),F2868&gt;TODAY()),"Verificar evento futuro","OK"))))))))))</f>
        <v/>
      </c>
    </row>
    <row r="2869" spans="12:15">
      <c r="L2869" s="5">
        <f>IF(OR(A2869="",B2869=""),"",B2869-WEEKDAY(B2869,2)+1)</f>
        <v/>
      </c>
      <c r="M2869" s="5">
        <f>IF(L2869="","",L2869+6)</f>
        <v/>
      </c>
      <c r="N2869" s="6">
        <f>IF(OR(A2869="",B2869=""),"",DATE(YEAR(B2869),MONTH(B2869),1))</f>
        <v/>
      </c>
      <c r="O2869" s="7">
        <f>IF(COUNTA(A2869:K2869)=0,"",IF(OR(A2869="",B2869=""),"Preencher CPF e entrada",IF(COUNTIFS($A$12:$A$5011,A2869,$B$12:$B$5011,B2869)&gt;1,"CPF + dia duplicado",IF(OR(AND(G2869&lt;&gt;"",G2869&lt;&gt;0,G2869&lt;&gt;1),AND(H2869&lt;&gt;"",H2869&lt;&gt;0,H2869&lt;&gt;1)),"Flags devem ser 0 ou 1",IF(AND(H2869=1,LEN(TRIM(I2869))=0),"Preencher nome do indicante",IF(AND(H2869&lt;&gt;1,I2869&lt;&gt;""),"Nome sem indicação interna",IF(AND(G2869=1,F2869=""),"Fechamento sem conversa",IF(OR(AND(E2869&lt;&gt;"",E2869&lt;B2869),AND(F2869&lt;&gt;"",F2869&lt;B2869)),"Evento anterior à entrada",IF(AND(F2869&lt;&gt;"",E2869=""),"Conversa sem agendamento",IF(OR(E2869&gt;TODAY(),F2869&gt;TODAY()),"Verificar evento futuro","OK"))))))))))</f>
        <v/>
      </c>
    </row>
    <row r="2870" spans="12:15">
      <c r="L2870" s="5">
        <f>IF(OR(A2870="",B2870=""),"",B2870-WEEKDAY(B2870,2)+1)</f>
        <v/>
      </c>
      <c r="M2870" s="5">
        <f>IF(L2870="","",L2870+6)</f>
        <v/>
      </c>
      <c r="N2870" s="6">
        <f>IF(OR(A2870="",B2870=""),"",DATE(YEAR(B2870),MONTH(B2870),1))</f>
        <v/>
      </c>
      <c r="O2870" s="7">
        <f>IF(COUNTA(A2870:K2870)=0,"",IF(OR(A2870="",B2870=""),"Preencher CPF e entrada",IF(COUNTIFS($A$12:$A$5011,A2870,$B$12:$B$5011,B2870)&gt;1,"CPF + dia duplicado",IF(OR(AND(G2870&lt;&gt;"",G2870&lt;&gt;0,G2870&lt;&gt;1),AND(H2870&lt;&gt;"",H2870&lt;&gt;0,H2870&lt;&gt;1)),"Flags devem ser 0 ou 1",IF(AND(H2870=1,LEN(TRIM(I2870))=0),"Preencher nome do indicante",IF(AND(H2870&lt;&gt;1,I2870&lt;&gt;""),"Nome sem indicação interna",IF(AND(G2870=1,F2870=""),"Fechamento sem conversa",IF(OR(AND(E2870&lt;&gt;"",E2870&lt;B2870),AND(F2870&lt;&gt;"",F2870&lt;B2870)),"Evento anterior à entrada",IF(AND(F2870&lt;&gt;"",E2870=""),"Conversa sem agendamento",IF(OR(E2870&gt;TODAY(),F2870&gt;TODAY()),"Verificar evento futuro","OK"))))))))))</f>
        <v/>
      </c>
    </row>
    <row r="2871" spans="12:15">
      <c r="L2871" s="5">
        <f>IF(OR(A2871="",B2871=""),"",B2871-WEEKDAY(B2871,2)+1)</f>
        <v/>
      </c>
      <c r="M2871" s="5">
        <f>IF(L2871="","",L2871+6)</f>
        <v/>
      </c>
      <c r="N2871" s="6">
        <f>IF(OR(A2871="",B2871=""),"",DATE(YEAR(B2871),MONTH(B2871),1))</f>
        <v/>
      </c>
      <c r="O2871" s="7">
        <f>IF(COUNTA(A2871:K2871)=0,"",IF(OR(A2871="",B2871=""),"Preencher CPF e entrada",IF(COUNTIFS($A$12:$A$5011,A2871,$B$12:$B$5011,B2871)&gt;1,"CPF + dia duplicado",IF(OR(AND(G2871&lt;&gt;"",G2871&lt;&gt;0,G2871&lt;&gt;1),AND(H2871&lt;&gt;"",H2871&lt;&gt;0,H2871&lt;&gt;1)),"Flags devem ser 0 ou 1",IF(AND(H2871=1,LEN(TRIM(I2871))=0),"Preencher nome do indicante",IF(AND(H2871&lt;&gt;1,I2871&lt;&gt;""),"Nome sem indicação interna",IF(AND(G2871=1,F2871=""),"Fechamento sem conversa",IF(OR(AND(E2871&lt;&gt;"",E2871&lt;B2871),AND(F2871&lt;&gt;"",F2871&lt;B2871)),"Evento anterior à entrada",IF(AND(F2871&lt;&gt;"",E2871=""),"Conversa sem agendamento",IF(OR(E2871&gt;TODAY(),F2871&gt;TODAY()),"Verificar evento futuro","OK"))))))))))</f>
        <v/>
      </c>
    </row>
    <row r="2872" spans="12:15">
      <c r="L2872" s="5">
        <f>IF(OR(A2872="",B2872=""),"",B2872-WEEKDAY(B2872,2)+1)</f>
        <v/>
      </c>
      <c r="M2872" s="5">
        <f>IF(L2872="","",L2872+6)</f>
        <v/>
      </c>
      <c r="N2872" s="6">
        <f>IF(OR(A2872="",B2872=""),"",DATE(YEAR(B2872),MONTH(B2872),1))</f>
        <v/>
      </c>
      <c r="O2872" s="7">
        <f>IF(COUNTA(A2872:K2872)=0,"",IF(OR(A2872="",B2872=""),"Preencher CPF e entrada",IF(COUNTIFS($A$12:$A$5011,A2872,$B$12:$B$5011,B2872)&gt;1,"CPF + dia duplicado",IF(OR(AND(G2872&lt;&gt;"",G2872&lt;&gt;0,G2872&lt;&gt;1),AND(H2872&lt;&gt;"",H2872&lt;&gt;0,H2872&lt;&gt;1)),"Flags devem ser 0 ou 1",IF(AND(H2872=1,LEN(TRIM(I2872))=0),"Preencher nome do indicante",IF(AND(H2872&lt;&gt;1,I2872&lt;&gt;""),"Nome sem indicação interna",IF(AND(G2872=1,F2872=""),"Fechamento sem conversa",IF(OR(AND(E2872&lt;&gt;"",E2872&lt;B2872),AND(F2872&lt;&gt;"",F2872&lt;B2872)),"Evento anterior à entrada",IF(AND(F2872&lt;&gt;"",E2872=""),"Conversa sem agendamento",IF(OR(E2872&gt;TODAY(),F2872&gt;TODAY()),"Verificar evento futuro","OK"))))))))))</f>
        <v/>
      </c>
    </row>
    <row r="2873" spans="12:15">
      <c r="L2873" s="5">
        <f>IF(OR(A2873="",B2873=""),"",B2873-WEEKDAY(B2873,2)+1)</f>
        <v/>
      </c>
      <c r="M2873" s="5">
        <f>IF(L2873="","",L2873+6)</f>
        <v/>
      </c>
      <c r="N2873" s="6">
        <f>IF(OR(A2873="",B2873=""),"",DATE(YEAR(B2873),MONTH(B2873),1))</f>
        <v/>
      </c>
      <c r="O2873" s="7">
        <f>IF(COUNTA(A2873:K2873)=0,"",IF(OR(A2873="",B2873=""),"Preencher CPF e entrada",IF(COUNTIFS($A$12:$A$5011,A2873,$B$12:$B$5011,B2873)&gt;1,"CPF + dia duplicado",IF(OR(AND(G2873&lt;&gt;"",G2873&lt;&gt;0,G2873&lt;&gt;1),AND(H2873&lt;&gt;"",H2873&lt;&gt;0,H2873&lt;&gt;1)),"Flags devem ser 0 ou 1",IF(AND(H2873=1,LEN(TRIM(I2873))=0),"Preencher nome do indicante",IF(AND(H2873&lt;&gt;1,I2873&lt;&gt;""),"Nome sem indicação interna",IF(AND(G2873=1,F2873=""),"Fechamento sem conversa",IF(OR(AND(E2873&lt;&gt;"",E2873&lt;B2873),AND(F2873&lt;&gt;"",F2873&lt;B2873)),"Evento anterior à entrada",IF(AND(F2873&lt;&gt;"",E2873=""),"Conversa sem agendamento",IF(OR(E2873&gt;TODAY(),F2873&gt;TODAY()),"Verificar evento futuro","OK"))))))))))</f>
        <v/>
      </c>
    </row>
    <row r="2874" spans="12:15">
      <c r="L2874" s="5">
        <f>IF(OR(A2874="",B2874=""),"",B2874-WEEKDAY(B2874,2)+1)</f>
        <v/>
      </c>
      <c r="M2874" s="5">
        <f>IF(L2874="","",L2874+6)</f>
        <v/>
      </c>
      <c r="N2874" s="6">
        <f>IF(OR(A2874="",B2874=""),"",DATE(YEAR(B2874),MONTH(B2874),1))</f>
        <v/>
      </c>
      <c r="O2874" s="7">
        <f>IF(COUNTA(A2874:K2874)=0,"",IF(OR(A2874="",B2874=""),"Preencher CPF e entrada",IF(COUNTIFS($A$12:$A$5011,A2874,$B$12:$B$5011,B2874)&gt;1,"CPF + dia duplicado",IF(OR(AND(G2874&lt;&gt;"",G2874&lt;&gt;0,G2874&lt;&gt;1),AND(H2874&lt;&gt;"",H2874&lt;&gt;0,H2874&lt;&gt;1)),"Flags devem ser 0 ou 1",IF(AND(H2874=1,LEN(TRIM(I2874))=0),"Preencher nome do indicante",IF(AND(H2874&lt;&gt;1,I2874&lt;&gt;""),"Nome sem indicação interna",IF(AND(G2874=1,F2874=""),"Fechamento sem conversa",IF(OR(AND(E2874&lt;&gt;"",E2874&lt;B2874),AND(F2874&lt;&gt;"",F2874&lt;B2874)),"Evento anterior à entrada",IF(AND(F2874&lt;&gt;"",E2874=""),"Conversa sem agendamento",IF(OR(E2874&gt;TODAY(),F2874&gt;TODAY()),"Verificar evento futuro","OK"))))))))))</f>
        <v/>
      </c>
    </row>
    <row r="2875" spans="12:15">
      <c r="L2875" s="5">
        <f>IF(OR(A2875="",B2875=""),"",B2875-WEEKDAY(B2875,2)+1)</f>
        <v/>
      </c>
      <c r="M2875" s="5">
        <f>IF(L2875="","",L2875+6)</f>
        <v/>
      </c>
      <c r="N2875" s="6">
        <f>IF(OR(A2875="",B2875=""),"",DATE(YEAR(B2875),MONTH(B2875),1))</f>
        <v/>
      </c>
      <c r="O2875" s="7">
        <f>IF(COUNTA(A2875:K2875)=0,"",IF(OR(A2875="",B2875=""),"Preencher CPF e entrada",IF(COUNTIFS($A$12:$A$5011,A2875,$B$12:$B$5011,B2875)&gt;1,"CPF + dia duplicado",IF(OR(AND(G2875&lt;&gt;"",G2875&lt;&gt;0,G2875&lt;&gt;1),AND(H2875&lt;&gt;"",H2875&lt;&gt;0,H2875&lt;&gt;1)),"Flags devem ser 0 ou 1",IF(AND(H2875=1,LEN(TRIM(I2875))=0),"Preencher nome do indicante",IF(AND(H2875&lt;&gt;1,I2875&lt;&gt;""),"Nome sem indicação interna",IF(AND(G2875=1,F2875=""),"Fechamento sem conversa",IF(OR(AND(E2875&lt;&gt;"",E2875&lt;B2875),AND(F2875&lt;&gt;"",F2875&lt;B2875)),"Evento anterior à entrada",IF(AND(F2875&lt;&gt;"",E2875=""),"Conversa sem agendamento",IF(OR(E2875&gt;TODAY(),F2875&gt;TODAY()),"Verificar evento futuro","OK"))))))))))</f>
        <v/>
      </c>
    </row>
    <row r="2876" spans="12:15">
      <c r="L2876" s="5">
        <f>IF(OR(A2876="",B2876=""),"",B2876-WEEKDAY(B2876,2)+1)</f>
        <v/>
      </c>
      <c r="M2876" s="5">
        <f>IF(L2876="","",L2876+6)</f>
        <v/>
      </c>
      <c r="N2876" s="6">
        <f>IF(OR(A2876="",B2876=""),"",DATE(YEAR(B2876),MONTH(B2876),1))</f>
        <v/>
      </c>
      <c r="O2876" s="7">
        <f>IF(COUNTA(A2876:K2876)=0,"",IF(OR(A2876="",B2876=""),"Preencher CPF e entrada",IF(COUNTIFS($A$12:$A$5011,A2876,$B$12:$B$5011,B2876)&gt;1,"CPF + dia duplicado",IF(OR(AND(G2876&lt;&gt;"",G2876&lt;&gt;0,G2876&lt;&gt;1),AND(H2876&lt;&gt;"",H2876&lt;&gt;0,H2876&lt;&gt;1)),"Flags devem ser 0 ou 1",IF(AND(H2876=1,LEN(TRIM(I2876))=0),"Preencher nome do indicante",IF(AND(H2876&lt;&gt;1,I2876&lt;&gt;""),"Nome sem indicação interna",IF(AND(G2876=1,F2876=""),"Fechamento sem conversa",IF(OR(AND(E2876&lt;&gt;"",E2876&lt;B2876),AND(F2876&lt;&gt;"",F2876&lt;B2876)),"Evento anterior à entrada",IF(AND(F2876&lt;&gt;"",E2876=""),"Conversa sem agendamento",IF(OR(E2876&gt;TODAY(),F2876&gt;TODAY()),"Verificar evento futuro","OK"))))))))))</f>
        <v/>
      </c>
    </row>
    <row r="2877" spans="12:15">
      <c r="L2877" s="5">
        <f>IF(OR(A2877="",B2877=""),"",B2877-WEEKDAY(B2877,2)+1)</f>
        <v/>
      </c>
      <c r="M2877" s="5">
        <f>IF(L2877="","",L2877+6)</f>
        <v/>
      </c>
      <c r="N2877" s="6">
        <f>IF(OR(A2877="",B2877=""),"",DATE(YEAR(B2877),MONTH(B2877),1))</f>
        <v/>
      </c>
      <c r="O2877" s="7">
        <f>IF(COUNTA(A2877:K2877)=0,"",IF(OR(A2877="",B2877=""),"Preencher CPF e entrada",IF(COUNTIFS($A$12:$A$5011,A2877,$B$12:$B$5011,B2877)&gt;1,"CPF + dia duplicado",IF(OR(AND(G2877&lt;&gt;"",G2877&lt;&gt;0,G2877&lt;&gt;1),AND(H2877&lt;&gt;"",H2877&lt;&gt;0,H2877&lt;&gt;1)),"Flags devem ser 0 ou 1",IF(AND(H2877=1,LEN(TRIM(I2877))=0),"Preencher nome do indicante",IF(AND(H2877&lt;&gt;1,I2877&lt;&gt;""),"Nome sem indicação interna",IF(AND(G2877=1,F2877=""),"Fechamento sem conversa",IF(OR(AND(E2877&lt;&gt;"",E2877&lt;B2877),AND(F2877&lt;&gt;"",F2877&lt;B2877)),"Evento anterior à entrada",IF(AND(F2877&lt;&gt;"",E2877=""),"Conversa sem agendamento",IF(OR(E2877&gt;TODAY(),F2877&gt;TODAY()),"Verificar evento futuro","OK"))))))))))</f>
        <v/>
      </c>
    </row>
    <row r="2878" spans="12:15">
      <c r="L2878" s="5">
        <f>IF(OR(A2878="",B2878=""),"",B2878-WEEKDAY(B2878,2)+1)</f>
        <v/>
      </c>
      <c r="M2878" s="5">
        <f>IF(L2878="","",L2878+6)</f>
        <v/>
      </c>
      <c r="N2878" s="6">
        <f>IF(OR(A2878="",B2878=""),"",DATE(YEAR(B2878),MONTH(B2878),1))</f>
        <v/>
      </c>
      <c r="O2878" s="7">
        <f>IF(COUNTA(A2878:K2878)=0,"",IF(OR(A2878="",B2878=""),"Preencher CPF e entrada",IF(COUNTIFS($A$12:$A$5011,A2878,$B$12:$B$5011,B2878)&gt;1,"CPF + dia duplicado",IF(OR(AND(G2878&lt;&gt;"",G2878&lt;&gt;0,G2878&lt;&gt;1),AND(H2878&lt;&gt;"",H2878&lt;&gt;0,H2878&lt;&gt;1)),"Flags devem ser 0 ou 1",IF(AND(H2878=1,LEN(TRIM(I2878))=0),"Preencher nome do indicante",IF(AND(H2878&lt;&gt;1,I2878&lt;&gt;""),"Nome sem indicação interna",IF(AND(G2878=1,F2878=""),"Fechamento sem conversa",IF(OR(AND(E2878&lt;&gt;"",E2878&lt;B2878),AND(F2878&lt;&gt;"",F2878&lt;B2878)),"Evento anterior à entrada",IF(AND(F2878&lt;&gt;"",E2878=""),"Conversa sem agendamento",IF(OR(E2878&gt;TODAY(),F2878&gt;TODAY()),"Verificar evento futuro","OK"))))))))))</f>
        <v/>
      </c>
    </row>
    <row r="2879" spans="12:15">
      <c r="L2879" s="5">
        <f>IF(OR(A2879="",B2879=""),"",B2879-WEEKDAY(B2879,2)+1)</f>
        <v/>
      </c>
      <c r="M2879" s="5">
        <f>IF(L2879="","",L2879+6)</f>
        <v/>
      </c>
      <c r="N2879" s="6">
        <f>IF(OR(A2879="",B2879=""),"",DATE(YEAR(B2879),MONTH(B2879),1))</f>
        <v/>
      </c>
      <c r="O2879" s="7">
        <f>IF(COUNTA(A2879:K2879)=0,"",IF(OR(A2879="",B2879=""),"Preencher CPF e entrada",IF(COUNTIFS($A$12:$A$5011,A2879,$B$12:$B$5011,B2879)&gt;1,"CPF + dia duplicado",IF(OR(AND(G2879&lt;&gt;"",G2879&lt;&gt;0,G2879&lt;&gt;1),AND(H2879&lt;&gt;"",H2879&lt;&gt;0,H2879&lt;&gt;1)),"Flags devem ser 0 ou 1",IF(AND(H2879=1,LEN(TRIM(I2879))=0),"Preencher nome do indicante",IF(AND(H2879&lt;&gt;1,I2879&lt;&gt;""),"Nome sem indicação interna",IF(AND(G2879=1,F2879=""),"Fechamento sem conversa",IF(OR(AND(E2879&lt;&gt;"",E2879&lt;B2879),AND(F2879&lt;&gt;"",F2879&lt;B2879)),"Evento anterior à entrada",IF(AND(F2879&lt;&gt;"",E2879=""),"Conversa sem agendamento",IF(OR(E2879&gt;TODAY(),F2879&gt;TODAY()),"Verificar evento futuro","OK"))))))))))</f>
        <v/>
      </c>
    </row>
    <row r="2880" spans="12:15">
      <c r="L2880" s="5">
        <f>IF(OR(A2880="",B2880=""),"",B2880-WEEKDAY(B2880,2)+1)</f>
        <v/>
      </c>
      <c r="M2880" s="5">
        <f>IF(L2880="","",L2880+6)</f>
        <v/>
      </c>
      <c r="N2880" s="6">
        <f>IF(OR(A2880="",B2880=""),"",DATE(YEAR(B2880),MONTH(B2880),1))</f>
        <v/>
      </c>
      <c r="O2880" s="7">
        <f>IF(COUNTA(A2880:K2880)=0,"",IF(OR(A2880="",B2880=""),"Preencher CPF e entrada",IF(COUNTIFS($A$12:$A$5011,A2880,$B$12:$B$5011,B2880)&gt;1,"CPF + dia duplicado",IF(OR(AND(G2880&lt;&gt;"",G2880&lt;&gt;0,G2880&lt;&gt;1),AND(H2880&lt;&gt;"",H2880&lt;&gt;0,H2880&lt;&gt;1)),"Flags devem ser 0 ou 1",IF(AND(H2880=1,LEN(TRIM(I2880))=0),"Preencher nome do indicante",IF(AND(H2880&lt;&gt;1,I2880&lt;&gt;""),"Nome sem indicação interna",IF(AND(G2880=1,F2880=""),"Fechamento sem conversa",IF(OR(AND(E2880&lt;&gt;"",E2880&lt;B2880),AND(F2880&lt;&gt;"",F2880&lt;B2880)),"Evento anterior à entrada",IF(AND(F2880&lt;&gt;"",E2880=""),"Conversa sem agendamento",IF(OR(E2880&gt;TODAY(),F2880&gt;TODAY()),"Verificar evento futuro","OK"))))))))))</f>
        <v/>
      </c>
    </row>
    <row r="2881" spans="12:15">
      <c r="L2881" s="5">
        <f>IF(OR(A2881="",B2881=""),"",B2881-WEEKDAY(B2881,2)+1)</f>
        <v/>
      </c>
      <c r="M2881" s="5">
        <f>IF(L2881="","",L2881+6)</f>
        <v/>
      </c>
      <c r="N2881" s="6">
        <f>IF(OR(A2881="",B2881=""),"",DATE(YEAR(B2881),MONTH(B2881),1))</f>
        <v/>
      </c>
      <c r="O2881" s="7">
        <f>IF(COUNTA(A2881:K2881)=0,"",IF(OR(A2881="",B2881=""),"Preencher CPF e entrada",IF(COUNTIFS($A$12:$A$5011,A2881,$B$12:$B$5011,B2881)&gt;1,"CPF + dia duplicado",IF(OR(AND(G2881&lt;&gt;"",G2881&lt;&gt;0,G2881&lt;&gt;1),AND(H2881&lt;&gt;"",H2881&lt;&gt;0,H2881&lt;&gt;1)),"Flags devem ser 0 ou 1",IF(AND(H2881=1,LEN(TRIM(I2881))=0),"Preencher nome do indicante",IF(AND(H2881&lt;&gt;1,I2881&lt;&gt;""),"Nome sem indicação interna",IF(AND(G2881=1,F2881=""),"Fechamento sem conversa",IF(OR(AND(E2881&lt;&gt;"",E2881&lt;B2881),AND(F2881&lt;&gt;"",F2881&lt;B2881)),"Evento anterior à entrada",IF(AND(F2881&lt;&gt;"",E2881=""),"Conversa sem agendamento",IF(OR(E2881&gt;TODAY(),F2881&gt;TODAY()),"Verificar evento futuro","OK"))))))))))</f>
        <v/>
      </c>
    </row>
    <row r="2882" spans="12:15">
      <c r="L2882" s="5">
        <f>IF(OR(A2882="",B2882=""),"",B2882-WEEKDAY(B2882,2)+1)</f>
        <v/>
      </c>
      <c r="M2882" s="5">
        <f>IF(L2882="","",L2882+6)</f>
        <v/>
      </c>
      <c r="N2882" s="6">
        <f>IF(OR(A2882="",B2882=""),"",DATE(YEAR(B2882),MONTH(B2882),1))</f>
        <v/>
      </c>
      <c r="O2882" s="7">
        <f>IF(COUNTA(A2882:K2882)=0,"",IF(OR(A2882="",B2882=""),"Preencher CPF e entrada",IF(COUNTIFS($A$12:$A$5011,A2882,$B$12:$B$5011,B2882)&gt;1,"CPF + dia duplicado",IF(OR(AND(G2882&lt;&gt;"",G2882&lt;&gt;0,G2882&lt;&gt;1),AND(H2882&lt;&gt;"",H2882&lt;&gt;0,H2882&lt;&gt;1)),"Flags devem ser 0 ou 1",IF(AND(H2882=1,LEN(TRIM(I2882))=0),"Preencher nome do indicante",IF(AND(H2882&lt;&gt;1,I2882&lt;&gt;""),"Nome sem indicação interna",IF(AND(G2882=1,F2882=""),"Fechamento sem conversa",IF(OR(AND(E2882&lt;&gt;"",E2882&lt;B2882),AND(F2882&lt;&gt;"",F2882&lt;B2882)),"Evento anterior à entrada",IF(AND(F2882&lt;&gt;"",E2882=""),"Conversa sem agendamento",IF(OR(E2882&gt;TODAY(),F2882&gt;TODAY()),"Verificar evento futuro","OK"))))))))))</f>
        <v/>
      </c>
    </row>
    <row r="2883" spans="12:15">
      <c r="L2883" s="5">
        <f>IF(OR(A2883="",B2883=""),"",B2883-WEEKDAY(B2883,2)+1)</f>
        <v/>
      </c>
      <c r="M2883" s="5">
        <f>IF(L2883="","",L2883+6)</f>
        <v/>
      </c>
      <c r="N2883" s="6">
        <f>IF(OR(A2883="",B2883=""),"",DATE(YEAR(B2883),MONTH(B2883),1))</f>
        <v/>
      </c>
      <c r="O2883" s="7">
        <f>IF(COUNTA(A2883:K2883)=0,"",IF(OR(A2883="",B2883=""),"Preencher CPF e entrada",IF(COUNTIFS($A$12:$A$5011,A2883,$B$12:$B$5011,B2883)&gt;1,"CPF + dia duplicado",IF(OR(AND(G2883&lt;&gt;"",G2883&lt;&gt;0,G2883&lt;&gt;1),AND(H2883&lt;&gt;"",H2883&lt;&gt;0,H2883&lt;&gt;1)),"Flags devem ser 0 ou 1",IF(AND(H2883=1,LEN(TRIM(I2883))=0),"Preencher nome do indicante",IF(AND(H2883&lt;&gt;1,I2883&lt;&gt;""),"Nome sem indicação interna",IF(AND(G2883=1,F2883=""),"Fechamento sem conversa",IF(OR(AND(E2883&lt;&gt;"",E2883&lt;B2883),AND(F2883&lt;&gt;"",F2883&lt;B2883)),"Evento anterior à entrada",IF(AND(F2883&lt;&gt;"",E2883=""),"Conversa sem agendamento",IF(OR(E2883&gt;TODAY(),F2883&gt;TODAY()),"Verificar evento futuro","OK"))))))))))</f>
        <v/>
      </c>
    </row>
    <row r="2884" spans="12:15">
      <c r="L2884" s="5">
        <f>IF(OR(A2884="",B2884=""),"",B2884-WEEKDAY(B2884,2)+1)</f>
        <v/>
      </c>
      <c r="M2884" s="5">
        <f>IF(L2884="","",L2884+6)</f>
        <v/>
      </c>
      <c r="N2884" s="6">
        <f>IF(OR(A2884="",B2884=""),"",DATE(YEAR(B2884),MONTH(B2884),1))</f>
        <v/>
      </c>
      <c r="O2884" s="7">
        <f>IF(COUNTA(A2884:K2884)=0,"",IF(OR(A2884="",B2884=""),"Preencher CPF e entrada",IF(COUNTIFS($A$12:$A$5011,A2884,$B$12:$B$5011,B2884)&gt;1,"CPF + dia duplicado",IF(OR(AND(G2884&lt;&gt;"",G2884&lt;&gt;0,G2884&lt;&gt;1),AND(H2884&lt;&gt;"",H2884&lt;&gt;0,H2884&lt;&gt;1)),"Flags devem ser 0 ou 1",IF(AND(H2884=1,LEN(TRIM(I2884))=0),"Preencher nome do indicante",IF(AND(H2884&lt;&gt;1,I2884&lt;&gt;""),"Nome sem indicação interna",IF(AND(G2884=1,F2884=""),"Fechamento sem conversa",IF(OR(AND(E2884&lt;&gt;"",E2884&lt;B2884),AND(F2884&lt;&gt;"",F2884&lt;B2884)),"Evento anterior à entrada",IF(AND(F2884&lt;&gt;"",E2884=""),"Conversa sem agendamento",IF(OR(E2884&gt;TODAY(),F2884&gt;TODAY()),"Verificar evento futuro","OK"))))))))))</f>
        <v/>
      </c>
    </row>
    <row r="2885" spans="12:15">
      <c r="L2885" s="5">
        <f>IF(OR(A2885="",B2885=""),"",B2885-WEEKDAY(B2885,2)+1)</f>
        <v/>
      </c>
      <c r="M2885" s="5">
        <f>IF(L2885="","",L2885+6)</f>
        <v/>
      </c>
      <c r="N2885" s="6">
        <f>IF(OR(A2885="",B2885=""),"",DATE(YEAR(B2885),MONTH(B2885),1))</f>
        <v/>
      </c>
      <c r="O2885" s="7">
        <f>IF(COUNTA(A2885:K2885)=0,"",IF(OR(A2885="",B2885=""),"Preencher CPF e entrada",IF(COUNTIFS($A$12:$A$5011,A2885,$B$12:$B$5011,B2885)&gt;1,"CPF + dia duplicado",IF(OR(AND(G2885&lt;&gt;"",G2885&lt;&gt;0,G2885&lt;&gt;1),AND(H2885&lt;&gt;"",H2885&lt;&gt;0,H2885&lt;&gt;1)),"Flags devem ser 0 ou 1",IF(AND(H2885=1,LEN(TRIM(I2885))=0),"Preencher nome do indicante",IF(AND(H2885&lt;&gt;1,I2885&lt;&gt;""),"Nome sem indicação interna",IF(AND(G2885=1,F2885=""),"Fechamento sem conversa",IF(OR(AND(E2885&lt;&gt;"",E2885&lt;B2885),AND(F2885&lt;&gt;"",F2885&lt;B2885)),"Evento anterior à entrada",IF(AND(F2885&lt;&gt;"",E2885=""),"Conversa sem agendamento",IF(OR(E2885&gt;TODAY(),F2885&gt;TODAY()),"Verificar evento futuro","OK"))))))))))</f>
        <v/>
      </c>
    </row>
    <row r="2886" spans="12:15">
      <c r="L2886" s="5">
        <f>IF(OR(A2886="",B2886=""),"",B2886-WEEKDAY(B2886,2)+1)</f>
        <v/>
      </c>
      <c r="M2886" s="5">
        <f>IF(L2886="","",L2886+6)</f>
        <v/>
      </c>
      <c r="N2886" s="6">
        <f>IF(OR(A2886="",B2886=""),"",DATE(YEAR(B2886),MONTH(B2886),1))</f>
        <v/>
      </c>
      <c r="O2886" s="7">
        <f>IF(COUNTA(A2886:K2886)=0,"",IF(OR(A2886="",B2886=""),"Preencher CPF e entrada",IF(COUNTIFS($A$12:$A$5011,A2886,$B$12:$B$5011,B2886)&gt;1,"CPF + dia duplicado",IF(OR(AND(G2886&lt;&gt;"",G2886&lt;&gt;0,G2886&lt;&gt;1),AND(H2886&lt;&gt;"",H2886&lt;&gt;0,H2886&lt;&gt;1)),"Flags devem ser 0 ou 1",IF(AND(H2886=1,LEN(TRIM(I2886))=0),"Preencher nome do indicante",IF(AND(H2886&lt;&gt;1,I2886&lt;&gt;""),"Nome sem indicação interna",IF(AND(G2886=1,F2886=""),"Fechamento sem conversa",IF(OR(AND(E2886&lt;&gt;"",E2886&lt;B2886),AND(F2886&lt;&gt;"",F2886&lt;B2886)),"Evento anterior à entrada",IF(AND(F2886&lt;&gt;"",E2886=""),"Conversa sem agendamento",IF(OR(E2886&gt;TODAY(),F2886&gt;TODAY()),"Verificar evento futuro","OK"))))))))))</f>
        <v/>
      </c>
    </row>
    <row r="2887" spans="12:15">
      <c r="L2887" s="5">
        <f>IF(OR(A2887="",B2887=""),"",B2887-WEEKDAY(B2887,2)+1)</f>
        <v/>
      </c>
      <c r="M2887" s="5">
        <f>IF(L2887="","",L2887+6)</f>
        <v/>
      </c>
      <c r="N2887" s="6">
        <f>IF(OR(A2887="",B2887=""),"",DATE(YEAR(B2887),MONTH(B2887),1))</f>
        <v/>
      </c>
      <c r="O2887" s="7">
        <f>IF(COUNTA(A2887:K2887)=0,"",IF(OR(A2887="",B2887=""),"Preencher CPF e entrada",IF(COUNTIFS($A$12:$A$5011,A2887,$B$12:$B$5011,B2887)&gt;1,"CPF + dia duplicado",IF(OR(AND(G2887&lt;&gt;"",G2887&lt;&gt;0,G2887&lt;&gt;1),AND(H2887&lt;&gt;"",H2887&lt;&gt;0,H2887&lt;&gt;1)),"Flags devem ser 0 ou 1",IF(AND(H2887=1,LEN(TRIM(I2887))=0),"Preencher nome do indicante",IF(AND(H2887&lt;&gt;1,I2887&lt;&gt;""),"Nome sem indicação interna",IF(AND(G2887=1,F2887=""),"Fechamento sem conversa",IF(OR(AND(E2887&lt;&gt;"",E2887&lt;B2887),AND(F2887&lt;&gt;"",F2887&lt;B2887)),"Evento anterior à entrada",IF(AND(F2887&lt;&gt;"",E2887=""),"Conversa sem agendamento",IF(OR(E2887&gt;TODAY(),F2887&gt;TODAY()),"Verificar evento futuro","OK"))))))))))</f>
        <v/>
      </c>
    </row>
    <row r="2888" spans="12:15">
      <c r="L2888" s="5">
        <f>IF(OR(A2888="",B2888=""),"",B2888-WEEKDAY(B2888,2)+1)</f>
        <v/>
      </c>
      <c r="M2888" s="5">
        <f>IF(L2888="","",L2888+6)</f>
        <v/>
      </c>
      <c r="N2888" s="6">
        <f>IF(OR(A2888="",B2888=""),"",DATE(YEAR(B2888),MONTH(B2888),1))</f>
        <v/>
      </c>
      <c r="O2888" s="7">
        <f>IF(COUNTA(A2888:K2888)=0,"",IF(OR(A2888="",B2888=""),"Preencher CPF e entrada",IF(COUNTIFS($A$12:$A$5011,A2888,$B$12:$B$5011,B2888)&gt;1,"CPF + dia duplicado",IF(OR(AND(G2888&lt;&gt;"",G2888&lt;&gt;0,G2888&lt;&gt;1),AND(H2888&lt;&gt;"",H2888&lt;&gt;0,H2888&lt;&gt;1)),"Flags devem ser 0 ou 1",IF(AND(H2888=1,LEN(TRIM(I2888))=0),"Preencher nome do indicante",IF(AND(H2888&lt;&gt;1,I2888&lt;&gt;""),"Nome sem indicação interna",IF(AND(G2888=1,F2888=""),"Fechamento sem conversa",IF(OR(AND(E2888&lt;&gt;"",E2888&lt;B2888),AND(F2888&lt;&gt;"",F2888&lt;B2888)),"Evento anterior à entrada",IF(AND(F2888&lt;&gt;"",E2888=""),"Conversa sem agendamento",IF(OR(E2888&gt;TODAY(),F2888&gt;TODAY()),"Verificar evento futuro","OK"))))))))))</f>
        <v/>
      </c>
    </row>
    <row r="2889" spans="12:15">
      <c r="L2889" s="5">
        <f>IF(OR(A2889="",B2889=""),"",B2889-WEEKDAY(B2889,2)+1)</f>
        <v/>
      </c>
      <c r="M2889" s="5">
        <f>IF(L2889="","",L2889+6)</f>
        <v/>
      </c>
      <c r="N2889" s="6">
        <f>IF(OR(A2889="",B2889=""),"",DATE(YEAR(B2889),MONTH(B2889),1))</f>
        <v/>
      </c>
      <c r="O2889" s="7">
        <f>IF(COUNTA(A2889:K2889)=0,"",IF(OR(A2889="",B2889=""),"Preencher CPF e entrada",IF(COUNTIFS($A$12:$A$5011,A2889,$B$12:$B$5011,B2889)&gt;1,"CPF + dia duplicado",IF(OR(AND(G2889&lt;&gt;"",G2889&lt;&gt;0,G2889&lt;&gt;1),AND(H2889&lt;&gt;"",H2889&lt;&gt;0,H2889&lt;&gt;1)),"Flags devem ser 0 ou 1",IF(AND(H2889=1,LEN(TRIM(I2889))=0),"Preencher nome do indicante",IF(AND(H2889&lt;&gt;1,I2889&lt;&gt;""),"Nome sem indicação interna",IF(AND(G2889=1,F2889=""),"Fechamento sem conversa",IF(OR(AND(E2889&lt;&gt;"",E2889&lt;B2889),AND(F2889&lt;&gt;"",F2889&lt;B2889)),"Evento anterior à entrada",IF(AND(F2889&lt;&gt;"",E2889=""),"Conversa sem agendamento",IF(OR(E2889&gt;TODAY(),F2889&gt;TODAY()),"Verificar evento futuro","OK"))))))))))</f>
        <v/>
      </c>
    </row>
    <row r="2890" spans="12:15">
      <c r="L2890" s="5">
        <f>IF(OR(A2890="",B2890=""),"",B2890-WEEKDAY(B2890,2)+1)</f>
        <v/>
      </c>
      <c r="M2890" s="5">
        <f>IF(L2890="","",L2890+6)</f>
        <v/>
      </c>
      <c r="N2890" s="6">
        <f>IF(OR(A2890="",B2890=""),"",DATE(YEAR(B2890),MONTH(B2890),1))</f>
        <v/>
      </c>
      <c r="O2890" s="7">
        <f>IF(COUNTA(A2890:K2890)=0,"",IF(OR(A2890="",B2890=""),"Preencher CPF e entrada",IF(COUNTIFS($A$12:$A$5011,A2890,$B$12:$B$5011,B2890)&gt;1,"CPF + dia duplicado",IF(OR(AND(G2890&lt;&gt;"",G2890&lt;&gt;0,G2890&lt;&gt;1),AND(H2890&lt;&gt;"",H2890&lt;&gt;0,H2890&lt;&gt;1)),"Flags devem ser 0 ou 1",IF(AND(H2890=1,LEN(TRIM(I2890))=0),"Preencher nome do indicante",IF(AND(H2890&lt;&gt;1,I2890&lt;&gt;""),"Nome sem indicação interna",IF(AND(G2890=1,F2890=""),"Fechamento sem conversa",IF(OR(AND(E2890&lt;&gt;"",E2890&lt;B2890),AND(F2890&lt;&gt;"",F2890&lt;B2890)),"Evento anterior à entrada",IF(AND(F2890&lt;&gt;"",E2890=""),"Conversa sem agendamento",IF(OR(E2890&gt;TODAY(),F2890&gt;TODAY()),"Verificar evento futuro","OK"))))))))))</f>
        <v/>
      </c>
    </row>
    <row r="2891" spans="12:15">
      <c r="L2891" s="5">
        <f>IF(OR(A2891="",B2891=""),"",B2891-WEEKDAY(B2891,2)+1)</f>
        <v/>
      </c>
      <c r="M2891" s="5">
        <f>IF(L2891="","",L2891+6)</f>
        <v/>
      </c>
      <c r="N2891" s="6">
        <f>IF(OR(A2891="",B2891=""),"",DATE(YEAR(B2891),MONTH(B2891),1))</f>
        <v/>
      </c>
      <c r="O2891" s="7">
        <f>IF(COUNTA(A2891:K2891)=0,"",IF(OR(A2891="",B2891=""),"Preencher CPF e entrada",IF(COUNTIFS($A$12:$A$5011,A2891,$B$12:$B$5011,B2891)&gt;1,"CPF + dia duplicado",IF(OR(AND(G2891&lt;&gt;"",G2891&lt;&gt;0,G2891&lt;&gt;1),AND(H2891&lt;&gt;"",H2891&lt;&gt;0,H2891&lt;&gt;1)),"Flags devem ser 0 ou 1",IF(AND(H2891=1,LEN(TRIM(I2891))=0),"Preencher nome do indicante",IF(AND(H2891&lt;&gt;1,I2891&lt;&gt;""),"Nome sem indicação interna",IF(AND(G2891=1,F2891=""),"Fechamento sem conversa",IF(OR(AND(E2891&lt;&gt;"",E2891&lt;B2891),AND(F2891&lt;&gt;"",F2891&lt;B2891)),"Evento anterior à entrada",IF(AND(F2891&lt;&gt;"",E2891=""),"Conversa sem agendamento",IF(OR(E2891&gt;TODAY(),F2891&gt;TODAY()),"Verificar evento futuro","OK"))))))))))</f>
        <v/>
      </c>
    </row>
    <row r="2892" spans="12:15">
      <c r="L2892" s="5">
        <f>IF(OR(A2892="",B2892=""),"",B2892-WEEKDAY(B2892,2)+1)</f>
        <v/>
      </c>
      <c r="M2892" s="5">
        <f>IF(L2892="","",L2892+6)</f>
        <v/>
      </c>
      <c r="N2892" s="6">
        <f>IF(OR(A2892="",B2892=""),"",DATE(YEAR(B2892),MONTH(B2892),1))</f>
        <v/>
      </c>
      <c r="O2892" s="7">
        <f>IF(COUNTA(A2892:K2892)=0,"",IF(OR(A2892="",B2892=""),"Preencher CPF e entrada",IF(COUNTIFS($A$12:$A$5011,A2892,$B$12:$B$5011,B2892)&gt;1,"CPF + dia duplicado",IF(OR(AND(G2892&lt;&gt;"",G2892&lt;&gt;0,G2892&lt;&gt;1),AND(H2892&lt;&gt;"",H2892&lt;&gt;0,H2892&lt;&gt;1)),"Flags devem ser 0 ou 1",IF(AND(H2892=1,LEN(TRIM(I2892))=0),"Preencher nome do indicante",IF(AND(H2892&lt;&gt;1,I2892&lt;&gt;""),"Nome sem indicação interna",IF(AND(G2892=1,F2892=""),"Fechamento sem conversa",IF(OR(AND(E2892&lt;&gt;"",E2892&lt;B2892),AND(F2892&lt;&gt;"",F2892&lt;B2892)),"Evento anterior à entrada",IF(AND(F2892&lt;&gt;"",E2892=""),"Conversa sem agendamento",IF(OR(E2892&gt;TODAY(),F2892&gt;TODAY()),"Verificar evento futuro","OK"))))))))))</f>
        <v/>
      </c>
    </row>
    <row r="2893" spans="12:15">
      <c r="L2893" s="5">
        <f>IF(OR(A2893="",B2893=""),"",B2893-WEEKDAY(B2893,2)+1)</f>
        <v/>
      </c>
      <c r="M2893" s="5">
        <f>IF(L2893="","",L2893+6)</f>
        <v/>
      </c>
      <c r="N2893" s="6">
        <f>IF(OR(A2893="",B2893=""),"",DATE(YEAR(B2893),MONTH(B2893),1))</f>
        <v/>
      </c>
      <c r="O2893" s="7">
        <f>IF(COUNTA(A2893:K2893)=0,"",IF(OR(A2893="",B2893=""),"Preencher CPF e entrada",IF(COUNTIFS($A$12:$A$5011,A2893,$B$12:$B$5011,B2893)&gt;1,"CPF + dia duplicado",IF(OR(AND(G2893&lt;&gt;"",G2893&lt;&gt;0,G2893&lt;&gt;1),AND(H2893&lt;&gt;"",H2893&lt;&gt;0,H2893&lt;&gt;1)),"Flags devem ser 0 ou 1",IF(AND(H2893=1,LEN(TRIM(I2893))=0),"Preencher nome do indicante",IF(AND(H2893&lt;&gt;1,I2893&lt;&gt;""),"Nome sem indicação interna",IF(AND(G2893=1,F2893=""),"Fechamento sem conversa",IF(OR(AND(E2893&lt;&gt;"",E2893&lt;B2893),AND(F2893&lt;&gt;"",F2893&lt;B2893)),"Evento anterior à entrada",IF(AND(F2893&lt;&gt;"",E2893=""),"Conversa sem agendamento",IF(OR(E2893&gt;TODAY(),F2893&gt;TODAY()),"Verificar evento futuro","OK"))))))))))</f>
        <v/>
      </c>
    </row>
    <row r="2894" spans="12:15">
      <c r="L2894" s="5">
        <f>IF(OR(A2894="",B2894=""),"",B2894-WEEKDAY(B2894,2)+1)</f>
        <v/>
      </c>
      <c r="M2894" s="5">
        <f>IF(L2894="","",L2894+6)</f>
        <v/>
      </c>
      <c r="N2894" s="6">
        <f>IF(OR(A2894="",B2894=""),"",DATE(YEAR(B2894),MONTH(B2894),1))</f>
        <v/>
      </c>
      <c r="O2894" s="7">
        <f>IF(COUNTA(A2894:K2894)=0,"",IF(OR(A2894="",B2894=""),"Preencher CPF e entrada",IF(COUNTIFS($A$12:$A$5011,A2894,$B$12:$B$5011,B2894)&gt;1,"CPF + dia duplicado",IF(OR(AND(G2894&lt;&gt;"",G2894&lt;&gt;0,G2894&lt;&gt;1),AND(H2894&lt;&gt;"",H2894&lt;&gt;0,H2894&lt;&gt;1)),"Flags devem ser 0 ou 1",IF(AND(H2894=1,LEN(TRIM(I2894))=0),"Preencher nome do indicante",IF(AND(H2894&lt;&gt;1,I2894&lt;&gt;""),"Nome sem indicação interna",IF(AND(G2894=1,F2894=""),"Fechamento sem conversa",IF(OR(AND(E2894&lt;&gt;"",E2894&lt;B2894),AND(F2894&lt;&gt;"",F2894&lt;B2894)),"Evento anterior à entrada",IF(AND(F2894&lt;&gt;"",E2894=""),"Conversa sem agendamento",IF(OR(E2894&gt;TODAY(),F2894&gt;TODAY()),"Verificar evento futuro","OK"))))))))))</f>
        <v/>
      </c>
    </row>
    <row r="2895" spans="12:15">
      <c r="L2895" s="5">
        <f>IF(OR(A2895="",B2895=""),"",B2895-WEEKDAY(B2895,2)+1)</f>
        <v/>
      </c>
      <c r="M2895" s="5">
        <f>IF(L2895="","",L2895+6)</f>
        <v/>
      </c>
      <c r="N2895" s="6">
        <f>IF(OR(A2895="",B2895=""),"",DATE(YEAR(B2895),MONTH(B2895),1))</f>
        <v/>
      </c>
      <c r="O2895" s="7">
        <f>IF(COUNTA(A2895:K2895)=0,"",IF(OR(A2895="",B2895=""),"Preencher CPF e entrada",IF(COUNTIFS($A$12:$A$5011,A2895,$B$12:$B$5011,B2895)&gt;1,"CPF + dia duplicado",IF(OR(AND(G2895&lt;&gt;"",G2895&lt;&gt;0,G2895&lt;&gt;1),AND(H2895&lt;&gt;"",H2895&lt;&gt;0,H2895&lt;&gt;1)),"Flags devem ser 0 ou 1",IF(AND(H2895=1,LEN(TRIM(I2895))=0),"Preencher nome do indicante",IF(AND(H2895&lt;&gt;1,I2895&lt;&gt;""),"Nome sem indicação interna",IF(AND(G2895=1,F2895=""),"Fechamento sem conversa",IF(OR(AND(E2895&lt;&gt;"",E2895&lt;B2895),AND(F2895&lt;&gt;"",F2895&lt;B2895)),"Evento anterior à entrada",IF(AND(F2895&lt;&gt;"",E2895=""),"Conversa sem agendamento",IF(OR(E2895&gt;TODAY(),F2895&gt;TODAY()),"Verificar evento futuro","OK"))))))))))</f>
        <v/>
      </c>
    </row>
    <row r="2896" spans="12:15">
      <c r="L2896" s="5">
        <f>IF(OR(A2896="",B2896=""),"",B2896-WEEKDAY(B2896,2)+1)</f>
        <v/>
      </c>
      <c r="M2896" s="5">
        <f>IF(L2896="","",L2896+6)</f>
        <v/>
      </c>
      <c r="N2896" s="6">
        <f>IF(OR(A2896="",B2896=""),"",DATE(YEAR(B2896),MONTH(B2896),1))</f>
        <v/>
      </c>
      <c r="O2896" s="7">
        <f>IF(COUNTA(A2896:K2896)=0,"",IF(OR(A2896="",B2896=""),"Preencher CPF e entrada",IF(COUNTIFS($A$12:$A$5011,A2896,$B$12:$B$5011,B2896)&gt;1,"CPF + dia duplicado",IF(OR(AND(G2896&lt;&gt;"",G2896&lt;&gt;0,G2896&lt;&gt;1),AND(H2896&lt;&gt;"",H2896&lt;&gt;0,H2896&lt;&gt;1)),"Flags devem ser 0 ou 1",IF(AND(H2896=1,LEN(TRIM(I2896))=0),"Preencher nome do indicante",IF(AND(H2896&lt;&gt;1,I2896&lt;&gt;""),"Nome sem indicação interna",IF(AND(G2896=1,F2896=""),"Fechamento sem conversa",IF(OR(AND(E2896&lt;&gt;"",E2896&lt;B2896),AND(F2896&lt;&gt;"",F2896&lt;B2896)),"Evento anterior à entrada",IF(AND(F2896&lt;&gt;"",E2896=""),"Conversa sem agendamento",IF(OR(E2896&gt;TODAY(),F2896&gt;TODAY()),"Verificar evento futuro","OK"))))))))))</f>
        <v/>
      </c>
    </row>
    <row r="2897" spans="12:15">
      <c r="L2897" s="5">
        <f>IF(OR(A2897="",B2897=""),"",B2897-WEEKDAY(B2897,2)+1)</f>
        <v/>
      </c>
      <c r="M2897" s="5">
        <f>IF(L2897="","",L2897+6)</f>
        <v/>
      </c>
      <c r="N2897" s="6">
        <f>IF(OR(A2897="",B2897=""),"",DATE(YEAR(B2897),MONTH(B2897),1))</f>
        <v/>
      </c>
      <c r="O2897" s="7">
        <f>IF(COUNTA(A2897:K2897)=0,"",IF(OR(A2897="",B2897=""),"Preencher CPF e entrada",IF(COUNTIFS($A$12:$A$5011,A2897,$B$12:$B$5011,B2897)&gt;1,"CPF + dia duplicado",IF(OR(AND(G2897&lt;&gt;"",G2897&lt;&gt;0,G2897&lt;&gt;1),AND(H2897&lt;&gt;"",H2897&lt;&gt;0,H2897&lt;&gt;1)),"Flags devem ser 0 ou 1",IF(AND(H2897=1,LEN(TRIM(I2897))=0),"Preencher nome do indicante",IF(AND(H2897&lt;&gt;1,I2897&lt;&gt;""),"Nome sem indicação interna",IF(AND(G2897=1,F2897=""),"Fechamento sem conversa",IF(OR(AND(E2897&lt;&gt;"",E2897&lt;B2897),AND(F2897&lt;&gt;"",F2897&lt;B2897)),"Evento anterior à entrada",IF(AND(F2897&lt;&gt;"",E2897=""),"Conversa sem agendamento",IF(OR(E2897&gt;TODAY(),F2897&gt;TODAY()),"Verificar evento futuro","OK"))))))))))</f>
        <v/>
      </c>
    </row>
    <row r="2898" spans="12:15">
      <c r="L2898" s="5">
        <f>IF(OR(A2898="",B2898=""),"",B2898-WEEKDAY(B2898,2)+1)</f>
        <v/>
      </c>
      <c r="M2898" s="5">
        <f>IF(L2898="","",L2898+6)</f>
        <v/>
      </c>
      <c r="N2898" s="6">
        <f>IF(OR(A2898="",B2898=""),"",DATE(YEAR(B2898),MONTH(B2898),1))</f>
        <v/>
      </c>
      <c r="O2898" s="7">
        <f>IF(COUNTA(A2898:K2898)=0,"",IF(OR(A2898="",B2898=""),"Preencher CPF e entrada",IF(COUNTIFS($A$12:$A$5011,A2898,$B$12:$B$5011,B2898)&gt;1,"CPF + dia duplicado",IF(OR(AND(G2898&lt;&gt;"",G2898&lt;&gt;0,G2898&lt;&gt;1),AND(H2898&lt;&gt;"",H2898&lt;&gt;0,H2898&lt;&gt;1)),"Flags devem ser 0 ou 1",IF(AND(H2898=1,LEN(TRIM(I2898))=0),"Preencher nome do indicante",IF(AND(H2898&lt;&gt;1,I2898&lt;&gt;""),"Nome sem indicação interna",IF(AND(G2898=1,F2898=""),"Fechamento sem conversa",IF(OR(AND(E2898&lt;&gt;"",E2898&lt;B2898),AND(F2898&lt;&gt;"",F2898&lt;B2898)),"Evento anterior à entrada",IF(AND(F2898&lt;&gt;"",E2898=""),"Conversa sem agendamento",IF(OR(E2898&gt;TODAY(),F2898&gt;TODAY()),"Verificar evento futuro","OK"))))))))))</f>
        <v/>
      </c>
    </row>
    <row r="2899" spans="12:15">
      <c r="L2899" s="5">
        <f>IF(OR(A2899="",B2899=""),"",B2899-WEEKDAY(B2899,2)+1)</f>
        <v/>
      </c>
      <c r="M2899" s="5">
        <f>IF(L2899="","",L2899+6)</f>
        <v/>
      </c>
      <c r="N2899" s="6">
        <f>IF(OR(A2899="",B2899=""),"",DATE(YEAR(B2899),MONTH(B2899),1))</f>
        <v/>
      </c>
      <c r="O2899" s="7">
        <f>IF(COUNTA(A2899:K2899)=0,"",IF(OR(A2899="",B2899=""),"Preencher CPF e entrada",IF(COUNTIFS($A$12:$A$5011,A2899,$B$12:$B$5011,B2899)&gt;1,"CPF + dia duplicado",IF(OR(AND(G2899&lt;&gt;"",G2899&lt;&gt;0,G2899&lt;&gt;1),AND(H2899&lt;&gt;"",H2899&lt;&gt;0,H2899&lt;&gt;1)),"Flags devem ser 0 ou 1",IF(AND(H2899=1,LEN(TRIM(I2899))=0),"Preencher nome do indicante",IF(AND(H2899&lt;&gt;1,I2899&lt;&gt;""),"Nome sem indicação interna",IF(AND(G2899=1,F2899=""),"Fechamento sem conversa",IF(OR(AND(E2899&lt;&gt;"",E2899&lt;B2899),AND(F2899&lt;&gt;"",F2899&lt;B2899)),"Evento anterior à entrada",IF(AND(F2899&lt;&gt;"",E2899=""),"Conversa sem agendamento",IF(OR(E2899&gt;TODAY(),F2899&gt;TODAY()),"Verificar evento futuro","OK"))))))))))</f>
        <v/>
      </c>
    </row>
    <row r="2900" spans="12:15">
      <c r="L2900" s="5">
        <f>IF(OR(A2900="",B2900=""),"",B2900-WEEKDAY(B2900,2)+1)</f>
        <v/>
      </c>
      <c r="M2900" s="5">
        <f>IF(L2900="","",L2900+6)</f>
        <v/>
      </c>
      <c r="N2900" s="6">
        <f>IF(OR(A2900="",B2900=""),"",DATE(YEAR(B2900),MONTH(B2900),1))</f>
        <v/>
      </c>
      <c r="O2900" s="7">
        <f>IF(COUNTA(A2900:K2900)=0,"",IF(OR(A2900="",B2900=""),"Preencher CPF e entrada",IF(COUNTIFS($A$12:$A$5011,A2900,$B$12:$B$5011,B2900)&gt;1,"CPF + dia duplicado",IF(OR(AND(G2900&lt;&gt;"",G2900&lt;&gt;0,G2900&lt;&gt;1),AND(H2900&lt;&gt;"",H2900&lt;&gt;0,H2900&lt;&gt;1)),"Flags devem ser 0 ou 1",IF(AND(H2900=1,LEN(TRIM(I2900))=0),"Preencher nome do indicante",IF(AND(H2900&lt;&gt;1,I2900&lt;&gt;""),"Nome sem indicação interna",IF(AND(G2900=1,F2900=""),"Fechamento sem conversa",IF(OR(AND(E2900&lt;&gt;"",E2900&lt;B2900),AND(F2900&lt;&gt;"",F2900&lt;B2900)),"Evento anterior à entrada",IF(AND(F2900&lt;&gt;"",E2900=""),"Conversa sem agendamento",IF(OR(E2900&gt;TODAY(),F2900&gt;TODAY()),"Verificar evento futuro","OK"))))))))))</f>
        <v/>
      </c>
    </row>
    <row r="2901" spans="12:15">
      <c r="L2901" s="5">
        <f>IF(OR(A2901="",B2901=""),"",B2901-WEEKDAY(B2901,2)+1)</f>
        <v/>
      </c>
      <c r="M2901" s="5">
        <f>IF(L2901="","",L2901+6)</f>
        <v/>
      </c>
      <c r="N2901" s="6">
        <f>IF(OR(A2901="",B2901=""),"",DATE(YEAR(B2901),MONTH(B2901),1))</f>
        <v/>
      </c>
      <c r="O2901" s="7">
        <f>IF(COUNTA(A2901:K2901)=0,"",IF(OR(A2901="",B2901=""),"Preencher CPF e entrada",IF(COUNTIFS($A$12:$A$5011,A2901,$B$12:$B$5011,B2901)&gt;1,"CPF + dia duplicado",IF(OR(AND(G2901&lt;&gt;"",G2901&lt;&gt;0,G2901&lt;&gt;1),AND(H2901&lt;&gt;"",H2901&lt;&gt;0,H2901&lt;&gt;1)),"Flags devem ser 0 ou 1",IF(AND(H2901=1,LEN(TRIM(I2901))=0),"Preencher nome do indicante",IF(AND(H2901&lt;&gt;1,I2901&lt;&gt;""),"Nome sem indicação interna",IF(AND(G2901=1,F2901=""),"Fechamento sem conversa",IF(OR(AND(E2901&lt;&gt;"",E2901&lt;B2901),AND(F2901&lt;&gt;"",F2901&lt;B2901)),"Evento anterior à entrada",IF(AND(F2901&lt;&gt;"",E2901=""),"Conversa sem agendamento",IF(OR(E2901&gt;TODAY(),F2901&gt;TODAY()),"Verificar evento futuro","OK"))))))))))</f>
        <v/>
      </c>
    </row>
    <row r="2902" spans="12:15">
      <c r="L2902" s="5">
        <f>IF(OR(A2902="",B2902=""),"",B2902-WEEKDAY(B2902,2)+1)</f>
        <v/>
      </c>
      <c r="M2902" s="5">
        <f>IF(L2902="","",L2902+6)</f>
        <v/>
      </c>
      <c r="N2902" s="6">
        <f>IF(OR(A2902="",B2902=""),"",DATE(YEAR(B2902),MONTH(B2902),1))</f>
        <v/>
      </c>
      <c r="O2902" s="7">
        <f>IF(COUNTA(A2902:K2902)=0,"",IF(OR(A2902="",B2902=""),"Preencher CPF e entrada",IF(COUNTIFS($A$12:$A$5011,A2902,$B$12:$B$5011,B2902)&gt;1,"CPF + dia duplicado",IF(OR(AND(G2902&lt;&gt;"",G2902&lt;&gt;0,G2902&lt;&gt;1),AND(H2902&lt;&gt;"",H2902&lt;&gt;0,H2902&lt;&gt;1)),"Flags devem ser 0 ou 1",IF(AND(H2902=1,LEN(TRIM(I2902))=0),"Preencher nome do indicante",IF(AND(H2902&lt;&gt;1,I2902&lt;&gt;""),"Nome sem indicação interna",IF(AND(G2902=1,F2902=""),"Fechamento sem conversa",IF(OR(AND(E2902&lt;&gt;"",E2902&lt;B2902),AND(F2902&lt;&gt;"",F2902&lt;B2902)),"Evento anterior à entrada",IF(AND(F2902&lt;&gt;"",E2902=""),"Conversa sem agendamento",IF(OR(E2902&gt;TODAY(),F2902&gt;TODAY()),"Verificar evento futuro","OK"))))))))))</f>
        <v/>
      </c>
    </row>
    <row r="2903" spans="12:15">
      <c r="L2903" s="5">
        <f>IF(OR(A2903="",B2903=""),"",B2903-WEEKDAY(B2903,2)+1)</f>
        <v/>
      </c>
      <c r="M2903" s="5">
        <f>IF(L2903="","",L2903+6)</f>
        <v/>
      </c>
      <c r="N2903" s="6">
        <f>IF(OR(A2903="",B2903=""),"",DATE(YEAR(B2903),MONTH(B2903),1))</f>
        <v/>
      </c>
      <c r="O2903" s="7">
        <f>IF(COUNTA(A2903:K2903)=0,"",IF(OR(A2903="",B2903=""),"Preencher CPF e entrada",IF(COUNTIFS($A$12:$A$5011,A2903,$B$12:$B$5011,B2903)&gt;1,"CPF + dia duplicado",IF(OR(AND(G2903&lt;&gt;"",G2903&lt;&gt;0,G2903&lt;&gt;1),AND(H2903&lt;&gt;"",H2903&lt;&gt;0,H2903&lt;&gt;1)),"Flags devem ser 0 ou 1",IF(AND(H2903=1,LEN(TRIM(I2903))=0),"Preencher nome do indicante",IF(AND(H2903&lt;&gt;1,I2903&lt;&gt;""),"Nome sem indicação interna",IF(AND(G2903=1,F2903=""),"Fechamento sem conversa",IF(OR(AND(E2903&lt;&gt;"",E2903&lt;B2903),AND(F2903&lt;&gt;"",F2903&lt;B2903)),"Evento anterior à entrada",IF(AND(F2903&lt;&gt;"",E2903=""),"Conversa sem agendamento",IF(OR(E2903&gt;TODAY(),F2903&gt;TODAY()),"Verificar evento futuro","OK"))))))))))</f>
        <v/>
      </c>
    </row>
    <row r="2904" spans="12:15">
      <c r="L2904" s="5">
        <f>IF(OR(A2904="",B2904=""),"",B2904-WEEKDAY(B2904,2)+1)</f>
        <v/>
      </c>
      <c r="M2904" s="5">
        <f>IF(L2904="","",L2904+6)</f>
        <v/>
      </c>
      <c r="N2904" s="6">
        <f>IF(OR(A2904="",B2904=""),"",DATE(YEAR(B2904),MONTH(B2904),1))</f>
        <v/>
      </c>
      <c r="O2904" s="7">
        <f>IF(COUNTA(A2904:K2904)=0,"",IF(OR(A2904="",B2904=""),"Preencher CPF e entrada",IF(COUNTIFS($A$12:$A$5011,A2904,$B$12:$B$5011,B2904)&gt;1,"CPF + dia duplicado",IF(OR(AND(G2904&lt;&gt;"",G2904&lt;&gt;0,G2904&lt;&gt;1),AND(H2904&lt;&gt;"",H2904&lt;&gt;0,H2904&lt;&gt;1)),"Flags devem ser 0 ou 1",IF(AND(H2904=1,LEN(TRIM(I2904))=0),"Preencher nome do indicante",IF(AND(H2904&lt;&gt;1,I2904&lt;&gt;""),"Nome sem indicação interna",IF(AND(G2904=1,F2904=""),"Fechamento sem conversa",IF(OR(AND(E2904&lt;&gt;"",E2904&lt;B2904),AND(F2904&lt;&gt;"",F2904&lt;B2904)),"Evento anterior à entrada",IF(AND(F2904&lt;&gt;"",E2904=""),"Conversa sem agendamento",IF(OR(E2904&gt;TODAY(),F2904&gt;TODAY()),"Verificar evento futuro","OK"))))))))))</f>
        <v/>
      </c>
    </row>
    <row r="2905" spans="12:15">
      <c r="L2905" s="5">
        <f>IF(OR(A2905="",B2905=""),"",B2905-WEEKDAY(B2905,2)+1)</f>
        <v/>
      </c>
      <c r="M2905" s="5">
        <f>IF(L2905="","",L2905+6)</f>
        <v/>
      </c>
      <c r="N2905" s="6">
        <f>IF(OR(A2905="",B2905=""),"",DATE(YEAR(B2905),MONTH(B2905),1))</f>
        <v/>
      </c>
      <c r="O2905" s="7">
        <f>IF(COUNTA(A2905:K2905)=0,"",IF(OR(A2905="",B2905=""),"Preencher CPF e entrada",IF(COUNTIFS($A$12:$A$5011,A2905,$B$12:$B$5011,B2905)&gt;1,"CPF + dia duplicado",IF(OR(AND(G2905&lt;&gt;"",G2905&lt;&gt;0,G2905&lt;&gt;1),AND(H2905&lt;&gt;"",H2905&lt;&gt;0,H2905&lt;&gt;1)),"Flags devem ser 0 ou 1",IF(AND(H2905=1,LEN(TRIM(I2905))=0),"Preencher nome do indicante",IF(AND(H2905&lt;&gt;1,I2905&lt;&gt;""),"Nome sem indicação interna",IF(AND(G2905=1,F2905=""),"Fechamento sem conversa",IF(OR(AND(E2905&lt;&gt;"",E2905&lt;B2905),AND(F2905&lt;&gt;"",F2905&lt;B2905)),"Evento anterior à entrada",IF(AND(F2905&lt;&gt;"",E2905=""),"Conversa sem agendamento",IF(OR(E2905&gt;TODAY(),F2905&gt;TODAY()),"Verificar evento futuro","OK"))))))))))</f>
        <v/>
      </c>
    </row>
    <row r="2906" spans="12:15">
      <c r="L2906" s="5">
        <f>IF(OR(A2906="",B2906=""),"",B2906-WEEKDAY(B2906,2)+1)</f>
        <v/>
      </c>
      <c r="M2906" s="5">
        <f>IF(L2906="","",L2906+6)</f>
        <v/>
      </c>
      <c r="N2906" s="6">
        <f>IF(OR(A2906="",B2906=""),"",DATE(YEAR(B2906),MONTH(B2906),1))</f>
        <v/>
      </c>
      <c r="O2906" s="7">
        <f>IF(COUNTA(A2906:K2906)=0,"",IF(OR(A2906="",B2906=""),"Preencher CPF e entrada",IF(COUNTIFS($A$12:$A$5011,A2906,$B$12:$B$5011,B2906)&gt;1,"CPF + dia duplicado",IF(OR(AND(G2906&lt;&gt;"",G2906&lt;&gt;0,G2906&lt;&gt;1),AND(H2906&lt;&gt;"",H2906&lt;&gt;0,H2906&lt;&gt;1)),"Flags devem ser 0 ou 1",IF(AND(H2906=1,LEN(TRIM(I2906))=0),"Preencher nome do indicante",IF(AND(H2906&lt;&gt;1,I2906&lt;&gt;""),"Nome sem indicação interna",IF(AND(G2906=1,F2906=""),"Fechamento sem conversa",IF(OR(AND(E2906&lt;&gt;"",E2906&lt;B2906),AND(F2906&lt;&gt;"",F2906&lt;B2906)),"Evento anterior à entrada",IF(AND(F2906&lt;&gt;"",E2906=""),"Conversa sem agendamento",IF(OR(E2906&gt;TODAY(),F2906&gt;TODAY()),"Verificar evento futuro","OK"))))))))))</f>
        <v/>
      </c>
    </row>
    <row r="2907" spans="12:15">
      <c r="L2907" s="5">
        <f>IF(OR(A2907="",B2907=""),"",B2907-WEEKDAY(B2907,2)+1)</f>
        <v/>
      </c>
      <c r="M2907" s="5">
        <f>IF(L2907="","",L2907+6)</f>
        <v/>
      </c>
      <c r="N2907" s="6">
        <f>IF(OR(A2907="",B2907=""),"",DATE(YEAR(B2907),MONTH(B2907),1))</f>
        <v/>
      </c>
      <c r="O2907" s="7">
        <f>IF(COUNTA(A2907:K2907)=0,"",IF(OR(A2907="",B2907=""),"Preencher CPF e entrada",IF(COUNTIFS($A$12:$A$5011,A2907,$B$12:$B$5011,B2907)&gt;1,"CPF + dia duplicado",IF(OR(AND(G2907&lt;&gt;"",G2907&lt;&gt;0,G2907&lt;&gt;1),AND(H2907&lt;&gt;"",H2907&lt;&gt;0,H2907&lt;&gt;1)),"Flags devem ser 0 ou 1",IF(AND(H2907=1,LEN(TRIM(I2907))=0),"Preencher nome do indicante",IF(AND(H2907&lt;&gt;1,I2907&lt;&gt;""),"Nome sem indicação interna",IF(AND(G2907=1,F2907=""),"Fechamento sem conversa",IF(OR(AND(E2907&lt;&gt;"",E2907&lt;B2907),AND(F2907&lt;&gt;"",F2907&lt;B2907)),"Evento anterior à entrada",IF(AND(F2907&lt;&gt;"",E2907=""),"Conversa sem agendamento",IF(OR(E2907&gt;TODAY(),F2907&gt;TODAY()),"Verificar evento futuro","OK"))))))))))</f>
        <v/>
      </c>
    </row>
    <row r="2908" spans="12:15">
      <c r="L2908" s="5">
        <f>IF(OR(A2908="",B2908=""),"",B2908-WEEKDAY(B2908,2)+1)</f>
        <v/>
      </c>
      <c r="M2908" s="5">
        <f>IF(L2908="","",L2908+6)</f>
        <v/>
      </c>
      <c r="N2908" s="6">
        <f>IF(OR(A2908="",B2908=""),"",DATE(YEAR(B2908),MONTH(B2908),1))</f>
        <v/>
      </c>
      <c r="O2908" s="7">
        <f>IF(COUNTA(A2908:K2908)=0,"",IF(OR(A2908="",B2908=""),"Preencher CPF e entrada",IF(COUNTIFS($A$12:$A$5011,A2908,$B$12:$B$5011,B2908)&gt;1,"CPF + dia duplicado",IF(OR(AND(G2908&lt;&gt;"",G2908&lt;&gt;0,G2908&lt;&gt;1),AND(H2908&lt;&gt;"",H2908&lt;&gt;0,H2908&lt;&gt;1)),"Flags devem ser 0 ou 1",IF(AND(H2908=1,LEN(TRIM(I2908))=0),"Preencher nome do indicante",IF(AND(H2908&lt;&gt;1,I2908&lt;&gt;""),"Nome sem indicação interna",IF(AND(G2908=1,F2908=""),"Fechamento sem conversa",IF(OR(AND(E2908&lt;&gt;"",E2908&lt;B2908),AND(F2908&lt;&gt;"",F2908&lt;B2908)),"Evento anterior à entrada",IF(AND(F2908&lt;&gt;"",E2908=""),"Conversa sem agendamento",IF(OR(E2908&gt;TODAY(),F2908&gt;TODAY()),"Verificar evento futuro","OK"))))))))))</f>
        <v/>
      </c>
    </row>
    <row r="2909" spans="12:15">
      <c r="L2909" s="5">
        <f>IF(OR(A2909="",B2909=""),"",B2909-WEEKDAY(B2909,2)+1)</f>
        <v/>
      </c>
      <c r="M2909" s="5">
        <f>IF(L2909="","",L2909+6)</f>
        <v/>
      </c>
      <c r="N2909" s="6">
        <f>IF(OR(A2909="",B2909=""),"",DATE(YEAR(B2909),MONTH(B2909),1))</f>
        <v/>
      </c>
      <c r="O2909" s="7">
        <f>IF(COUNTA(A2909:K2909)=0,"",IF(OR(A2909="",B2909=""),"Preencher CPF e entrada",IF(COUNTIFS($A$12:$A$5011,A2909,$B$12:$B$5011,B2909)&gt;1,"CPF + dia duplicado",IF(OR(AND(G2909&lt;&gt;"",G2909&lt;&gt;0,G2909&lt;&gt;1),AND(H2909&lt;&gt;"",H2909&lt;&gt;0,H2909&lt;&gt;1)),"Flags devem ser 0 ou 1",IF(AND(H2909=1,LEN(TRIM(I2909))=0),"Preencher nome do indicante",IF(AND(H2909&lt;&gt;1,I2909&lt;&gt;""),"Nome sem indicação interna",IF(AND(G2909=1,F2909=""),"Fechamento sem conversa",IF(OR(AND(E2909&lt;&gt;"",E2909&lt;B2909),AND(F2909&lt;&gt;"",F2909&lt;B2909)),"Evento anterior à entrada",IF(AND(F2909&lt;&gt;"",E2909=""),"Conversa sem agendamento",IF(OR(E2909&gt;TODAY(),F2909&gt;TODAY()),"Verificar evento futuro","OK"))))))))))</f>
        <v/>
      </c>
    </row>
    <row r="2910" spans="12:15">
      <c r="L2910" s="5">
        <f>IF(OR(A2910="",B2910=""),"",B2910-WEEKDAY(B2910,2)+1)</f>
        <v/>
      </c>
      <c r="M2910" s="5">
        <f>IF(L2910="","",L2910+6)</f>
        <v/>
      </c>
      <c r="N2910" s="6">
        <f>IF(OR(A2910="",B2910=""),"",DATE(YEAR(B2910),MONTH(B2910),1))</f>
        <v/>
      </c>
      <c r="O2910" s="7">
        <f>IF(COUNTA(A2910:K2910)=0,"",IF(OR(A2910="",B2910=""),"Preencher CPF e entrada",IF(COUNTIFS($A$12:$A$5011,A2910,$B$12:$B$5011,B2910)&gt;1,"CPF + dia duplicado",IF(OR(AND(G2910&lt;&gt;"",G2910&lt;&gt;0,G2910&lt;&gt;1),AND(H2910&lt;&gt;"",H2910&lt;&gt;0,H2910&lt;&gt;1)),"Flags devem ser 0 ou 1",IF(AND(H2910=1,LEN(TRIM(I2910))=0),"Preencher nome do indicante",IF(AND(H2910&lt;&gt;1,I2910&lt;&gt;""),"Nome sem indicação interna",IF(AND(G2910=1,F2910=""),"Fechamento sem conversa",IF(OR(AND(E2910&lt;&gt;"",E2910&lt;B2910),AND(F2910&lt;&gt;"",F2910&lt;B2910)),"Evento anterior à entrada",IF(AND(F2910&lt;&gt;"",E2910=""),"Conversa sem agendamento",IF(OR(E2910&gt;TODAY(),F2910&gt;TODAY()),"Verificar evento futuro","OK"))))))))))</f>
        <v/>
      </c>
    </row>
    <row r="2911" spans="12:15">
      <c r="L2911" s="5">
        <f>IF(OR(A2911="",B2911=""),"",B2911-WEEKDAY(B2911,2)+1)</f>
        <v/>
      </c>
      <c r="M2911" s="5">
        <f>IF(L2911="","",L2911+6)</f>
        <v/>
      </c>
      <c r="N2911" s="6">
        <f>IF(OR(A2911="",B2911=""),"",DATE(YEAR(B2911),MONTH(B2911),1))</f>
        <v/>
      </c>
      <c r="O2911" s="7">
        <f>IF(COUNTA(A2911:K2911)=0,"",IF(OR(A2911="",B2911=""),"Preencher CPF e entrada",IF(COUNTIFS($A$12:$A$5011,A2911,$B$12:$B$5011,B2911)&gt;1,"CPF + dia duplicado",IF(OR(AND(G2911&lt;&gt;"",G2911&lt;&gt;0,G2911&lt;&gt;1),AND(H2911&lt;&gt;"",H2911&lt;&gt;0,H2911&lt;&gt;1)),"Flags devem ser 0 ou 1",IF(AND(H2911=1,LEN(TRIM(I2911))=0),"Preencher nome do indicante",IF(AND(H2911&lt;&gt;1,I2911&lt;&gt;""),"Nome sem indicação interna",IF(AND(G2911=1,F2911=""),"Fechamento sem conversa",IF(OR(AND(E2911&lt;&gt;"",E2911&lt;B2911),AND(F2911&lt;&gt;"",F2911&lt;B2911)),"Evento anterior à entrada",IF(AND(F2911&lt;&gt;"",E2911=""),"Conversa sem agendamento",IF(OR(E2911&gt;TODAY(),F2911&gt;TODAY()),"Verificar evento futuro","OK"))))))))))</f>
        <v/>
      </c>
    </row>
    <row r="2912" spans="12:15">
      <c r="L2912" s="5">
        <f>IF(OR(A2912="",B2912=""),"",B2912-WEEKDAY(B2912,2)+1)</f>
        <v/>
      </c>
      <c r="M2912" s="5">
        <f>IF(L2912="","",L2912+6)</f>
        <v/>
      </c>
      <c r="N2912" s="6">
        <f>IF(OR(A2912="",B2912=""),"",DATE(YEAR(B2912),MONTH(B2912),1))</f>
        <v/>
      </c>
      <c r="O2912" s="7">
        <f>IF(COUNTA(A2912:K2912)=0,"",IF(OR(A2912="",B2912=""),"Preencher CPF e entrada",IF(COUNTIFS($A$12:$A$5011,A2912,$B$12:$B$5011,B2912)&gt;1,"CPF + dia duplicado",IF(OR(AND(G2912&lt;&gt;"",G2912&lt;&gt;0,G2912&lt;&gt;1),AND(H2912&lt;&gt;"",H2912&lt;&gt;0,H2912&lt;&gt;1)),"Flags devem ser 0 ou 1",IF(AND(H2912=1,LEN(TRIM(I2912))=0),"Preencher nome do indicante",IF(AND(H2912&lt;&gt;1,I2912&lt;&gt;""),"Nome sem indicação interna",IF(AND(G2912=1,F2912=""),"Fechamento sem conversa",IF(OR(AND(E2912&lt;&gt;"",E2912&lt;B2912),AND(F2912&lt;&gt;"",F2912&lt;B2912)),"Evento anterior à entrada",IF(AND(F2912&lt;&gt;"",E2912=""),"Conversa sem agendamento",IF(OR(E2912&gt;TODAY(),F2912&gt;TODAY()),"Verificar evento futuro","OK"))))))))))</f>
        <v/>
      </c>
    </row>
    <row r="2913" spans="12:15">
      <c r="L2913" s="5">
        <f>IF(OR(A2913="",B2913=""),"",B2913-WEEKDAY(B2913,2)+1)</f>
        <v/>
      </c>
      <c r="M2913" s="5">
        <f>IF(L2913="","",L2913+6)</f>
        <v/>
      </c>
      <c r="N2913" s="6">
        <f>IF(OR(A2913="",B2913=""),"",DATE(YEAR(B2913),MONTH(B2913),1))</f>
        <v/>
      </c>
      <c r="O2913" s="7">
        <f>IF(COUNTA(A2913:K2913)=0,"",IF(OR(A2913="",B2913=""),"Preencher CPF e entrada",IF(COUNTIFS($A$12:$A$5011,A2913,$B$12:$B$5011,B2913)&gt;1,"CPF + dia duplicado",IF(OR(AND(G2913&lt;&gt;"",G2913&lt;&gt;0,G2913&lt;&gt;1),AND(H2913&lt;&gt;"",H2913&lt;&gt;0,H2913&lt;&gt;1)),"Flags devem ser 0 ou 1",IF(AND(H2913=1,LEN(TRIM(I2913))=0),"Preencher nome do indicante",IF(AND(H2913&lt;&gt;1,I2913&lt;&gt;""),"Nome sem indicação interna",IF(AND(G2913=1,F2913=""),"Fechamento sem conversa",IF(OR(AND(E2913&lt;&gt;"",E2913&lt;B2913),AND(F2913&lt;&gt;"",F2913&lt;B2913)),"Evento anterior à entrada",IF(AND(F2913&lt;&gt;"",E2913=""),"Conversa sem agendamento",IF(OR(E2913&gt;TODAY(),F2913&gt;TODAY()),"Verificar evento futuro","OK"))))))))))</f>
        <v/>
      </c>
    </row>
    <row r="2914" spans="12:15">
      <c r="L2914" s="5">
        <f>IF(OR(A2914="",B2914=""),"",B2914-WEEKDAY(B2914,2)+1)</f>
        <v/>
      </c>
      <c r="M2914" s="5">
        <f>IF(L2914="","",L2914+6)</f>
        <v/>
      </c>
      <c r="N2914" s="6">
        <f>IF(OR(A2914="",B2914=""),"",DATE(YEAR(B2914),MONTH(B2914),1))</f>
        <v/>
      </c>
      <c r="O2914" s="7">
        <f>IF(COUNTA(A2914:K2914)=0,"",IF(OR(A2914="",B2914=""),"Preencher CPF e entrada",IF(COUNTIFS($A$12:$A$5011,A2914,$B$12:$B$5011,B2914)&gt;1,"CPF + dia duplicado",IF(OR(AND(G2914&lt;&gt;"",G2914&lt;&gt;0,G2914&lt;&gt;1),AND(H2914&lt;&gt;"",H2914&lt;&gt;0,H2914&lt;&gt;1)),"Flags devem ser 0 ou 1",IF(AND(H2914=1,LEN(TRIM(I2914))=0),"Preencher nome do indicante",IF(AND(H2914&lt;&gt;1,I2914&lt;&gt;""),"Nome sem indicação interna",IF(AND(G2914=1,F2914=""),"Fechamento sem conversa",IF(OR(AND(E2914&lt;&gt;"",E2914&lt;B2914),AND(F2914&lt;&gt;"",F2914&lt;B2914)),"Evento anterior à entrada",IF(AND(F2914&lt;&gt;"",E2914=""),"Conversa sem agendamento",IF(OR(E2914&gt;TODAY(),F2914&gt;TODAY()),"Verificar evento futuro","OK"))))))))))</f>
        <v/>
      </c>
    </row>
    <row r="2915" spans="12:15">
      <c r="L2915" s="5">
        <f>IF(OR(A2915="",B2915=""),"",B2915-WEEKDAY(B2915,2)+1)</f>
        <v/>
      </c>
      <c r="M2915" s="5">
        <f>IF(L2915="","",L2915+6)</f>
        <v/>
      </c>
      <c r="N2915" s="6">
        <f>IF(OR(A2915="",B2915=""),"",DATE(YEAR(B2915),MONTH(B2915),1))</f>
        <v/>
      </c>
      <c r="O2915" s="7">
        <f>IF(COUNTA(A2915:K2915)=0,"",IF(OR(A2915="",B2915=""),"Preencher CPF e entrada",IF(COUNTIFS($A$12:$A$5011,A2915,$B$12:$B$5011,B2915)&gt;1,"CPF + dia duplicado",IF(OR(AND(G2915&lt;&gt;"",G2915&lt;&gt;0,G2915&lt;&gt;1),AND(H2915&lt;&gt;"",H2915&lt;&gt;0,H2915&lt;&gt;1)),"Flags devem ser 0 ou 1",IF(AND(H2915=1,LEN(TRIM(I2915))=0),"Preencher nome do indicante",IF(AND(H2915&lt;&gt;1,I2915&lt;&gt;""),"Nome sem indicação interna",IF(AND(G2915=1,F2915=""),"Fechamento sem conversa",IF(OR(AND(E2915&lt;&gt;"",E2915&lt;B2915),AND(F2915&lt;&gt;"",F2915&lt;B2915)),"Evento anterior à entrada",IF(AND(F2915&lt;&gt;"",E2915=""),"Conversa sem agendamento",IF(OR(E2915&gt;TODAY(),F2915&gt;TODAY()),"Verificar evento futuro","OK"))))))))))</f>
        <v/>
      </c>
    </row>
    <row r="2916" spans="12:15">
      <c r="L2916" s="5">
        <f>IF(OR(A2916="",B2916=""),"",B2916-WEEKDAY(B2916,2)+1)</f>
        <v/>
      </c>
      <c r="M2916" s="5">
        <f>IF(L2916="","",L2916+6)</f>
        <v/>
      </c>
      <c r="N2916" s="6">
        <f>IF(OR(A2916="",B2916=""),"",DATE(YEAR(B2916),MONTH(B2916),1))</f>
        <v/>
      </c>
      <c r="O2916" s="7">
        <f>IF(COUNTA(A2916:K2916)=0,"",IF(OR(A2916="",B2916=""),"Preencher CPF e entrada",IF(COUNTIFS($A$12:$A$5011,A2916,$B$12:$B$5011,B2916)&gt;1,"CPF + dia duplicado",IF(OR(AND(G2916&lt;&gt;"",G2916&lt;&gt;0,G2916&lt;&gt;1),AND(H2916&lt;&gt;"",H2916&lt;&gt;0,H2916&lt;&gt;1)),"Flags devem ser 0 ou 1",IF(AND(H2916=1,LEN(TRIM(I2916))=0),"Preencher nome do indicante",IF(AND(H2916&lt;&gt;1,I2916&lt;&gt;""),"Nome sem indicação interna",IF(AND(G2916=1,F2916=""),"Fechamento sem conversa",IF(OR(AND(E2916&lt;&gt;"",E2916&lt;B2916),AND(F2916&lt;&gt;"",F2916&lt;B2916)),"Evento anterior à entrada",IF(AND(F2916&lt;&gt;"",E2916=""),"Conversa sem agendamento",IF(OR(E2916&gt;TODAY(),F2916&gt;TODAY()),"Verificar evento futuro","OK"))))))))))</f>
        <v/>
      </c>
    </row>
    <row r="2917" spans="12:15">
      <c r="L2917" s="5">
        <f>IF(OR(A2917="",B2917=""),"",B2917-WEEKDAY(B2917,2)+1)</f>
        <v/>
      </c>
      <c r="M2917" s="5">
        <f>IF(L2917="","",L2917+6)</f>
        <v/>
      </c>
      <c r="N2917" s="6">
        <f>IF(OR(A2917="",B2917=""),"",DATE(YEAR(B2917),MONTH(B2917),1))</f>
        <v/>
      </c>
      <c r="O2917" s="7">
        <f>IF(COUNTA(A2917:K2917)=0,"",IF(OR(A2917="",B2917=""),"Preencher CPF e entrada",IF(COUNTIFS($A$12:$A$5011,A2917,$B$12:$B$5011,B2917)&gt;1,"CPF + dia duplicado",IF(OR(AND(G2917&lt;&gt;"",G2917&lt;&gt;0,G2917&lt;&gt;1),AND(H2917&lt;&gt;"",H2917&lt;&gt;0,H2917&lt;&gt;1)),"Flags devem ser 0 ou 1",IF(AND(H2917=1,LEN(TRIM(I2917))=0),"Preencher nome do indicante",IF(AND(H2917&lt;&gt;1,I2917&lt;&gt;""),"Nome sem indicação interna",IF(AND(G2917=1,F2917=""),"Fechamento sem conversa",IF(OR(AND(E2917&lt;&gt;"",E2917&lt;B2917),AND(F2917&lt;&gt;"",F2917&lt;B2917)),"Evento anterior à entrada",IF(AND(F2917&lt;&gt;"",E2917=""),"Conversa sem agendamento",IF(OR(E2917&gt;TODAY(),F2917&gt;TODAY()),"Verificar evento futuro","OK"))))))))))</f>
        <v/>
      </c>
    </row>
    <row r="2918" spans="12:15">
      <c r="L2918" s="5">
        <f>IF(OR(A2918="",B2918=""),"",B2918-WEEKDAY(B2918,2)+1)</f>
        <v/>
      </c>
      <c r="M2918" s="5">
        <f>IF(L2918="","",L2918+6)</f>
        <v/>
      </c>
      <c r="N2918" s="6">
        <f>IF(OR(A2918="",B2918=""),"",DATE(YEAR(B2918),MONTH(B2918),1))</f>
        <v/>
      </c>
      <c r="O2918" s="7">
        <f>IF(COUNTA(A2918:K2918)=0,"",IF(OR(A2918="",B2918=""),"Preencher CPF e entrada",IF(COUNTIFS($A$12:$A$5011,A2918,$B$12:$B$5011,B2918)&gt;1,"CPF + dia duplicado",IF(OR(AND(G2918&lt;&gt;"",G2918&lt;&gt;0,G2918&lt;&gt;1),AND(H2918&lt;&gt;"",H2918&lt;&gt;0,H2918&lt;&gt;1)),"Flags devem ser 0 ou 1",IF(AND(H2918=1,LEN(TRIM(I2918))=0),"Preencher nome do indicante",IF(AND(H2918&lt;&gt;1,I2918&lt;&gt;""),"Nome sem indicação interna",IF(AND(G2918=1,F2918=""),"Fechamento sem conversa",IF(OR(AND(E2918&lt;&gt;"",E2918&lt;B2918),AND(F2918&lt;&gt;"",F2918&lt;B2918)),"Evento anterior à entrada",IF(AND(F2918&lt;&gt;"",E2918=""),"Conversa sem agendamento",IF(OR(E2918&gt;TODAY(),F2918&gt;TODAY()),"Verificar evento futuro","OK"))))))))))</f>
        <v/>
      </c>
    </row>
    <row r="2919" spans="12:15">
      <c r="L2919" s="5">
        <f>IF(OR(A2919="",B2919=""),"",B2919-WEEKDAY(B2919,2)+1)</f>
        <v/>
      </c>
      <c r="M2919" s="5">
        <f>IF(L2919="","",L2919+6)</f>
        <v/>
      </c>
      <c r="N2919" s="6">
        <f>IF(OR(A2919="",B2919=""),"",DATE(YEAR(B2919),MONTH(B2919),1))</f>
        <v/>
      </c>
      <c r="O2919" s="7">
        <f>IF(COUNTA(A2919:K2919)=0,"",IF(OR(A2919="",B2919=""),"Preencher CPF e entrada",IF(COUNTIFS($A$12:$A$5011,A2919,$B$12:$B$5011,B2919)&gt;1,"CPF + dia duplicado",IF(OR(AND(G2919&lt;&gt;"",G2919&lt;&gt;0,G2919&lt;&gt;1),AND(H2919&lt;&gt;"",H2919&lt;&gt;0,H2919&lt;&gt;1)),"Flags devem ser 0 ou 1",IF(AND(H2919=1,LEN(TRIM(I2919))=0),"Preencher nome do indicante",IF(AND(H2919&lt;&gt;1,I2919&lt;&gt;""),"Nome sem indicação interna",IF(AND(G2919=1,F2919=""),"Fechamento sem conversa",IF(OR(AND(E2919&lt;&gt;"",E2919&lt;B2919),AND(F2919&lt;&gt;"",F2919&lt;B2919)),"Evento anterior à entrada",IF(AND(F2919&lt;&gt;"",E2919=""),"Conversa sem agendamento",IF(OR(E2919&gt;TODAY(),F2919&gt;TODAY()),"Verificar evento futuro","OK"))))))))))</f>
        <v/>
      </c>
    </row>
    <row r="2920" spans="12:15">
      <c r="L2920" s="5">
        <f>IF(OR(A2920="",B2920=""),"",B2920-WEEKDAY(B2920,2)+1)</f>
        <v/>
      </c>
      <c r="M2920" s="5">
        <f>IF(L2920="","",L2920+6)</f>
        <v/>
      </c>
      <c r="N2920" s="6">
        <f>IF(OR(A2920="",B2920=""),"",DATE(YEAR(B2920),MONTH(B2920),1))</f>
        <v/>
      </c>
      <c r="O2920" s="7">
        <f>IF(COUNTA(A2920:K2920)=0,"",IF(OR(A2920="",B2920=""),"Preencher CPF e entrada",IF(COUNTIFS($A$12:$A$5011,A2920,$B$12:$B$5011,B2920)&gt;1,"CPF + dia duplicado",IF(OR(AND(G2920&lt;&gt;"",G2920&lt;&gt;0,G2920&lt;&gt;1),AND(H2920&lt;&gt;"",H2920&lt;&gt;0,H2920&lt;&gt;1)),"Flags devem ser 0 ou 1",IF(AND(H2920=1,LEN(TRIM(I2920))=0),"Preencher nome do indicante",IF(AND(H2920&lt;&gt;1,I2920&lt;&gt;""),"Nome sem indicação interna",IF(AND(G2920=1,F2920=""),"Fechamento sem conversa",IF(OR(AND(E2920&lt;&gt;"",E2920&lt;B2920),AND(F2920&lt;&gt;"",F2920&lt;B2920)),"Evento anterior à entrada",IF(AND(F2920&lt;&gt;"",E2920=""),"Conversa sem agendamento",IF(OR(E2920&gt;TODAY(),F2920&gt;TODAY()),"Verificar evento futuro","OK"))))))))))</f>
        <v/>
      </c>
    </row>
    <row r="2921" spans="12:15">
      <c r="L2921" s="5">
        <f>IF(OR(A2921="",B2921=""),"",B2921-WEEKDAY(B2921,2)+1)</f>
        <v/>
      </c>
      <c r="M2921" s="5">
        <f>IF(L2921="","",L2921+6)</f>
        <v/>
      </c>
      <c r="N2921" s="6">
        <f>IF(OR(A2921="",B2921=""),"",DATE(YEAR(B2921),MONTH(B2921),1))</f>
        <v/>
      </c>
      <c r="O2921" s="7">
        <f>IF(COUNTA(A2921:K2921)=0,"",IF(OR(A2921="",B2921=""),"Preencher CPF e entrada",IF(COUNTIFS($A$12:$A$5011,A2921,$B$12:$B$5011,B2921)&gt;1,"CPF + dia duplicado",IF(OR(AND(G2921&lt;&gt;"",G2921&lt;&gt;0,G2921&lt;&gt;1),AND(H2921&lt;&gt;"",H2921&lt;&gt;0,H2921&lt;&gt;1)),"Flags devem ser 0 ou 1",IF(AND(H2921=1,LEN(TRIM(I2921))=0),"Preencher nome do indicante",IF(AND(H2921&lt;&gt;1,I2921&lt;&gt;""),"Nome sem indicação interna",IF(AND(G2921=1,F2921=""),"Fechamento sem conversa",IF(OR(AND(E2921&lt;&gt;"",E2921&lt;B2921),AND(F2921&lt;&gt;"",F2921&lt;B2921)),"Evento anterior à entrada",IF(AND(F2921&lt;&gt;"",E2921=""),"Conversa sem agendamento",IF(OR(E2921&gt;TODAY(),F2921&gt;TODAY()),"Verificar evento futuro","OK"))))))))))</f>
        <v/>
      </c>
    </row>
    <row r="2922" spans="12:15">
      <c r="L2922" s="5">
        <f>IF(OR(A2922="",B2922=""),"",B2922-WEEKDAY(B2922,2)+1)</f>
        <v/>
      </c>
      <c r="M2922" s="5">
        <f>IF(L2922="","",L2922+6)</f>
        <v/>
      </c>
      <c r="N2922" s="6">
        <f>IF(OR(A2922="",B2922=""),"",DATE(YEAR(B2922),MONTH(B2922),1))</f>
        <v/>
      </c>
      <c r="O2922" s="7">
        <f>IF(COUNTA(A2922:K2922)=0,"",IF(OR(A2922="",B2922=""),"Preencher CPF e entrada",IF(COUNTIFS($A$12:$A$5011,A2922,$B$12:$B$5011,B2922)&gt;1,"CPF + dia duplicado",IF(OR(AND(G2922&lt;&gt;"",G2922&lt;&gt;0,G2922&lt;&gt;1),AND(H2922&lt;&gt;"",H2922&lt;&gt;0,H2922&lt;&gt;1)),"Flags devem ser 0 ou 1",IF(AND(H2922=1,LEN(TRIM(I2922))=0),"Preencher nome do indicante",IF(AND(H2922&lt;&gt;1,I2922&lt;&gt;""),"Nome sem indicação interna",IF(AND(G2922=1,F2922=""),"Fechamento sem conversa",IF(OR(AND(E2922&lt;&gt;"",E2922&lt;B2922),AND(F2922&lt;&gt;"",F2922&lt;B2922)),"Evento anterior à entrada",IF(AND(F2922&lt;&gt;"",E2922=""),"Conversa sem agendamento",IF(OR(E2922&gt;TODAY(),F2922&gt;TODAY()),"Verificar evento futuro","OK"))))))))))</f>
        <v/>
      </c>
    </row>
    <row r="2923" spans="12:15">
      <c r="L2923" s="5">
        <f>IF(OR(A2923="",B2923=""),"",B2923-WEEKDAY(B2923,2)+1)</f>
        <v/>
      </c>
      <c r="M2923" s="5">
        <f>IF(L2923="","",L2923+6)</f>
        <v/>
      </c>
      <c r="N2923" s="6">
        <f>IF(OR(A2923="",B2923=""),"",DATE(YEAR(B2923),MONTH(B2923),1))</f>
        <v/>
      </c>
      <c r="O2923" s="7">
        <f>IF(COUNTA(A2923:K2923)=0,"",IF(OR(A2923="",B2923=""),"Preencher CPF e entrada",IF(COUNTIFS($A$12:$A$5011,A2923,$B$12:$B$5011,B2923)&gt;1,"CPF + dia duplicado",IF(OR(AND(G2923&lt;&gt;"",G2923&lt;&gt;0,G2923&lt;&gt;1),AND(H2923&lt;&gt;"",H2923&lt;&gt;0,H2923&lt;&gt;1)),"Flags devem ser 0 ou 1",IF(AND(H2923=1,LEN(TRIM(I2923))=0),"Preencher nome do indicante",IF(AND(H2923&lt;&gt;1,I2923&lt;&gt;""),"Nome sem indicação interna",IF(AND(G2923=1,F2923=""),"Fechamento sem conversa",IF(OR(AND(E2923&lt;&gt;"",E2923&lt;B2923),AND(F2923&lt;&gt;"",F2923&lt;B2923)),"Evento anterior à entrada",IF(AND(F2923&lt;&gt;"",E2923=""),"Conversa sem agendamento",IF(OR(E2923&gt;TODAY(),F2923&gt;TODAY()),"Verificar evento futuro","OK"))))))))))</f>
        <v/>
      </c>
    </row>
    <row r="2924" spans="12:15">
      <c r="L2924" s="5">
        <f>IF(OR(A2924="",B2924=""),"",B2924-WEEKDAY(B2924,2)+1)</f>
        <v/>
      </c>
      <c r="M2924" s="5">
        <f>IF(L2924="","",L2924+6)</f>
        <v/>
      </c>
      <c r="N2924" s="6">
        <f>IF(OR(A2924="",B2924=""),"",DATE(YEAR(B2924),MONTH(B2924),1))</f>
        <v/>
      </c>
      <c r="O2924" s="7">
        <f>IF(COUNTA(A2924:K2924)=0,"",IF(OR(A2924="",B2924=""),"Preencher CPF e entrada",IF(COUNTIFS($A$12:$A$5011,A2924,$B$12:$B$5011,B2924)&gt;1,"CPF + dia duplicado",IF(OR(AND(G2924&lt;&gt;"",G2924&lt;&gt;0,G2924&lt;&gt;1),AND(H2924&lt;&gt;"",H2924&lt;&gt;0,H2924&lt;&gt;1)),"Flags devem ser 0 ou 1",IF(AND(H2924=1,LEN(TRIM(I2924))=0),"Preencher nome do indicante",IF(AND(H2924&lt;&gt;1,I2924&lt;&gt;""),"Nome sem indicação interna",IF(AND(G2924=1,F2924=""),"Fechamento sem conversa",IF(OR(AND(E2924&lt;&gt;"",E2924&lt;B2924),AND(F2924&lt;&gt;"",F2924&lt;B2924)),"Evento anterior à entrada",IF(AND(F2924&lt;&gt;"",E2924=""),"Conversa sem agendamento",IF(OR(E2924&gt;TODAY(),F2924&gt;TODAY()),"Verificar evento futuro","OK"))))))))))</f>
        <v/>
      </c>
    </row>
    <row r="2925" spans="12:15">
      <c r="L2925" s="5">
        <f>IF(OR(A2925="",B2925=""),"",B2925-WEEKDAY(B2925,2)+1)</f>
        <v/>
      </c>
      <c r="M2925" s="5">
        <f>IF(L2925="","",L2925+6)</f>
        <v/>
      </c>
      <c r="N2925" s="6">
        <f>IF(OR(A2925="",B2925=""),"",DATE(YEAR(B2925),MONTH(B2925),1))</f>
        <v/>
      </c>
      <c r="O2925" s="7">
        <f>IF(COUNTA(A2925:K2925)=0,"",IF(OR(A2925="",B2925=""),"Preencher CPF e entrada",IF(COUNTIFS($A$12:$A$5011,A2925,$B$12:$B$5011,B2925)&gt;1,"CPF + dia duplicado",IF(OR(AND(G2925&lt;&gt;"",G2925&lt;&gt;0,G2925&lt;&gt;1),AND(H2925&lt;&gt;"",H2925&lt;&gt;0,H2925&lt;&gt;1)),"Flags devem ser 0 ou 1",IF(AND(H2925=1,LEN(TRIM(I2925))=0),"Preencher nome do indicante",IF(AND(H2925&lt;&gt;1,I2925&lt;&gt;""),"Nome sem indicação interna",IF(AND(G2925=1,F2925=""),"Fechamento sem conversa",IF(OR(AND(E2925&lt;&gt;"",E2925&lt;B2925),AND(F2925&lt;&gt;"",F2925&lt;B2925)),"Evento anterior à entrada",IF(AND(F2925&lt;&gt;"",E2925=""),"Conversa sem agendamento",IF(OR(E2925&gt;TODAY(),F2925&gt;TODAY()),"Verificar evento futuro","OK"))))))))))</f>
        <v/>
      </c>
    </row>
    <row r="2926" spans="12:15">
      <c r="L2926" s="5">
        <f>IF(OR(A2926="",B2926=""),"",B2926-WEEKDAY(B2926,2)+1)</f>
        <v/>
      </c>
      <c r="M2926" s="5">
        <f>IF(L2926="","",L2926+6)</f>
        <v/>
      </c>
      <c r="N2926" s="6">
        <f>IF(OR(A2926="",B2926=""),"",DATE(YEAR(B2926),MONTH(B2926),1))</f>
        <v/>
      </c>
      <c r="O2926" s="7">
        <f>IF(COUNTA(A2926:K2926)=0,"",IF(OR(A2926="",B2926=""),"Preencher CPF e entrada",IF(COUNTIFS($A$12:$A$5011,A2926,$B$12:$B$5011,B2926)&gt;1,"CPF + dia duplicado",IF(OR(AND(G2926&lt;&gt;"",G2926&lt;&gt;0,G2926&lt;&gt;1),AND(H2926&lt;&gt;"",H2926&lt;&gt;0,H2926&lt;&gt;1)),"Flags devem ser 0 ou 1",IF(AND(H2926=1,LEN(TRIM(I2926))=0),"Preencher nome do indicante",IF(AND(H2926&lt;&gt;1,I2926&lt;&gt;""),"Nome sem indicação interna",IF(AND(G2926=1,F2926=""),"Fechamento sem conversa",IF(OR(AND(E2926&lt;&gt;"",E2926&lt;B2926),AND(F2926&lt;&gt;"",F2926&lt;B2926)),"Evento anterior à entrada",IF(AND(F2926&lt;&gt;"",E2926=""),"Conversa sem agendamento",IF(OR(E2926&gt;TODAY(),F2926&gt;TODAY()),"Verificar evento futuro","OK"))))))))))</f>
        <v/>
      </c>
    </row>
    <row r="2927" spans="12:15">
      <c r="L2927" s="5">
        <f>IF(OR(A2927="",B2927=""),"",B2927-WEEKDAY(B2927,2)+1)</f>
        <v/>
      </c>
      <c r="M2927" s="5">
        <f>IF(L2927="","",L2927+6)</f>
        <v/>
      </c>
      <c r="N2927" s="6">
        <f>IF(OR(A2927="",B2927=""),"",DATE(YEAR(B2927),MONTH(B2927),1))</f>
        <v/>
      </c>
      <c r="O2927" s="7">
        <f>IF(COUNTA(A2927:K2927)=0,"",IF(OR(A2927="",B2927=""),"Preencher CPF e entrada",IF(COUNTIFS($A$12:$A$5011,A2927,$B$12:$B$5011,B2927)&gt;1,"CPF + dia duplicado",IF(OR(AND(G2927&lt;&gt;"",G2927&lt;&gt;0,G2927&lt;&gt;1),AND(H2927&lt;&gt;"",H2927&lt;&gt;0,H2927&lt;&gt;1)),"Flags devem ser 0 ou 1",IF(AND(H2927=1,LEN(TRIM(I2927))=0),"Preencher nome do indicante",IF(AND(H2927&lt;&gt;1,I2927&lt;&gt;""),"Nome sem indicação interna",IF(AND(G2927=1,F2927=""),"Fechamento sem conversa",IF(OR(AND(E2927&lt;&gt;"",E2927&lt;B2927),AND(F2927&lt;&gt;"",F2927&lt;B2927)),"Evento anterior à entrada",IF(AND(F2927&lt;&gt;"",E2927=""),"Conversa sem agendamento",IF(OR(E2927&gt;TODAY(),F2927&gt;TODAY()),"Verificar evento futuro","OK"))))))))))</f>
        <v/>
      </c>
    </row>
    <row r="2928" spans="12:15">
      <c r="L2928" s="5">
        <f>IF(OR(A2928="",B2928=""),"",B2928-WEEKDAY(B2928,2)+1)</f>
        <v/>
      </c>
      <c r="M2928" s="5">
        <f>IF(L2928="","",L2928+6)</f>
        <v/>
      </c>
      <c r="N2928" s="6">
        <f>IF(OR(A2928="",B2928=""),"",DATE(YEAR(B2928),MONTH(B2928),1))</f>
        <v/>
      </c>
      <c r="O2928" s="7">
        <f>IF(COUNTA(A2928:K2928)=0,"",IF(OR(A2928="",B2928=""),"Preencher CPF e entrada",IF(COUNTIFS($A$12:$A$5011,A2928,$B$12:$B$5011,B2928)&gt;1,"CPF + dia duplicado",IF(OR(AND(G2928&lt;&gt;"",G2928&lt;&gt;0,G2928&lt;&gt;1),AND(H2928&lt;&gt;"",H2928&lt;&gt;0,H2928&lt;&gt;1)),"Flags devem ser 0 ou 1",IF(AND(H2928=1,LEN(TRIM(I2928))=0),"Preencher nome do indicante",IF(AND(H2928&lt;&gt;1,I2928&lt;&gt;""),"Nome sem indicação interna",IF(AND(G2928=1,F2928=""),"Fechamento sem conversa",IF(OR(AND(E2928&lt;&gt;"",E2928&lt;B2928),AND(F2928&lt;&gt;"",F2928&lt;B2928)),"Evento anterior à entrada",IF(AND(F2928&lt;&gt;"",E2928=""),"Conversa sem agendamento",IF(OR(E2928&gt;TODAY(),F2928&gt;TODAY()),"Verificar evento futuro","OK"))))))))))</f>
        <v/>
      </c>
    </row>
    <row r="2929" spans="12:15">
      <c r="L2929" s="5">
        <f>IF(OR(A2929="",B2929=""),"",B2929-WEEKDAY(B2929,2)+1)</f>
        <v/>
      </c>
      <c r="M2929" s="5">
        <f>IF(L2929="","",L2929+6)</f>
        <v/>
      </c>
      <c r="N2929" s="6">
        <f>IF(OR(A2929="",B2929=""),"",DATE(YEAR(B2929),MONTH(B2929),1))</f>
        <v/>
      </c>
      <c r="O2929" s="7">
        <f>IF(COUNTA(A2929:K2929)=0,"",IF(OR(A2929="",B2929=""),"Preencher CPF e entrada",IF(COUNTIFS($A$12:$A$5011,A2929,$B$12:$B$5011,B2929)&gt;1,"CPF + dia duplicado",IF(OR(AND(G2929&lt;&gt;"",G2929&lt;&gt;0,G2929&lt;&gt;1),AND(H2929&lt;&gt;"",H2929&lt;&gt;0,H2929&lt;&gt;1)),"Flags devem ser 0 ou 1",IF(AND(H2929=1,LEN(TRIM(I2929))=0),"Preencher nome do indicante",IF(AND(H2929&lt;&gt;1,I2929&lt;&gt;""),"Nome sem indicação interna",IF(AND(G2929=1,F2929=""),"Fechamento sem conversa",IF(OR(AND(E2929&lt;&gt;"",E2929&lt;B2929),AND(F2929&lt;&gt;"",F2929&lt;B2929)),"Evento anterior à entrada",IF(AND(F2929&lt;&gt;"",E2929=""),"Conversa sem agendamento",IF(OR(E2929&gt;TODAY(),F2929&gt;TODAY()),"Verificar evento futuro","OK"))))))))))</f>
        <v/>
      </c>
    </row>
    <row r="2930" spans="12:15">
      <c r="L2930" s="5">
        <f>IF(OR(A2930="",B2930=""),"",B2930-WEEKDAY(B2930,2)+1)</f>
        <v/>
      </c>
      <c r="M2930" s="5">
        <f>IF(L2930="","",L2930+6)</f>
        <v/>
      </c>
      <c r="N2930" s="6">
        <f>IF(OR(A2930="",B2930=""),"",DATE(YEAR(B2930),MONTH(B2930),1))</f>
        <v/>
      </c>
      <c r="O2930" s="7">
        <f>IF(COUNTA(A2930:K2930)=0,"",IF(OR(A2930="",B2930=""),"Preencher CPF e entrada",IF(COUNTIFS($A$12:$A$5011,A2930,$B$12:$B$5011,B2930)&gt;1,"CPF + dia duplicado",IF(OR(AND(G2930&lt;&gt;"",G2930&lt;&gt;0,G2930&lt;&gt;1),AND(H2930&lt;&gt;"",H2930&lt;&gt;0,H2930&lt;&gt;1)),"Flags devem ser 0 ou 1",IF(AND(H2930=1,LEN(TRIM(I2930))=0),"Preencher nome do indicante",IF(AND(H2930&lt;&gt;1,I2930&lt;&gt;""),"Nome sem indicação interna",IF(AND(G2930=1,F2930=""),"Fechamento sem conversa",IF(OR(AND(E2930&lt;&gt;"",E2930&lt;B2930),AND(F2930&lt;&gt;"",F2930&lt;B2930)),"Evento anterior à entrada",IF(AND(F2930&lt;&gt;"",E2930=""),"Conversa sem agendamento",IF(OR(E2930&gt;TODAY(),F2930&gt;TODAY()),"Verificar evento futuro","OK"))))))))))</f>
        <v/>
      </c>
    </row>
    <row r="2931" spans="12:15">
      <c r="L2931" s="5">
        <f>IF(OR(A2931="",B2931=""),"",B2931-WEEKDAY(B2931,2)+1)</f>
        <v/>
      </c>
      <c r="M2931" s="5">
        <f>IF(L2931="","",L2931+6)</f>
        <v/>
      </c>
      <c r="N2931" s="6">
        <f>IF(OR(A2931="",B2931=""),"",DATE(YEAR(B2931),MONTH(B2931),1))</f>
        <v/>
      </c>
      <c r="O2931" s="7">
        <f>IF(COUNTA(A2931:K2931)=0,"",IF(OR(A2931="",B2931=""),"Preencher CPF e entrada",IF(COUNTIFS($A$12:$A$5011,A2931,$B$12:$B$5011,B2931)&gt;1,"CPF + dia duplicado",IF(OR(AND(G2931&lt;&gt;"",G2931&lt;&gt;0,G2931&lt;&gt;1),AND(H2931&lt;&gt;"",H2931&lt;&gt;0,H2931&lt;&gt;1)),"Flags devem ser 0 ou 1",IF(AND(H2931=1,LEN(TRIM(I2931))=0),"Preencher nome do indicante",IF(AND(H2931&lt;&gt;1,I2931&lt;&gt;""),"Nome sem indicação interna",IF(AND(G2931=1,F2931=""),"Fechamento sem conversa",IF(OR(AND(E2931&lt;&gt;"",E2931&lt;B2931),AND(F2931&lt;&gt;"",F2931&lt;B2931)),"Evento anterior à entrada",IF(AND(F2931&lt;&gt;"",E2931=""),"Conversa sem agendamento",IF(OR(E2931&gt;TODAY(),F2931&gt;TODAY()),"Verificar evento futuro","OK"))))))))))</f>
        <v/>
      </c>
    </row>
    <row r="2932" spans="12:15">
      <c r="L2932" s="5">
        <f>IF(OR(A2932="",B2932=""),"",B2932-WEEKDAY(B2932,2)+1)</f>
        <v/>
      </c>
      <c r="M2932" s="5">
        <f>IF(L2932="","",L2932+6)</f>
        <v/>
      </c>
      <c r="N2932" s="6">
        <f>IF(OR(A2932="",B2932=""),"",DATE(YEAR(B2932),MONTH(B2932),1))</f>
        <v/>
      </c>
      <c r="O2932" s="7">
        <f>IF(COUNTA(A2932:K2932)=0,"",IF(OR(A2932="",B2932=""),"Preencher CPF e entrada",IF(COUNTIFS($A$12:$A$5011,A2932,$B$12:$B$5011,B2932)&gt;1,"CPF + dia duplicado",IF(OR(AND(G2932&lt;&gt;"",G2932&lt;&gt;0,G2932&lt;&gt;1),AND(H2932&lt;&gt;"",H2932&lt;&gt;0,H2932&lt;&gt;1)),"Flags devem ser 0 ou 1",IF(AND(H2932=1,LEN(TRIM(I2932))=0),"Preencher nome do indicante",IF(AND(H2932&lt;&gt;1,I2932&lt;&gt;""),"Nome sem indicação interna",IF(AND(G2932=1,F2932=""),"Fechamento sem conversa",IF(OR(AND(E2932&lt;&gt;"",E2932&lt;B2932),AND(F2932&lt;&gt;"",F2932&lt;B2932)),"Evento anterior à entrada",IF(AND(F2932&lt;&gt;"",E2932=""),"Conversa sem agendamento",IF(OR(E2932&gt;TODAY(),F2932&gt;TODAY()),"Verificar evento futuro","OK"))))))))))</f>
        <v/>
      </c>
    </row>
    <row r="2933" spans="12:15">
      <c r="L2933" s="5">
        <f>IF(OR(A2933="",B2933=""),"",B2933-WEEKDAY(B2933,2)+1)</f>
        <v/>
      </c>
      <c r="M2933" s="5">
        <f>IF(L2933="","",L2933+6)</f>
        <v/>
      </c>
      <c r="N2933" s="6">
        <f>IF(OR(A2933="",B2933=""),"",DATE(YEAR(B2933),MONTH(B2933),1))</f>
        <v/>
      </c>
      <c r="O2933" s="7">
        <f>IF(COUNTA(A2933:K2933)=0,"",IF(OR(A2933="",B2933=""),"Preencher CPF e entrada",IF(COUNTIFS($A$12:$A$5011,A2933,$B$12:$B$5011,B2933)&gt;1,"CPF + dia duplicado",IF(OR(AND(G2933&lt;&gt;"",G2933&lt;&gt;0,G2933&lt;&gt;1),AND(H2933&lt;&gt;"",H2933&lt;&gt;0,H2933&lt;&gt;1)),"Flags devem ser 0 ou 1",IF(AND(H2933=1,LEN(TRIM(I2933))=0),"Preencher nome do indicante",IF(AND(H2933&lt;&gt;1,I2933&lt;&gt;""),"Nome sem indicação interna",IF(AND(G2933=1,F2933=""),"Fechamento sem conversa",IF(OR(AND(E2933&lt;&gt;"",E2933&lt;B2933),AND(F2933&lt;&gt;"",F2933&lt;B2933)),"Evento anterior à entrada",IF(AND(F2933&lt;&gt;"",E2933=""),"Conversa sem agendamento",IF(OR(E2933&gt;TODAY(),F2933&gt;TODAY()),"Verificar evento futuro","OK"))))))))))</f>
        <v/>
      </c>
    </row>
    <row r="2934" spans="12:15">
      <c r="L2934" s="5">
        <f>IF(OR(A2934="",B2934=""),"",B2934-WEEKDAY(B2934,2)+1)</f>
        <v/>
      </c>
      <c r="M2934" s="5">
        <f>IF(L2934="","",L2934+6)</f>
        <v/>
      </c>
      <c r="N2934" s="6">
        <f>IF(OR(A2934="",B2934=""),"",DATE(YEAR(B2934),MONTH(B2934),1))</f>
        <v/>
      </c>
      <c r="O2934" s="7">
        <f>IF(COUNTA(A2934:K2934)=0,"",IF(OR(A2934="",B2934=""),"Preencher CPF e entrada",IF(COUNTIFS($A$12:$A$5011,A2934,$B$12:$B$5011,B2934)&gt;1,"CPF + dia duplicado",IF(OR(AND(G2934&lt;&gt;"",G2934&lt;&gt;0,G2934&lt;&gt;1),AND(H2934&lt;&gt;"",H2934&lt;&gt;0,H2934&lt;&gt;1)),"Flags devem ser 0 ou 1",IF(AND(H2934=1,LEN(TRIM(I2934))=0),"Preencher nome do indicante",IF(AND(H2934&lt;&gt;1,I2934&lt;&gt;""),"Nome sem indicação interna",IF(AND(G2934=1,F2934=""),"Fechamento sem conversa",IF(OR(AND(E2934&lt;&gt;"",E2934&lt;B2934),AND(F2934&lt;&gt;"",F2934&lt;B2934)),"Evento anterior à entrada",IF(AND(F2934&lt;&gt;"",E2934=""),"Conversa sem agendamento",IF(OR(E2934&gt;TODAY(),F2934&gt;TODAY()),"Verificar evento futuro","OK"))))))))))</f>
        <v/>
      </c>
    </row>
    <row r="2935" spans="12:15">
      <c r="L2935" s="5">
        <f>IF(OR(A2935="",B2935=""),"",B2935-WEEKDAY(B2935,2)+1)</f>
        <v/>
      </c>
      <c r="M2935" s="5">
        <f>IF(L2935="","",L2935+6)</f>
        <v/>
      </c>
      <c r="N2935" s="6">
        <f>IF(OR(A2935="",B2935=""),"",DATE(YEAR(B2935),MONTH(B2935),1))</f>
        <v/>
      </c>
      <c r="O2935" s="7">
        <f>IF(COUNTA(A2935:K2935)=0,"",IF(OR(A2935="",B2935=""),"Preencher CPF e entrada",IF(COUNTIFS($A$12:$A$5011,A2935,$B$12:$B$5011,B2935)&gt;1,"CPF + dia duplicado",IF(OR(AND(G2935&lt;&gt;"",G2935&lt;&gt;0,G2935&lt;&gt;1),AND(H2935&lt;&gt;"",H2935&lt;&gt;0,H2935&lt;&gt;1)),"Flags devem ser 0 ou 1",IF(AND(H2935=1,LEN(TRIM(I2935))=0),"Preencher nome do indicante",IF(AND(H2935&lt;&gt;1,I2935&lt;&gt;""),"Nome sem indicação interna",IF(AND(G2935=1,F2935=""),"Fechamento sem conversa",IF(OR(AND(E2935&lt;&gt;"",E2935&lt;B2935),AND(F2935&lt;&gt;"",F2935&lt;B2935)),"Evento anterior à entrada",IF(AND(F2935&lt;&gt;"",E2935=""),"Conversa sem agendamento",IF(OR(E2935&gt;TODAY(),F2935&gt;TODAY()),"Verificar evento futuro","OK"))))))))))</f>
        <v/>
      </c>
    </row>
    <row r="2936" spans="12:15">
      <c r="L2936" s="5">
        <f>IF(OR(A2936="",B2936=""),"",B2936-WEEKDAY(B2936,2)+1)</f>
        <v/>
      </c>
      <c r="M2936" s="5">
        <f>IF(L2936="","",L2936+6)</f>
        <v/>
      </c>
      <c r="N2936" s="6">
        <f>IF(OR(A2936="",B2936=""),"",DATE(YEAR(B2936),MONTH(B2936),1))</f>
        <v/>
      </c>
      <c r="O2936" s="7">
        <f>IF(COUNTA(A2936:K2936)=0,"",IF(OR(A2936="",B2936=""),"Preencher CPF e entrada",IF(COUNTIFS($A$12:$A$5011,A2936,$B$12:$B$5011,B2936)&gt;1,"CPF + dia duplicado",IF(OR(AND(G2936&lt;&gt;"",G2936&lt;&gt;0,G2936&lt;&gt;1),AND(H2936&lt;&gt;"",H2936&lt;&gt;0,H2936&lt;&gt;1)),"Flags devem ser 0 ou 1",IF(AND(H2936=1,LEN(TRIM(I2936))=0),"Preencher nome do indicante",IF(AND(H2936&lt;&gt;1,I2936&lt;&gt;""),"Nome sem indicação interna",IF(AND(G2936=1,F2936=""),"Fechamento sem conversa",IF(OR(AND(E2936&lt;&gt;"",E2936&lt;B2936),AND(F2936&lt;&gt;"",F2936&lt;B2936)),"Evento anterior à entrada",IF(AND(F2936&lt;&gt;"",E2936=""),"Conversa sem agendamento",IF(OR(E2936&gt;TODAY(),F2936&gt;TODAY()),"Verificar evento futuro","OK"))))))))))</f>
        <v/>
      </c>
    </row>
    <row r="2937" spans="12:15">
      <c r="L2937" s="5">
        <f>IF(OR(A2937="",B2937=""),"",B2937-WEEKDAY(B2937,2)+1)</f>
        <v/>
      </c>
      <c r="M2937" s="5">
        <f>IF(L2937="","",L2937+6)</f>
        <v/>
      </c>
      <c r="N2937" s="6">
        <f>IF(OR(A2937="",B2937=""),"",DATE(YEAR(B2937),MONTH(B2937),1))</f>
        <v/>
      </c>
      <c r="O2937" s="7">
        <f>IF(COUNTA(A2937:K2937)=0,"",IF(OR(A2937="",B2937=""),"Preencher CPF e entrada",IF(COUNTIFS($A$12:$A$5011,A2937,$B$12:$B$5011,B2937)&gt;1,"CPF + dia duplicado",IF(OR(AND(G2937&lt;&gt;"",G2937&lt;&gt;0,G2937&lt;&gt;1),AND(H2937&lt;&gt;"",H2937&lt;&gt;0,H2937&lt;&gt;1)),"Flags devem ser 0 ou 1",IF(AND(H2937=1,LEN(TRIM(I2937))=0),"Preencher nome do indicante",IF(AND(H2937&lt;&gt;1,I2937&lt;&gt;""),"Nome sem indicação interna",IF(AND(G2937=1,F2937=""),"Fechamento sem conversa",IF(OR(AND(E2937&lt;&gt;"",E2937&lt;B2937),AND(F2937&lt;&gt;"",F2937&lt;B2937)),"Evento anterior à entrada",IF(AND(F2937&lt;&gt;"",E2937=""),"Conversa sem agendamento",IF(OR(E2937&gt;TODAY(),F2937&gt;TODAY()),"Verificar evento futuro","OK"))))))))))</f>
        <v/>
      </c>
    </row>
    <row r="2938" spans="12:15">
      <c r="L2938" s="5">
        <f>IF(OR(A2938="",B2938=""),"",B2938-WEEKDAY(B2938,2)+1)</f>
        <v/>
      </c>
      <c r="M2938" s="5">
        <f>IF(L2938="","",L2938+6)</f>
        <v/>
      </c>
      <c r="N2938" s="6">
        <f>IF(OR(A2938="",B2938=""),"",DATE(YEAR(B2938),MONTH(B2938),1))</f>
        <v/>
      </c>
      <c r="O2938" s="7">
        <f>IF(COUNTA(A2938:K2938)=0,"",IF(OR(A2938="",B2938=""),"Preencher CPF e entrada",IF(COUNTIFS($A$12:$A$5011,A2938,$B$12:$B$5011,B2938)&gt;1,"CPF + dia duplicado",IF(OR(AND(G2938&lt;&gt;"",G2938&lt;&gt;0,G2938&lt;&gt;1),AND(H2938&lt;&gt;"",H2938&lt;&gt;0,H2938&lt;&gt;1)),"Flags devem ser 0 ou 1",IF(AND(H2938=1,LEN(TRIM(I2938))=0),"Preencher nome do indicante",IF(AND(H2938&lt;&gt;1,I2938&lt;&gt;""),"Nome sem indicação interna",IF(AND(G2938=1,F2938=""),"Fechamento sem conversa",IF(OR(AND(E2938&lt;&gt;"",E2938&lt;B2938),AND(F2938&lt;&gt;"",F2938&lt;B2938)),"Evento anterior à entrada",IF(AND(F2938&lt;&gt;"",E2938=""),"Conversa sem agendamento",IF(OR(E2938&gt;TODAY(),F2938&gt;TODAY()),"Verificar evento futuro","OK"))))))))))</f>
        <v/>
      </c>
    </row>
    <row r="2939" spans="12:15">
      <c r="L2939" s="5">
        <f>IF(OR(A2939="",B2939=""),"",B2939-WEEKDAY(B2939,2)+1)</f>
        <v/>
      </c>
      <c r="M2939" s="5">
        <f>IF(L2939="","",L2939+6)</f>
        <v/>
      </c>
      <c r="N2939" s="6">
        <f>IF(OR(A2939="",B2939=""),"",DATE(YEAR(B2939),MONTH(B2939),1))</f>
        <v/>
      </c>
      <c r="O2939" s="7">
        <f>IF(COUNTA(A2939:K2939)=0,"",IF(OR(A2939="",B2939=""),"Preencher CPF e entrada",IF(COUNTIFS($A$12:$A$5011,A2939,$B$12:$B$5011,B2939)&gt;1,"CPF + dia duplicado",IF(OR(AND(G2939&lt;&gt;"",G2939&lt;&gt;0,G2939&lt;&gt;1),AND(H2939&lt;&gt;"",H2939&lt;&gt;0,H2939&lt;&gt;1)),"Flags devem ser 0 ou 1",IF(AND(H2939=1,LEN(TRIM(I2939))=0),"Preencher nome do indicante",IF(AND(H2939&lt;&gt;1,I2939&lt;&gt;""),"Nome sem indicação interna",IF(AND(G2939=1,F2939=""),"Fechamento sem conversa",IF(OR(AND(E2939&lt;&gt;"",E2939&lt;B2939),AND(F2939&lt;&gt;"",F2939&lt;B2939)),"Evento anterior à entrada",IF(AND(F2939&lt;&gt;"",E2939=""),"Conversa sem agendamento",IF(OR(E2939&gt;TODAY(),F2939&gt;TODAY()),"Verificar evento futuro","OK"))))))))))</f>
        <v/>
      </c>
    </row>
    <row r="2940" spans="12:15">
      <c r="L2940" s="5">
        <f>IF(OR(A2940="",B2940=""),"",B2940-WEEKDAY(B2940,2)+1)</f>
        <v/>
      </c>
      <c r="M2940" s="5">
        <f>IF(L2940="","",L2940+6)</f>
        <v/>
      </c>
      <c r="N2940" s="6">
        <f>IF(OR(A2940="",B2940=""),"",DATE(YEAR(B2940),MONTH(B2940),1))</f>
        <v/>
      </c>
      <c r="O2940" s="7">
        <f>IF(COUNTA(A2940:K2940)=0,"",IF(OR(A2940="",B2940=""),"Preencher CPF e entrada",IF(COUNTIFS($A$12:$A$5011,A2940,$B$12:$B$5011,B2940)&gt;1,"CPF + dia duplicado",IF(OR(AND(G2940&lt;&gt;"",G2940&lt;&gt;0,G2940&lt;&gt;1),AND(H2940&lt;&gt;"",H2940&lt;&gt;0,H2940&lt;&gt;1)),"Flags devem ser 0 ou 1",IF(AND(H2940=1,LEN(TRIM(I2940))=0),"Preencher nome do indicante",IF(AND(H2940&lt;&gt;1,I2940&lt;&gt;""),"Nome sem indicação interna",IF(AND(G2940=1,F2940=""),"Fechamento sem conversa",IF(OR(AND(E2940&lt;&gt;"",E2940&lt;B2940),AND(F2940&lt;&gt;"",F2940&lt;B2940)),"Evento anterior à entrada",IF(AND(F2940&lt;&gt;"",E2940=""),"Conversa sem agendamento",IF(OR(E2940&gt;TODAY(),F2940&gt;TODAY()),"Verificar evento futuro","OK"))))))))))</f>
        <v/>
      </c>
    </row>
    <row r="2941" spans="12:15">
      <c r="L2941" s="5">
        <f>IF(OR(A2941="",B2941=""),"",B2941-WEEKDAY(B2941,2)+1)</f>
        <v/>
      </c>
      <c r="M2941" s="5">
        <f>IF(L2941="","",L2941+6)</f>
        <v/>
      </c>
      <c r="N2941" s="6">
        <f>IF(OR(A2941="",B2941=""),"",DATE(YEAR(B2941),MONTH(B2941),1))</f>
        <v/>
      </c>
      <c r="O2941" s="7">
        <f>IF(COUNTA(A2941:K2941)=0,"",IF(OR(A2941="",B2941=""),"Preencher CPF e entrada",IF(COUNTIFS($A$12:$A$5011,A2941,$B$12:$B$5011,B2941)&gt;1,"CPF + dia duplicado",IF(OR(AND(G2941&lt;&gt;"",G2941&lt;&gt;0,G2941&lt;&gt;1),AND(H2941&lt;&gt;"",H2941&lt;&gt;0,H2941&lt;&gt;1)),"Flags devem ser 0 ou 1",IF(AND(H2941=1,LEN(TRIM(I2941))=0),"Preencher nome do indicante",IF(AND(H2941&lt;&gt;1,I2941&lt;&gt;""),"Nome sem indicação interna",IF(AND(G2941=1,F2941=""),"Fechamento sem conversa",IF(OR(AND(E2941&lt;&gt;"",E2941&lt;B2941),AND(F2941&lt;&gt;"",F2941&lt;B2941)),"Evento anterior à entrada",IF(AND(F2941&lt;&gt;"",E2941=""),"Conversa sem agendamento",IF(OR(E2941&gt;TODAY(),F2941&gt;TODAY()),"Verificar evento futuro","OK"))))))))))</f>
        <v/>
      </c>
    </row>
    <row r="2942" spans="12:15">
      <c r="L2942" s="5">
        <f>IF(OR(A2942="",B2942=""),"",B2942-WEEKDAY(B2942,2)+1)</f>
        <v/>
      </c>
      <c r="M2942" s="5">
        <f>IF(L2942="","",L2942+6)</f>
        <v/>
      </c>
      <c r="N2942" s="6">
        <f>IF(OR(A2942="",B2942=""),"",DATE(YEAR(B2942),MONTH(B2942),1))</f>
        <v/>
      </c>
      <c r="O2942" s="7">
        <f>IF(COUNTA(A2942:K2942)=0,"",IF(OR(A2942="",B2942=""),"Preencher CPF e entrada",IF(COUNTIFS($A$12:$A$5011,A2942,$B$12:$B$5011,B2942)&gt;1,"CPF + dia duplicado",IF(OR(AND(G2942&lt;&gt;"",G2942&lt;&gt;0,G2942&lt;&gt;1),AND(H2942&lt;&gt;"",H2942&lt;&gt;0,H2942&lt;&gt;1)),"Flags devem ser 0 ou 1",IF(AND(H2942=1,LEN(TRIM(I2942))=0),"Preencher nome do indicante",IF(AND(H2942&lt;&gt;1,I2942&lt;&gt;""),"Nome sem indicação interna",IF(AND(G2942=1,F2942=""),"Fechamento sem conversa",IF(OR(AND(E2942&lt;&gt;"",E2942&lt;B2942),AND(F2942&lt;&gt;"",F2942&lt;B2942)),"Evento anterior à entrada",IF(AND(F2942&lt;&gt;"",E2942=""),"Conversa sem agendamento",IF(OR(E2942&gt;TODAY(),F2942&gt;TODAY()),"Verificar evento futuro","OK"))))))))))</f>
        <v/>
      </c>
    </row>
    <row r="2943" spans="12:15">
      <c r="L2943" s="5">
        <f>IF(OR(A2943="",B2943=""),"",B2943-WEEKDAY(B2943,2)+1)</f>
        <v/>
      </c>
      <c r="M2943" s="5">
        <f>IF(L2943="","",L2943+6)</f>
        <v/>
      </c>
      <c r="N2943" s="6">
        <f>IF(OR(A2943="",B2943=""),"",DATE(YEAR(B2943),MONTH(B2943),1))</f>
        <v/>
      </c>
      <c r="O2943" s="7">
        <f>IF(COUNTA(A2943:K2943)=0,"",IF(OR(A2943="",B2943=""),"Preencher CPF e entrada",IF(COUNTIFS($A$12:$A$5011,A2943,$B$12:$B$5011,B2943)&gt;1,"CPF + dia duplicado",IF(OR(AND(G2943&lt;&gt;"",G2943&lt;&gt;0,G2943&lt;&gt;1),AND(H2943&lt;&gt;"",H2943&lt;&gt;0,H2943&lt;&gt;1)),"Flags devem ser 0 ou 1",IF(AND(H2943=1,LEN(TRIM(I2943))=0),"Preencher nome do indicante",IF(AND(H2943&lt;&gt;1,I2943&lt;&gt;""),"Nome sem indicação interna",IF(AND(G2943=1,F2943=""),"Fechamento sem conversa",IF(OR(AND(E2943&lt;&gt;"",E2943&lt;B2943),AND(F2943&lt;&gt;"",F2943&lt;B2943)),"Evento anterior à entrada",IF(AND(F2943&lt;&gt;"",E2943=""),"Conversa sem agendamento",IF(OR(E2943&gt;TODAY(),F2943&gt;TODAY()),"Verificar evento futuro","OK"))))))))))</f>
        <v/>
      </c>
    </row>
    <row r="2944" spans="12:15">
      <c r="L2944" s="5">
        <f>IF(OR(A2944="",B2944=""),"",B2944-WEEKDAY(B2944,2)+1)</f>
        <v/>
      </c>
      <c r="M2944" s="5">
        <f>IF(L2944="","",L2944+6)</f>
        <v/>
      </c>
      <c r="N2944" s="6">
        <f>IF(OR(A2944="",B2944=""),"",DATE(YEAR(B2944),MONTH(B2944),1))</f>
        <v/>
      </c>
      <c r="O2944" s="7">
        <f>IF(COUNTA(A2944:K2944)=0,"",IF(OR(A2944="",B2944=""),"Preencher CPF e entrada",IF(COUNTIFS($A$12:$A$5011,A2944,$B$12:$B$5011,B2944)&gt;1,"CPF + dia duplicado",IF(OR(AND(G2944&lt;&gt;"",G2944&lt;&gt;0,G2944&lt;&gt;1),AND(H2944&lt;&gt;"",H2944&lt;&gt;0,H2944&lt;&gt;1)),"Flags devem ser 0 ou 1",IF(AND(H2944=1,LEN(TRIM(I2944))=0),"Preencher nome do indicante",IF(AND(H2944&lt;&gt;1,I2944&lt;&gt;""),"Nome sem indicação interna",IF(AND(G2944=1,F2944=""),"Fechamento sem conversa",IF(OR(AND(E2944&lt;&gt;"",E2944&lt;B2944),AND(F2944&lt;&gt;"",F2944&lt;B2944)),"Evento anterior à entrada",IF(AND(F2944&lt;&gt;"",E2944=""),"Conversa sem agendamento",IF(OR(E2944&gt;TODAY(),F2944&gt;TODAY()),"Verificar evento futuro","OK"))))))))))</f>
        <v/>
      </c>
    </row>
    <row r="2945" spans="12:15">
      <c r="L2945" s="5">
        <f>IF(OR(A2945="",B2945=""),"",B2945-WEEKDAY(B2945,2)+1)</f>
        <v/>
      </c>
      <c r="M2945" s="5">
        <f>IF(L2945="","",L2945+6)</f>
        <v/>
      </c>
      <c r="N2945" s="6">
        <f>IF(OR(A2945="",B2945=""),"",DATE(YEAR(B2945),MONTH(B2945),1))</f>
        <v/>
      </c>
      <c r="O2945" s="7">
        <f>IF(COUNTA(A2945:K2945)=0,"",IF(OR(A2945="",B2945=""),"Preencher CPF e entrada",IF(COUNTIFS($A$12:$A$5011,A2945,$B$12:$B$5011,B2945)&gt;1,"CPF + dia duplicado",IF(OR(AND(G2945&lt;&gt;"",G2945&lt;&gt;0,G2945&lt;&gt;1),AND(H2945&lt;&gt;"",H2945&lt;&gt;0,H2945&lt;&gt;1)),"Flags devem ser 0 ou 1",IF(AND(H2945=1,LEN(TRIM(I2945))=0),"Preencher nome do indicante",IF(AND(H2945&lt;&gt;1,I2945&lt;&gt;""),"Nome sem indicação interna",IF(AND(G2945=1,F2945=""),"Fechamento sem conversa",IF(OR(AND(E2945&lt;&gt;"",E2945&lt;B2945),AND(F2945&lt;&gt;"",F2945&lt;B2945)),"Evento anterior à entrada",IF(AND(F2945&lt;&gt;"",E2945=""),"Conversa sem agendamento",IF(OR(E2945&gt;TODAY(),F2945&gt;TODAY()),"Verificar evento futuro","OK"))))))))))</f>
        <v/>
      </c>
    </row>
    <row r="2946" spans="12:15">
      <c r="L2946" s="5">
        <f>IF(OR(A2946="",B2946=""),"",B2946-WEEKDAY(B2946,2)+1)</f>
        <v/>
      </c>
      <c r="M2946" s="5">
        <f>IF(L2946="","",L2946+6)</f>
        <v/>
      </c>
      <c r="N2946" s="6">
        <f>IF(OR(A2946="",B2946=""),"",DATE(YEAR(B2946),MONTH(B2946),1))</f>
        <v/>
      </c>
      <c r="O2946" s="7">
        <f>IF(COUNTA(A2946:K2946)=0,"",IF(OR(A2946="",B2946=""),"Preencher CPF e entrada",IF(COUNTIFS($A$12:$A$5011,A2946,$B$12:$B$5011,B2946)&gt;1,"CPF + dia duplicado",IF(OR(AND(G2946&lt;&gt;"",G2946&lt;&gt;0,G2946&lt;&gt;1),AND(H2946&lt;&gt;"",H2946&lt;&gt;0,H2946&lt;&gt;1)),"Flags devem ser 0 ou 1",IF(AND(H2946=1,LEN(TRIM(I2946))=0),"Preencher nome do indicante",IF(AND(H2946&lt;&gt;1,I2946&lt;&gt;""),"Nome sem indicação interna",IF(AND(G2946=1,F2946=""),"Fechamento sem conversa",IF(OR(AND(E2946&lt;&gt;"",E2946&lt;B2946),AND(F2946&lt;&gt;"",F2946&lt;B2946)),"Evento anterior à entrada",IF(AND(F2946&lt;&gt;"",E2946=""),"Conversa sem agendamento",IF(OR(E2946&gt;TODAY(),F2946&gt;TODAY()),"Verificar evento futuro","OK"))))))))))</f>
        <v/>
      </c>
    </row>
    <row r="2947" spans="12:15">
      <c r="L2947" s="5">
        <f>IF(OR(A2947="",B2947=""),"",B2947-WEEKDAY(B2947,2)+1)</f>
        <v/>
      </c>
      <c r="M2947" s="5">
        <f>IF(L2947="","",L2947+6)</f>
        <v/>
      </c>
      <c r="N2947" s="6">
        <f>IF(OR(A2947="",B2947=""),"",DATE(YEAR(B2947),MONTH(B2947),1))</f>
        <v/>
      </c>
      <c r="O2947" s="7">
        <f>IF(COUNTA(A2947:K2947)=0,"",IF(OR(A2947="",B2947=""),"Preencher CPF e entrada",IF(COUNTIFS($A$12:$A$5011,A2947,$B$12:$B$5011,B2947)&gt;1,"CPF + dia duplicado",IF(OR(AND(G2947&lt;&gt;"",G2947&lt;&gt;0,G2947&lt;&gt;1),AND(H2947&lt;&gt;"",H2947&lt;&gt;0,H2947&lt;&gt;1)),"Flags devem ser 0 ou 1",IF(AND(H2947=1,LEN(TRIM(I2947))=0),"Preencher nome do indicante",IF(AND(H2947&lt;&gt;1,I2947&lt;&gt;""),"Nome sem indicação interna",IF(AND(G2947=1,F2947=""),"Fechamento sem conversa",IF(OR(AND(E2947&lt;&gt;"",E2947&lt;B2947),AND(F2947&lt;&gt;"",F2947&lt;B2947)),"Evento anterior à entrada",IF(AND(F2947&lt;&gt;"",E2947=""),"Conversa sem agendamento",IF(OR(E2947&gt;TODAY(),F2947&gt;TODAY()),"Verificar evento futuro","OK"))))))))))</f>
        <v/>
      </c>
    </row>
    <row r="2948" spans="12:15">
      <c r="L2948" s="5">
        <f>IF(OR(A2948="",B2948=""),"",B2948-WEEKDAY(B2948,2)+1)</f>
        <v/>
      </c>
      <c r="M2948" s="5">
        <f>IF(L2948="","",L2948+6)</f>
        <v/>
      </c>
      <c r="N2948" s="6">
        <f>IF(OR(A2948="",B2948=""),"",DATE(YEAR(B2948),MONTH(B2948),1))</f>
        <v/>
      </c>
      <c r="O2948" s="7">
        <f>IF(COUNTA(A2948:K2948)=0,"",IF(OR(A2948="",B2948=""),"Preencher CPF e entrada",IF(COUNTIFS($A$12:$A$5011,A2948,$B$12:$B$5011,B2948)&gt;1,"CPF + dia duplicado",IF(OR(AND(G2948&lt;&gt;"",G2948&lt;&gt;0,G2948&lt;&gt;1),AND(H2948&lt;&gt;"",H2948&lt;&gt;0,H2948&lt;&gt;1)),"Flags devem ser 0 ou 1",IF(AND(H2948=1,LEN(TRIM(I2948))=0),"Preencher nome do indicante",IF(AND(H2948&lt;&gt;1,I2948&lt;&gt;""),"Nome sem indicação interna",IF(AND(G2948=1,F2948=""),"Fechamento sem conversa",IF(OR(AND(E2948&lt;&gt;"",E2948&lt;B2948),AND(F2948&lt;&gt;"",F2948&lt;B2948)),"Evento anterior à entrada",IF(AND(F2948&lt;&gt;"",E2948=""),"Conversa sem agendamento",IF(OR(E2948&gt;TODAY(),F2948&gt;TODAY()),"Verificar evento futuro","OK"))))))))))</f>
        <v/>
      </c>
    </row>
    <row r="2949" spans="12:15">
      <c r="L2949" s="5">
        <f>IF(OR(A2949="",B2949=""),"",B2949-WEEKDAY(B2949,2)+1)</f>
        <v/>
      </c>
      <c r="M2949" s="5">
        <f>IF(L2949="","",L2949+6)</f>
        <v/>
      </c>
      <c r="N2949" s="6">
        <f>IF(OR(A2949="",B2949=""),"",DATE(YEAR(B2949),MONTH(B2949),1))</f>
        <v/>
      </c>
      <c r="O2949" s="7">
        <f>IF(COUNTA(A2949:K2949)=0,"",IF(OR(A2949="",B2949=""),"Preencher CPF e entrada",IF(COUNTIFS($A$12:$A$5011,A2949,$B$12:$B$5011,B2949)&gt;1,"CPF + dia duplicado",IF(OR(AND(G2949&lt;&gt;"",G2949&lt;&gt;0,G2949&lt;&gt;1),AND(H2949&lt;&gt;"",H2949&lt;&gt;0,H2949&lt;&gt;1)),"Flags devem ser 0 ou 1",IF(AND(H2949=1,LEN(TRIM(I2949))=0),"Preencher nome do indicante",IF(AND(H2949&lt;&gt;1,I2949&lt;&gt;""),"Nome sem indicação interna",IF(AND(G2949=1,F2949=""),"Fechamento sem conversa",IF(OR(AND(E2949&lt;&gt;"",E2949&lt;B2949),AND(F2949&lt;&gt;"",F2949&lt;B2949)),"Evento anterior à entrada",IF(AND(F2949&lt;&gt;"",E2949=""),"Conversa sem agendamento",IF(OR(E2949&gt;TODAY(),F2949&gt;TODAY()),"Verificar evento futuro","OK"))))))))))</f>
        <v/>
      </c>
    </row>
    <row r="2950" spans="12:15">
      <c r="L2950" s="5">
        <f>IF(OR(A2950="",B2950=""),"",B2950-WEEKDAY(B2950,2)+1)</f>
        <v/>
      </c>
      <c r="M2950" s="5">
        <f>IF(L2950="","",L2950+6)</f>
        <v/>
      </c>
      <c r="N2950" s="6">
        <f>IF(OR(A2950="",B2950=""),"",DATE(YEAR(B2950),MONTH(B2950),1))</f>
        <v/>
      </c>
      <c r="O2950" s="7">
        <f>IF(COUNTA(A2950:K2950)=0,"",IF(OR(A2950="",B2950=""),"Preencher CPF e entrada",IF(COUNTIFS($A$12:$A$5011,A2950,$B$12:$B$5011,B2950)&gt;1,"CPF + dia duplicado",IF(OR(AND(G2950&lt;&gt;"",G2950&lt;&gt;0,G2950&lt;&gt;1),AND(H2950&lt;&gt;"",H2950&lt;&gt;0,H2950&lt;&gt;1)),"Flags devem ser 0 ou 1",IF(AND(H2950=1,LEN(TRIM(I2950))=0),"Preencher nome do indicante",IF(AND(H2950&lt;&gt;1,I2950&lt;&gt;""),"Nome sem indicação interna",IF(AND(G2950=1,F2950=""),"Fechamento sem conversa",IF(OR(AND(E2950&lt;&gt;"",E2950&lt;B2950),AND(F2950&lt;&gt;"",F2950&lt;B2950)),"Evento anterior à entrada",IF(AND(F2950&lt;&gt;"",E2950=""),"Conversa sem agendamento",IF(OR(E2950&gt;TODAY(),F2950&gt;TODAY()),"Verificar evento futuro","OK"))))))))))</f>
        <v/>
      </c>
    </row>
    <row r="2951" spans="12:15">
      <c r="L2951" s="5">
        <f>IF(OR(A2951="",B2951=""),"",B2951-WEEKDAY(B2951,2)+1)</f>
        <v/>
      </c>
      <c r="M2951" s="5">
        <f>IF(L2951="","",L2951+6)</f>
        <v/>
      </c>
      <c r="N2951" s="6">
        <f>IF(OR(A2951="",B2951=""),"",DATE(YEAR(B2951),MONTH(B2951),1))</f>
        <v/>
      </c>
      <c r="O2951" s="7">
        <f>IF(COUNTA(A2951:K2951)=0,"",IF(OR(A2951="",B2951=""),"Preencher CPF e entrada",IF(COUNTIFS($A$12:$A$5011,A2951,$B$12:$B$5011,B2951)&gt;1,"CPF + dia duplicado",IF(OR(AND(G2951&lt;&gt;"",G2951&lt;&gt;0,G2951&lt;&gt;1),AND(H2951&lt;&gt;"",H2951&lt;&gt;0,H2951&lt;&gt;1)),"Flags devem ser 0 ou 1",IF(AND(H2951=1,LEN(TRIM(I2951))=0),"Preencher nome do indicante",IF(AND(H2951&lt;&gt;1,I2951&lt;&gt;""),"Nome sem indicação interna",IF(AND(G2951=1,F2951=""),"Fechamento sem conversa",IF(OR(AND(E2951&lt;&gt;"",E2951&lt;B2951),AND(F2951&lt;&gt;"",F2951&lt;B2951)),"Evento anterior à entrada",IF(AND(F2951&lt;&gt;"",E2951=""),"Conversa sem agendamento",IF(OR(E2951&gt;TODAY(),F2951&gt;TODAY()),"Verificar evento futuro","OK"))))))))))</f>
        <v/>
      </c>
    </row>
    <row r="2952" spans="12:15">
      <c r="L2952" s="5">
        <f>IF(OR(A2952="",B2952=""),"",B2952-WEEKDAY(B2952,2)+1)</f>
        <v/>
      </c>
      <c r="M2952" s="5">
        <f>IF(L2952="","",L2952+6)</f>
        <v/>
      </c>
      <c r="N2952" s="6">
        <f>IF(OR(A2952="",B2952=""),"",DATE(YEAR(B2952),MONTH(B2952),1))</f>
        <v/>
      </c>
      <c r="O2952" s="7">
        <f>IF(COUNTA(A2952:K2952)=0,"",IF(OR(A2952="",B2952=""),"Preencher CPF e entrada",IF(COUNTIFS($A$12:$A$5011,A2952,$B$12:$B$5011,B2952)&gt;1,"CPF + dia duplicado",IF(OR(AND(G2952&lt;&gt;"",G2952&lt;&gt;0,G2952&lt;&gt;1),AND(H2952&lt;&gt;"",H2952&lt;&gt;0,H2952&lt;&gt;1)),"Flags devem ser 0 ou 1",IF(AND(H2952=1,LEN(TRIM(I2952))=0),"Preencher nome do indicante",IF(AND(H2952&lt;&gt;1,I2952&lt;&gt;""),"Nome sem indicação interna",IF(AND(G2952=1,F2952=""),"Fechamento sem conversa",IF(OR(AND(E2952&lt;&gt;"",E2952&lt;B2952),AND(F2952&lt;&gt;"",F2952&lt;B2952)),"Evento anterior à entrada",IF(AND(F2952&lt;&gt;"",E2952=""),"Conversa sem agendamento",IF(OR(E2952&gt;TODAY(),F2952&gt;TODAY()),"Verificar evento futuro","OK"))))))))))</f>
        <v/>
      </c>
    </row>
    <row r="2953" spans="12:15">
      <c r="L2953" s="5">
        <f>IF(OR(A2953="",B2953=""),"",B2953-WEEKDAY(B2953,2)+1)</f>
        <v/>
      </c>
      <c r="M2953" s="5">
        <f>IF(L2953="","",L2953+6)</f>
        <v/>
      </c>
      <c r="N2953" s="6">
        <f>IF(OR(A2953="",B2953=""),"",DATE(YEAR(B2953),MONTH(B2953),1))</f>
        <v/>
      </c>
      <c r="O2953" s="7">
        <f>IF(COUNTA(A2953:K2953)=0,"",IF(OR(A2953="",B2953=""),"Preencher CPF e entrada",IF(COUNTIFS($A$12:$A$5011,A2953,$B$12:$B$5011,B2953)&gt;1,"CPF + dia duplicado",IF(OR(AND(G2953&lt;&gt;"",G2953&lt;&gt;0,G2953&lt;&gt;1),AND(H2953&lt;&gt;"",H2953&lt;&gt;0,H2953&lt;&gt;1)),"Flags devem ser 0 ou 1",IF(AND(H2953=1,LEN(TRIM(I2953))=0),"Preencher nome do indicante",IF(AND(H2953&lt;&gt;1,I2953&lt;&gt;""),"Nome sem indicação interna",IF(AND(G2953=1,F2953=""),"Fechamento sem conversa",IF(OR(AND(E2953&lt;&gt;"",E2953&lt;B2953),AND(F2953&lt;&gt;"",F2953&lt;B2953)),"Evento anterior à entrada",IF(AND(F2953&lt;&gt;"",E2953=""),"Conversa sem agendamento",IF(OR(E2953&gt;TODAY(),F2953&gt;TODAY()),"Verificar evento futuro","OK"))))))))))</f>
        <v/>
      </c>
    </row>
    <row r="2954" spans="12:15">
      <c r="L2954" s="5">
        <f>IF(OR(A2954="",B2954=""),"",B2954-WEEKDAY(B2954,2)+1)</f>
        <v/>
      </c>
      <c r="M2954" s="5">
        <f>IF(L2954="","",L2954+6)</f>
        <v/>
      </c>
      <c r="N2954" s="6">
        <f>IF(OR(A2954="",B2954=""),"",DATE(YEAR(B2954),MONTH(B2954),1))</f>
        <v/>
      </c>
      <c r="O2954" s="7">
        <f>IF(COUNTA(A2954:K2954)=0,"",IF(OR(A2954="",B2954=""),"Preencher CPF e entrada",IF(COUNTIFS($A$12:$A$5011,A2954,$B$12:$B$5011,B2954)&gt;1,"CPF + dia duplicado",IF(OR(AND(G2954&lt;&gt;"",G2954&lt;&gt;0,G2954&lt;&gt;1),AND(H2954&lt;&gt;"",H2954&lt;&gt;0,H2954&lt;&gt;1)),"Flags devem ser 0 ou 1",IF(AND(H2954=1,LEN(TRIM(I2954))=0),"Preencher nome do indicante",IF(AND(H2954&lt;&gt;1,I2954&lt;&gt;""),"Nome sem indicação interna",IF(AND(G2954=1,F2954=""),"Fechamento sem conversa",IF(OR(AND(E2954&lt;&gt;"",E2954&lt;B2954),AND(F2954&lt;&gt;"",F2954&lt;B2954)),"Evento anterior à entrada",IF(AND(F2954&lt;&gt;"",E2954=""),"Conversa sem agendamento",IF(OR(E2954&gt;TODAY(),F2954&gt;TODAY()),"Verificar evento futuro","OK"))))))))))</f>
        <v/>
      </c>
    </row>
    <row r="2955" spans="12:15">
      <c r="L2955" s="5">
        <f>IF(OR(A2955="",B2955=""),"",B2955-WEEKDAY(B2955,2)+1)</f>
        <v/>
      </c>
      <c r="M2955" s="5">
        <f>IF(L2955="","",L2955+6)</f>
        <v/>
      </c>
      <c r="N2955" s="6">
        <f>IF(OR(A2955="",B2955=""),"",DATE(YEAR(B2955),MONTH(B2955),1))</f>
        <v/>
      </c>
      <c r="O2955" s="7">
        <f>IF(COUNTA(A2955:K2955)=0,"",IF(OR(A2955="",B2955=""),"Preencher CPF e entrada",IF(COUNTIFS($A$12:$A$5011,A2955,$B$12:$B$5011,B2955)&gt;1,"CPF + dia duplicado",IF(OR(AND(G2955&lt;&gt;"",G2955&lt;&gt;0,G2955&lt;&gt;1),AND(H2955&lt;&gt;"",H2955&lt;&gt;0,H2955&lt;&gt;1)),"Flags devem ser 0 ou 1",IF(AND(H2955=1,LEN(TRIM(I2955))=0),"Preencher nome do indicante",IF(AND(H2955&lt;&gt;1,I2955&lt;&gt;""),"Nome sem indicação interna",IF(AND(G2955=1,F2955=""),"Fechamento sem conversa",IF(OR(AND(E2955&lt;&gt;"",E2955&lt;B2955),AND(F2955&lt;&gt;"",F2955&lt;B2955)),"Evento anterior à entrada",IF(AND(F2955&lt;&gt;"",E2955=""),"Conversa sem agendamento",IF(OR(E2955&gt;TODAY(),F2955&gt;TODAY()),"Verificar evento futuro","OK"))))))))))</f>
        <v/>
      </c>
    </row>
    <row r="2956" spans="12:15">
      <c r="L2956" s="5">
        <f>IF(OR(A2956="",B2956=""),"",B2956-WEEKDAY(B2956,2)+1)</f>
        <v/>
      </c>
      <c r="M2956" s="5">
        <f>IF(L2956="","",L2956+6)</f>
        <v/>
      </c>
      <c r="N2956" s="6">
        <f>IF(OR(A2956="",B2956=""),"",DATE(YEAR(B2956),MONTH(B2956),1))</f>
        <v/>
      </c>
      <c r="O2956" s="7">
        <f>IF(COUNTA(A2956:K2956)=0,"",IF(OR(A2956="",B2956=""),"Preencher CPF e entrada",IF(COUNTIFS($A$12:$A$5011,A2956,$B$12:$B$5011,B2956)&gt;1,"CPF + dia duplicado",IF(OR(AND(G2956&lt;&gt;"",G2956&lt;&gt;0,G2956&lt;&gt;1),AND(H2956&lt;&gt;"",H2956&lt;&gt;0,H2956&lt;&gt;1)),"Flags devem ser 0 ou 1",IF(AND(H2956=1,LEN(TRIM(I2956))=0),"Preencher nome do indicante",IF(AND(H2956&lt;&gt;1,I2956&lt;&gt;""),"Nome sem indicação interna",IF(AND(G2956=1,F2956=""),"Fechamento sem conversa",IF(OR(AND(E2956&lt;&gt;"",E2956&lt;B2956),AND(F2956&lt;&gt;"",F2956&lt;B2956)),"Evento anterior à entrada",IF(AND(F2956&lt;&gt;"",E2956=""),"Conversa sem agendamento",IF(OR(E2956&gt;TODAY(),F2956&gt;TODAY()),"Verificar evento futuro","OK"))))))))))</f>
        <v/>
      </c>
    </row>
    <row r="2957" spans="12:15">
      <c r="L2957" s="5">
        <f>IF(OR(A2957="",B2957=""),"",B2957-WEEKDAY(B2957,2)+1)</f>
        <v/>
      </c>
      <c r="M2957" s="5">
        <f>IF(L2957="","",L2957+6)</f>
        <v/>
      </c>
      <c r="N2957" s="6">
        <f>IF(OR(A2957="",B2957=""),"",DATE(YEAR(B2957),MONTH(B2957),1))</f>
        <v/>
      </c>
      <c r="O2957" s="7">
        <f>IF(COUNTA(A2957:K2957)=0,"",IF(OR(A2957="",B2957=""),"Preencher CPF e entrada",IF(COUNTIFS($A$12:$A$5011,A2957,$B$12:$B$5011,B2957)&gt;1,"CPF + dia duplicado",IF(OR(AND(G2957&lt;&gt;"",G2957&lt;&gt;0,G2957&lt;&gt;1),AND(H2957&lt;&gt;"",H2957&lt;&gt;0,H2957&lt;&gt;1)),"Flags devem ser 0 ou 1",IF(AND(H2957=1,LEN(TRIM(I2957))=0),"Preencher nome do indicante",IF(AND(H2957&lt;&gt;1,I2957&lt;&gt;""),"Nome sem indicação interna",IF(AND(G2957=1,F2957=""),"Fechamento sem conversa",IF(OR(AND(E2957&lt;&gt;"",E2957&lt;B2957),AND(F2957&lt;&gt;"",F2957&lt;B2957)),"Evento anterior à entrada",IF(AND(F2957&lt;&gt;"",E2957=""),"Conversa sem agendamento",IF(OR(E2957&gt;TODAY(),F2957&gt;TODAY()),"Verificar evento futuro","OK"))))))))))</f>
        <v/>
      </c>
    </row>
    <row r="2958" spans="12:15">
      <c r="L2958" s="5">
        <f>IF(OR(A2958="",B2958=""),"",B2958-WEEKDAY(B2958,2)+1)</f>
        <v/>
      </c>
      <c r="M2958" s="5">
        <f>IF(L2958="","",L2958+6)</f>
        <v/>
      </c>
      <c r="N2958" s="6">
        <f>IF(OR(A2958="",B2958=""),"",DATE(YEAR(B2958),MONTH(B2958),1))</f>
        <v/>
      </c>
      <c r="O2958" s="7">
        <f>IF(COUNTA(A2958:K2958)=0,"",IF(OR(A2958="",B2958=""),"Preencher CPF e entrada",IF(COUNTIFS($A$12:$A$5011,A2958,$B$12:$B$5011,B2958)&gt;1,"CPF + dia duplicado",IF(OR(AND(G2958&lt;&gt;"",G2958&lt;&gt;0,G2958&lt;&gt;1),AND(H2958&lt;&gt;"",H2958&lt;&gt;0,H2958&lt;&gt;1)),"Flags devem ser 0 ou 1",IF(AND(H2958=1,LEN(TRIM(I2958))=0),"Preencher nome do indicante",IF(AND(H2958&lt;&gt;1,I2958&lt;&gt;""),"Nome sem indicação interna",IF(AND(G2958=1,F2958=""),"Fechamento sem conversa",IF(OR(AND(E2958&lt;&gt;"",E2958&lt;B2958),AND(F2958&lt;&gt;"",F2958&lt;B2958)),"Evento anterior à entrada",IF(AND(F2958&lt;&gt;"",E2958=""),"Conversa sem agendamento",IF(OR(E2958&gt;TODAY(),F2958&gt;TODAY()),"Verificar evento futuro","OK"))))))))))</f>
        <v/>
      </c>
    </row>
    <row r="2959" spans="12:15">
      <c r="L2959" s="5">
        <f>IF(OR(A2959="",B2959=""),"",B2959-WEEKDAY(B2959,2)+1)</f>
        <v/>
      </c>
      <c r="M2959" s="5">
        <f>IF(L2959="","",L2959+6)</f>
        <v/>
      </c>
      <c r="N2959" s="6">
        <f>IF(OR(A2959="",B2959=""),"",DATE(YEAR(B2959),MONTH(B2959),1))</f>
        <v/>
      </c>
      <c r="O2959" s="7">
        <f>IF(COUNTA(A2959:K2959)=0,"",IF(OR(A2959="",B2959=""),"Preencher CPF e entrada",IF(COUNTIFS($A$12:$A$5011,A2959,$B$12:$B$5011,B2959)&gt;1,"CPF + dia duplicado",IF(OR(AND(G2959&lt;&gt;"",G2959&lt;&gt;0,G2959&lt;&gt;1),AND(H2959&lt;&gt;"",H2959&lt;&gt;0,H2959&lt;&gt;1)),"Flags devem ser 0 ou 1",IF(AND(H2959=1,LEN(TRIM(I2959))=0),"Preencher nome do indicante",IF(AND(H2959&lt;&gt;1,I2959&lt;&gt;""),"Nome sem indicação interna",IF(AND(G2959=1,F2959=""),"Fechamento sem conversa",IF(OR(AND(E2959&lt;&gt;"",E2959&lt;B2959),AND(F2959&lt;&gt;"",F2959&lt;B2959)),"Evento anterior à entrada",IF(AND(F2959&lt;&gt;"",E2959=""),"Conversa sem agendamento",IF(OR(E2959&gt;TODAY(),F2959&gt;TODAY()),"Verificar evento futuro","OK"))))))))))</f>
        <v/>
      </c>
    </row>
    <row r="2960" spans="12:15">
      <c r="L2960" s="5">
        <f>IF(OR(A2960="",B2960=""),"",B2960-WEEKDAY(B2960,2)+1)</f>
        <v/>
      </c>
      <c r="M2960" s="5">
        <f>IF(L2960="","",L2960+6)</f>
        <v/>
      </c>
      <c r="N2960" s="6">
        <f>IF(OR(A2960="",B2960=""),"",DATE(YEAR(B2960),MONTH(B2960),1))</f>
        <v/>
      </c>
      <c r="O2960" s="7">
        <f>IF(COUNTA(A2960:K2960)=0,"",IF(OR(A2960="",B2960=""),"Preencher CPF e entrada",IF(COUNTIFS($A$12:$A$5011,A2960,$B$12:$B$5011,B2960)&gt;1,"CPF + dia duplicado",IF(OR(AND(G2960&lt;&gt;"",G2960&lt;&gt;0,G2960&lt;&gt;1),AND(H2960&lt;&gt;"",H2960&lt;&gt;0,H2960&lt;&gt;1)),"Flags devem ser 0 ou 1",IF(AND(H2960=1,LEN(TRIM(I2960))=0),"Preencher nome do indicante",IF(AND(H2960&lt;&gt;1,I2960&lt;&gt;""),"Nome sem indicação interna",IF(AND(G2960=1,F2960=""),"Fechamento sem conversa",IF(OR(AND(E2960&lt;&gt;"",E2960&lt;B2960),AND(F2960&lt;&gt;"",F2960&lt;B2960)),"Evento anterior à entrada",IF(AND(F2960&lt;&gt;"",E2960=""),"Conversa sem agendamento",IF(OR(E2960&gt;TODAY(),F2960&gt;TODAY()),"Verificar evento futuro","OK"))))))))))</f>
        <v/>
      </c>
    </row>
    <row r="2961" spans="12:15">
      <c r="L2961" s="5">
        <f>IF(OR(A2961="",B2961=""),"",B2961-WEEKDAY(B2961,2)+1)</f>
        <v/>
      </c>
      <c r="M2961" s="5">
        <f>IF(L2961="","",L2961+6)</f>
        <v/>
      </c>
      <c r="N2961" s="6">
        <f>IF(OR(A2961="",B2961=""),"",DATE(YEAR(B2961),MONTH(B2961),1))</f>
        <v/>
      </c>
      <c r="O2961" s="7">
        <f>IF(COUNTA(A2961:K2961)=0,"",IF(OR(A2961="",B2961=""),"Preencher CPF e entrada",IF(COUNTIFS($A$12:$A$5011,A2961,$B$12:$B$5011,B2961)&gt;1,"CPF + dia duplicado",IF(OR(AND(G2961&lt;&gt;"",G2961&lt;&gt;0,G2961&lt;&gt;1),AND(H2961&lt;&gt;"",H2961&lt;&gt;0,H2961&lt;&gt;1)),"Flags devem ser 0 ou 1",IF(AND(H2961=1,LEN(TRIM(I2961))=0),"Preencher nome do indicante",IF(AND(H2961&lt;&gt;1,I2961&lt;&gt;""),"Nome sem indicação interna",IF(AND(G2961=1,F2961=""),"Fechamento sem conversa",IF(OR(AND(E2961&lt;&gt;"",E2961&lt;B2961),AND(F2961&lt;&gt;"",F2961&lt;B2961)),"Evento anterior à entrada",IF(AND(F2961&lt;&gt;"",E2961=""),"Conversa sem agendamento",IF(OR(E2961&gt;TODAY(),F2961&gt;TODAY()),"Verificar evento futuro","OK"))))))))))</f>
        <v/>
      </c>
    </row>
    <row r="2962" spans="12:15">
      <c r="L2962" s="5">
        <f>IF(OR(A2962="",B2962=""),"",B2962-WEEKDAY(B2962,2)+1)</f>
        <v/>
      </c>
      <c r="M2962" s="5">
        <f>IF(L2962="","",L2962+6)</f>
        <v/>
      </c>
      <c r="N2962" s="6">
        <f>IF(OR(A2962="",B2962=""),"",DATE(YEAR(B2962),MONTH(B2962),1))</f>
        <v/>
      </c>
      <c r="O2962" s="7">
        <f>IF(COUNTA(A2962:K2962)=0,"",IF(OR(A2962="",B2962=""),"Preencher CPF e entrada",IF(COUNTIFS($A$12:$A$5011,A2962,$B$12:$B$5011,B2962)&gt;1,"CPF + dia duplicado",IF(OR(AND(G2962&lt;&gt;"",G2962&lt;&gt;0,G2962&lt;&gt;1),AND(H2962&lt;&gt;"",H2962&lt;&gt;0,H2962&lt;&gt;1)),"Flags devem ser 0 ou 1",IF(AND(H2962=1,LEN(TRIM(I2962))=0),"Preencher nome do indicante",IF(AND(H2962&lt;&gt;1,I2962&lt;&gt;""),"Nome sem indicação interna",IF(AND(G2962=1,F2962=""),"Fechamento sem conversa",IF(OR(AND(E2962&lt;&gt;"",E2962&lt;B2962),AND(F2962&lt;&gt;"",F2962&lt;B2962)),"Evento anterior à entrada",IF(AND(F2962&lt;&gt;"",E2962=""),"Conversa sem agendamento",IF(OR(E2962&gt;TODAY(),F2962&gt;TODAY()),"Verificar evento futuro","OK"))))))))))</f>
        <v/>
      </c>
    </row>
    <row r="2963" spans="12:15">
      <c r="L2963" s="5">
        <f>IF(OR(A2963="",B2963=""),"",B2963-WEEKDAY(B2963,2)+1)</f>
        <v/>
      </c>
      <c r="M2963" s="5">
        <f>IF(L2963="","",L2963+6)</f>
        <v/>
      </c>
      <c r="N2963" s="6">
        <f>IF(OR(A2963="",B2963=""),"",DATE(YEAR(B2963),MONTH(B2963),1))</f>
        <v/>
      </c>
      <c r="O2963" s="7">
        <f>IF(COUNTA(A2963:K2963)=0,"",IF(OR(A2963="",B2963=""),"Preencher CPF e entrada",IF(COUNTIFS($A$12:$A$5011,A2963,$B$12:$B$5011,B2963)&gt;1,"CPF + dia duplicado",IF(OR(AND(G2963&lt;&gt;"",G2963&lt;&gt;0,G2963&lt;&gt;1),AND(H2963&lt;&gt;"",H2963&lt;&gt;0,H2963&lt;&gt;1)),"Flags devem ser 0 ou 1",IF(AND(H2963=1,LEN(TRIM(I2963))=0),"Preencher nome do indicante",IF(AND(H2963&lt;&gt;1,I2963&lt;&gt;""),"Nome sem indicação interna",IF(AND(G2963=1,F2963=""),"Fechamento sem conversa",IF(OR(AND(E2963&lt;&gt;"",E2963&lt;B2963),AND(F2963&lt;&gt;"",F2963&lt;B2963)),"Evento anterior à entrada",IF(AND(F2963&lt;&gt;"",E2963=""),"Conversa sem agendamento",IF(OR(E2963&gt;TODAY(),F2963&gt;TODAY()),"Verificar evento futuro","OK"))))))))))</f>
        <v/>
      </c>
    </row>
    <row r="2964" spans="12:15">
      <c r="L2964" s="5">
        <f>IF(OR(A2964="",B2964=""),"",B2964-WEEKDAY(B2964,2)+1)</f>
        <v/>
      </c>
      <c r="M2964" s="5">
        <f>IF(L2964="","",L2964+6)</f>
        <v/>
      </c>
      <c r="N2964" s="6">
        <f>IF(OR(A2964="",B2964=""),"",DATE(YEAR(B2964),MONTH(B2964),1))</f>
        <v/>
      </c>
      <c r="O2964" s="7">
        <f>IF(COUNTA(A2964:K2964)=0,"",IF(OR(A2964="",B2964=""),"Preencher CPF e entrada",IF(COUNTIFS($A$12:$A$5011,A2964,$B$12:$B$5011,B2964)&gt;1,"CPF + dia duplicado",IF(OR(AND(G2964&lt;&gt;"",G2964&lt;&gt;0,G2964&lt;&gt;1),AND(H2964&lt;&gt;"",H2964&lt;&gt;0,H2964&lt;&gt;1)),"Flags devem ser 0 ou 1",IF(AND(H2964=1,LEN(TRIM(I2964))=0),"Preencher nome do indicante",IF(AND(H2964&lt;&gt;1,I2964&lt;&gt;""),"Nome sem indicação interna",IF(AND(G2964=1,F2964=""),"Fechamento sem conversa",IF(OR(AND(E2964&lt;&gt;"",E2964&lt;B2964),AND(F2964&lt;&gt;"",F2964&lt;B2964)),"Evento anterior à entrada",IF(AND(F2964&lt;&gt;"",E2964=""),"Conversa sem agendamento",IF(OR(E2964&gt;TODAY(),F2964&gt;TODAY()),"Verificar evento futuro","OK"))))))))))</f>
        <v/>
      </c>
    </row>
    <row r="2965" spans="12:15">
      <c r="L2965" s="5">
        <f>IF(OR(A2965="",B2965=""),"",B2965-WEEKDAY(B2965,2)+1)</f>
        <v/>
      </c>
      <c r="M2965" s="5">
        <f>IF(L2965="","",L2965+6)</f>
        <v/>
      </c>
      <c r="N2965" s="6">
        <f>IF(OR(A2965="",B2965=""),"",DATE(YEAR(B2965),MONTH(B2965),1))</f>
        <v/>
      </c>
      <c r="O2965" s="7">
        <f>IF(COUNTA(A2965:K2965)=0,"",IF(OR(A2965="",B2965=""),"Preencher CPF e entrada",IF(COUNTIFS($A$12:$A$5011,A2965,$B$12:$B$5011,B2965)&gt;1,"CPF + dia duplicado",IF(OR(AND(G2965&lt;&gt;"",G2965&lt;&gt;0,G2965&lt;&gt;1),AND(H2965&lt;&gt;"",H2965&lt;&gt;0,H2965&lt;&gt;1)),"Flags devem ser 0 ou 1",IF(AND(H2965=1,LEN(TRIM(I2965))=0),"Preencher nome do indicante",IF(AND(H2965&lt;&gt;1,I2965&lt;&gt;""),"Nome sem indicação interna",IF(AND(G2965=1,F2965=""),"Fechamento sem conversa",IF(OR(AND(E2965&lt;&gt;"",E2965&lt;B2965),AND(F2965&lt;&gt;"",F2965&lt;B2965)),"Evento anterior à entrada",IF(AND(F2965&lt;&gt;"",E2965=""),"Conversa sem agendamento",IF(OR(E2965&gt;TODAY(),F2965&gt;TODAY()),"Verificar evento futuro","OK"))))))))))</f>
        <v/>
      </c>
    </row>
    <row r="2966" spans="12:15">
      <c r="L2966" s="5">
        <f>IF(OR(A2966="",B2966=""),"",B2966-WEEKDAY(B2966,2)+1)</f>
        <v/>
      </c>
      <c r="M2966" s="5">
        <f>IF(L2966="","",L2966+6)</f>
        <v/>
      </c>
      <c r="N2966" s="6">
        <f>IF(OR(A2966="",B2966=""),"",DATE(YEAR(B2966),MONTH(B2966),1))</f>
        <v/>
      </c>
      <c r="O2966" s="7">
        <f>IF(COUNTA(A2966:K2966)=0,"",IF(OR(A2966="",B2966=""),"Preencher CPF e entrada",IF(COUNTIFS($A$12:$A$5011,A2966,$B$12:$B$5011,B2966)&gt;1,"CPF + dia duplicado",IF(OR(AND(G2966&lt;&gt;"",G2966&lt;&gt;0,G2966&lt;&gt;1),AND(H2966&lt;&gt;"",H2966&lt;&gt;0,H2966&lt;&gt;1)),"Flags devem ser 0 ou 1",IF(AND(H2966=1,LEN(TRIM(I2966))=0),"Preencher nome do indicante",IF(AND(H2966&lt;&gt;1,I2966&lt;&gt;""),"Nome sem indicação interna",IF(AND(G2966=1,F2966=""),"Fechamento sem conversa",IF(OR(AND(E2966&lt;&gt;"",E2966&lt;B2966),AND(F2966&lt;&gt;"",F2966&lt;B2966)),"Evento anterior à entrada",IF(AND(F2966&lt;&gt;"",E2966=""),"Conversa sem agendamento",IF(OR(E2966&gt;TODAY(),F2966&gt;TODAY()),"Verificar evento futuro","OK"))))))))))</f>
        <v/>
      </c>
    </row>
    <row r="2967" spans="12:15">
      <c r="L2967" s="5">
        <f>IF(OR(A2967="",B2967=""),"",B2967-WEEKDAY(B2967,2)+1)</f>
        <v/>
      </c>
      <c r="M2967" s="5">
        <f>IF(L2967="","",L2967+6)</f>
        <v/>
      </c>
      <c r="N2967" s="6">
        <f>IF(OR(A2967="",B2967=""),"",DATE(YEAR(B2967),MONTH(B2967),1))</f>
        <v/>
      </c>
      <c r="O2967" s="7">
        <f>IF(COUNTA(A2967:K2967)=0,"",IF(OR(A2967="",B2967=""),"Preencher CPF e entrada",IF(COUNTIFS($A$12:$A$5011,A2967,$B$12:$B$5011,B2967)&gt;1,"CPF + dia duplicado",IF(OR(AND(G2967&lt;&gt;"",G2967&lt;&gt;0,G2967&lt;&gt;1),AND(H2967&lt;&gt;"",H2967&lt;&gt;0,H2967&lt;&gt;1)),"Flags devem ser 0 ou 1",IF(AND(H2967=1,LEN(TRIM(I2967))=0),"Preencher nome do indicante",IF(AND(H2967&lt;&gt;1,I2967&lt;&gt;""),"Nome sem indicação interna",IF(AND(G2967=1,F2967=""),"Fechamento sem conversa",IF(OR(AND(E2967&lt;&gt;"",E2967&lt;B2967),AND(F2967&lt;&gt;"",F2967&lt;B2967)),"Evento anterior à entrada",IF(AND(F2967&lt;&gt;"",E2967=""),"Conversa sem agendamento",IF(OR(E2967&gt;TODAY(),F2967&gt;TODAY()),"Verificar evento futuro","OK"))))))))))</f>
        <v/>
      </c>
    </row>
    <row r="2968" spans="12:15">
      <c r="L2968" s="5">
        <f>IF(OR(A2968="",B2968=""),"",B2968-WEEKDAY(B2968,2)+1)</f>
        <v/>
      </c>
      <c r="M2968" s="5">
        <f>IF(L2968="","",L2968+6)</f>
        <v/>
      </c>
      <c r="N2968" s="6">
        <f>IF(OR(A2968="",B2968=""),"",DATE(YEAR(B2968),MONTH(B2968),1))</f>
        <v/>
      </c>
      <c r="O2968" s="7">
        <f>IF(COUNTA(A2968:K2968)=0,"",IF(OR(A2968="",B2968=""),"Preencher CPF e entrada",IF(COUNTIFS($A$12:$A$5011,A2968,$B$12:$B$5011,B2968)&gt;1,"CPF + dia duplicado",IF(OR(AND(G2968&lt;&gt;"",G2968&lt;&gt;0,G2968&lt;&gt;1),AND(H2968&lt;&gt;"",H2968&lt;&gt;0,H2968&lt;&gt;1)),"Flags devem ser 0 ou 1",IF(AND(H2968=1,LEN(TRIM(I2968))=0),"Preencher nome do indicante",IF(AND(H2968&lt;&gt;1,I2968&lt;&gt;""),"Nome sem indicação interna",IF(AND(G2968=1,F2968=""),"Fechamento sem conversa",IF(OR(AND(E2968&lt;&gt;"",E2968&lt;B2968),AND(F2968&lt;&gt;"",F2968&lt;B2968)),"Evento anterior à entrada",IF(AND(F2968&lt;&gt;"",E2968=""),"Conversa sem agendamento",IF(OR(E2968&gt;TODAY(),F2968&gt;TODAY()),"Verificar evento futuro","OK"))))))))))</f>
        <v/>
      </c>
    </row>
    <row r="2969" spans="12:15">
      <c r="L2969" s="5">
        <f>IF(OR(A2969="",B2969=""),"",B2969-WEEKDAY(B2969,2)+1)</f>
        <v/>
      </c>
      <c r="M2969" s="5">
        <f>IF(L2969="","",L2969+6)</f>
        <v/>
      </c>
      <c r="N2969" s="6">
        <f>IF(OR(A2969="",B2969=""),"",DATE(YEAR(B2969),MONTH(B2969),1))</f>
        <v/>
      </c>
      <c r="O2969" s="7">
        <f>IF(COUNTA(A2969:K2969)=0,"",IF(OR(A2969="",B2969=""),"Preencher CPF e entrada",IF(COUNTIFS($A$12:$A$5011,A2969,$B$12:$B$5011,B2969)&gt;1,"CPF + dia duplicado",IF(OR(AND(G2969&lt;&gt;"",G2969&lt;&gt;0,G2969&lt;&gt;1),AND(H2969&lt;&gt;"",H2969&lt;&gt;0,H2969&lt;&gt;1)),"Flags devem ser 0 ou 1",IF(AND(H2969=1,LEN(TRIM(I2969))=0),"Preencher nome do indicante",IF(AND(H2969&lt;&gt;1,I2969&lt;&gt;""),"Nome sem indicação interna",IF(AND(G2969=1,F2969=""),"Fechamento sem conversa",IF(OR(AND(E2969&lt;&gt;"",E2969&lt;B2969),AND(F2969&lt;&gt;"",F2969&lt;B2969)),"Evento anterior à entrada",IF(AND(F2969&lt;&gt;"",E2969=""),"Conversa sem agendamento",IF(OR(E2969&gt;TODAY(),F2969&gt;TODAY()),"Verificar evento futuro","OK"))))))))))</f>
        <v/>
      </c>
    </row>
    <row r="2970" spans="12:15">
      <c r="L2970" s="5">
        <f>IF(OR(A2970="",B2970=""),"",B2970-WEEKDAY(B2970,2)+1)</f>
        <v/>
      </c>
      <c r="M2970" s="5">
        <f>IF(L2970="","",L2970+6)</f>
        <v/>
      </c>
      <c r="N2970" s="6">
        <f>IF(OR(A2970="",B2970=""),"",DATE(YEAR(B2970),MONTH(B2970),1))</f>
        <v/>
      </c>
      <c r="O2970" s="7">
        <f>IF(COUNTA(A2970:K2970)=0,"",IF(OR(A2970="",B2970=""),"Preencher CPF e entrada",IF(COUNTIFS($A$12:$A$5011,A2970,$B$12:$B$5011,B2970)&gt;1,"CPF + dia duplicado",IF(OR(AND(G2970&lt;&gt;"",G2970&lt;&gt;0,G2970&lt;&gt;1),AND(H2970&lt;&gt;"",H2970&lt;&gt;0,H2970&lt;&gt;1)),"Flags devem ser 0 ou 1",IF(AND(H2970=1,LEN(TRIM(I2970))=0),"Preencher nome do indicante",IF(AND(H2970&lt;&gt;1,I2970&lt;&gt;""),"Nome sem indicação interna",IF(AND(G2970=1,F2970=""),"Fechamento sem conversa",IF(OR(AND(E2970&lt;&gt;"",E2970&lt;B2970),AND(F2970&lt;&gt;"",F2970&lt;B2970)),"Evento anterior à entrada",IF(AND(F2970&lt;&gt;"",E2970=""),"Conversa sem agendamento",IF(OR(E2970&gt;TODAY(),F2970&gt;TODAY()),"Verificar evento futuro","OK"))))))))))</f>
        <v/>
      </c>
    </row>
    <row r="2971" spans="12:15">
      <c r="L2971" s="5">
        <f>IF(OR(A2971="",B2971=""),"",B2971-WEEKDAY(B2971,2)+1)</f>
        <v/>
      </c>
      <c r="M2971" s="5">
        <f>IF(L2971="","",L2971+6)</f>
        <v/>
      </c>
      <c r="N2971" s="6">
        <f>IF(OR(A2971="",B2971=""),"",DATE(YEAR(B2971),MONTH(B2971),1))</f>
        <v/>
      </c>
      <c r="O2971" s="7">
        <f>IF(COUNTA(A2971:K2971)=0,"",IF(OR(A2971="",B2971=""),"Preencher CPF e entrada",IF(COUNTIFS($A$12:$A$5011,A2971,$B$12:$B$5011,B2971)&gt;1,"CPF + dia duplicado",IF(OR(AND(G2971&lt;&gt;"",G2971&lt;&gt;0,G2971&lt;&gt;1),AND(H2971&lt;&gt;"",H2971&lt;&gt;0,H2971&lt;&gt;1)),"Flags devem ser 0 ou 1",IF(AND(H2971=1,LEN(TRIM(I2971))=0),"Preencher nome do indicante",IF(AND(H2971&lt;&gt;1,I2971&lt;&gt;""),"Nome sem indicação interna",IF(AND(G2971=1,F2971=""),"Fechamento sem conversa",IF(OR(AND(E2971&lt;&gt;"",E2971&lt;B2971),AND(F2971&lt;&gt;"",F2971&lt;B2971)),"Evento anterior à entrada",IF(AND(F2971&lt;&gt;"",E2971=""),"Conversa sem agendamento",IF(OR(E2971&gt;TODAY(),F2971&gt;TODAY()),"Verificar evento futuro","OK"))))))))))</f>
        <v/>
      </c>
    </row>
    <row r="2972" spans="12:15">
      <c r="L2972" s="5">
        <f>IF(OR(A2972="",B2972=""),"",B2972-WEEKDAY(B2972,2)+1)</f>
        <v/>
      </c>
      <c r="M2972" s="5">
        <f>IF(L2972="","",L2972+6)</f>
        <v/>
      </c>
      <c r="N2972" s="6">
        <f>IF(OR(A2972="",B2972=""),"",DATE(YEAR(B2972),MONTH(B2972),1))</f>
        <v/>
      </c>
      <c r="O2972" s="7">
        <f>IF(COUNTA(A2972:K2972)=0,"",IF(OR(A2972="",B2972=""),"Preencher CPF e entrada",IF(COUNTIFS($A$12:$A$5011,A2972,$B$12:$B$5011,B2972)&gt;1,"CPF + dia duplicado",IF(OR(AND(G2972&lt;&gt;"",G2972&lt;&gt;0,G2972&lt;&gt;1),AND(H2972&lt;&gt;"",H2972&lt;&gt;0,H2972&lt;&gt;1)),"Flags devem ser 0 ou 1",IF(AND(H2972=1,LEN(TRIM(I2972))=0),"Preencher nome do indicante",IF(AND(H2972&lt;&gt;1,I2972&lt;&gt;""),"Nome sem indicação interna",IF(AND(G2972=1,F2972=""),"Fechamento sem conversa",IF(OR(AND(E2972&lt;&gt;"",E2972&lt;B2972),AND(F2972&lt;&gt;"",F2972&lt;B2972)),"Evento anterior à entrada",IF(AND(F2972&lt;&gt;"",E2972=""),"Conversa sem agendamento",IF(OR(E2972&gt;TODAY(),F2972&gt;TODAY()),"Verificar evento futuro","OK"))))))))))</f>
        <v/>
      </c>
    </row>
    <row r="2973" spans="12:15">
      <c r="L2973" s="5">
        <f>IF(OR(A2973="",B2973=""),"",B2973-WEEKDAY(B2973,2)+1)</f>
        <v/>
      </c>
      <c r="M2973" s="5">
        <f>IF(L2973="","",L2973+6)</f>
        <v/>
      </c>
      <c r="N2973" s="6">
        <f>IF(OR(A2973="",B2973=""),"",DATE(YEAR(B2973),MONTH(B2973),1))</f>
        <v/>
      </c>
      <c r="O2973" s="7">
        <f>IF(COUNTA(A2973:K2973)=0,"",IF(OR(A2973="",B2973=""),"Preencher CPF e entrada",IF(COUNTIFS($A$12:$A$5011,A2973,$B$12:$B$5011,B2973)&gt;1,"CPF + dia duplicado",IF(OR(AND(G2973&lt;&gt;"",G2973&lt;&gt;0,G2973&lt;&gt;1),AND(H2973&lt;&gt;"",H2973&lt;&gt;0,H2973&lt;&gt;1)),"Flags devem ser 0 ou 1",IF(AND(H2973=1,LEN(TRIM(I2973))=0),"Preencher nome do indicante",IF(AND(H2973&lt;&gt;1,I2973&lt;&gt;""),"Nome sem indicação interna",IF(AND(G2973=1,F2973=""),"Fechamento sem conversa",IF(OR(AND(E2973&lt;&gt;"",E2973&lt;B2973),AND(F2973&lt;&gt;"",F2973&lt;B2973)),"Evento anterior à entrada",IF(AND(F2973&lt;&gt;"",E2973=""),"Conversa sem agendamento",IF(OR(E2973&gt;TODAY(),F2973&gt;TODAY()),"Verificar evento futuro","OK"))))))))))</f>
        <v/>
      </c>
    </row>
    <row r="2974" spans="12:15">
      <c r="L2974" s="5">
        <f>IF(OR(A2974="",B2974=""),"",B2974-WEEKDAY(B2974,2)+1)</f>
        <v/>
      </c>
      <c r="M2974" s="5">
        <f>IF(L2974="","",L2974+6)</f>
        <v/>
      </c>
      <c r="N2974" s="6">
        <f>IF(OR(A2974="",B2974=""),"",DATE(YEAR(B2974),MONTH(B2974),1))</f>
        <v/>
      </c>
      <c r="O2974" s="7">
        <f>IF(COUNTA(A2974:K2974)=0,"",IF(OR(A2974="",B2974=""),"Preencher CPF e entrada",IF(COUNTIFS($A$12:$A$5011,A2974,$B$12:$B$5011,B2974)&gt;1,"CPF + dia duplicado",IF(OR(AND(G2974&lt;&gt;"",G2974&lt;&gt;0,G2974&lt;&gt;1),AND(H2974&lt;&gt;"",H2974&lt;&gt;0,H2974&lt;&gt;1)),"Flags devem ser 0 ou 1",IF(AND(H2974=1,LEN(TRIM(I2974))=0),"Preencher nome do indicante",IF(AND(H2974&lt;&gt;1,I2974&lt;&gt;""),"Nome sem indicação interna",IF(AND(G2974=1,F2974=""),"Fechamento sem conversa",IF(OR(AND(E2974&lt;&gt;"",E2974&lt;B2974),AND(F2974&lt;&gt;"",F2974&lt;B2974)),"Evento anterior à entrada",IF(AND(F2974&lt;&gt;"",E2974=""),"Conversa sem agendamento",IF(OR(E2974&gt;TODAY(),F2974&gt;TODAY()),"Verificar evento futuro","OK"))))))))))</f>
        <v/>
      </c>
    </row>
    <row r="2975" spans="12:15">
      <c r="L2975" s="5">
        <f>IF(OR(A2975="",B2975=""),"",B2975-WEEKDAY(B2975,2)+1)</f>
        <v/>
      </c>
      <c r="M2975" s="5">
        <f>IF(L2975="","",L2975+6)</f>
        <v/>
      </c>
      <c r="N2975" s="6">
        <f>IF(OR(A2975="",B2975=""),"",DATE(YEAR(B2975),MONTH(B2975),1))</f>
        <v/>
      </c>
      <c r="O2975" s="7">
        <f>IF(COUNTA(A2975:K2975)=0,"",IF(OR(A2975="",B2975=""),"Preencher CPF e entrada",IF(COUNTIFS($A$12:$A$5011,A2975,$B$12:$B$5011,B2975)&gt;1,"CPF + dia duplicado",IF(OR(AND(G2975&lt;&gt;"",G2975&lt;&gt;0,G2975&lt;&gt;1),AND(H2975&lt;&gt;"",H2975&lt;&gt;0,H2975&lt;&gt;1)),"Flags devem ser 0 ou 1",IF(AND(H2975=1,LEN(TRIM(I2975))=0),"Preencher nome do indicante",IF(AND(H2975&lt;&gt;1,I2975&lt;&gt;""),"Nome sem indicação interna",IF(AND(G2975=1,F2975=""),"Fechamento sem conversa",IF(OR(AND(E2975&lt;&gt;"",E2975&lt;B2975),AND(F2975&lt;&gt;"",F2975&lt;B2975)),"Evento anterior à entrada",IF(AND(F2975&lt;&gt;"",E2975=""),"Conversa sem agendamento",IF(OR(E2975&gt;TODAY(),F2975&gt;TODAY()),"Verificar evento futuro","OK"))))))))))</f>
        <v/>
      </c>
    </row>
    <row r="2976" spans="12:15">
      <c r="L2976" s="5">
        <f>IF(OR(A2976="",B2976=""),"",B2976-WEEKDAY(B2976,2)+1)</f>
        <v/>
      </c>
      <c r="M2976" s="5">
        <f>IF(L2976="","",L2976+6)</f>
        <v/>
      </c>
      <c r="N2976" s="6">
        <f>IF(OR(A2976="",B2976=""),"",DATE(YEAR(B2976),MONTH(B2976),1))</f>
        <v/>
      </c>
      <c r="O2976" s="7">
        <f>IF(COUNTA(A2976:K2976)=0,"",IF(OR(A2976="",B2976=""),"Preencher CPF e entrada",IF(COUNTIFS($A$12:$A$5011,A2976,$B$12:$B$5011,B2976)&gt;1,"CPF + dia duplicado",IF(OR(AND(G2976&lt;&gt;"",G2976&lt;&gt;0,G2976&lt;&gt;1),AND(H2976&lt;&gt;"",H2976&lt;&gt;0,H2976&lt;&gt;1)),"Flags devem ser 0 ou 1",IF(AND(H2976=1,LEN(TRIM(I2976))=0),"Preencher nome do indicante",IF(AND(H2976&lt;&gt;1,I2976&lt;&gt;""),"Nome sem indicação interna",IF(AND(G2976=1,F2976=""),"Fechamento sem conversa",IF(OR(AND(E2976&lt;&gt;"",E2976&lt;B2976),AND(F2976&lt;&gt;"",F2976&lt;B2976)),"Evento anterior à entrada",IF(AND(F2976&lt;&gt;"",E2976=""),"Conversa sem agendamento",IF(OR(E2976&gt;TODAY(),F2976&gt;TODAY()),"Verificar evento futuro","OK"))))))))))</f>
        <v/>
      </c>
    </row>
    <row r="2977" spans="12:15">
      <c r="L2977" s="5">
        <f>IF(OR(A2977="",B2977=""),"",B2977-WEEKDAY(B2977,2)+1)</f>
        <v/>
      </c>
      <c r="M2977" s="5">
        <f>IF(L2977="","",L2977+6)</f>
        <v/>
      </c>
      <c r="N2977" s="6">
        <f>IF(OR(A2977="",B2977=""),"",DATE(YEAR(B2977),MONTH(B2977),1))</f>
        <v/>
      </c>
      <c r="O2977" s="7">
        <f>IF(COUNTA(A2977:K2977)=0,"",IF(OR(A2977="",B2977=""),"Preencher CPF e entrada",IF(COUNTIFS($A$12:$A$5011,A2977,$B$12:$B$5011,B2977)&gt;1,"CPF + dia duplicado",IF(OR(AND(G2977&lt;&gt;"",G2977&lt;&gt;0,G2977&lt;&gt;1),AND(H2977&lt;&gt;"",H2977&lt;&gt;0,H2977&lt;&gt;1)),"Flags devem ser 0 ou 1",IF(AND(H2977=1,LEN(TRIM(I2977))=0),"Preencher nome do indicante",IF(AND(H2977&lt;&gt;1,I2977&lt;&gt;""),"Nome sem indicação interna",IF(AND(G2977=1,F2977=""),"Fechamento sem conversa",IF(OR(AND(E2977&lt;&gt;"",E2977&lt;B2977),AND(F2977&lt;&gt;"",F2977&lt;B2977)),"Evento anterior à entrada",IF(AND(F2977&lt;&gt;"",E2977=""),"Conversa sem agendamento",IF(OR(E2977&gt;TODAY(),F2977&gt;TODAY()),"Verificar evento futuro","OK"))))))))))</f>
        <v/>
      </c>
    </row>
    <row r="2978" spans="12:15">
      <c r="L2978" s="5">
        <f>IF(OR(A2978="",B2978=""),"",B2978-WEEKDAY(B2978,2)+1)</f>
        <v/>
      </c>
      <c r="M2978" s="5">
        <f>IF(L2978="","",L2978+6)</f>
        <v/>
      </c>
      <c r="N2978" s="6">
        <f>IF(OR(A2978="",B2978=""),"",DATE(YEAR(B2978),MONTH(B2978),1))</f>
        <v/>
      </c>
      <c r="O2978" s="7">
        <f>IF(COUNTA(A2978:K2978)=0,"",IF(OR(A2978="",B2978=""),"Preencher CPF e entrada",IF(COUNTIFS($A$12:$A$5011,A2978,$B$12:$B$5011,B2978)&gt;1,"CPF + dia duplicado",IF(OR(AND(G2978&lt;&gt;"",G2978&lt;&gt;0,G2978&lt;&gt;1),AND(H2978&lt;&gt;"",H2978&lt;&gt;0,H2978&lt;&gt;1)),"Flags devem ser 0 ou 1",IF(AND(H2978=1,LEN(TRIM(I2978))=0),"Preencher nome do indicante",IF(AND(H2978&lt;&gt;1,I2978&lt;&gt;""),"Nome sem indicação interna",IF(AND(G2978=1,F2978=""),"Fechamento sem conversa",IF(OR(AND(E2978&lt;&gt;"",E2978&lt;B2978),AND(F2978&lt;&gt;"",F2978&lt;B2978)),"Evento anterior à entrada",IF(AND(F2978&lt;&gt;"",E2978=""),"Conversa sem agendamento",IF(OR(E2978&gt;TODAY(),F2978&gt;TODAY()),"Verificar evento futuro","OK"))))))))))</f>
        <v/>
      </c>
    </row>
    <row r="2979" spans="12:15">
      <c r="L2979" s="5">
        <f>IF(OR(A2979="",B2979=""),"",B2979-WEEKDAY(B2979,2)+1)</f>
        <v/>
      </c>
      <c r="M2979" s="5">
        <f>IF(L2979="","",L2979+6)</f>
        <v/>
      </c>
      <c r="N2979" s="6">
        <f>IF(OR(A2979="",B2979=""),"",DATE(YEAR(B2979),MONTH(B2979),1))</f>
        <v/>
      </c>
      <c r="O2979" s="7">
        <f>IF(COUNTA(A2979:K2979)=0,"",IF(OR(A2979="",B2979=""),"Preencher CPF e entrada",IF(COUNTIFS($A$12:$A$5011,A2979,$B$12:$B$5011,B2979)&gt;1,"CPF + dia duplicado",IF(OR(AND(G2979&lt;&gt;"",G2979&lt;&gt;0,G2979&lt;&gt;1),AND(H2979&lt;&gt;"",H2979&lt;&gt;0,H2979&lt;&gt;1)),"Flags devem ser 0 ou 1",IF(AND(H2979=1,LEN(TRIM(I2979))=0),"Preencher nome do indicante",IF(AND(H2979&lt;&gt;1,I2979&lt;&gt;""),"Nome sem indicação interna",IF(AND(G2979=1,F2979=""),"Fechamento sem conversa",IF(OR(AND(E2979&lt;&gt;"",E2979&lt;B2979),AND(F2979&lt;&gt;"",F2979&lt;B2979)),"Evento anterior à entrada",IF(AND(F2979&lt;&gt;"",E2979=""),"Conversa sem agendamento",IF(OR(E2979&gt;TODAY(),F2979&gt;TODAY()),"Verificar evento futuro","OK"))))))))))</f>
        <v/>
      </c>
    </row>
    <row r="2980" spans="12:15">
      <c r="L2980" s="5">
        <f>IF(OR(A2980="",B2980=""),"",B2980-WEEKDAY(B2980,2)+1)</f>
        <v/>
      </c>
      <c r="M2980" s="5">
        <f>IF(L2980="","",L2980+6)</f>
        <v/>
      </c>
      <c r="N2980" s="6">
        <f>IF(OR(A2980="",B2980=""),"",DATE(YEAR(B2980),MONTH(B2980),1))</f>
        <v/>
      </c>
      <c r="O2980" s="7">
        <f>IF(COUNTA(A2980:K2980)=0,"",IF(OR(A2980="",B2980=""),"Preencher CPF e entrada",IF(COUNTIFS($A$12:$A$5011,A2980,$B$12:$B$5011,B2980)&gt;1,"CPF + dia duplicado",IF(OR(AND(G2980&lt;&gt;"",G2980&lt;&gt;0,G2980&lt;&gt;1),AND(H2980&lt;&gt;"",H2980&lt;&gt;0,H2980&lt;&gt;1)),"Flags devem ser 0 ou 1",IF(AND(H2980=1,LEN(TRIM(I2980))=0),"Preencher nome do indicante",IF(AND(H2980&lt;&gt;1,I2980&lt;&gt;""),"Nome sem indicação interna",IF(AND(G2980=1,F2980=""),"Fechamento sem conversa",IF(OR(AND(E2980&lt;&gt;"",E2980&lt;B2980),AND(F2980&lt;&gt;"",F2980&lt;B2980)),"Evento anterior à entrada",IF(AND(F2980&lt;&gt;"",E2980=""),"Conversa sem agendamento",IF(OR(E2980&gt;TODAY(),F2980&gt;TODAY()),"Verificar evento futuro","OK"))))))))))</f>
        <v/>
      </c>
    </row>
    <row r="2981" spans="12:15">
      <c r="L2981" s="5">
        <f>IF(OR(A2981="",B2981=""),"",B2981-WEEKDAY(B2981,2)+1)</f>
        <v/>
      </c>
      <c r="M2981" s="5">
        <f>IF(L2981="","",L2981+6)</f>
        <v/>
      </c>
      <c r="N2981" s="6">
        <f>IF(OR(A2981="",B2981=""),"",DATE(YEAR(B2981),MONTH(B2981),1))</f>
        <v/>
      </c>
      <c r="O2981" s="7">
        <f>IF(COUNTA(A2981:K2981)=0,"",IF(OR(A2981="",B2981=""),"Preencher CPF e entrada",IF(COUNTIFS($A$12:$A$5011,A2981,$B$12:$B$5011,B2981)&gt;1,"CPF + dia duplicado",IF(OR(AND(G2981&lt;&gt;"",G2981&lt;&gt;0,G2981&lt;&gt;1),AND(H2981&lt;&gt;"",H2981&lt;&gt;0,H2981&lt;&gt;1)),"Flags devem ser 0 ou 1",IF(AND(H2981=1,LEN(TRIM(I2981))=0),"Preencher nome do indicante",IF(AND(H2981&lt;&gt;1,I2981&lt;&gt;""),"Nome sem indicação interna",IF(AND(G2981=1,F2981=""),"Fechamento sem conversa",IF(OR(AND(E2981&lt;&gt;"",E2981&lt;B2981),AND(F2981&lt;&gt;"",F2981&lt;B2981)),"Evento anterior à entrada",IF(AND(F2981&lt;&gt;"",E2981=""),"Conversa sem agendamento",IF(OR(E2981&gt;TODAY(),F2981&gt;TODAY()),"Verificar evento futuro","OK"))))))))))</f>
        <v/>
      </c>
    </row>
    <row r="2982" spans="12:15">
      <c r="L2982" s="5">
        <f>IF(OR(A2982="",B2982=""),"",B2982-WEEKDAY(B2982,2)+1)</f>
        <v/>
      </c>
      <c r="M2982" s="5">
        <f>IF(L2982="","",L2982+6)</f>
        <v/>
      </c>
      <c r="N2982" s="6">
        <f>IF(OR(A2982="",B2982=""),"",DATE(YEAR(B2982),MONTH(B2982),1))</f>
        <v/>
      </c>
      <c r="O2982" s="7">
        <f>IF(COUNTA(A2982:K2982)=0,"",IF(OR(A2982="",B2982=""),"Preencher CPF e entrada",IF(COUNTIFS($A$12:$A$5011,A2982,$B$12:$B$5011,B2982)&gt;1,"CPF + dia duplicado",IF(OR(AND(G2982&lt;&gt;"",G2982&lt;&gt;0,G2982&lt;&gt;1),AND(H2982&lt;&gt;"",H2982&lt;&gt;0,H2982&lt;&gt;1)),"Flags devem ser 0 ou 1",IF(AND(H2982=1,LEN(TRIM(I2982))=0),"Preencher nome do indicante",IF(AND(H2982&lt;&gt;1,I2982&lt;&gt;""),"Nome sem indicação interna",IF(AND(G2982=1,F2982=""),"Fechamento sem conversa",IF(OR(AND(E2982&lt;&gt;"",E2982&lt;B2982),AND(F2982&lt;&gt;"",F2982&lt;B2982)),"Evento anterior à entrada",IF(AND(F2982&lt;&gt;"",E2982=""),"Conversa sem agendamento",IF(OR(E2982&gt;TODAY(),F2982&gt;TODAY()),"Verificar evento futuro","OK"))))))))))</f>
        <v/>
      </c>
    </row>
    <row r="2983" spans="12:15">
      <c r="L2983" s="5">
        <f>IF(OR(A2983="",B2983=""),"",B2983-WEEKDAY(B2983,2)+1)</f>
        <v/>
      </c>
      <c r="M2983" s="5">
        <f>IF(L2983="","",L2983+6)</f>
        <v/>
      </c>
      <c r="N2983" s="6">
        <f>IF(OR(A2983="",B2983=""),"",DATE(YEAR(B2983),MONTH(B2983),1))</f>
        <v/>
      </c>
      <c r="O2983" s="7">
        <f>IF(COUNTA(A2983:K2983)=0,"",IF(OR(A2983="",B2983=""),"Preencher CPF e entrada",IF(COUNTIFS($A$12:$A$5011,A2983,$B$12:$B$5011,B2983)&gt;1,"CPF + dia duplicado",IF(OR(AND(G2983&lt;&gt;"",G2983&lt;&gt;0,G2983&lt;&gt;1),AND(H2983&lt;&gt;"",H2983&lt;&gt;0,H2983&lt;&gt;1)),"Flags devem ser 0 ou 1",IF(AND(H2983=1,LEN(TRIM(I2983))=0),"Preencher nome do indicante",IF(AND(H2983&lt;&gt;1,I2983&lt;&gt;""),"Nome sem indicação interna",IF(AND(G2983=1,F2983=""),"Fechamento sem conversa",IF(OR(AND(E2983&lt;&gt;"",E2983&lt;B2983),AND(F2983&lt;&gt;"",F2983&lt;B2983)),"Evento anterior à entrada",IF(AND(F2983&lt;&gt;"",E2983=""),"Conversa sem agendamento",IF(OR(E2983&gt;TODAY(),F2983&gt;TODAY()),"Verificar evento futuro","OK"))))))))))</f>
        <v/>
      </c>
    </row>
    <row r="2984" spans="12:15">
      <c r="L2984" s="5">
        <f>IF(OR(A2984="",B2984=""),"",B2984-WEEKDAY(B2984,2)+1)</f>
        <v/>
      </c>
      <c r="M2984" s="5">
        <f>IF(L2984="","",L2984+6)</f>
        <v/>
      </c>
      <c r="N2984" s="6">
        <f>IF(OR(A2984="",B2984=""),"",DATE(YEAR(B2984),MONTH(B2984),1))</f>
        <v/>
      </c>
      <c r="O2984" s="7">
        <f>IF(COUNTA(A2984:K2984)=0,"",IF(OR(A2984="",B2984=""),"Preencher CPF e entrada",IF(COUNTIFS($A$12:$A$5011,A2984,$B$12:$B$5011,B2984)&gt;1,"CPF + dia duplicado",IF(OR(AND(G2984&lt;&gt;"",G2984&lt;&gt;0,G2984&lt;&gt;1),AND(H2984&lt;&gt;"",H2984&lt;&gt;0,H2984&lt;&gt;1)),"Flags devem ser 0 ou 1",IF(AND(H2984=1,LEN(TRIM(I2984))=0),"Preencher nome do indicante",IF(AND(H2984&lt;&gt;1,I2984&lt;&gt;""),"Nome sem indicação interna",IF(AND(G2984=1,F2984=""),"Fechamento sem conversa",IF(OR(AND(E2984&lt;&gt;"",E2984&lt;B2984),AND(F2984&lt;&gt;"",F2984&lt;B2984)),"Evento anterior à entrada",IF(AND(F2984&lt;&gt;"",E2984=""),"Conversa sem agendamento",IF(OR(E2984&gt;TODAY(),F2984&gt;TODAY()),"Verificar evento futuro","OK"))))))))))</f>
        <v/>
      </c>
    </row>
    <row r="2985" spans="12:15">
      <c r="L2985" s="5">
        <f>IF(OR(A2985="",B2985=""),"",B2985-WEEKDAY(B2985,2)+1)</f>
        <v/>
      </c>
      <c r="M2985" s="5">
        <f>IF(L2985="","",L2985+6)</f>
        <v/>
      </c>
      <c r="N2985" s="6">
        <f>IF(OR(A2985="",B2985=""),"",DATE(YEAR(B2985),MONTH(B2985),1))</f>
        <v/>
      </c>
      <c r="O2985" s="7">
        <f>IF(COUNTA(A2985:K2985)=0,"",IF(OR(A2985="",B2985=""),"Preencher CPF e entrada",IF(COUNTIFS($A$12:$A$5011,A2985,$B$12:$B$5011,B2985)&gt;1,"CPF + dia duplicado",IF(OR(AND(G2985&lt;&gt;"",G2985&lt;&gt;0,G2985&lt;&gt;1),AND(H2985&lt;&gt;"",H2985&lt;&gt;0,H2985&lt;&gt;1)),"Flags devem ser 0 ou 1",IF(AND(H2985=1,LEN(TRIM(I2985))=0),"Preencher nome do indicante",IF(AND(H2985&lt;&gt;1,I2985&lt;&gt;""),"Nome sem indicação interna",IF(AND(G2985=1,F2985=""),"Fechamento sem conversa",IF(OR(AND(E2985&lt;&gt;"",E2985&lt;B2985),AND(F2985&lt;&gt;"",F2985&lt;B2985)),"Evento anterior à entrada",IF(AND(F2985&lt;&gt;"",E2985=""),"Conversa sem agendamento",IF(OR(E2985&gt;TODAY(),F2985&gt;TODAY()),"Verificar evento futuro","OK"))))))))))</f>
        <v/>
      </c>
    </row>
    <row r="2986" spans="12:15">
      <c r="L2986" s="5">
        <f>IF(OR(A2986="",B2986=""),"",B2986-WEEKDAY(B2986,2)+1)</f>
        <v/>
      </c>
      <c r="M2986" s="5">
        <f>IF(L2986="","",L2986+6)</f>
        <v/>
      </c>
      <c r="N2986" s="6">
        <f>IF(OR(A2986="",B2986=""),"",DATE(YEAR(B2986),MONTH(B2986),1))</f>
        <v/>
      </c>
      <c r="O2986" s="7">
        <f>IF(COUNTA(A2986:K2986)=0,"",IF(OR(A2986="",B2986=""),"Preencher CPF e entrada",IF(COUNTIFS($A$12:$A$5011,A2986,$B$12:$B$5011,B2986)&gt;1,"CPF + dia duplicado",IF(OR(AND(G2986&lt;&gt;"",G2986&lt;&gt;0,G2986&lt;&gt;1),AND(H2986&lt;&gt;"",H2986&lt;&gt;0,H2986&lt;&gt;1)),"Flags devem ser 0 ou 1",IF(AND(H2986=1,LEN(TRIM(I2986))=0),"Preencher nome do indicante",IF(AND(H2986&lt;&gt;1,I2986&lt;&gt;""),"Nome sem indicação interna",IF(AND(G2986=1,F2986=""),"Fechamento sem conversa",IF(OR(AND(E2986&lt;&gt;"",E2986&lt;B2986),AND(F2986&lt;&gt;"",F2986&lt;B2986)),"Evento anterior à entrada",IF(AND(F2986&lt;&gt;"",E2986=""),"Conversa sem agendamento",IF(OR(E2986&gt;TODAY(),F2986&gt;TODAY()),"Verificar evento futuro","OK"))))))))))</f>
        <v/>
      </c>
    </row>
    <row r="2987" spans="12:15">
      <c r="L2987" s="5">
        <f>IF(OR(A2987="",B2987=""),"",B2987-WEEKDAY(B2987,2)+1)</f>
        <v/>
      </c>
      <c r="M2987" s="5">
        <f>IF(L2987="","",L2987+6)</f>
        <v/>
      </c>
      <c r="N2987" s="6">
        <f>IF(OR(A2987="",B2987=""),"",DATE(YEAR(B2987),MONTH(B2987),1))</f>
        <v/>
      </c>
      <c r="O2987" s="7">
        <f>IF(COUNTA(A2987:K2987)=0,"",IF(OR(A2987="",B2987=""),"Preencher CPF e entrada",IF(COUNTIFS($A$12:$A$5011,A2987,$B$12:$B$5011,B2987)&gt;1,"CPF + dia duplicado",IF(OR(AND(G2987&lt;&gt;"",G2987&lt;&gt;0,G2987&lt;&gt;1),AND(H2987&lt;&gt;"",H2987&lt;&gt;0,H2987&lt;&gt;1)),"Flags devem ser 0 ou 1",IF(AND(H2987=1,LEN(TRIM(I2987))=0),"Preencher nome do indicante",IF(AND(H2987&lt;&gt;1,I2987&lt;&gt;""),"Nome sem indicação interna",IF(AND(G2987=1,F2987=""),"Fechamento sem conversa",IF(OR(AND(E2987&lt;&gt;"",E2987&lt;B2987),AND(F2987&lt;&gt;"",F2987&lt;B2987)),"Evento anterior à entrada",IF(AND(F2987&lt;&gt;"",E2987=""),"Conversa sem agendamento",IF(OR(E2987&gt;TODAY(),F2987&gt;TODAY()),"Verificar evento futuro","OK"))))))))))</f>
        <v/>
      </c>
    </row>
    <row r="2988" spans="12:15">
      <c r="L2988" s="5">
        <f>IF(OR(A2988="",B2988=""),"",B2988-WEEKDAY(B2988,2)+1)</f>
        <v/>
      </c>
      <c r="M2988" s="5">
        <f>IF(L2988="","",L2988+6)</f>
        <v/>
      </c>
      <c r="N2988" s="6">
        <f>IF(OR(A2988="",B2988=""),"",DATE(YEAR(B2988),MONTH(B2988),1))</f>
        <v/>
      </c>
      <c r="O2988" s="7">
        <f>IF(COUNTA(A2988:K2988)=0,"",IF(OR(A2988="",B2988=""),"Preencher CPF e entrada",IF(COUNTIFS($A$12:$A$5011,A2988,$B$12:$B$5011,B2988)&gt;1,"CPF + dia duplicado",IF(OR(AND(G2988&lt;&gt;"",G2988&lt;&gt;0,G2988&lt;&gt;1),AND(H2988&lt;&gt;"",H2988&lt;&gt;0,H2988&lt;&gt;1)),"Flags devem ser 0 ou 1",IF(AND(H2988=1,LEN(TRIM(I2988))=0),"Preencher nome do indicante",IF(AND(H2988&lt;&gt;1,I2988&lt;&gt;""),"Nome sem indicação interna",IF(AND(G2988=1,F2988=""),"Fechamento sem conversa",IF(OR(AND(E2988&lt;&gt;"",E2988&lt;B2988),AND(F2988&lt;&gt;"",F2988&lt;B2988)),"Evento anterior à entrada",IF(AND(F2988&lt;&gt;"",E2988=""),"Conversa sem agendamento",IF(OR(E2988&gt;TODAY(),F2988&gt;TODAY()),"Verificar evento futuro","OK"))))))))))</f>
        <v/>
      </c>
    </row>
    <row r="2989" spans="12:15">
      <c r="L2989" s="5">
        <f>IF(OR(A2989="",B2989=""),"",B2989-WEEKDAY(B2989,2)+1)</f>
        <v/>
      </c>
      <c r="M2989" s="5">
        <f>IF(L2989="","",L2989+6)</f>
        <v/>
      </c>
      <c r="N2989" s="6">
        <f>IF(OR(A2989="",B2989=""),"",DATE(YEAR(B2989),MONTH(B2989),1))</f>
        <v/>
      </c>
      <c r="O2989" s="7">
        <f>IF(COUNTA(A2989:K2989)=0,"",IF(OR(A2989="",B2989=""),"Preencher CPF e entrada",IF(COUNTIFS($A$12:$A$5011,A2989,$B$12:$B$5011,B2989)&gt;1,"CPF + dia duplicado",IF(OR(AND(G2989&lt;&gt;"",G2989&lt;&gt;0,G2989&lt;&gt;1),AND(H2989&lt;&gt;"",H2989&lt;&gt;0,H2989&lt;&gt;1)),"Flags devem ser 0 ou 1",IF(AND(H2989=1,LEN(TRIM(I2989))=0),"Preencher nome do indicante",IF(AND(H2989&lt;&gt;1,I2989&lt;&gt;""),"Nome sem indicação interna",IF(AND(G2989=1,F2989=""),"Fechamento sem conversa",IF(OR(AND(E2989&lt;&gt;"",E2989&lt;B2989),AND(F2989&lt;&gt;"",F2989&lt;B2989)),"Evento anterior à entrada",IF(AND(F2989&lt;&gt;"",E2989=""),"Conversa sem agendamento",IF(OR(E2989&gt;TODAY(),F2989&gt;TODAY()),"Verificar evento futuro","OK"))))))))))</f>
        <v/>
      </c>
    </row>
    <row r="2990" spans="12:15">
      <c r="L2990" s="5">
        <f>IF(OR(A2990="",B2990=""),"",B2990-WEEKDAY(B2990,2)+1)</f>
        <v/>
      </c>
      <c r="M2990" s="5">
        <f>IF(L2990="","",L2990+6)</f>
        <v/>
      </c>
      <c r="N2990" s="6">
        <f>IF(OR(A2990="",B2990=""),"",DATE(YEAR(B2990),MONTH(B2990),1))</f>
        <v/>
      </c>
      <c r="O2990" s="7">
        <f>IF(COUNTA(A2990:K2990)=0,"",IF(OR(A2990="",B2990=""),"Preencher CPF e entrada",IF(COUNTIFS($A$12:$A$5011,A2990,$B$12:$B$5011,B2990)&gt;1,"CPF + dia duplicado",IF(OR(AND(G2990&lt;&gt;"",G2990&lt;&gt;0,G2990&lt;&gt;1),AND(H2990&lt;&gt;"",H2990&lt;&gt;0,H2990&lt;&gt;1)),"Flags devem ser 0 ou 1",IF(AND(H2990=1,LEN(TRIM(I2990))=0),"Preencher nome do indicante",IF(AND(H2990&lt;&gt;1,I2990&lt;&gt;""),"Nome sem indicação interna",IF(AND(G2990=1,F2990=""),"Fechamento sem conversa",IF(OR(AND(E2990&lt;&gt;"",E2990&lt;B2990),AND(F2990&lt;&gt;"",F2990&lt;B2990)),"Evento anterior à entrada",IF(AND(F2990&lt;&gt;"",E2990=""),"Conversa sem agendamento",IF(OR(E2990&gt;TODAY(),F2990&gt;TODAY()),"Verificar evento futuro","OK"))))))))))</f>
        <v/>
      </c>
    </row>
    <row r="2991" spans="12:15">
      <c r="L2991" s="5">
        <f>IF(OR(A2991="",B2991=""),"",B2991-WEEKDAY(B2991,2)+1)</f>
        <v/>
      </c>
      <c r="M2991" s="5">
        <f>IF(L2991="","",L2991+6)</f>
        <v/>
      </c>
      <c r="N2991" s="6">
        <f>IF(OR(A2991="",B2991=""),"",DATE(YEAR(B2991),MONTH(B2991),1))</f>
        <v/>
      </c>
      <c r="O2991" s="7">
        <f>IF(COUNTA(A2991:K2991)=0,"",IF(OR(A2991="",B2991=""),"Preencher CPF e entrada",IF(COUNTIFS($A$12:$A$5011,A2991,$B$12:$B$5011,B2991)&gt;1,"CPF + dia duplicado",IF(OR(AND(G2991&lt;&gt;"",G2991&lt;&gt;0,G2991&lt;&gt;1),AND(H2991&lt;&gt;"",H2991&lt;&gt;0,H2991&lt;&gt;1)),"Flags devem ser 0 ou 1",IF(AND(H2991=1,LEN(TRIM(I2991))=0),"Preencher nome do indicante",IF(AND(H2991&lt;&gt;1,I2991&lt;&gt;""),"Nome sem indicação interna",IF(AND(G2991=1,F2991=""),"Fechamento sem conversa",IF(OR(AND(E2991&lt;&gt;"",E2991&lt;B2991),AND(F2991&lt;&gt;"",F2991&lt;B2991)),"Evento anterior à entrada",IF(AND(F2991&lt;&gt;"",E2991=""),"Conversa sem agendamento",IF(OR(E2991&gt;TODAY(),F2991&gt;TODAY()),"Verificar evento futuro","OK"))))))))))</f>
        <v/>
      </c>
    </row>
    <row r="2992" spans="12:15">
      <c r="L2992" s="5">
        <f>IF(OR(A2992="",B2992=""),"",B2992-WEEKDAY(B2992,2)+1)</f>
        <v/>
      </c>
      <c r="M2992" s="5">
        <f>IF(L2992="","",L2992+6)</f>
        <v/>
      </c>
      <c r="N2992" s="6">
        <f>IF(OR(A2992="",B2992=""),"",DATE(YEAR(B2992),MONTH(B2992),1))</f>
        <v/>
      </c>
      <c r="O2992" s="7">
        <f>IF(COUNTA(A2992:K2992)=0,"",IF(OR(A2992="",B2992=""),"Preencher CPF e entrada",IF(COUNTIFS($A$12:$A$5011,A2992,$B$12:$B$5011,B2992)&gt;1,"CPF + dia duplicado",IF(OR(AND(G2992&lt;&gt;"",G2992&lt;&gt;0,G2992&lt;&gt;1),AND(H2992&lt;&gt;"",H2992&lt;&gt;0,H2992&lt;&gt;1)),"Flags devem ser 0 ou 1",IF(AND(H2992=1,LEN(TRIM(I2992))=0),"Preencher nome do indicante",IF(AND(H2992&lt;&gt;1,I2992&lt;&gt;""),"Nome sem indicação interna",IF(AND(G2992=1,F2992=""),"Fechamento sem conversa",IF(OR(AND(E2992&lt;&gt;"",E2992&lt;B2992),AND(F2992&lt;&gt;"",F2992&lt;B2992)),"Evento anterior à entrada",IF(AND(F2992&lt;&gt;"",E2992=""),"Conversa sem agendamento",IF(OR(E2992&gt;TODAY(),F2992&gt;TODAY()),"Verificar evento futuro","OK"))))))))))</f>
        <v/>
      </c>
    </row>
    <row r="2993" spans="12:15">
      <c r="L2993" s="5">
        <f>IF(OR(A2993="",B2993=""),"",B2993-WEEKDAY(B2993,2)+1)</f>
        <v/>
      </c>
      <c r="M2993" s="5">
        <f>IF(L2993="","",L2993+6)</f>
        <v/>
      </c>
      <c r="N2993" s="6">
        <f>IF(OR(A2993="",B2993=""),"",DATE(YEAR(B2993),MONTH(B2993),1))</f>
        <v/>
      </c>
      <c r="O2993" s="7">
        <f>IF(COUNTA(A2993:K2993)=0,"",IF(OR(A2993="",B2993=""),"Preencher CPF e entrada",IF(COUNTIFS($A$12:$A$5011,A2993,$B$12:$B$5011,B2993)&gt;1,"CPF + dia duplicado",IF(OR(AND(G2993&lt;&gt;"",G2993&lt;&gt;0,G2993&lt;&gt;1),AND(H2993&lt;&gt;"",H2993&lt;&gt;0,H2993&lt;&gt;1)),"Flags devem ser 0 ou 1",IF(AND(H2993=1,LEN(TRIM(I2993))=0),"Preencher nome do indicante",IF(AND(H2993&lt;&gt;1,I2993&lt;&gt;""),"Nome sem indicação interna",IF(AND(G2993=1,F2993=""),"Fechamento sem conversa",IF(OR(AND(E2993&lt;&gt;"",E2993&lt;B2993),AND(F2993&lt;&gt;"",F2993&lt;B2993)),"Evento anterior à entrada",IF(AND(F2993&lt;&gt;"",E2993=""),"Conversa sem agendamento",IF(OR(E2993&gt;TODAY(),F2993&gt;TODAY()),"Verificar evento futuro","OK"))))))))))</f>
        <v/>
      </c>
    </row>
    <row r="2994" spans="12:15">
      <c r="L2994" s="5">
        <f>IF(OR(A2994="",B2994=""),"",B2994-WEEKDAY(B2994,2)+1)</f>
        <v/>
      </c>
      <c r="M2994" s="5">
        <f>IF(L2994="","",L2994+6)</f>
        <v/>
      </c>
      <c r="N2994" s="6">
        <f>IF(OR(A2994="",B2994=""),"",DATE(YEAR(B2994),MONTH(B2994),1))</f>
        <v/>
      </c>
      <c r="O2994" s="7">
        <f>IF(COUNTA(A2994:K2994)=0,"",IF(OR(A2994="",B2994=""),"Preencher CPF e entrada",IF(COUNTIFS($A$12:$A$5011,A2994,$B$12:$B$5011,B2994)&gt;1,"CPF + dia duplicado",IF(OR(AND(G2994&lt;&gt;"",G2994&lt;&gt;0,G2994&lt;&gt;1),AND(H2994&lt;&gt;"",H2994&lt;&gt;0,H2994&lt;&gt;1)),"Flags devem ser 0 ou 1",IF(AND(H2994=1,LEN(TRIM(I2994))=0),"Preencher nome do indicante",IF(AND(H2994&lt;&gt;1,I2994&lt;&gt;""),"Nome sem indicação interna",IF(AND(G2994=1,F2994=""),"Fechamento sem conversa",IF(OR(AND(E2994&lt;&gt;"",E2994&lt;B2994),AND(F2994&lt;&gt;"",F2994&lt;B2994)),"Evento anterior à entrada",IF(AND(F2994&lt;&gt;"",E2994=""),"Conversa sem agendamento",IF(OR(E2994&gt;TODAY(),F2994&gt;TODAY()),"Verificar evento futuro","OK"))))))))))</f>
        <v/>
      </c>
    </row>
    <row r="2995" spans="12:15">
      <c r="L2995" s="5">
        <f>IF(OR(A2995="",B2995=""),"",B2995-WEEKDAY(B2995,2)+1)</f>
        <v/>
      </c>
      <c r="M2995" s="5">
        <f>IF(L2995="","",L2995+6)</f>
        <v/>
      </c>
      <c r="N2995" s="6">
        <f>IF(OR(A2995="",B2995=""),"",DATE(YEAR(B2995),MONTH(B2995),1))</f>
        <v/>
      </c>
      <c r="O2995" s="7">
        <f>IF(COUNTA(A2995:K2995)=0,"",IF(OR(A2995="",B2995=""),"Preencher CPF e entrada",IF(COUNTIFS($A$12:$A$5011,A2995,$B$12:$B$5011,B2995)&gt;1,"CPF + dia duplicado",IF(OR(AND(G2995&lt;&gt;"",G2995&lt;&gt;0,G2995&lt;&gt;1),AND(H2995&lt;&gt;"",H2995&lt;&gt;0,H2995&lt;&gt;1)),"Flags devem ser 0 ou 1",IF(AND(H2995=1,LEN(TRIM(I2995))=0),"Preencher nome do indicante",IF(AND(H2995&lt;&gt;1,I2995&lt;&gt;""),"Nome sem indicação interna",IF(AND(G2995=1,F2995=""),"Fechamento sem conversa",IF(OR(AND(E2995&lt;&gt;"",E2995&lt;B2995),AND(F2995&lt;&gt;"",F2995&lt;B2995)),"Evento anterior à entrada",IF(AND(F2995&lt;&gt;"",E2995=""),"Conversa sem agendamento",IF(OR(E2995&gt;TODAY(),F2995&gt;TODAY()),"Verificar evento futuro","OK"))))))))))</f>
        <v/>
      </c>
    </row>
    <row r="2996" spans="12:15">
      <c r="L2996" s="5">
        <f>IF(OR(A2996="",B2996=""),"",B2996-WEEKDAY(B2996,2)+1)</f>
        <v/>
      </c>
      <c r="M2996" s="5">
        <f>IF(L2996="","",L2996+6)</f>
        <v/>
      </c>
      <c r="N2996" s="6">
        <f>IF(OR(A2996="",B2996=""),"",DATE(YEAR(B2996),MONTH(B2996),1))</f>
        <v/>
      </c>
      <c r="O2996" s="7">
        <f>IF(COUNTA(A2996:K2996)=0,"",IF(OR(A2996="",B2996=""),"Preencher CPF e entrada",IF(COUNTIFS($A$12:$A$5011,A2996,$B$12:$B$5011,B2996)&gt;1,"CPF + dia duplicado",IF(OR(AND(G2996&lt;&gt;"",G2996&lt;&gt;0,G2996&lt;&gt;1),AND(H2996&lt;&gt;"",H2996&lt;&gt;0,H2996&lt;&gt;1)),"Flags devem ser 0 ou 1",IF(AND(H2996=1,LEN(TRIM(I2996))=0),"Preencher nome do indicante",IF(AND(H2996&lt;&gt;1,I2996&lt;&gt;""),"Nome sem indicação interna",IF(AND(G2996=1,F2996=""),"Fechamento sem conversa",IF(OR(AND(E2996&lt;&gt;"",E2996&lt;B2996),AND(F2996&lt;&gt;"",F2996&lt;B2996)),"Evento anterior à entrada",IF(AND(F2996&lt;&gt;"",E2996=""),"Conversa sem agendamento",IF(OR(E2996&gt;TODAY(),F2996&gt;TODAY()),"Verificar evento futuro","OK"))))))))))</f>
        <v/>
      </c>
    </row>
    <row r="2997" spans="12:15">
      <c r="L2997" s="5">
        <f>IF(OR(A2997="",B2997=""),"",B2997-WEEKDAY(B2997,2)+1)</f>
        <v/>
      </c>
      <c r="M2997" s="5">
        <f>IF(L2997="","",L2997+6)</f>
        <v/>
      </c>
      <c r="N2997" s="6">
        <f>IF(OR(A2997="",B2997=""),"",DATE(YEAR(B2997),MONTH(B2997),1))</f>
        <v/>
      </c>
      <c r="O2997" s="7">
        <f>IF(COUNTA(A2997:K2997)=0,"",IF(OR(A2997="",B2997=""),"Preencher CPF e entrada",IF(COUNTIFS($A$12:$A$5011,A2997,$B$12:$B$5011,B2997)&gt;1,"CPF + dia duplicado",IF(OR(AND(G2997&lt;&gt;"",G2997&lt;&gt;0,G2997&lt;&gt;1),AND(H2997&lt;&gt;"",H2997&lt;&gt;0,H2997&lt;&gt;1)),"Flags devem ser 0 ou 1",IF(AND(H2997=1,LEN(TRIM(I2997))=0),"Preencher nome do indicante",IF(AND(H2997&lt;&gt;1,I2997&lt;&gt;""),"Nome sem indicação interna",IF(AND(G2997=1,F2997=""),"Fechamento sem conversa",IF(OR(AND(E2997&lt;&gt;"",E2997&lt;B2997),AND(F2997&lt;&gt;"",F2997&lt;B2997)),"Evento anterior à entrada",IF(AND(F2997&lt;&gt;"",E2997=""),"Conversa sem agendamento",IF(OR(E2997&gt;TODAY(),F2997&gt;TODAY()),"Verificar evento futuro","OK"))))))))))</f>
        <v/>
      </c>
    </row>
    <row r="2998" spans="12:15">
      <c r="L2998" s="5">
        <f>IF(OR(A2998="",B2998=""),"",B2998-WEEKDAY(B2998,2)+1)</f>
        <v/>
      </c>
      <c r="M2998" s="5">
        <f>IF(L2998="","",L2998+6)</f>
        <v/>
      </c>
      <c r="N2998" s="6">
        <f>IF(OR(A2998="",B2998=""),"",DATE(YEAR(B2998),MONTH(B2998),1))</f>
        <v/>
      </c>
      <c r="O2998" s="7">
        <f>IF(COUNTA(A2998:K2998)=0,"",IF(OR(A2998="",B2998=""),"Preencher CPF e entrada",IF(COUNTIFS($A$12:$A$5011,A2998,$B$12:$B$5011,B2998)&gt;1,"CPF + dia duplicado",IF(OR(AND(G2998&lt;&gt;"",G2998&lt;&gt;0,G2998&lt;&gt;1),AND(H2998&lt;&gt;"",H2998&lt;&gt;0,H2998&lt;&gt;1)),"Flags devem ser 0 ou 1",IF(AND(H2998=1,LEN(TRIM(I2998))=0),"Preencher nome do indicante",IF(AND(H2998&lt;&gt;1,I2998&lt;&gt;""),"Nome sem indicação interna",IF(AND(G2998=1,F2998=""),"Fechamento sem conversa",IF(OR(AND(E2998&lt;&gt;"",E2998&lt;B2998),AND(F2998&lt;&gt;"",F2998&lt;B2998)),"Evento anterior à entrada",IF(AND(F2998&lt;&gt;"",E2998=""),"Conversa sem agendamento",IF(OR(E2998&gt;TODAY(),F2998&gt;TODAY()),"Verificar evento futuro","OK"))))))))))</f>
        <v/>
      </c>
    </row>
    <row r="2999" spans="12:15">
      <c r="L2999" s="5">
        <f>IF(OR(A2999="",B2999=""),"",B2999-WEEKDAY(B2999,2)+1)</f>
        <v/>
      </c>
      <c r="M2999" s="5">
        <f>IF(L2999="","",L2999+6)</f>
        <v/>
      </c>
      <c r="N2999" s="6">
        <f>IF(OR(A2999="",B2999=""),"",DATE(YEAR(B2999),MONTH(B2999),1))</f>
        <v/>
      </c>
      <c r="O2999" s="7">
        <f>IF(COUNTA(A2999:K2999)=0,"",IF(OR(A2999="",B2999=""),"Preencher CPF e entrada",IF(COUNTIFS($A$12:$A$5011,A2999,$B$12:$B$5011,B2999)&gt;1,"CPF + dia duplicado",IF(OR(AND(G2999&lt;&gt;"",G2999&lt;&gt;0,G2999&lt;&gt;1),AND(H2999&lt;&gt;"",H2999&lt;&gt;0,H2999&lt;&gt;1)),"Flags devem ser 0 ou 1",IF(AND(H2999=1,LEN(TRIM(I2999))=0),"Preencher nome do indicante",IF(AND(H2999&lt;&gt;1,I2999&lt;&gt;""),"Nome sem indicação interna",IF(AND(G2999=1,F2999=""),"Fechamento sem conversa",IF(OR(AND(E2999&lt;&gt;"",E2999&lt;B2999),AND(F2999&lt;&gt;"",F2999&lt;B2999)),"Evento anterior à entrada",IF(AND(F2999&lt;&gt;"",E2999=""),"Conversa sem agendamento",IF(OR(E2999&gt;TODAY(),F2999&gt;TODAY()),"Verificar evento futuro","OK"))))))))))</f>
        <v/>
      </c>
    </row>
    <row r="3000" spans="12:15">
      <c r="L3000" s="5">
        <f>IF(OR(A3000="",B3000=""),"",B3000-WEEKDAY(B3000,2)+1)</f>
        <v/>
      </c>
      <c r="M3000" s="5">
        <f>IF(L3000="","",L3000+6)</f>
        <v/>
      </c>
      <c r="N3000" s="6">
        <f>IF(OR(A3000="",B3000=""),"",DATE(YEAR(B3000),MONTH(B3000),1))</f>
        <v/>
      </c>
      <c r="O3000" s="7">
        <f>IF(COUNTA(A3000:K3000)=0,"",IF(OR(A3000="",B3000=""),"Preencher CPF e entrada",IF(COUNTIFS($A$12:$A$5011,A3000,$B$12:$B$5011,B3000)&gt;1,"CPF + dia duplicado",IF(OR(AND(G3000&lt;&gt;"",G3000&lt;&gt;0,G3000&lt;&gt;1),AND(H3000&lt;&gt;"",H3000&lt;&gt;0,H3000&lt;&gt;1)),"Flags devem ser 0 ou 1",IF(AND(H3000=1,LEN(TRIM(I3000))=0),"Preencher nome do indicante",IF(AND(H3000&lt;&gt;1,I3000&lt;&gt;""),"Nome sem indicação interna",IF(AND(G3000=1,F3000=""),"Fechamento sem conversa",IF(OR(AND(E3000&lt;&gt;"",E3000&lt;B3000),AND(F3000&lt;&gt;"",F3000&lt;B3000)),"Evento anterior à entrada",IF(AND(F3000&lt;&gt;"",E3000=""),"Conversa sem agendamento",IF(OR(E3000&gt;TODAY(),F3000&gt;TODAY()),"Verificar evento futuro","OK"))))))))))</f>
        <v/>
      </c>
    </row>
    <row r="3001" spans="12:15">
      <c r="L3001" s="5">
        <f>IF(OR(A3001="",B3001=""),"",B3001-WEEKDAY(B3001,2)+1)</f>
        <v/>
      </c>
      <c r="M3001" s="5">
        <f>IF(L3001="","",L3001+6)</f>
        <v/>
      </c>
      <c r="N3001" s="6">
        <f>IF(OR(A3001="",B3001=""),"",DATE(YEAR(B3001),MONTH(B3001),1))</f>
        <v/>
      </c>
      <c r="O3001" s="7">
        <f>IF(COUNTA(A3001:K3001)=0,"",IF(OR(A3001="",B3001=""),"Preencher CPF e entrada",IF(COUNTIFS($A$12:$A$5011,A3001,$B$12:$B$5011,B3001)&gt;1,"CPF + dia duplicado",IF(OR(AND(G3001&lt;&gt;"",G3001&lt;&gt;0,G3001&lt;&gt;1),AND(H3001&lt;&gt;"",H3001&lt;&gt;0,H3001&lt;&gt;1)),"Flags devem ser 0 ou 1",IF(AND(H3001=1,LEN(TRIM(I3001))=0),"Preencher nome do indicante",IF(AND(H3001&lt;&gt;1,I3001&lt;&gt;""),"Nome sem indicação interna",IF(AND(G3001=1,F3001=""),"Fechamento sem conversa",IF(OR(AND(E3001&lt;&gt;"",E3001&lt;B3001),AND(F3001&lt;&gt;"",F3001&lt;B3001)),"Evento anterior à entrada",IF(AND(F3001&lt;&gt;"",E3001=""),"Conversa sem agendamento",IF(OR(E3001&gt;TODAY(),F3001&gt;TODAY()),"Verificar evento futuro","OK"))))))))))</f>
        <v/>
      </c>
    </row>
    <row r="3002" spans="12:15">
      <c r="L3002" s="5">
        <f>IF(OR(A3002="",B3002=""),"",B3002-WEEKDAY(B3002,2)+1)</f>
        <v/>
      </c>
      <c r="M3002" s="5">
        <f>IF(L3002="","",L3002+6)</f>
        <v/>
      </c>
      <c r="N3002" s="6">
        <f>IF(OR(A3002="",B3002=""),"",DATE(YEAR(B3002),MONTH(B3002),1))</f>
        <v/>
      </c>
      <c r="O3002" s="7">
        <f>IF(COUNTA(A3002:K3002)=0,"",IF(OR(A3002="",B3002=""),"Preencher CPF e entrada",IF(COUNTIFS($A$12:$A$5011,A3002,$B$12:$B$5011,B3002)&gt;1,"CPF + dia duplicado",IF(OR(AND(G3002&lt;&gt;"",G3002&lt;&gt;0,G3002&lt;&gt;1),AND(H3002&lt;&gt;"",H3002&lt;&gt;0,H3002&lt;&gt;1)),"Flags devem ser 0 ou 1",IF(AND(H3002=1,LEN(TRIM(I3002))=0),"Preencher nome do indicante",IF(AND(H3002&lt;&gt;1,I3002&lt;&gt;""),"Nome sem indicação interna",IF(AND(G3002=1,F3002=""),"Fechamento sem conversa",IF(OR(AND(E3002&lt;&gt;"",E3002&lt;B3002),AND(F3002&lt;&gt;"",F3002&lt;B3002)),"Evento anterior à entrada",IF(AND(F3002&lt;&gt;"",E3002=""),"Conversa sem agendamento",IF(OR(E3002&gt;TODAY(),F3002&gt;TODAY()),"Verificar evento futuro","OK"))))))))))</f>
        <v/>
      </c>
    </row>
    <row r="3003" spans="12:15">
      <c r="L3003" s="5">
        <f>IF(OR(A3003="",B3003=""),"",B3003-WEEKDAY(B3003,2)+1)</f>
        <v/>
      </c>
      <c r="M3003" s="5">
        <f>IF(L3003="","",L3003+6)</f>
        <v/>
      </c>
      <c r="N3003" s="6">
        <f>IF(OR(A3003="",B3003=""),"",DATE(YEAR(B3003),MONTH(B3003),1))</f>
        <v/>
      </c>
      <c r="O3003" s="7">
        <f>IF(COUNTA(A3003:K3003)=0,"",IF(OR(A3003="",B3003=""),"Preencher CPF e entrada",IF(COUNTIFS($A$12:$A$5011,A3003,$B$12:$B$5011,B3003)&gt;1,"CPF + dia duplicado",IF(OR(AND(G3003&lt;&gt;"",G3003&lt;&gt;0,G3003&lt;&gt;1),AND(H3003&lt;&gt;"",H3003&lt;&gt;0,H3003&lt;&gt;1)),"Flags devem ser 0 ou 1",IF(AND(H3003=1,LEN(TRIM(I3003))=0),"Preencher nome do indicante",IF(AND(H3003&lt;&gt;1,I3003&lt;&gt;""),"Nome sem indicação interna",IF(AND(G3003=1,F3003=""),"Fechamento sem conversa",IF(OR(AND(E3003&lt;&gt;"",E3003&lt;B3003),AND(F3003&lt;&gt;"",F3003&lt;B3003)),"Evento anterior à entrada",IF(AND(F3003&lt;&gt;"",E3003=""),"Conversa sem agendamento",IF(OR(E3003&gt;TODAY(),F3003&gt;TODAY()),"Verificar evento futuro","OK"))))))))))</f>
        <v/>
      </c>
    </row>
    <row r="3004" spans="12:15">
      <c r="L3004" s="5">
        <f>IF(OR(A3004="",B3004=""),"",B3004-WEEKDAY(B3004,2)+1)</f>
        <v/>
      </c>
      <c r="M3004" s="5">
        <f>IF(L3004="","",L3004+6)</f>
        <v/>
      </c>
      <c r="N3004" s="6">
        <f>IF(OR(A3004="",B3004=""),"",DATE(YEAR(B3004),MONTH(B3004),1))</f>
        <v/>
      </c>
      <c r="O3004" s="7">
        <f>IF(COUNTA(A3004:K3004)=0,"",IF(OR(A3004="",B3004=""),"Preencher CPF e entrada",IF(COUNTIFS($A$12:$A$5011,A3004,$B$12:$B$5011,B3004)&gt;1,"CPF + dia duplicado",IF(OR(AND(G3004&lt;&gt;"",G3004&lt;&gt;0,G3004&lt;&gt;1),AND(H3004&lt;&gt;"",H3004&lt;&gt;0,H3004&lt;&gt;1)),"Flags devem ser 0 ou 1",IF(AND(H3004=1,LEN(TRIM(I3004))=0),"Preencher nome do indicante",IF(AND(H3004&lt;&gt;1,I3004&lt;&gt;""),"Nome sem indicação interna",IF(AND(G3004=1,F3004=""),"Fechamento sem conversa",IF(OR(AND(E3004&lt;&gt;"",E3004&lt;B3004),AND(F3004&lt;&gt;"",F3004&lt;B3004)),"Evento anterior à entrada",IF(AND(F3004&lt;&gt;"",E3004=""),"Conversa sem agendamento",IF(OR(E3004&gt;TODAY(),F3004&gt;TODAY()),"Verificar evento futuro","OK"))))))))))</f>
        <v/>
      </c>
    </row>
    <row r="3005" spans="12:15">
      <c r="L3005" s="5">
        <f>IF(OR(A3005="",B3005=""),"",B3005-WEEKDAY(B3005,2)+1)</f>
        <v/>
      </c>
      <c r="M3005" s="5">
        <f>IF(L3005="","",L3005+6)</f>
        <v/>
      </c>
      <c r="N3005" s="6">
        <f>IF(OR(A3005="",B3005=""),"",DATE(YEAR(B3005),MONTH(B3005),1))</f>
        <v/>
      </c>
      <c r="O3005" s="7">
        <f>IF(COUNTA(A3005:K3005)=0,"",IF(OR(A3005="",B3005=""),"Preencher CPF e entrada",IF(COUNTIFS($A$12:$A$5011,A3005,$B$12:$B$5011,B3005)&gt;1,"CPF + dia duplicado",IF(OR(AND(G3005&lt;&gt;"",G3005&lt;&gt;0,G3005&lt;&gt;1),AND(H3005&lt;&gt;"",H3005&lt;&gt;0,H3005&lt;&gt;1)),"Flags devem ser 0 ou 1",IF(AND(H3005=1,LEN(TRIM(I3005))=0),"Preencher nome do indicante",IF(AND(H3005&lt;&gt;1,I3005&lt;&gt;""),"Nome sem indicação interna",IF(AND(G3005=1,F3005=""),"Fechamento sem conversa",IF(OR(AND(E3005&lt;&gt;"",E3005&lt;B3005),AND(F3005&lt;&gt;"",F3005&lt;B3005)),"Evento anterior à entrada",IF(AND(F3005&lt;&gt;"",E3005=""),"Conversa sem agendamento",IF(OR(E3005&gt;TODAY(),F3005&gt;TODAY()),"Verificar evento futuro","OK"))))))))))</f>
        <v/>
      </c>
    </row>
    <row r="3006" spans="12:15">
      <c r="L3006" s="5">
        <f>IF(OR(A3006="",B3006=""),"",B3006-WEEKDAY(B3006,2)+1)</f>
        <v/>
      </c>
      <c r="M3006" s="5">
        <f>IF(L3006="","",L3006+6)</f>
        <v/>
      </c>
      <c r="N3006" s="6">
        <f>IF(OR(A3006="",B3006=""),"",DATE(YEAR(B3006),MONTH(B3006),1))</f>
        <v/>
      </c>
      <c r="O3006" s="7">
        <f>IF(COUNTA(A3006:K3006)=0,"",IF(OR(A3006="",B3006=""),"Preencher CPF e entrada",IF(COUNTIFS($A$12:$A$5011,A3006,$B$12:$B$5011,B3006)&gt;1,"CPF + dia duplicado",IF(OR(AND(G3006&lt;&gt;"",G3006&lt;&gt;0,G3006&lt;&gt;1),AND(H3006&lt;&gt;"",H3006&lt;&gt;0,H3006&lt;&gt;1)),"Flags devem ser 0 ou 1",IF(AND(H3006=1,LEN(TRIM(I3006))=0),"Preencher nome do indicante",IF(AND(H3006&lt;&gt;1,I3006&lt;&gt;""),"Nome sem indicação interna",IF(AND(G3006=1,F3006=""),"Fechamento sem conversa",IF(OR(AND(E3006&lt;&gt;"",E3006&lt;B3006),AND(F3006&lt;&gt;"",F3006&lt;B3006)),"Evento anterior à entrada",IF(AND(F3006&lt;&gt;"",E3006=""),"Conversa sem agendamento",IF(OR(E3006&gt;TODAY(),F3006&gt;TODAY()),"Verificar evento futuro","OK"))))))))))</f>
        <v/>
      </c>
    </row>
    <row r="3007" spans="12:15">
      <c r="L3007" s="5">
        <f>IF(OR(A3007="",B3007=""),"",B3007-WEEKDAY(B3007,2)+1)</f>
        <v/>
      </c>
      <c r="M3007" s="5">
        <f>IF(L3007="","",L3007+6)</f>
        <v/>
      </c>
      <c r="N3007" s="6">
        <f>IF(OR(A3007="",B3007=""),"",DATE(YEAR(B3007),MONTH(B3007),1))</f>
        <v/>
      </c>
      <c r="O3007" s="7">
        <f>IF(COUNTA(A3007:K3007)=0,"",IF(OR(A3007="",B3007=""),"Preencher CPF e entrada",IF(COUNTIFS($A$12:$A$5011,A3007,$B$12:$B$5011,B3007)&gt;1,"CPF + dia duplicado",IF(OR(AND(G3007&lt;&gt;"",G3007&lt;&gt;0,G3007&lt;&gt;1),AND(H3007&lt;&gt;"",H3007&lt;&gt;0,H3007&lt;&gt;1)),"Flags devem ser 0 ou 1",IF(AND(H3007=1,LEN(TRIM(I3007))=0),"Preencher nome do indicante",IF(AND(H3007&lt;&gt;1,I3007&lt;&gt;""),"Nome sem indicação interna",IF(AND(G3007=1,F3007=""),"Fechamento sem conversa",IF(OR(AND(E3007&lt;&gt;"",E3007&lt;B3007),AND(F3007&lt;&gt;"",F3007&lt;B3007)),"Evento anterior à entrada",IF(AND(F3007&lt;&gt;"",E3007=""),"Conversa sem agendamento",IF(OR(E3007&gt;TODAY(),F3007&gt;TODAY()),"Verificar evento futuro","OK"))))))))))</f>
        <v/>
      </c>
    </row>
    <row r="3008" spans="12:15">
      <c r="L3008" s="5">
        <f>IF(OR(A3008="",B3008=""),"",B3008-WEEKDAY(B3008,2)+1)</f>
        <v/>
      </c>
      <c r="M3008" s="5">
        <f>IF(L3008="","",L3008+6)</f>
        <v/>
      </c>
      <c r="N3008" s="6">
        <f>IF(OR(A3008="",B3008=""),"",DATE(YEAR(B3008),MONTH(B3008),1))</f>
        <v/>
      </c>
      <c r="O3008" s="7">
        <f>IF(COUNTA(A3008:K3008)=0,"",IF(OR(A3008="",B3008=""),"Preencher CPF e entrada",IF(COUNTIFS($A$12:$A$5011,A3008,$B$12:$B$5011,B3008)&gt;1,"CPF + dia duplicado",IF(OR(AND(G3008&lt;&gt;"",G3008&lt;&gt;0,G3008&lt;&gt;1),AND(H3008&lt;&gt;"",H3008&lt;&gt;0,H3008&lt;&gt;1)),"Flags devem ser 0 ou 1",IF(AND(H3008=1,LEN(TRIM(I3008))=0),"Preencher nome do indicante",IF(AND(H3008&lt;&gt;1,I3008&lt;&gt;""),"Nome sem indicação interna",IF(AND(G3008=1,F3008=""),"Fechamento sem conversa",IF(OR(AND(E3008&lt;&gt;"",E3008&lt;B3008),AND(F3008&lt;&gt;"",F3008&lt;B3008)),"Evento anterior à entrada",IF(AND(F3008&lt;&gt;"",E3008=""),"Conversa sem agendamento",IF(OR(E3008&gt;TODAY(),F3008&gt;TODAY()),"Verificar evento futuro","OK"))))))))))</f>
        <v/>
      </c>
    </row>
    <row r="3009" spans="12:15">
      <c r="L3009" s="5">
        <f>IF(OR(A3009="",B3009=""),"",B3009-WEEKDAY(B3009,2)+1)</f>
        <v/>
      </c>
      <c r="M3009" s="5">
        <f>IF(L3009="","",L3009+6)</f>
        <v/>
      </c>
      <c r="N3009" s="6">
        <f>IF(OR(A3009="",B3009=""),"",DATE(YEAR(B3009),MONTH(B3009),1))</f>
        <v/>
      </c>
      <c r="O3009" s="7">
        <f>IF(COUNTA(A3009:K3009)=0,"",IF(OR(A3009="",B3009=""),"Preencher CPF e entrada",IF(COUNTIFS($A$12:$A$5011,A3009,$B$12:$B$5011,B3009)&gt;1,"CPF + dia duplicado",IF(OR(AND(G3009&lt;&gt;"",G3009&lt;&gt;0,G3009&lt;&gt;1),AND(H3009&lt;&gt;"",H3009&lt;&gt;0,H3009&lt;&gt;1)),"Flags devem ser 0 ou 1",IF(AND(H3009=1,LEN(TRIM(I3009))=0),"Preencher nome do indicante",IF(AND(H3009&lt;&gt;1,I3009&lt;&gt;""),"Nome sem indicação interna",IF(AND(G3009=1,F3009=""),"Fechamento sem conversa",IF(OR(AND(E3009&lt;&gt;"",E3009&lt;B3009),AND(F3009&lt;&gt;"",F3009&lt;B3009)),"Evento anterior à entrada",IF(AND(F3009&lt;&gt;"",E3009=""),"Conversa sem agendamento",IF(OR(E3009&gt;TODAY(),F3009&gt;TODAY()),"Verificar evento futuro","OK"))))))))))</f>
        <v/>
      </c>
    </row>
    <row r="3010" spans="12:15">
      <c r="L3010" s="5">
        <f>IF(OR(A3010="",B3010=""),"",B3010-WEEKDAY(B3010,2)+1)</f>
        <v/>
      </c>
      <c r="M3010" s="5">
        <f>IF(L3010="","",L3010+6)</f>
        <v/>
      </c>
      <c r="N3010" s="6">
        <f>IF(OR(A3010="",B3010=""),"",DATE(YEAR(B3010),MONTH(B3010),1))</f>
        <v/>
      </c>
      <c r="O3010" s="7">
        <f>IF(COUNTA(A3010:K3010)=0,"",IF(OR(A3010="",B3010=""),"Preencher CPF e entrada",IF(COUNTIFS($A$12:$A$5011,A3010,$B$12:$B$5011,B3010)&gt;1,"CPF + dia duplicado",IF(OR(AND(G3010&lt;&gt;"",G3010&lt;&gt;0,G3010&lt;&gt;1),AND(H3010&lt;&gt;"",H3010&lt;&gt;0,H3010&lt;&gt;1)),"Flags devem ser 0 ou 1",IF(AND(H3010=1,LEN(TRIM(I3010))=0),"Preencher nome do indicante",IF(AND(H3010&lt;&gt;1,I3010&lt;&gt;""),"Nome sem indicação interna",IF(AND(G3010=1,F3010=""),"Fechamento sem conversa",IF(OR(AND(E3010&lt;&gt;"",E3010&lt;B3010),AND(F3010&lt;&gt;"",F3010&lt;B3010)),"Evento anterior à entrada",IF(AND(F3010&lt;&gt;"",E3010=""),"Conversa sem agendamento",IF(OR(E3010&gt;TODAY(),F3010&gt;TODAY()),"Verificar evento futuro","OK"))))))))))</f>
        <v/>
      </c>
    </row>
    <row r="3011" spans="12:15">
      <c r="L3011" s="5">
        <f>IF(OR(A3011="",B3011=""),"",B3011-WEEKDAY(B3011,2)+1)</f>
        <v/>
      </c>
      <c r="M3011" s="5">
        <f>IF(L3011="","",L3011+6)</f>
        <v/>
      </c>
      <c r="N3011" s="6">
        <f>IF(OR(A3011="",B3011=""),"",DATE(YEAR(B3011),MONTH(B3011),1))</f>
        <v/>
      </c>
      <c r="O3011" s="7">
        <f>IF(COUNTA(A3011:K3011)=0,"",IF(OR(A3011="",B3011=""),"Preencher CPF e entrada",IF(COUNTIFS($A$12:$A$5011,A3011,$B$12:$B$5011,B3011)&gt;1,"CPF + dia duplicado",IF(OR(AND(G3011&lt;&gt;"",G3011&lt;&gt;0,G3011&lt;&gt;1),AND(H3011&lt;&gt;"",H3011&lt;&gt;0,H3011&lt;&gt;1)),"Flags devem ser 0 ou 1",IF(AND(H3011=1,LEN(TRIM(I3011))=0),"Preencher nome do indicante",IF(AND(H3011&lt;&gt;1,I3011&lt;&gt;""),"Nome sem indicação interna",IF(AND(G3011=1,F3011=""),"Fechamento sem conversa",IF(OR(AND(E3011&lt;&gt;"",E3011&lt;B3011),AND(F3011&lt;&gt;"",F3011&lt;B3011)),"Evento anterior à entrada",IF(AND(F3011&lt;&gt;"",E3011=""),"Conversa sem agendamento",IF(OR(E3011&gt;TODAY(),F3011&gt;TODAY()),"Verificar evento futuro","OK"))))))))))</f>
        <v/>
      </c>
    </row>
    <row r="3012" spans="12:15">
      <c r="L3012" s="5">
        <f>IF(OR(A3012="",B3012=""),"",B3012-WEEKDAY(B3012,2)+1)</f>
        <v/>
      </c>
      <c r="M3012" s="5">
        <f>IF(L3012="","",L3012+6)</f>
        <v/>
      </c>
      <c r="N3012" s="6">
        <f>IF(OR(A3012="",B3012=""),"",DATE(YEAR(B3012),MONTH(B3012),1))</f>
        <v/>
      </c>
      <c r="O3012" s="7">
        <f>IF(COUNTA(A3012:K3012)=0,"",IF(OR(A3012="",B3012=""),"Preencher CPF e entrada",IF(COUNTIFS($A$12:$A$5011,A3012,$B$12:$B$5011,B3012)&gt;1,"CPF + dia duplicado",IF(OR(AND(G3012&lt;&gt;"",G3012&lt;&gt;0,G3012&lt;&gt;1),AND(H3012&lt;&gt;"",H3012&lt;&gt;0,H3012&lt;&gt;1)),"Flags devem ser 0 ou 1",IF(AND(H3012=1,LEN(TRIM(I3012))=0),"Preencher nome do indicante",IF(AND(H3012&lt;&gt;1,I3012&lt;&gt;""),"Nome sem indicação interna",IF(AND(G3012=1,F3012=""),"Fechamento sem conversa",IF(OR(AND(E3012&lt;&gt;"",E3012&lt;B3012),AND(F3012&lt;&gt;"",F3012&lt;B3012)),"Evento anterior à entrada",IF(AND(F3012&lt;&gt;"",E3012=""),"Conversa sem agendamento",IF(OR(E3012&gt;TODAY(),F3012&gt;TODAY()),"Verificar evento futuro","OK"))))))))))</f>
        <v/>
      </c>
    </row>
    <row r="3013" spans="12:15">
      <c r="L3013" s="5">
        <f>IF(OR(A3013="",B3013=""),"",B3013-WEEKDAY(B3013,2)+1)</f>
        <v/>
      </c>
      <c r="M3013" s="5">
        <f>IF(L3013="","",L3013+6)</f>
        <v/>
      </c>
      <c r="N3013" s="6">
        <f>IF(OR(A3013="",B3013=""),"",DATE(YEAR(B3013),MONTH(B3013),1))</f>
        <v/>
      </c>
      <c r="O3013" s="7">
        <f>IF(COUNTA(A3013:K3013)=0,"",IF(OR(A3013="",B3013=""),"Preencher CPF e entrada",IF(COUNTIFS($A$12:$A$5011,A3013,$B$12:$B$5011,B3013)&gt;1,"CPF + dia duplicado",IF(OR(AND(G3013&lt;&gt;"",G3013&lt;&gt;0,G3013&lt;&gt;1),AND(H3013&lt;&gt;"",H3013&lt;&gt;0,H3013&lt;&gt;1)),"Flags devem ser 0 ou 1",IF(AND(H3013=1,LEN(TRIM(I3013))=0),"Preencher nome do indicante",IF(AND(H3013&lt;&gt;1,I3013&lt;&gt;""),"Nome sem indicação interna",IF(AND(G3013=1,F3013=""),"Fechamento sem conversa",IF(OR(AND(E3013&lt;&gt;"",E3013&lt;B3013),AND(F3013&lt;&gt;"",F3013&lt;B3013)),"Evento anterior à entrada",IF(AND(F3013&lt;&gt;"",E3013=""),"Conversa sem agendamento",IF(OR(E3013&gt;TODAY(),F3013&gt;TODAY()),"Verificar evento futuro","OK"))))))))))</f>
        <v/>
      </c>
    </row>
    <row r="3014" spans="12:15">
      <c r="L3014" s="5">
        <f>IF(OR(A3014="",B3014=""),"",B3014-WEEKDAY(B3014,2)+1)</f>
        <v/>
      </c>
      <c r="M3014" s="5">
        <f>IF(L3014="","",L3014+6)</f>
        <v/>
      </c>
      <c r="N3014" s="6">
        <f>IF(OR(A3014="",B3014=""),"",DATE(YEAR(B3014),MONTH(B3014),1))</f>
        <v/>
      </c>
      <c r="O3014" s="7">
        <f>IF(COUNTA(A3014:K3014)=0,"",IF(OR(A3014="",B3014=""),"Preencher CPF e entrada",IF(COUNTIFS($A$12:$A$5011,A3014,$B$12:$B$5011,B3014)&gt;1,"CPF + dia duplicado",IF(OR(AND(G3014&lt;&gt;"",G3014&lt;&gt;0,G3014&lt;&gt;1),AND(H3014&lt;&gt;"",H3014&lt;&gt;0,H3014&lt;&gt;1)),"Flags devem ser 0 ou 1",IF(AND(H3014=1,LEN(TRIM(I3014))=0),"Preencher nome do indicante",IF(AND(H3014&lt;&gt;1,I3014&lt;&gt;""),"Nome sem indicação interna",IF(AND(G3014=1,F3014=""),"Fechamento sem conversa",IF(OR(AND(E3014&lt;&gt;"",E3014&lt;B3014),AND(F3014&lt;&gt;"",F3014&lt;B3014)),"Evento anterior à entrada",IF(AND(F3014&lt;&gt;"",E3014=""),"Conversa sem agendamento",IF(OR(E3014&gt;TODAY(),F3014&gt;TODAY()),"Verificar evento futuro","OK"))))))))))</f>
        <v/>
      </c>
    </row>
    <row r="3015" spans="12:15">
      <c r="L3015" s="5">
        <f>IF(OR(A3015="",B3015=""),"",B3015-WEEKDAY(B3015,2)+1)</f>
        <v/>
      </c>
      <c r="M3015" s="5">
        <f>IF(L3015="","",L3015+6)</f>
        <v/>
      </c>
      <c r="N3015" s="6">
        <f>IF(OR(A3015="",B3015=""),"",DATE(YEAR(B3015),MONTH(B3015),1))</f>
        <v/>
      </c>
      <c r="O3015" s="7">
        <f>IF(COUNTA(A3015:K3015)=0,"",IF(OR(A3015="",B3015=""),"Preencher CPF e entrada",IF(COUNTIFS($A$12:$A$5011,A3015,$B$12:$B$5011,B3015)&gt;1,"CPF + dia duplicado",IF(OR(AND(G3015&lt;&gt;"",G3015&lt;&gt;0,G3015&lt;&gt;1),AND(H3015&lt;&gt;"",H3015&lt;&gt;0,H3015&lt;&gt;1)),"Flags devem ser 0 ou 1",IF(AND(H3015=1,LEN(TRIM(I3015))=0),"Preencher nome do indicante",IF(AND(H3015&lt;&gt;1,I3015&lt;&gt;""),"Nome sem indicação interna",IF(AND(G3015=1,F3015=""),"Fechamento sem conversa",IF(OR(AND(E3015&lt;&gt;"",E3015&lt;B3015),AND(F3015&lt;&gt;"",F3015&lt;B3015)),"Evento anterior à entrada",IF(AND(F3015&lt;&gt;"",E3015=""),"Conversa sem agendamento",IF(OR(E3015&gt;TODAY(),F3015&gt;TODAY()),"Verificar evento futuro","OK"))))))))))</f>
        <v/>
      </c>
    </row>
    <row r="3016" spans="12:15">
      <c r="L3016" s="5">
        <f>IF(OR(A3016="",B3016=""),"",B3016-WEEKDAY(B3016,2)+1)</f>
        <v/>
      </c>
      <c r="M3016" s="5">
        <f>IF(L3016="","",L3016+6)</f>
        <v/>
      </c>
      <c r="N3016" s="6">
        <f>IF(OR(A3016="",B3016=""),"",DATE(YEAR(B3016),MONTH(B3016),1))</f>
        <v/>
      </c>
      <c r="O3016" s="7">
        <f>IF(COUNTA(A3016:K3016)=0,"",IF(OR(A3016="",B3016=""),"Preencher CPF e entrada",IF(COUNTIFS($A$12:$A$5011,A3016,$B$12:$B$5011,B3016)&gt;1,"CPF + dia duplicado",IF(OR(AND(G3016&lt;&gt;"",G3016&lt;&gt;0,G3016&lt;&gt;1),AND(H3016&lt;&gt;"",H3016&lt;&gt;0,H3016&lt;&gt;1)),"Flags devem ser 0 ou 1",IF(AND(H3016=1,LEN(TRIM(I3016))=0),"Preencher nome do indicante",IF(AND(H3016&lt;&gt;1,I3016&lt;&gt;""),"Nome sem indicação interna",IF(AND(G3016=1,F3016=""),"Fechamento sem conversa",IF(OR(AND(E3016&lt;&gt;"",E3016&lt;B3016),AND(F3016&lt;&gt;"",F3016&lt;B3016)),"Evento anterior à entrada",IF(AND(F3016&lt;&gt;"",E3016=""),"Conversa sem agendamento",IF(OR(E3016&gt;TODAY(),F3016&gt;TODAY()),"Verificar evento futuro","OK"))))))))))</f>
        <v/>
      </c>
    </row>
    <row r="3017" spans="12:15">
      <c r="L3017" s="5">
        <f>IF(OR(A3017="",B3017=""),"",B3017-WEEKDAY(B3017,2)+1)</f>
        <v/>
      </c>
      <c r="M3017" s="5">
        <f>IF(L3017="","",L3017+6)</f>
        <v/>
      </c>
      <c r="N3017" s="6">
        <f>IF(OR(A3017="",B3017=""),"",DATE(YEAR(B3017),MONTH(B3017),1))</f>
        <v/>
      </c>
      <c r="O3017" s="7">
        <f>IF(COUNTA(A3017:K3017)=0,"",IF(OR(A3017="",B3017=""),"Preencher CPF e entrada",IF(COUNTIFS($A$12:$A$5011,A3017,$B$12:$B$5011,B3017)&gt;1,"CPF + dia duplicado",IF(OR(AND(G3017&lt;&gt;"",G3017&lt;&gt;0,G3017&lt;&gt;1),AND(H3017&lt;&gt;"",H3017&lt;&gt;0,H3017&lt;&gt;1)),"Flags devem ser 0 ou 1",IF(AND(H3017=1,LEN(TRIM(I3017))=0),"Preencher nome do indicante",IF(AND(H3017&lt;&gt;1,I3017&lt;&gt;""),"Nome sem indicação interna",IF(AND(G3017=1,F3017=""),"Fechamento sem conversa",IF(OR(AND(E3017&lt;&gt;"",E3017&lt;B3017),AND(F3017&lt;&gt;"",F3017&lt;B3017)),"Evento anterior à entrada",IF(AND(F3017&lt;&gt;"",E3017=""),"Conversa sem agendamento",IF(OR(E3017&gt;TODAY(),F3017&gt;TODAY()),"Verificar evento futuro","OK"))))))))))</f>
        <v/>
      </c>
    </row>
    <row r="3018" spans="12:15">
      <c r="L3018" s="5">
        <f>IF(OR(A3018="",B3018=""),"",B3018-WEEKDAY(B3018,2)+1)</f>
        <v/>
      </c>
      <c r="M3018" s="5">
        <f>IF(L3018="","",L3018+6)</f>
        <v/>
      </c>
      <c r="N3018" s="6">
        <f>IF(OR(A3018="",B3018=""),"",DATE(YEAR(B3018),MONTH(B3018),1))</f>
        <v/>
      </c>
      <c r="O3018" s="7">
        <f>IF(COUNTA(A3018:K3018)=0,"",IF(OR(A3018="",B3018=""),"Preencher CPF e entrada",IF(COUNTIFS($A$12:$A$5011,A3018,$B$12:$B$5011,B3018)&gt;1,"CPF + dia duplicado",IF(OR(AND(G3018&lt;&gt;"",G3018&lt;&gt;0,G3018&lt;&gt;1),AND(H3018&lt;&gt;"",H3018&lt;&gt;0,H3018&lt;&gt;1)),"Flags devem ser 0 ou 1",IF(AND(H3018=1,LEN(TRIM(I3018))=0),"Preencher nome do indicante",IF(AND(H3018&lt;&gt;1,I3018&lt;&gt;""),"Nome sem indicação interna",IF(AND(G3018=1,F3018=""),"Fechamento sem conversa",IF(OR(AND(E3018&lt;&gt;"",E3018&lt;B3018),AND(F3018&lt;&gt;"",F3018&lt;B3018)),"Evento anterior à entrada",IF(AND(F3018&lt;&gt;"",E3018=""),"Conversa sem agendamento",IF(OR(E3018&gt;TODAY(),F3018&gt;TODAY()),"Verificar evento futuro","OK"))))))))))</f>
        <v/>
      </c>
    </row>
    <row r="3019" spans="12:15">
      <c r="L3019" s="5">
        <f>IF(OR(A3019="",B3019=""),"",B3019-WEEKDAY(B3019,2)+1)</f>
        <v/>
      </c>
      <c r="M3019" s="5">
        <f>IF(L3019="","",L3019+6)</f>
        <v/>
      </c>
      <c r="N3019" s="6">
        <f>IF(OR(A3019="",B3019=""),"",DATE(YEAR(B3019),MONTH(B3019),1))</f>
        <v/>
      </c>
      <c r="O3019" s="7">
        <f>IF(COUNTA(A3019:K3019)=0,"",IF(OR(A3019="",B3019=""),"Preencher CPF e entrada",IF(COUNTIFS($A$12:$A$5011,A3019,$B$12:$B$5011,B3019)&gt;1,"CPF + dia duplicado",IF(OR(AND(G3019&lt;&gt;"",G3019&lt;&gt;0,G3019&lt;&gt;1),AND(H3019&lt;&gt;"",H3019&lt;&gt;0,H3019&lt;&gt;1)),"Flags devem ser 0 ou 1",IF(AND(H3019=1,LEN(TRIM(I3019))=0),"Preencher nome do indicante",IF(AND(H3019&lt;&gt;1,I3019&lt;&gt;""),"Nome sem indicação interna",IF(AND(G3019=1,F3019=""),"Fechamento sem conversa",IF(OR(AND(E3019&lt;&gt;"",E3019&lt;B3019),AND(F3019&lt;&gt;"",F3019&lt;B3019)),"Evento anterior à entrada",IF(AND(F3019&lt;&gt;"",E3019=""),"Conversa sem agendamento",IF(OR(E3019&gt;TODAY(),F3019&gt;TODAY()),"Verificar evento futuro","OK"))))))))))</f>
        <v/>
      </c>
    </row>
    <row r="3020" spans="12:15">
      <c r="L3020" s="5">
        <f>IF(OR(A3020="",B3020=""),"",B3020-WEEKDAY(B3020,2)+1)</f>
        <v/>
      </c>
      <c r="M3020" s="5">
        <f>IF(L3020="","",L3020+6)</f>
        <v/>
      </c>
      <c r="N3020" s="6">
        <f>IF(OR(A3020="",B3020=""),"",DATE(YEAR(B3020),MONTH(B3020),1))</f>
        <v/>
      </c>
      <c r="O3020" s="7">
        <f>IF(COUNTA(A3020:K3020)=0,"",IF(OR(A3020="",B3020=""),"Preencher CPF e entrada",IF(COUNTIFS($A$12:$A$5011,A3020,$B$12:$B$5011,B3020)&gt;1,"CPF + dia duplicado",IF(OR(AND(G3020&lt;&gt;"",G3020&lt;&gt;0,G3020&lt;&gt;1),AND(H3020&lt;&gt;"",H3020&lt;&gt;0,H3020&lt;&gt;1)),"Flags devem ser 0 ou 1",IF(AND(H3020=1,LEN(TRIM(I3020))=0),"Preencher nome do indicante",IF(AND(H3020&lt;&gt;1,I3020&lt;&gt;""),"Nome sem indicação interna",IF(AND(G3020=1,F3020=""),"Fechamento sem conversa",IF(OR(AND(E3020&lt;&gt;"",E3020&lt;B3020),AND(F3020&lt;&gt;"",F3020&lt;B3020)),"Evento anterior à entrada",IF(AND(F3020&lt;&gt;"",E3020=""),"Conversa sem agendamento",IF(OR(E3020&gt;TODAY(),F3020&gt;TODAY()),"Verificar evento futuro","OK"))))))))))</f>
        <v/>
      </c>
    </row>
    <row r="3021" spans="12:15">
      <c r="L3021" s="5">
        <f>IF(OR(A3021="",B3021=""),"",B3021-WEEKDAY(B3021,2)+1)</f>
        <v/>
      </c>
      <c r="M3021" s="5">
        <f>IF(L3021="","",L3021+6)</f>
        <v/>
      </c>
      <c r="N3021" s="6">
        <f>IF(OR(A3021="",B3021=""),"",DATE(YEAR(B3021),MONTH(B3021),1))</f>
        <v/>
      </c>
      <c r="O3021" s="7">
        <f>IF(COUNTA(A3021:K3021)=0,"",IF(OR(A3021="",B3021=""),"Preencher CPF e entrada",IF(COUNTIFS($A$12:$A$5011,A3021,$B$12:$B$5011,B3021)&gt;1,"CPF + dia duplicado",IF(OR(AND(G3021&lt;&gt;"",G3021&lt;&gt;0,G3021&lt;&gt;1),AND(H3021&lt;&gt;"",H3021&lt;&gt;0,H3021&lt;&gt;1)),"Flags devem ser 0 ou 1",IF(AND(H3021=1,LEN(TRIM(I3021))=0),"Preencher nome do indicante",IF(AND(H3021&lt;&gt;1,I3021&lt;&gt;""),"Nome sem indicação interna",IF(AND(G3021=1,F3021=""),"Fechamento sem conversa",IF(OR(AND(E3021&lt;&gt;"",E3021&lt;B3021),AND(F3021&lt;&gt;"",F3021&lt;B3021)),"Evento anterior à entrada",IF(AND(F3021&lt;&gt;"",E3021=""),"Conversa sem agendamento",IF(OR(E3021&gt;TODAY(),F3021&gt;TODAY()),"Verificar evento futuro","OK"))))))))))</f>
        <v/>
      </c>
    </row>
    <row r="3022" spans="12:15">
      <c r="L3022" s="5">
        <f>IF(OR(A3022="",B3022=""),"",B3022-WEEKDAY(B3022,2)+1)</f>
        <v/>
      </c>
      <c r="M3022" s="5">
        <f>IF(L3022="","",L3022+6)</f>
        <v/>
      </c>
      <c r="N3022" s="6">
        <f>IF(OR(A3022="",B3022=""),"",DATE(YEAR(B3022),MONTH(B3022),1))</f>
        <v/>
      </c>
      <c r="O3022" s="7">
        <f>IF(COUNTA(A3022:K3022)=0,"",IF(OR(A3022="",B3022=""),"Preencher CPF e entrada",IF(COUNTIFS($A$12:$A$5011,A3022,$B$12:$B$5011,B3022)&gt;1,"CPF + dia duplicado",IF(OR(AND(G3022&lt;&gt;"",G3022&lt;&gt;0,G3022&lt;&gt;1),AND(H3022&lt;&gt;"",H3022&lt;&gt;0,H3022&lt;&gt;1)),"Flags devem ser 0 ou 1",IF(AND(H3022=1,LEN(TRIM(I3022))=0),"Preencher nome do indicante",IF(AND(H3022&lt;&gt;1,I3022&lt;&gt;""),"Nome sem indicação interna",IF(AND(G3022=1,F3022=""),"Fechamento sem conversa",IF(OR(AND(E3022&lt;&gt;"",E3022&lt;B3022),AND(F3022&lt;&gt;"",F3022&lt;B3022)),"Evento anterior à entrada",IF(AND(F3022&lt;&gt;"",E3022=""),"Conversa sem agendamento",IF(OR(E3022&gt;TODAY(),F3022&gt;TODAY()),"Verificar evento futuro","OK"))))))))))</f>
        <v/>
      </c>
    </row>
    <row r="3023" spans="12:15">
      <c r="L3023" s="5">
        <f>IF(OR(A3023="",B3023=""),"",B3023-WEEKDAY(B3023,2)+1)</f>
        <v/>
      </c>
      <c r="M3023" s="5">
        <f>IF(L3023="","",L3023+6)</f>
        <v/>
      </c>
      <c r="N3023" s="6">
        <f>IF(OR(A3023="",B3023=""),"",DATE(YEAR(B3023),MONTH(B3023),1))</f>
        <v/>
      </c>
      <c r="O3023" s="7">
        <f>IF(COUNTA(A3023:K3023)=0,"",IF(OR(A3023="",B3023=""),"Preencher CPF e entrada",IF(COUNTIFS($A$12:$A$5011,A3023,$B$12:$B$5011,B3023)&gt;1,"CPF + dia duplicado",IF(OR(AND(G3023&lt;&gt;"",G3023&lt;&gt;0,G3023&lt;&gt;1),AND(H3023&lt;&gt;"",H3023&lt;&gt;0,H3023&lt;&gt;1)),"Flags devem ser 0 ou 1",IF(AND(H3023=1,LEN(TRIM(I3023))=0),"Preencher nome do indicante",IF(AND(H3023&lt;&gt;1,I3023&lt;&gt;""),"Nome sem indicação interna",IF(AND(G3023=1,F3023=""),"Fechamento sem conversa",IF(OR(AND(E3023&lt;&gt;"",E3023&lt;B3023),AND(F3023&lt;&gt;"",F3023&lt;B3023)),"Evento anterior à entrada",IF(AND(F3023&lt;&gt;"",E3023=""),"Conversa sem agendamento",IF(OR(E3023&gt;TODAY(),F3023&gt;TODAY()),"Verificar evento futuro","OK"))))))))))</f>
        <v/>
      </c>
    </row>
    <row r="3024" spans="12:15">
      <c r="L3024" s="5">
        <f>IF(OR(A3024="",B3024=""),"",B3024-WEEKDAY(B3024,2)+1)</f>
        <v/>
      </c>
      <c r="M3024" s="5">
        <f>IF(L3024="","",L3024+6)</f>
        <v/>
      </c>
      <c r="N3024" s="6">
        <f>IF(OR(A3024="",B3024=""),"",DATE(YEAR(B3024),MONTH(B3024),1))</f>
        <v/>
      </c>
      <c r="O3024" s="7">
        <f>IF(COUNTA(A3024:K3024)=0,"",IF(OR(A3024="",B3024=""),"Preencher CPF e entrada",IF(COUNTIFS($A$12:$A$5011,A3024,$B$12:$B$5011,B3024)&gt;1,"CPF + dia duplicado",IF(OR(AND(G3024&lt;&gt;"",G3024&lt;&gt;0,G3024&lt;&gt;1),AND(H3024&lt;&gt;"",H3024&lt;&gt;0,H3024&lt;&gt;1)),"Flags devem ser 0 ou 1",IF(AND(H3024=1,LEN(TRIM(I3024))=0),"Preencher nome do indicante",IF(AND(H3024&lt;&gt;1,I3024&lt;&gt;""),"Nome sem indicação interna",IF(AND(G3024=1,F3024=""),"Fechamento sem conversa",IF(OR(AND(E3024&lt;&gt;"",E3024&lt;B3024),AND(F3024&lt;&gt;"",F3024&lt;B3024)),"Evento anterior à entrada",IF(AND(F3024&lt;&gt;"",E3024=""),"Conversa sem agendamento",IF(OR(E3024&gt;TODAY(),F3024&gt;TODAY()),"Verificar evento futuro","OK"))))))))))</f>
        <v/>
      </c>
    </row>
    <row r="3025" spans="12:15">
      <c r="L3025" s="5">
        <f>IF(OR(A3025="",B3025=""),"",B3025-WEEKDAY(B3025,2)+1)</f>
        <v/>
      </c>
      <c r="M3025" s="5">
        <f>IF(L3025="","",L3025+6)</f>
        <v/>
      </c>
      <c r="N3025" s="6">
        <f>IF(OR(A3025="",B3025=""),"",DATE(YEAR(B3025),MONTH(B3025),1))</f>
        <v/>
      </c>
      <c r="O3025" s="7">
        <f>IF(COUNTA(A3025:K3025)=0,"",IF(OR(A3025="",B3025=""),"Preencher CPF e entrada",IF(COUNTIFS($A$12:$A$5011,A3025,$B$12:$B$5011,B3025)&gt;1,"CPF + dia duplicado",IF(OR(AND(G3025&lt;&gt;"",G3025&lt;&gt;0,G3025&lt;&gt;1),AND(H3025&lt;&gt;"",H3025&lt;&gt;0,H3025&lt;&gt;1)),"Flags devem ser 0 ou 1",IF(AND(H3025=1,LEN(TRIM(I3025))=0),"Preencher nome do indicante",IF(AND(H3025&lt;&gt;1,I3025&lt;&gt;""),"Nome sem indicação interna",IF(AND(G3025=1,F3025=""),"Fechamento sem conversa",IF(OR(AND(E3025&lt;&gt;"",E3025&lt;B3025),AND(F3025&lt;&gt;"",F3025&lt;B3025)),"Evento anterior à entrada",IF(AND(F3025&lt;&gt;"",E3025=""),"Conversa sem agendamento",IF(OR(E3025&gt;TODAY(),F3025&gt;TODAY()),"Verificar evento futuro","OK"))))))))))</f>
        <v/>
      </c>
    </row>
    <row r="3026" spans="12:15">
      <c r="L3026" s="5">
        <f>IF(OR(A3026="",B3026=""),"",B3026-WEEKDAY(B3026,2)+1)</f>
        <v/>
      </c>
      <c r="M3026" s="5">
        <f>IF(L3026="","",L3026+6)</f>
        <v/>
      </c>
      <c r="N3026" s="6">
        <f>IF(OR(A3026="",B3026=""),"",DATE(YEAR(B3026),MONTH(B3026),1))</f>
        <v/>
      </c>
      <c r="O3026" s="7">
        <f>IF(COUNTA(A3026:K3026)=0,"",IF(OR(A3026="",B3026=""),"Preencher CPF e entrada",IF(COUNTIFS($A$12:$A$5011,A3026,$B$12:$B$5011,B3026)&gt;1,"CPF + dia duplicado",IF(OR(AND(G3026&lt;&gt;"",G3026&lt;&gt;0,G3026&lt;&gt;1),AND(H3026&lt;&gt;"",H3026&lt;&gt;0,H3026&lt;&gt;1)),"Flags devem ser 0 ou 1",IF(AND(H3026=1,LEN(TRIM(I3026))=0),"Preencher nome do indicante",IF(AND(H3026&lt;&gt;1,I3026&lt;&gt;""),"Nome sem indicação interna",IF(AND(G3026=1,F3026=""),"Fechamento sem conversa",IF(OR(AND(E3026&lt;&gt;"",E3026&lt;B3026),AND(F3026&lt;&gt;"",F3026&lt;B3026)),"Evento anterior à entrada",IF(AND(F3026&lt;&gt;"",E3026=""),"Conversa sem agendamento",IF(OR(E3026&gt;TODAY(),F3026&gt;TODAY()),"Verificar evento futuro","OK"))))))))))</f>
        <v/>
      </c>
    </row>
    <row r="3027" spans="12:15">
      <c r="L3027" s="5">
        <f>IF(OR(A3027="",B3027=""),"",B3027-WEEKDAY(B3027,2)+1)</f>
        <v/>
      </c>
      <c r="M3027" s="5">
        <f>IF(L3027="","",L3027+6)</f>
        <v/>
      </c>
      <c r="N3027" s="6">
        <f>IF(OR(A3027="",B3027=""),"",DATE(YEAR(B3027),MONTH(B3027),1))</f>
        <v/>
      </c>
      <c r="O3027" s="7">
        <f>IF(COUNTA(A3027:K3027)=0,"",IF(OR(A3027="",B3027=""),"Preencher CPF e entrada",IF(COUNTIFS($A$12:$A$5011,A3027,$B$12:$B$5011,B3027)&gt;1,"CPF + dia duplicado",IF(OR(AND(G3027&lt;&gt;"",G3027&lt;&gt;0,G3027&lt;&gt;1),AND(H3027&lt;&gt;"",H3027&lt;&gt;0,H3027&lt;&gt;1)),"Flags devem ser 0 ou 1",IF(AND(H3027=1,LEN(TRIM(I3027))=0),"Preencher nome do indicante",IF(AND(H3027&lt;&gt;1,I3027&lt;&gt;""),"Nome sem indicação interna",IF(AND(G3027=1,F3027=""),"Fechamento sem conversa",IF(OR(AND(E3027&lt;&gt;"",E3027&lt;B3027),AND(F3027&lt;&gt;"",F3027&lt;B3027)),"Evento anterior à entrada",IF(AND(F3027&lt;&gt;"",E3027=""),"Conversa sem agendamento",IF(OR(E3027&gt;TODAY(),F3027&gt;TODAY()),"Verificar evento futuro","OK"))))))))))</f>
        <v/>
      </c>
    </row>
    <row r="3028" spans="12:15">
      <c r="L3028" s="5">
        <f>IF(OR(A3028="",B3028=""),"",B3028-WEEKDAY(B3028,2)+1)</f>
        <v/>
      </c>
      <c r="M3028" s="5">
        <f>IF(L3028="","",L3028+6)</f>
        <v/>
      </c>
      <c r="N3028" s="6">
        <f>IF(OR(A3028="",B3028=""),"",DATE(YEAR(B3028),MONTH(B3028),1))</f>
        <v/>
      </c>
      <c r="O3028" s="7">
        <f>IF(COUNTA(A3028:K3028)=0,"",IF(OR(A3028="",B3028=""),"Preencher CPF e entrada",IF(COUNTIFS($A$12:$A$5011,A3028,$B$12:$B$5011,B3028)&gt;1,"CPF + dia duplicado",IF(OR(AND(G3028&lt;&gt;"",G3028&lt;&gt;0,G3028&lt;&gt;1),AND(H3028&lt;&gt;"",H3028&lt;&gt;0,H3028&lt;&gt;1)),"Flags devem ser 0 ou 1",IF(AND(H3028=1,LEN(TRIM(I3028))=0),"Preencher nome do indicante",IF(AND(H3028&lt;&gt;1,I3028&lt;&gt;""),"Nome sem indicação interna",IF(AND(G3028=1,F3028=""),"Fechamento sem conversa",IF(OR(AND(E3028&lt;&gt;"",E3028&lt;B3028),AND(F3028&lt;&gt;"",F3028&lt;B3028)),"Evento anterior à entrada",IF(AND(F3028&lt;&gt;"",E3028=""),"Conversa sem agendamento",IF(OR(E3028&gt;TODAY(),F3028&gt;TODAY()),"Verificar evento futuro","OK"))))))))))</f>
        <v/>
      </c>
    </row>
    <row r="3029" spans="12:15">
      <c r="L3029" s="5">
        <f>IF(OR(A3029="",B3029=""),"",B3029-WEEKDAY(B3029,2)+1)</f>
        <v/>
      </c>
      <c r="M3029" s="5">
        <f>IF(L3029="","",L3029+6)</f>
        <v/>
      </c>
      <c r="N3029" s="6">
        <f>IF(OR(A3029="",B3029=""),"",DATE(YEAR(B3029),MONTH(B3029),1))</f>
        <v/>
      </c>
      <c r="O3029" s="7">
        <f>IF(COUNTA(A3029:K3029)=0,"",IF(OR(A3029="",B3029=""),"Preencher CPF e entrada",IF(COUNTIFS($A$12:$A$5011,A3029,$B$12:$B$5011,B3029)&gt;1,"CPF + dia duplicado",IF(OR(AND(G3029&lt;&gt;"",G3029&lt;&gt;0,G3029&lt;&gt;1),AND(H3029&lt;&gt;"",H3029&lt;&gt;0,H3029&lt;&gt;1)),"Flags devem ser 0 ou 1",IF(AND(H3029=1,LEN(TRIM(I3029))=0),"Preencher nome do indicante",IF(AND(H3029&lt;&gt;1,I3029&lt;&gt;""),"Nome sem indicação interna",IF(AND(G3029=1,F3029=""),"Fechamento sem conversa",IF(OR(AND(E3029&lt;&gt;"",E3029&lt;B3029),AND(F3029&lt;&gt;"",F3029&lt;B3029)),"Evento anterior à entrada",IF(AND(F3029&lt;&gt;"",E3029=""),"Conversa sem agendamento",IF(OR(E3029&gt;TODAY(),F3029&gt;TODAY()),"Verificar evento futuro","OK"))))))))))</f>
        <v/>
      </c>
    </row>
    <row r="3030" spans="12:15">
      <c r="L3030" s="5">
        <f>IF(OR(A3030="",B3030=""),"",B3030-WEEKDAY(B3030,2)+1)</f>
        <v/>
      </c>
      <c r="M3030" s="5">
        <f>IF(L3030="","",L3030+6)</f>
        <v/>
      </c>
      <c r="N3030" s="6">
        <f>IF(OR(A3030="",B3030=""),"",DATE(YEAR(B3030),MONTH(B3030),1))</f>
        <v/>
      </c>
      <c r="O3030" s="7">
        <f>IF(COUNTA(A3030:K3030)=0,"",IF(OR(A3030="",B3030=""),"Preencher CPF e entrada",IF(COUNTIFS($A$12:$A$5011,A3030,$B$12:$B$5011,B3030)&gt;1,"CPF + dia duplicado",IF(OR(AND(G3030&lt;&gt;"",G3030&lt;&gt;0,G3030&lt;&gt;1),AND(H3030&lt;&gt;"",H3030&lt;&gt;0,H3030&lt;&gt;1)),"Flags devem ser 0 ou 1",IF(AND(H3030=1,LEN(TRIM(I3030))=0),"Preencher nome do indicante",IF(AND(H3030&lt;&gt;1,I3030&lt;&gt;""),"Nome sem indicação interna",IF(AND(G3030=1,F3030=""),"Fechamento sem conversa",IF(OR(AND(E3030&lt;&gt;"",E3030&lt;B3030),AND(F3030&lt;&gt;"",F3030&lt;B3030)),"Evento anterior à entrada",IF(AND(F3030&lt;&gt;"",E3030=""),"Conversa sem agendamento",IF(OR(E3030&gt;TODAY(),F3030&gt;TODAY()),"Verificar evento futuro","OK"))))))))))</f>
        <v/>
      </c>
    </row>
    <row r="3031" spans="12:15">
      <c r="L3031" s="5">
        <f>IF(OR(A3031="",B3031=""),"",B3031-WEEKDAY(B3031,2)+1)</f>
        <v/>
      </c>
      <c r="M3031" s="5">
        <f>IF(L3031="","",L3031+6)</f>
        <v/>
      </c>
      <c r="N3031" s="6">
        <f>IF(OR(A3031="",B3031=""),"",DATE(YEAR(B3031),MONTH(B3031),1))</f>
        <v/>
      </c>
      <c r="O3031" s="7">
        <f>IF(COUNTA(A3031:K3031)=0,"",IF(OR(A3031="",B3031=""),"Preencher CPF e entrada",IF(COUNTIFS($A$12:$A$5011,A3031,$B$12:$B$5011,B3031)&gt;1,"CPF + dia duplicado",IF(OR(AND(G3031&lt;&gt;"",G3031&lt;&gt;0,G3031&lt;&gt;1),AND(H3031&lt;&gt;"",H3031&lt;&gt;0,H3031&lt;&gt;1)),"Flags devem ser 0 ou 1",IF(AND(H3031=1,LEN(TRIM(I3031))=0),"Preencher nome do indicante",IF(AND(H3031&lt;&gt;1,I3031&lt;&gt;""),"Nome sem indicação interna",IF(AND(G3031=1,F3031=""),"Fechamento sem conversa",IF(OR(AND(E3031&lt;&gt;"",E3031&lt;B3031),AND(F3031&lt;&gt;"",F3031&lt;B3031)),"Evento anterior à entrada",IF(AND(F3031&lt;&gt;"",E3031=""),"Conversa sem agendamento",IF(OR(E3031&gt;TODAY(),F3031&gt;TODAY()),"Verificar evento futuro","OK"))))))))))</f>
        <v/>
      </c>
    </row>
    <row r="3032" spans="12:15">
      <c r="L3032" s="5">
        <f>IF(OR(A3032="",B3032=""),"",B3032-WEEKDAY(B3032,2)+1)</f>
        <v/>
      </c>
      <c r="M3032" s="5">
        <f>IF(L3032="","",L3032+6)</f>
        <v/>
      </c>
      <c r="N3032" s="6">
        <f>IF(OR(A3032="",B3032=""),"",DATE(YEAR(B3032),MONTH(B3032),1))</f>
        <v/>
      </c>
      <c r="O3032" s="7">
        <f>IF(COUNTA(A3032:K3032)=0,"",IF(OR(A3032="",B3032=""),"Preencher CPF e entrada",IF(COUNTIFS($A$12:$A$5011,A3032,$B$12:$B$5011,B3032)&gt;1,"CPF + dia duplicado",IF(OR(AND(G3032&lt;&gt;"",G3032&lt;&gt;0,G3032&lt;&gt;1),AND(H3032&lt;&gt;"",H3032&lt;&gt;0,H3032&lt;&gt;1)),"Flags devem ser 0 ou 1",IF(AND(H3032=1,LEN(TRIM(I3032))=0),"Preencher nome do indicante",IF(AND(H3032&lt;&gt;1,I3032&lt;&gt;""),"Nome sem indicação interna",IF(AND(G3032=1,F3032=""),"Fechamento sem conversa",IF(OR(AND(E3032&lt;&gt;"",E3032&lt;B3032),AND(F3032&lt;&gt;"",F3032&lt;B3032)),"Evento anterior à entrada",IF(AND(F3032&lt;&gt;"",E3032=""),"Conversa sem agendamento",IF(OR(E3032&gt;TODAY(),F3032&gt;TODAY()),"Verificar evento futuro","OK"))))))))))</f>
        <v/>
      </c>
    </row>
    <row r="3033" spans="12:15">
      <c r="L3033" s="5">
        <f>IF(OR(A3033="",B3033=""),"",B3033-WEEKDAY(B3033,2)+1)</f>
        <v/>
      </c>
      <c r="M3033" s="5">
        <f>IF(L3033="","",L3033+6)</f>
        <v/>
      </c>
      <c r="N3033" s="6">
        <f>IF(OR(A3033="",B3033=""),"",DATE(YEAR(B3033),MONTH(B3033),1))</f>
        <v/>
      </c>
      <c r="O3033" s="7">
        <f>IF(COUNTA(A3033:K3033)=0,"",IF(OR(A3033="",B3033=""),"Preencher CPF e entrada",IF(COUNTIFS($A$12:$A$5011,A3033,$B$12:$B$5011,B3033)&gt;1,"CPF + dia duplicado",IF(OR(AND(G3033&lt;&gt;"",G3033&lt;&gt;0,G3033&lt;&gt;1),AND(H3033&lt;&gt;"",H3033&lt;&gt;0,H3033&lt;&gt;1)),"Flags devem ser 0 ou 1",IF(AND(H3033=1,LEN(TRIM(I3033))=0),"Preencher nome do indicante",IF(AND(H3033&lt;&gt;1,I3033&lt;&gt;""),"Nome sem indicação interna",IF(AND(G3033=1,F3033=""),"Fechamento sem conversa",IF(OR(AND(E3033&lt;&gt;"",E3033&lt;B3033),AND(F3033&lt;&gt;"",F3033&lt;B3033)),"Evento anterior à entrada",IF(AND(F3033&lt;&gt;"",E3033=""),"Conversa sem agendamento",IF(OR(E3033&gt;TODAY(),F3033&gt;TODAY()),"Verificar evento futuro","OK"))))))))))</f>
        <v/>
      </c>
    </row>
    <row r="3034" spans="12:15">
      <c r="L3034" s="5">
        <f>IF(OR(A3034="",B3034=""),"",B3034-WEEKDAY(B3034,2)+1)</f>
        <v/>
      </c>
      <c r="M3034" s="5">
        <f>IF(L3034="","",L3034+6)</f>
        <v/>
      </c>
      <c r="N3034" s="6">
        <f>IF(OR(A3034="",B3034=""),"",DATE(YEAR(B3034),MONTH(B3034),1))</f>
        <v/>
      </c>
      <c r="O3034" s="7">
        <f>IF(COUNTA(A3034:K3034)=0,"",IF(OR(A3034="",B3034=""),"Preencher CPF e entrada",IF(COUNTIFS($A$12:$A$5011,A3034,$B$12:$B$5011,B3034)&gt;1,"CPF + dia duplicado",IF(OR(AND(G3034&lt;&gt;"",G3034&lt;&gt;0,G3034&lt;&gt;1),AND(H3034&lt;&gt;"",H3034&lt;&gt;0,H3034&lt;&gt;1)),"Flags devem ser 0 ou 1",IF(AND(H3034=1,LEN(TRIM(I3034))=0),"Preencher nome do indicante",IF(AND(H3034&lt;&gt;1,I3034&lt;&gt;""),"Nome sem indicação interna",IF(AND(G3034=1,F3034=""),"Fechamento sem conversa",IF(OR(AND(E3034&lt;&gt;"",E3034&lt;B3034),AND(F3034&lt;&gt;"",F3034&lt;B3034)),"Evento anterior à entrada",IF(AND(F3034&lt;&gt;"",E3034=""),"Conversa sem agendamento",IF(OR(E3034&gt;TODAY(),F3034&gt;TODAY()),"Verificar evento futuro","OK"))))))))))</f>
        <v/>
      </c>
    </row>
    <row r="3035" spans="12:15">
      <c r="L3035" s="5">
        <f>IF(OR(A3035="",B3035=""),"",B3035-WEEKDAY(B3035,2)+1)</f>
        <v/>
      </c>
      <c r="M3035" s="5">
        <f>IF(L3035="","",L3035+6)</f>
        <v/>
      </c>
      <c r="N3035" s="6">
        <f>IF(OR(A3035="",B3035=""),"",DATE(YEAR(B3035),MONTH(B3035),1))</f>
        <v/>
      </c>
      <c r="O3035" s="7">
        <f>IF(COUNTA(A3035:K3035)=0,"",IF(OR(A3035="",B3035=""),"Preencher CPF e entrada",IF(COUNTIFS($A$12:$A$5011,A3035,$B$12:$B$5011,B3035)&gt;1,"CPF + dia duplicado",IF(OR(AND(G3035&lt;&gt;"",G3035&lt;&gt;0,G3035&lt;&gt;1),AND(H3035&lt;&gt;"",H3035&lt;&gt;0,H3035&lt;&gt;1)),"Flags devem ser 0 ou 1",IF(AND(H3035=1,LEN(TRIM(I3035))=0),"Preencher nome do indicante",IF(AND(H3035&lt;&gt;1,I3035&lt;&gt;""),"Nome sem indicação interna",IF(AND(G3035=1,F3035=""),"Fechamento sem conversa",IF(OR(AND(E3035&lt;&gt;"",E3035&lt;B3035),AND(F3035&lt;&gt;"",F3035&lt;B3035)),"Evento anterior à entrada",IF(AND(F3035&lt;&gt;"",E3035=""),"Conversa sem agendamento",IF(OR(E3035&gt;TODAY(),F3035&gt;TODAY()),"Verificar evento futuro","OK"))))))))))</f>
        <v/>
      </c>
    </row>
    <row r="3036" spans="12:15">
      <c r="L3036" s="5">
        <f>IF(OR(A3036="",B3036=""),"",B3036-WEEKDAY(B3036,2)+1)</f>
        <v/>
      </c>
      <c r="M3036" s="5">
        <f>IF(L3036="","",L3036+6)</f>
        <v/>
      </c>
      <c r="N3036" s="6">
        <f>IF(OR(A3036="",B3036=""),"",DATE(YEAR(B3036),MONTH(B3036),1))</f>
        <v/>
      </c>
      <c r="O3036" s="7">
        <f>IF(COUNTA(A3036:K3036)=0,"",IF(OR(A3036="",B3036=""),"Preencher CPF e entrada",IF(COUNTIFS($A$12:$A$5011,A3036,$B$12:$B$5011,B3036)&gt;1,"CPF + dia duplicado",IF(OR(AND(G3036&lt;&gt;"",G3036&lt;&gt;0,G3036&lt;&gt;1),AND(H3036&lt;&gt;"",H3036&lt;&gt;0,H3036&lt;&gt;1)),"Flags devem ser 0 ou 1",IF(AND(H3036=1,LEN(TRIM(I3036))=0),"Preencher nome do indicante",IF(AND(H3036&lt;&gt;1,I3036&lt;&gt;""),"Nome sem indicação interna",IF(AND(G3036=1,F3036=""),"Fechamento sem conversa",IF(OR(AND(E3036&lt;&gt;"",E3036&lt;B3036),AND(F3036&lt;&gt;"",F3036&lt;B3036)),"Evento anterior à entrada",IF(AND(F3036&lt;&gt;"",E3036=""),"Conversa sem agendamento",IF(OR(E3036&gt;TODAY(),F3036&gt;TODAY()),"Verificar evento futuro","OK"))))))))))</f>
        <v/>
      </c>
    </row>
    <row r="3037" spans="12:15">
      <c r="L3037" s="5">
        <f>IF(OR(A3037="",B3037=""),"",B3037-WEEKDAY(B3037,2)+1)</f>
        <v/>
      </c>
      <c r="M3037" s="5">
        <f>IF(L3037="","",L3037+6)</f>
        <v/>
      </c>
      <c r="N3037" s="6">
        <f>IF(OR(A3037="",B3037=""),"",DATE(YEAR(B3037),MONTH(B3037),1))</f>
        <v/>
      </c>
      <c r="O3037" s="7">
        <f>IF(COUNTA(A3037:K3037)=0,"",IF(OR(A3037="",B3037=""),"Preencher CPF e entrada",IF(COUNTIFS($A$12:$A$5011,A3037,$B$12:$B$5011,B3037)&gt;1,"CPF + dia duplicado",IF(OR(AND(G3037&lt;&gt;"",G3037&lt;&gt;0,G3037&lt;&gt;1),AND(H3037&lt;&gt;"",H3037&lt;&gt;0,H3037&lt;&gt;1)),"Flags devem ser 0 ou 1",IF(AND(H3037=1,LEN(TRIM(I3037))=0),"Preencher nome do indicante",IF(AND(H3037&lt;&gt;1,I3037&lt;&gt;""),"Nome sem indicação interna",IF(AND(G3037=1,F3037=""),"Fechamento sem conversa",IF(OR(AND(E3037&lt;&gt;"",E3037&lt;B3037),AND(F3037&lt;&gt;"",F3037&lt;B3037)),"Evento anterior à entrada",IF(AND(F3037&lt;&gt;"",E3037=""),"Conversa sem agendamento",IF(OR(E3037&gt;TODAY(),F3037&gt;TODAY()),"Verificar evento futuro","OK"))))))))))</f>
        <v/>
      </c>
    </row>
    <row r="3038" spans="12:15">
      <c r="L3038" s="5">
        <f>IF(OR(A3038="",B3038=""),"",B3038-WEEKDAY(B3038,2)+1)</f>
        <v/>
      </c>
      <c r="M3038" s="5">
        <f>IF(L3038="","",L3038+6)</f>
        <v/>
      </c>
      <c r="N3038" s="6">
        <f>IF(OR(A3038="",B3038=""),"",DATE(YEAR(B3038),MONTH(B3038),1))</f>
        <v/>
      </c>
      <c r="O3038" s="7">
        <f>IF(COUNTA(A3038:K3038)=0,"",IF(OR(A3038="",B3038=""),"Preencher CPF e entrada",IF(COUNTIFS($A$12:$A$5011,A3038,$B$12:$B$5011,B3038)&gt;1,"CPF + dia duplicado",IF(OR(AND(G3038&lt;&gt;"",G3038&lt;&gt;0,G3038&lt;&gt;1),AND(H3038&lt;&gt;"",H3038&lt;&gt;0,H3038&lt;&gt;1)),"Flags devem ser 0 ou 1",IF(AND(H3038=1,LEN(TRIM(I3038))=0),"Preencher nome do indicante",IF(AND(H3038&lt;&gt;1,I3038&lt;&gt;""),"Nome sem indicação interna",IF(AND(G3038=1,F3038=""),"Fechamento sem conversa",IF(OR(AND(E3038&lt;&gt;"",E3038&lt;B3038),AND(F3038&lt;&gt;"",F3038&lt;B3038)),"Evento anterior à entrada",IF(AND(F3038&lt;&gt;"",E3038=""),"Conversa sem agendamento",IF(OR(E3038&gt;TODAY(),F3038&gt;TODAY()),"Verificar evento futuro","OK"))))))))))</f>
        <v/>
      </c>
    </row>
    <row r="3039" spans="12:15">
      <c r="L3039" s="5">
        <f>IF(OR(A3039="",B3039=""),"",B3039-WEEKDAY(B3039,2)+1)</f>
        <v/>
      </c>
      <c r="M3039" s="5">
        <f>IF(L3039="","",L3039+6)</f>
        <v/>
      </c>
      <c r="N3039" s="6">
        <f>IF(OR(A3039="",B3039=""),"",DATE(YEAR(B3039),MONTH(B3039),1))</f>
        <v/>
      </c>
      <c r="O3039" s="7">
        <f>IF(COUNTA(A3039:K3039)=0,"",IF(OR(A3039="",B3039=""),"Preencher CPF e entrada",IF(COUNTIFS($A$12:$A$5011,A3039,$B$12:$B$5011,B3039)&gt;1,"CPF + dia duplicado",IF(OR(AND(G3039&lt;&gt;"",G3039&lt;&gt;0,G3039&lt;&gt;1),AND(H3039&lt;&gt;"",H3039&lt;&gt;0,H3039&lt;&gt;1)),"Flags devem ser 0 ou 1",IF(AND(H3039=1,LEN(TRIM(I3039))=0),"Preencher nome do indicante",IF(AND(H3039&lt;&gt;1,I3039&lt;&gt;""),"Nome sem indicação interna",IF(AND(G3039=1,F3039=""),"Fechamento sem conversa",IF(OR(AND(E3039&lt;&gt;"",E3039&lt;B3039),AND(F3039&lt;&gt;"",F3039&lt;B3039)),"Evento anterior à entrada",IF(AND(F3039&lt;&gt;"",E3039=""),"Conversa sem agendamento",IF(OR(E3039&gt;TODAY(),F3039&gt;TODAY()),"Verificar evento futuro","OK"))))))))))</f>
        <v/>
      </c>
    </row>
    <row r="3040" spans="12:15">
      <c r="L3040" s="5">
        <f>IF(OR(A3040="",B3040=""),"",B3040-WEEKDAY(B3040,2)+1)</f>
        <v/>
      </c>
      <c r="M3040" s="5">
        <f>IF(L3040="","",L3040+6)</f>
        <v/>
      </c>
      <c r="N3040" s="6">
        <f>IF(OR(A3040="",B3040=""),"",DATE(YEAR(B3040),MONTH(B3040),1))</f>
        <v/>
      </c>
      <c r="O3040" s="7">
        <f>IF(COUNTA(A3040:K3040)=0,"",IF(OR(A3040="",B3040=""),"Preencher CPF e entrada",IF(COUNTIFS($A$12:$A$5011,A3040,$B$12:$B$5011,B3040)&gt;1,"CPF + dia duplicado",IF(OR(AND(G3040&lt;&gt;"",G3040&lt;&gt;0,G3040&lt;&gt;1),AND(H3040&lt;&gt;"",H3040&lt;&gt;0,H3040&lt;&gt;1)),"Flags devem ser 0 ou 1",IF(AND(H3040=1,LEN(TRIM(I3040))=0),"Preencher nome do indicante",IF(AND(H3040&lt;&gt;1,I3040&lt;&gt;""),"Nome sem indicação interna",IF(AND(G3040=1,F3040=""),"Fechamento sem conversa",IF(OR(AND(E3040&lt;&gt;"",E3040&lt;B3040),AND(F3040&lt;&gt;"",F3040&lt;B3040)),"Evento anterior à entrada",IF(AND(F3040&lt;&gt;"",E3040=""),"Conversa sem agendamento",IF(OR(E3040&gt;TODAY(),F3040&gt;TODAY()),"Verificar evento futuro","OK"))))))))))</f>
        <v/>
      </c>
    </row>
    <row r="3041" spans="12:15">
      <c r="L3041" s="5">
        <f>IF(OR(A3041="",B3041=""),"",B3041-WEEKDAY(B3041,2)+1)</f>
        <v/>
      </c>
      <c r="M3041" s="5">
        <f>IF(L3041="","",L3041+6)</f>
        <v/>
      </c>
      <c r="N3041" s="6">
        <f>IF(OR(A3041="",B3041=""),"",DATE(YEAR(B3041),MONTH(B3041),1))</f>
        <v/>
      </c>
      <c r="O3041" s="7">
        <f>IF(COUNTA(A3041:K3041)=0,"",IF(OR(A3041="",B3041=""),"Preencher CPF e entrada",IF(COUNTIFS($A$12:$A$5011,A3041,$B$12:$B$5011,B3041)&gt;1,"CPF + dia duplicado",IF(OR(AND(G3041&lt;&gt;"",G3041&lt;&gt;0,G3041&lt;&gt;1),AND(H3041&lt;&gt;"",H3041&lt;&gt;0,H3041&lt;&gt;1)),"Flags devem ser 0 ou 1",IF(AND(H3041=1,LEN(TRIM(I3041))=0),"Preencher nome do indicante",IF(AND(H3041&lt;&gt;1,I3041&lt;&gt;""),"Nome sem indicação interna",IF(AND(G3041=1,F3041=""),"Fechamento sem conversa",IF(OR(AND(E3041&lt;&gt;"",E3041&lt;B3041),AND(F3041&lt;&gt;"",F3041&lt;B3041)),"Evento anterior à entrada",IF(AND(F3041&lt;&gt;"",E3041=""),"Conversa sem agendamento",IF(OR(E3041&gt;TODAY(),F3041&gt;TODAY()),"Verificar evento futuro","OK"))))))))))</f>
        <v/>
      </c>
    </row>
    <row r="3042" spans="12:15">
      <c r="L3042" s="5">
        <f>IF(OR(A3042="",B3042=""),"",B3042-WEEKDAY(B3042,2)+1)</f>
        <v/>
      </c>
      <c r="M3042" s="5">
        <f>IF(L3042="","",L3042+6)</f>
        <v/>
      </c>
      <c r="N3042" s="6">
        <f>IF(OR(A3042="",B3042=""),"",DATE(YEAR(B3042),MONTH(B3042),1))</f>
        <v/>
      </c>
      <c r="O3042" s="7">
        <f>IF(COUNTA(A3042:K3042)=0,"",IF(OR(A3042="",B3042=""),"Preencher CPF e entrada",IF(COUNTIFS($A$12:$A$5011,A3042,$B$12:$B$5011,B3042)&gt;1,"CPF + dia duplicado",IF(OR(AND(G3042&lt;&gt;"",G3042&lt;&gt;0,G3042&lt;&gt;1),AND(H3042&lt;&gt;"",H3042&lt;&gt;0,H3042&lt;&gt;1)),"Flags devem ser 0 ou 1",IF(AND(H3042=1,LEN(TRIM(I3042))=0),"Preencher nome do indicante",IF(AND(H3042&lt;&gt;1,I3042&lt;&gt;""),"Nome sem indicação interna",IF(AND(G3042=1,F3042=""),"Fechamento sem conversa",IF(OR(AND(E3042&lt;&gt;"",E3042&lt;B3042),AND(F3042&lt;&gt;"",F3042&lt;B3042)),"Evento anterior à entrada",IF(AND(F3042&lt;&gt;"",E3042=""),"Conversa sem agendamento",IF(OR(E3042&gt;TODAY(),F3042&gt;TODAY()),"Verificar evento futuro","OK"))))))))))</f>
        <v/>
      </c>
    </row>
    <row r="3043" spans="12:15">
      <c r="L3043" s="5">
        <f>IF(OR(A3043="",B3043=""),"",B3043-WEEKDAY(B3043,2)+1)</f>
        <v/>
      </c>
      <c r="M3043" s="5">
        <f>IF(L3043="","",L3043+6)</f>
        <v/>
      </c>
      <c r="N3043" s="6">
        <f>IF(OR(A3043="",B3043=""),"",DATE(YEAR(B3043),MONTH(B3043),1))</f>
        <v/>
      </c>
      <c r="O3043" s="7">
        <f>IF(COUNTA(A3043:K3043)=0,"",IF(OR(A3043="",B3043=""),"Preencher CPF e entrada",IF(COUNTIFS($A$12:$A$5011,A3043,$B$12:$B$5011,B3043)&gt;1,"CPF + dia duplicado",IF(OR(AND(G3043&lt;&gt;"",G3043&lt;&gt;0,G3043&lt;&gt;1),AND(H3043&lt;&gt;"",H3043&lt;&gt;0,H3043&lt;&gt;1)),"Flags devem ser 0 ou 1",IF(AND(H3043=1,LEN(TRIM(I3043))=0),"Preencher nome do indicante",IF(AND(H3043&lt;&gt;1,I3043&lt;&gt;""),"Nome sem indicação interna",IF(AND(G3043=1,F3043=""),"Fechamento sem conversa",IF(OR(AND(E3043&lt;&gt;"",E3043&lt;B3043),AND(F3043&lt;&gt;"",F3043&lt;B3043)),"Evento anterior à entrada",IF(AND(F3043&lt;&gt;"",E3043=""),"Conversa sem agendamento",IF(OR(E3043&gt;TODAY(),F3043&gt;TODAY()),"Verificar evento futuro","OK"))))))))))</f>
        <v/>
      </c>
    </row>
    <row r="3044" spans="12:15">
      <c r="L3044" s="5">
        <f>IF(OR(A3044="",B3044=""),"",B3044-WEEKDAY(B3044,2)+1)</f>
        <v/>
      </c>
      <c r="M3044" s="5">
        <f>IF(L3044="","",L3044+6)</f>
        <v/>
      </c>
      <c r="N3044" s="6">
        <f>IF(OR(A3044="",B3044=""),"",DATE(YEAR(B3044),MONTH(B3044),1))</f>
        <v/>
      </c>
      <c r="O3044" s="7">
        <f>IF(COUNTA(A3044:K3044)=0,"",IF(OR(A3044="",B3044=""),"Preencher CPF e entrada",IF(COUNTIFS($A$12:$A$5011,A3044,$B$12:$B$5011,B3044)&gt;1,"CPF + dia duplicado",IF(OR(AND(G3044&lt;&gt;"",G3044&lt;&gt;0,G3044&lt;&gt;1),AND(H3044&lt;&gt;"",H3044&lt;&gt;0,H3044&lt;&gt;1)),"Flags devem ser 0 ou 1",IF(AND(H3044=1,LEN(TRIM(I3044))=0),"Preencher nome do indicante",IF(AND(H3044&lt;&gt;1,I3044&lt;&gt;""),"Nome sem indicação interna",IF(AND(G3044=1,F3044=""),"Fechamento sem conversa",IF(OR(AND(E3044&lt;&gt;"",E3044&lt;B3044),AND(F3044&lt;&gt;"",F3044&lt;B3044)),"Evento anterior à entrada",IF(AND(F3044&lt;&gt;"",E3044=""),"Conversa sem agendamento",IF(OR(E3044&gt;TODAY(),F3044&gt;TODAY()),"Verificar evento futuro","OK"))))))))))</f>
        <v/>
      </c>
    </row>
    <row r="3045" spans="12:15">
      <c r="L3045" s="5">
        <f>IF(OR(A3045="",B3045=""),"",B3045-WEEKDAY(B3045,2)+1)</f>
        <v/>
      </c>
      <c r="M3045" s="5">
        <f>IF(L3045="","",L3045+6)</f>
        <v/>
      </c>
      <c r="N3045" s="6">
        <f>IF(OR(A3045="",B3045=""),"",DATE(YEAR(B3045),MONTH(B3045),1))</f>
        <v/>
      </c>
      <c r="O3045" s="7">
        <f>IF(COUNTA(A3045:K3045)=0,"",IF(OR(A3045="",B3045=""),"Preencher CPF e entrada",IF(COUNTIFS($A$12:$A$5011,A3045,$B$12:$B$5011,B3045)&gt;1,"CPF + dia duplicado",IF(OR(AND(G3045&lt;&gt;"",G3045&lt;&gt;0,G3045&lt;&gt;1),AND(H3045&lt;&gt;"",H3045&lt;&gt;0,H3045&lt;&gt;1)),"Flags devem ser 0 ou 1",IF(AND(H3045=1,LEN(TRIM(I3045))=0),"Preencher nome do indicante",IF(AND(H3045&lt;&gt;1,I3045&lt;&gt;""),"Nome sem indicação interna",IF(AND(G3045=1,F3045=""),"Fechamento sem conversa",IF(OR(AND(E3045&lt;&gt;"",E3045&lt;B3045),AND(F3045&lt;&gt;"",F3045&lt;B3045)),"Evento anterior à entrada",IF(AND(F3045&lt;&gt;"",E3045=""),"Conversa sem agendamento",IF(OR(E3045&gt;TODAY(),F3045&gt;TODAY()),"Verificar evento futuro","OK"))))))))))</f>
        <v/>
      </c>
    </row>
    <row r="3046" spans="12:15">
      <c r="L3046" s="5">
        <f>IF(OR(A3046="",B3046=""),"",B3046-WEEKDAY(B3046,2)+1)</f>
        <v/>
      </c>
      <c r="M3046" s="5">
        <f>IF(L3046="","",L3046+6)</f>
        <v/>
      </c>
      <c r="N3046" s="6">
        <f>IF(OR(A3046="",B3046=""),"",DATE(YEAR(B3046),MONTH(B3046),1))</f>
        <v/>
      </c>
      <c r="O3046" s="7">
        <f>IF(COUNTA(A3046:K3046)=0,"",IF(OR(A3046="",B3046=""),"Preencher CPF e entrada",IF(COUNTIFS($A$12:$A$5011,A3046,$B$12:$B$5011,B3046)&gt;1,"CPF + dia duplicado",IF(OR(AND(G3046&lt;&gt;"",G3046&lt;&gt;0,G3046&lt;&gt;1),AND(H3046&lt;&gt;"",H3046&lt;&gt;0,H3046&lt;&gt;1)),"Flags devem ser 0 ou 1",IF(AND(H3046=1,LEN(TRIM(I3046))=0),"Preencher nome do indicante",IF(AND(H3046&lt;&gt;1,I3046&lt;&gt;""),"Nome sem indicação interna",IF(AND(G3046=1,F3046=""),"Fechamento sem conversa",IF(OR(AND(E3046&lt;&gt;"",E3046&lt;B3046),AND(F3046&lt;&gt;"",F3046&lt;B3046)),"Evento anterior à entrada",IF(AND(F3046&lt;&gt;"",E3046=""),"Conversa sem agendamento",IF(OR(E3046&gt;TODAY(),F3046&gt;TODAY()),"Verificar evento futuro","OK"))))))))))</f>
        <v/>
      </c>
    </row>
    <row r="3047" spans="12:15">
      <c r="L3047" s="5">
        <f>IF(OR(A3047="",B3047=""),"",B3047-WEEKDAY(B3047,2)+1)</f>
        <v/>
      </c>
      <c r="M3047" s="5">
        <f>IF(L3047="","",L3047+6)</f>
        <v/>
      </c>
      <c r="N3047" s="6">
        <f>IF(OR(A3047="",B3047=""),"",DATE(YEAR(B3047),MONTH(B3047),1))</f>
        <v/>
      </c>
      <c r="O3047" s="7">
        <f>IF(COUNTA(A3047:K3047)=0,"",IF(OR(A3047="",B3047=""),"Preencher CPF e entrada",IF(COUNTIFS($A$12:$A$5011,A3047,$B$12:$B$5011,B3047)&gt;1,"CPF + dia duplicado",IF(OR(AND(G3047&lt;&gt;"",G3047&lt;&gt;0,G3047&lt;&gt;1),AND(H3047&lt;&gt;"",H3047&lt;&gt;0,H3047&lt;&gt;1)),"Flags devem ser 0 ou 1",IF(AND(H3047=1,LEN(TRIM(I3047))=0),"Preencher nome do indicante",IF(AND(H3047&lt;&gt;1,I3047&lt;&gt;""),"Nome sem indicação interna",IF(AND(G3047=1,F3047=""),"Fechamento sem conversa",IF(OR(AND(E3047&lt;&gt;"",E3047&lt;B3047),AND(F3047&lt;&gt;"",F3047&lt;B3047)),"Evento anterior à entrada",IF(AND(F3047&lt;&gt;"",E3047=""),"Conversa sem agendamento",IF(OR(E3047&gt;TODAY(),F3047&gt;TODAY()),"Verificar evento futuro","OK"))))))))))</f>
        <v/>
      </c>
    </row>
    <row r="3048" spans="12:15">
      <c r="L3048" s="5">
        <f>IF(OR(A3048="",B3048=""),"",B3048-WEEKDAY(B3048,2)+1)</f>
        <v/>
      </c>
      <c r="M3048" s="5">
        <f>IF(L3048="","",L3048+6)</f>
        <v/>
      </c>
      <c r="N3048" s="6">
        <f>IF(OR(A3048="",B3048=""),"",DATE(YEAR(B3048),MONTH(B3048),1))</f>
        <v/>
      </c>
      <c r="O3048" s="7">
        <f>IF(COUNTA(A3048:K3048)=0,"",IF(OR(A3048="",B3048=""),"Preencher CPF e entrada",IF(COUNTIFS($A$12:$A$5011,A3048,$B$12:$B$5011,B3048)&gt;1,"CPF + dia duplicado",IF(OR(AND(G3048&lt;&gt;"",G3048&lt;&gt;0,G3048&lt;&gt;1),AND(H3048&lt;&gt;"",H3048&lt;&gt;0,H3048&lt;&gt;1)),"Flags devem ser 0 ou 1",IF(AND(H3048=1,LEN(TRIM(I3048))=0),"Preencher nome do indicante",IF(AND(H3048&lt;&gt;1,I3048&lt;&gt;""),"Nome sem indicação interna",IF(AND(G3048=1,F3048=""),"Fechamento sem conversa",IF(OR(AND(E3048&lt;&gt;"",E3048&lt;B3048),AND(F3048&lt;&gt;"",F3048&lt;B3048)),"Evento anterior à entrada",IF(AND(F3048&lt;&gt;"",E3048=""),"Conversa sem agendamento",IF(OR(E3048&gt;TODAY(),F3048&gt;TODAY()),"Verificar evento futuro","OK"))))))))))</f>
        <v/>
      </c>
    </row>
    <row r="3049" spans="12:15">
      <c r="L3049" s="5">
        <f>IF(OR(A3049="",B3049=""),"",B3049-WEEKDAY(B3049,2)+1)</f>
        <v/>
      </c>
      <c r="M3049" s="5">
        <f>IF(L3049="","",L3049+6)</f>
        <v/>
      </c>
      <c r="N3049" s="6">
        <f>IF(OR(A3049="",B3049=""),"",DATE(YEAR(B3049),MONTH(B3049),1))</f>
        <v/>
      </c>
      <c r="O3049" s="7">
        <f>IF(COUNTA(A3049:K3049)=0,"",IF(OR(A3049="",B3049=""),"Preencher CPF e entrada",IF(COUNTIFS($A$12:$A$5011,A3049,$B$12:$B$5011,B3049)&gt;1,"CPF + dia duplicado",IF(OR(AND(G3049&lt;&gt;"",G3049&lt;&gt;0,G3049&lt;&gt;1),AND(H3049&lt;&gt;"",H3049&lt;&gt;0,H3049&lt;&gt;1)),"Flags devem ser 0 ou 1",IF(AND(H3049=1,LEN(TRIM(I3049))=0),"Preencher nome do indicante",IF(AND(H3049&lt;&gt;1,I3049&lt;&gt;""),"Nome sem indicação interna",IF(AND(G3049=1,F3049=""),"Fechamento sem conversa",IF(OR(AND(E3049&lt;&gt;"",E3049&lt;B3049),AND(F3049&lt;&gt;"",F3049&lt;B3049)),"Evento anterior à entrada",IF(AND(F3049&lt;&gt;"",E3049=""),"Conversa sem agendamento",IF(OR(E3049&gt;TODAY(),F3049&gt;TODAY()),"Verificar evento futuro","OK"))))))))))</f>
        <v/>
      </c>
    </row>
    <row r="3050" spans="12:15">
      <c r="L3050" s="5">
        <f>IF(OR(A3050="",B3050=""),"",B3050-WEEKDAY(B3050,2)+1)</f>
        <v/>
      </c>
      <c r="M3050" s="5">
        <f>IF(L3050="","",L3050+6)</f>
        <v/>
      </c>
      <c r="N3050" s="6">
        <f>IF(OR(A3050="",B3050=""),"",DATE(YEAR(B3050),MONTH(B3050),1))</f>
        <v/>
      </c>
      <c r="O3050" s="7">
        <f>IF(COUNTA(A3050:K3050)=0,"",IF(OR(A3050="",B3050=""),"Preencher CPF e entrada",IF(COUNTIFS($A$12:$A$5011,A3050,$B$12:$B$5011,B3050)&gt;1,"CPF + dia duplicado",IF(OR(AND(G3050&lt;&gt;"",G3050&lt;&gt;0,G3050&lt;&gt;1),AND(H3050&lt;&gt;"",H3050&lt;&gt;0,H3050&lt;&gt;1)),"Flags devem ser 0 ou 1",IF(AND(H3050=1,LEN(TRIM(I3050))=0),"Preencher nome do indicante",IF(AND(H3050&lt;&gt;1,I3050&lt;&gt;""),"Nome sem indicação interna",IF(AND(G3050=1,F3050=""),"Fechamento sem conversa",IF(OR(AND(E3050&lt;&gt;"",E3050&lt;B3050),AND(F3050&lt;&gt;"",F3050&lt;B3050)),"Evento anterior à entrada",IF(AND(F3050&lt;&gt;"",E3050=""),"Conversa sem agendamento",IF(OR(E3050&gt;TODAY(),F3050&gt;TODAY()),"Verificar evento futuro","OK"))))))))))</f>
        <v/>
      </c>
    </row>
    <row r="3051" spans="12:15">
      <c r="L3051" s="5">
        <f>IF(OR(A3051="",B3051=""),"",B3051-WEEKDAY(B3051,2)+1)</f>
        <v/>
      </c>
      <c r="M3051" s="5">
        <f>IF(L3051="","",L3051+6)</f>
        <v/>
      </c>
      <c r="N3051" s="6">
        <f>IF(OR(A3051="",B3051=""),"",DATE(YEAR(B3051),MONTH(B3051),1))</f>
        <v/>
      </c>
      <c r="O3051" s="7">
        <f>IF(COUNTA(A3051:K3051)=0,"",IF(OR(A3051="",B3051=""),"Preencher CPF e entrada",IF(COUNTIFS($A$12:$A$5011,A3051,$B$12:$B$5011,B3051)&gt;1,"CPF + dia duplicado",IF(OR(AND(G3051&lt;&gt;"",G3051&lt;&gt;0,G3051&lt;&gt;1),AND(H3051&lt;&gt;"",H3051&lt;&gt;0,H3051&lt;&gt;1)),"Flags devem ser 0 ou 1",IF(AND(H3051=1,LEN(TRIM(I3051))=0),"Preencher nome do indicante",IF(AND(H3051&lt;&gt;1,I3051&lt;&gt;""),"Nome sem indicação interna",IF(AND(G3051=1,F3051=""),"Fechamento sem conversa",IF(OR(AND(E3051&lt;&gt;"",E3051&lt;B3051),AND(F3051&lt;&gt;"",F3051&lt;B3051)),"Evento anterior à entrada",IF(AND(F3051&lt;&gt;"",E3051=""),"Conversa sem agendamento",IF(OR(E3051&gt;TODAY(),F3051&gt;TODAY()),"Verificar evento futuro","OK"))))))))))</f>
        <v/>
      </c>
    </row>
    <row r="3052" spans="12:15">
      <c r="L3052" s="5">
        <f>IF(OR(A3052="",B3052=""),"",B3052-WEEKDAY(B3052,2)+1)</f>
        <v/>
      </c>
      <c r="M3052" s="5">
        <f>IF(L3052="","",L3052+6)</f>
        <v/>
      </c>
      <c r="N3052" s="6">
        <f>IF(OR(A3052="",B3052=""),"",DATE(YEAR(B3052),MONTH(B3052),1))</f>
        <v/>
      </c>
      <c r="O3052" s="7">
        <f>IF(COUNTA(A3052:K3052)=0,"",IF(OR(A3052="",B3052=""),"Preencher CPF e entrada",IF(COUNTIFS($A$12:$A$5011,A3052,$B$12:$B$5011,B3052)&gt;1,"CPF + dia duplicado",IF(OR(AND(G3052&lt;&gt;"",G3052&lt;&gt;0,G3052&lt;&gt;1),AND(H3052&lt;&gt;"",H3052&lt;&gt;0,H3052&lt;&gt;1)),"Flags devem ser 0 ou 1",IF(AND(H3052=1,LEN(TRIM(I3052))=0),"Preencher nome do indicante",IF(AND(H3052&lt;&gt;1,I3052&lt;&gt;""),"Nome sem indicação interna",IF(AND(G3052=1,F3052=""),"Fechamento sem conversa",IF(OR(AND(E3052&lt;&gt;"",E3052&lt;B3052),AND(F3052&lt;&gt;"",F3052&lt;B3052)),"Evento anterior à entrada",IF(AND(F3052&lt;&gt;"",E3052=""),"Conversa sem agendamento",IF(OR(E3052&gt;TODAY(),F3052&gt;TODAY()),"Verificar evento futuro","OK"))))))))))</f>
        <v/>
      </c>
    </row>
    <row r="3053" spans="12:15">
      <c r="L3053" s="5">
        <f>IF(OR(A3053="",B3053=""),"",B3053-WEEKDAY(B3053,2)+1)</f>
        <v/>
      </c>
      <c r="M3053" s="5">
        <f>IF(L3053="","",L3053+6)</f>
        <v/>
      </c>
      <c r="N3053" s="6">
        <f>IF(OR(A3053="",B3053=""),"",DATE(YEAR(B3053),MONTH(B3053),1))</f>
        <v/>
      </c>
      <c r="O3053" s="7">
        <f>IF(COUNTA(A3053:K3053)=0,"",IF(OR(A3053="",B3053=""),"Preencher CPF e entrada",IF(COUNTIFS($A$12:$A$5011,A3053,$B$12:$B$5011,B3053)&gt;1,"CPF + dia duplicado",IF(OR(AND(G3053&lt;&gt;"",G3053&lt;&gt;0,G3053&lt;&gt;1),AND(H3053&lt;&gt;"",H3053&lt;&gt;0,H3053&lt;&gt;1)),"Flags devem ser 0 ou 1",IF(AND(H3053=1,LEN(TRIM(I3053))=0),"Preencher nome do indicante",IF(AND(H3053&lt;&gt;1,I3053&lt;&gt;""),"Nome sem indicação interna",IF(AND(G3053=1,F3053=""),"Fechamento sem conversa",IF(OR(AND(E3053&lt;&gt;"",E3053&lt;B3053),AND(F3053&lt;&gt;"",F3053&lt;B3053)),"Evento anterior à entrada",IF(AND(F3053&lt;&gt;"",E3053=""),"Conversa sem agendamento",IF(OR(E3053&gt;TODAY(),F3053&gt;TODAY()),"Verificar evento futuro","OK"))))))))))</f>
        <v/>
      </c>
    </row>
    <row r="3054" spans="12:15">
      <c r="L3054" s="5">
        <f>IF(OR(A3054="",B3054=""),"",B3054-WEEKDAY(B3054,2)+1)</f>
        <v/>
      </c>
      <c r="M3054" s="5">
        <f>IF(L3054="","",L3054+6)</f>
        <v/>
      </c>
      <c r="N3054" s="6">
        <f>IF(OR(A3054="",B3054=""),"",DATE(YEAR(B3054),MONTH(B3054),1))</f>
        <v/>
      </c>
      <c r="O3054" s="7">
        <f>IF(COUNTA(A3054:K3054)=0,"",IF(OR(A3054="",B3054=""),"Preencher CPF e entrada",IF(COUNTIFS($A$12:$A$5011,A3054,$B$12:$B$5011,B3054)&gt;1,"CPF + dia duplicado",IF(OR(AND(G3054&lt;&gt;"",G3054&lt;&gt;0,G3054&lt;&gt;1),AND(H3054&lt;&gt;"",H3054&lt;&gt;0,H3054&lt;&gt;1)),"Flags devem ser 0 ou 1",IF(AND(H3054=1,LEN(TRIM(I3054))=0),"Preencher nome do indicante",IF(AND(H3054&lt;&gt;1,I3054&lt;&gt;""),"Nome sem indicação interna",IF(AND(G3054=1,F3054=""),"Fechamento sem conversa",IF(OR(AND(E3054&lt;&gt;"",E3054&lt;B3054),AND(F3054&lt;&gt;"",F3054&lt;B3054)),"Evento anterior à entrada",IF(AND(F3054&lt;&gt;"",E3054=""),"Conversa sem agendamento",IF(OR(E3054&gt;TODAY(),F3054&gt;TODAY()),"Verificar evento futuro","OK"))))))))))</f>
        <v/>
      </c>
    </row>
    <row r="3055" spans="12:15">
      <c r="L3055" s="5">
        <f>IF(OR(A3055="",B3055=""),"",B3055-WEEKDAY(B3055,2)+1)</f>
        <v/>
      </c>
      <c r="M3055" s="5">
        <f>IF(L3055="","",L3055+6)</f>
        <v/>
      </c>
      <c r="N3055" s="6">
        <f>IF(OR(A3055="",B3055=""),"",DATE(YEAR(B3055),MONTH(B3055),1))</f>
        <v/>
      </c>
      <c r="O3055" s="7">
        <f>IF(COUNTA(A3055:K3055)=0,"",IF(OR(A3055="",B3055=""),"Preencher CPF e entrada",IF(COUNTIFS($A$12:$A$5011,A3055,$B$12:$B$5011,B3055)&gt;1,"CPF + dia duplicado",IF(OR(AND(G3055&lt;&gt;"",G3055&lt;&gt;0,G3055&lt;&gt;1),AND(H3055&lt;&gt;"",H3055&lt;&gt;0,H3055&lt;&gt;1)),"Flags devem ser 0 ou 1",IF(AND(H3055=1,LEN(TRIM(I3055))=0),"Preencher nome do indicante",IF(AND(H3055&lt;&gt;1,I3055&lt;&gt;""),"Nome sem indicação interna",IF(AND(G3055=1,F3055=""),"Fechamento sem conversa",IF(OR(AND(E3055&lt;&gt;"",E3055&lt;B3055),AND(F3055&lt;&gt;"",F3055&lt;B3055)),"Evento anterior à entrada",IF(AND(F3055&lt;&gt;"",E3055=""),"Conversa sem agendamento",IF(OR(E3055&gt;TODAY(),F3055&gt;TODAY()),"Verificar evento futuro","OK"))))))))))</f>
        <v/>
      </c>
    </row>
    <row r="3056" spans="12:15">
      <c r="L3056" s="5">
        <f>IF(OR(A3056="",B3056=""),"",B3056-WEEKDAY(B3056,2)+1)</f>
        <v/>
      </c>
      <c r="M3056" s="5">
        <f>IF(L3056="","",L3056+6)</f>
        <v/>
      </c>
      <c r="N3056" s="6">
        <f>IF(OR(A3056="",B3056=""),"",DATE(YEAR(B3056),MONTH(B3056),1))</f>
        <v/>
      </c>
      <c r="O3056" s="7">
        <f>IF(COUNTA(A3056:K3056)=0,"",IF(OR(A3056="",B3056=""),"Preencher CPF e entrada",IF(COUNTIFS($A$12:$A$5011,A3056,$B$12:$B$5011,B3056)&gt;1,"CPF + dia duplicado",IF(OR(AND(G3056&lt;&gt;"",G3056&lt;&gt;0,G3056&lt;&gt;1),AND(H3056&lt;&gt;"",H3056&lt;&gt;0,H3056&lt;&gt;1)),"Flags devem ser 0 ou 1",IF(AND(H3056=1,LEN(TRIM(I3056))=0),"Preencher nome do indicante",IF(AND(H3056&lt;&gt;1,I3056&lt;&gt;""),"Nome sem indicação interna",IF(AND(G3056=1,F3056=""),"Fechamento sem conversa",IF(OR(AND(E3056&lt;&gt;"",E3056&lt;B3056),AND(F3056&lt;&gt;"",F3056&lt;B3056)),"Evento anterior à entrada",IF(AND(F3056&lt;&gt;"",E3056=""),"Conversa sem agendamento",IF(OR(E3056&gt;TODAY(),F3056&gt;TODAY()),"Verificar evento futuro","OK"))))))))))</f>
        <v/>
      </c>
    </row>
    <row r="3057" spans="12:15">
      <c r="L3057" s="5">
        <f>IF(OR(A3057="",B3057=""),"",B3057-WEEKDAY(B3057,2)+1)</f>
        <v/>
      </c>
      <c r="M3057" s="5">
        <f>IF(L3057="","",L3057+6)</f>
        <v/>
      </c>
      <c r="N3057" s="6">
        <f>IF(OR(A3057="",B3057=""),"",DATE(YEAR(B3057),MONTH(B3057),1))</f>
        <v/>
      </c>
      <c r="O3057" s="7">
        <f>IF(COUNTA(A3057:K3057)=0,"",IF(OR(A3057="",B3057=""),"Preencher CPF e entrada",IF(COUNTIFS($A$12:$A$5011,A3057,$B$12:$B$5011,B3057)&gt;1,"CPF + dia duplicado",IF(OR(AND(G3057&lt;&gt;"",G3057&lt;&gt;0,G3057&lt;&gt;1),AND(H3057&lt;&gt;"",H3057&lt;&gt;0,H3057&lt;&gt;1)),"Flags devem ser 0 ou 1",IF(AND(H3057=1,LEN(TRIM(I3057))=0),"Preencher nome do indicante",IF(AND(H3057&lt;&gt;1,I3057&lt;&gt;""),"Nome sem indicação interna",IF(AND(G3057=1,F3057=""),"Fechamento sem conversa",IF(OR(AND(E3057&lt;&gt;"",E3057&lt;B3057),AND(F3057&lt;&gt;"",F3057&lt;B3057)),"Evento anterior à entrada",IF(AND(F3057&lt;&gt;"",E3057=""),"Conversa sem agendamento",IF(OR(E3057&gt;TODAY(),F3057&gt;TODAY()),"Verificar evento futuro","OK"))))))))))</f>
        <v/>
      </c>
    </row>
    <row r="3058" spans="12:15">
      <c r="L3058" s="5">
        <f>IF(OR(A3058="",B3058=""),"",B3058-WEEKDAY(B3058,2)+1)</f>
        <v/>
      </c>
      <c r="M3058" s="5">
        <f>IF(L3058="","",L3058+6)</f>
        <v/>
      </c>
      <c r="N3058" s="6">
        <f>IF(OR(A3058="",B3058=""),"",DATE(YEAR(B3058),MONTH(B3058),1))</f>
        <v/>
      </c>
      <c r="O3058" s="7">
        <f>IF(COUNTA(A3058:K3058)=0,"",IF(OR(A3058="",B3058=""),"Preencher CPF e entrada",IF(COUNTIFS($A$12:$A$5011,A3058,$B$12:$B$5011,B3058)&gt;1,"CPF + dia duplicado",IF(OR(AND(G3058&lt;&gt;"",G3058&lt;&gt;0,G3058&lt;&gt;1),AND(H3058&lt;&gt;"",H3058&lt;&gt;0,H3058&lt;&gt;1)),"Flags devem ser 0 ou 1",IF(AND(H3058=1,LEN(TRIM(I3058))=0),"Preencher nome do indicante",IF(AND(H3058&lt;&gt;1,I3058&lt;&gt;""),"Nome sem indicação interna",IF(AND(G3058=1,F3058=""),"Fechamento sem conversa",IF(OR(AND(E3058&lt;&gt;"",E3058&lt;B3058),AND(F3058&lt;&gt;"",F3058&lt;B3058)),"Evento anterior à entrada",IF(AND(F3058&lt;&gt;"",E3058=""),"Conversa sem agendamento",IF(OR(E3058&gt;TODAY(),F3058&gt;TODAY()),"Verificar evento futuro","OK"))))))))))</f>
        <v/>
      </c>
    </row>
    <row r="3059" spans="12:15">
      <c r="L3059" s="5">
        <f>IF(OR(A3059="",B3059=""),"",B3059-WEEKDAY(B3059,2)+1)</f>
        <v/>
      </c>
      <c r="M3059" s="5">
        <f>IF(L3059="","",L3059+6)</f>
        <v/>
      </c>
      <c r="N3059" s="6">
        <f>IF(OR(A3059="",B3059=""),"",DATE(YEAR(B3059),MONTH(B3059),1))</f>
        <v/>
      </c>
      <c r="O3059" s="7">
        <f>IF(COUNTA(A3059:K3059)=0,"",IF(OR(A3059="",B3059=""),"Preencher CPF e entrada",IF(COUNTIFS($A$12:$A$5011,A3059,$B$12:$B$5011,B3059)&gt;1,"CPF + dia duplicado",IF(OR(AND(G3059&lt;&gt;"",G3059&lt;&gt;0,G3059&lt;&gt;1),AND(H3059&lt;&gt;"",H3059&lt;&gt;0,H3059&lt;&gt;1)),"Flags devem ser 0 ou 1",IF(AND(H3059=1,LEN(TRIM(I3059))=0),"Preencher nome do indicante",IF(AND(H3059&lt;&gt;1,I3059&lt;&gt;""),"Nome sem indicação interna",IF(AND(G3059=1,F3059=""),"Fechamento sem conversa",IF(OR(AND(E3059&lt;&gt;"",E3059&lt;B3059),AND(F3059&lt;&gt;"",F3059&lt;B3059)),"Evento anterior à entrada",IF(AND(F3059&lt;&gt;"",E3059=""),"Conversa sem agendamento",IF(OR(E3059&gt;TODAY(),F3059&gt;TODAY()),"Verificar evento futuro","OK"))))))))))</f>
        <v/>
      </c>
    </row>
    <row r="3060" spans="12:15">
      <c r="L3060" s="5">
        <f>IF(OR(A3060="",B3060=""),"",B3060-WEEKDAY(B3060,2)+1)</f>
        <v/>
      </c>
      <c r="M3060" s="5">
        <f>IF(L3060="","",L3060+6)</f>
        <v/>
      </c>
      <c r="N3060" s="6">
        <f>IF(OR(A3060="",B3060=""),"",DATE(YEAR(B3060),MONTH(B3060),1))</f>
        <v/>
      </c>
      <c r="O3060" s="7">
        <f>IF(COUNTA(A3060:K3060)=0,"",IF(OR(A3060="",B3060=""),"Preencher CPF e entrada",IF(COUNTIFS($A$12:$A$5011,A3060,$B$12:$B$5011,B3060)&gt;1,"CPF + dia duplicado",IF(OR(AND(G3060&lt;&gt;"",G3060&lt;&gt;0,G3060&lt;&gt;1),AND(H3060&lt;&gt;"",H3060&lt;&gt;0,H3060&lt;&gt;1)),"Flags devem ser 0 ou 1",IF(AND(H3060=1,LEN(TRIM(I3060))=0),"Preencher nome do indicante",IF(AND(H3060&lt;&gt;1,I3060&lt;&gt;""),"Nome sem indicação interna",IF(AND(G3060=1,F3060=""),"Fechamento sem conversa",IF(OR(AND(E3060&lt;&gt;"",E3060&lt;B3060),AND(F3060&lt;&gt;"",F3060&lt;B3060)),"Evento anterior à entrada",IF(AND(F3060&lt;&gt;"",E3060=""),"Conversa sem agendamento",IF(OR(E3060&gt;TODAY(),F3060&gt;TODAY()),"Verificar evento futuro","OK"))))))))))</f>
        <v/>
      </c>
    </row>
    <row r="3061" spans="12:15">
      <c r="L3061" s="5">
        <f>IF(OR(A3061="",B3061=""),"",B3061-WEEKDAY(B3061,2)+1)</f>
        <v/>
      </c>
      <c r="M3061" s="5">
        <f>IF(L3061="","",L3061+6)</f>
        <v/>
      </c>
      <c r="N3061" s="6">
        <f>IF(OR(A3061="",B3061=""),"",DATE(YEAR(B3061),MONTH(B3061),1))</f>
        <v/>
      </c>
      <c r="O3061" s="7">
        <f>IF(COUNTA(A3061:K3061)=0,"",IF(OR(A3061="",B3061=""),"Preencher CPF e entrada",IF(COUNTIFS($A$12:$A$5011,A3061,$B$12:$B$5011,B3061)&gt;1,"CPF + dia duplicado",IF(OR(AND(G3061&lt;&gt;"",G3061&lt;&gt;0,G3061&lt;&gt;1),AND(H3061&lt;&gt;"",H3061&lt;&gt;0,H3061&lt;&gt;1)),"Flags devem ser 0 ou 1",IF(AND(H3061=1,LEN(TRIM(I3061))=0),"Preencher nome do indicante",IF(AND(H3061&lt;&gt;1,I3061&lt;&gt;""),"Nome sem indicação interna",IF(AND(G3061=1,F3061=""),"Fechamento sem conversa",IF(OR(AND(E3061&lt;&gt;"",E3061&lt;B3061),AND(F3061&lt;&gt;"",F3061&lt;B3061)),"Evento anterior à entrada",IF(AND(F3061&lt;&gt;"",E3061=""),"Conversa sem agendamento",IF(OR(E3061&gt;TODAY(),F3061&gt;TODAY()),"Verificar evento futuro","OK"))))))))))</f>
        <v/>
      </c>
    </row>
    <row r="3062" spans="12:15">
      <c r="L3062" s="5">
        <f>IF(OR(A3062="",B3062=""),"",B3062-WEEKDAY(B3062,2)+1)</f>
        <v/>
      </c>
      <c r="M3062" s="5">
        <f>IF(L3062="","",L3062+6)</f>
        <v/>
      </c>
      <c r="N3062" s="6">
        <f>IF(OR(A3062="",B3062=""),"",DATE(YEAR(B3062),MONTH(B3062),1))</f>
        <v/>
      </c>
      <c r="O3062" s="7">
        <f>IF(COUNTA(A3062:K3062)=0,"",IF(OR(A3062="",B3062=""),"Preencher CPF e entrada",IF(COUNTIFS($A$12:$A$5011,A3062,$B$12:$B$5011,B3062)&gt;1,"CPF + dia duplicado",IF(OR(AND(G3062&lt;&gt;"",G3062&lt;&gt;0,G3062&lt;&gt;1),AND(H3062&lt;&gt;"",H3062&lt;&gt;0,H3062&lt;&gt;1)),"Flags devem ser 0 ou 1",IF(AND(H3062=1,LEN(TRIM(I3062))=0),"Preencher nome do indicante",IF(AND(H3062&lt;&gt;1,I3062&lt;&gt;""),"Nome sem indicação interna",IF(AND(G3062=1,F3062=""),"Fechamento sem conversa",IF(OR(AND(E3062&lt;&gt;"",E3062&lt;B3062),AND(F3062&lt;&gt;"",F3062&lt;B3062)),"Evento anterior à entrada",IF(AND(F3062&lt;&gt;"",E3062=""),"Conversa sem agendamento",IF(OR(E3062&gt;TODAY(),F3062&gt;TODAY()),"Verificar evento futuro","OK"))))))))))</f>
        <v/>
      </c>
    </row>
    <row r="3063" spans="12:15">
      <c r="L3063" s="5">
        <f>IF(OR(A3063="",B3063=""),"",B3063-WEEKDAY(B3063,2)+1)</f>
        <v/>
      </c>
      <c r="M3063" s="5">
        <f>IF(L3063="","",L3063+6)</f>
        <v/>
      </c>
      <c r="N3063" s="6">
        <f>IF(OR(A3063="",B3063=""),"",DATE(YEAR(B3063),MONTH(B3063),1))</f>
        <v/>
      </c>
      <c r="O3063" s="7">
        <f>IF(COUNTA(A3063:K3063)=0,"",IF(OR(A3063="",B3063=""),"Preencher CPF e entrada",IF(COUNTIFS($A$12:$A$5011,A3063,$B$12:$B$5011,B3063)&gt;1,"CPF + dia duplicado",IF(OR(AND(G3063&lt;&gt;"",G3063&lt;&gt;0,G3063&lt;&gt;1),AND(H3063&lt;&gt;"",H3063&lt;&gt;0,H3063&lt;&gt;1)),"Flags devem ser 0 ou 1",IF(AND(H3063=1,LEN(TRIM(I3063))=0),"Preencher nome do indicante",IF(AND(H3063&lt;&gt;1,I3063&lt;&gt;""),"Nome sem indicação interna",IF(AND(G3063=1,F3063=""),"Fechamento sem conversa",IF(OR(AND(E3063&lt;&gt;"",E3063&lt;B3063),AND(F3063&lt;&gt;"",F3063&lt;B3063)),"Evento anterior à entrada",IF(AND(F3063&lt;&gt;"",E3063=""),"Conversa sem agendamento",IF(OR(E3063&gt;TODAY(),F3063&gt;TODAY()),"Verificar evento futuro","OK"))))))))))</f>
        <v/>
      </c>
    </row>
    <row r="3064" spans="12:15">
      <c r="L3064" s="5">
        <f>IF(OR(A3064="",B3064=""),"",B3064-WEEKDAY(B3064,2)+1)</f>
        <v/>
      </c>
      <c r="M3064" s="5">
        <f>IF(L3064="","",L3064+6)</f>
        <v/>
      </c>
      <c r="N3064" s="6">
        <f>IF(OR(A3064="",B3064=""),"",DATE(YEAR(B3064),MONTH(B3064),1))</f>
        <v/>
      </c>
      <c r="O3064" s="7">
        <f>IF(COUNTA(A3064:K3064)=0,"",IF(OR(A3064="",B3064=""),"Preencher CPF e entrada",IF(COUNTIFS($A$12:$A$5011,A3064,$B$12:$B$5011,B3064)&gt;1,"CPF + dia duplicado",IF(OR(AND(G3064&lt;&gt;"",G3064&lt;&gt;0,G3064&lt;&gt;1),AND(H3064&lt;&gt;"",H3064&lt;&gt;0,H3064&lt;&gt;1)),"Flags devem ser 0 ou 1",IF(AND(H3064=1,LEN(TRIM(I3064))=0),"Preencher nome do indicante",IF(AND(H3064&lt;&gt;1,I3064&lt;&gt;""),"Nome sem indicação interna",IF(AND(G3064=1,F3064=""),"Fechamento sem conversa",IF(OR(AND(E3064&lt;&gt;"",E3064&lt;B3064),AND(F3064&lt;&gt;"",F3064&lt;B3064)),"Evento anterior à entrada",IF(AND(F3064&lt;&gt;"",E3064=""),"Conversa sem agendamento",IF(OR(E3064&gt;TODAY(),F3064&gt;TODAY()),"Verificar evento futuro","OK"))))))))))</f>
        <v/>
      </c>
    </row>
    <row r="3065" spans="12:15">
      <c r="L3065" s="5">
        <f>IF(OR(A3065="",B3065=""),"",B3065-WEEKDAY(B3065,2)+1)</f>
        <v/>
      </c>
      <c r="M3065" s="5">
        <f>IF(L3065="","",L3065+6)</f>
        <v/>
      </c>
      <c r="N3065" s="6">
        <f>IF(OR(A3065="",B3065=""),"",DATE(YEAR(B3065),MONTH(B3065),1))</f>
        <v/>
      </c>
      <c r="O3065" s="7">
        <f>IF(COUNTA(A3065:K3065)=0,"",IF(OR(A3065="",B3065=""),"Preencher CPF e entrada",IF(COUNTIFS($A$12:$A$5011,A3065,$B$12:$B$5011,B3065)&gt;1,"CPF + dia duplicado",IF(OR(AND(G3065&lt;&gt;"",G3065&lt;&gt;0,G3065&lt;&gt;1),AND(H3065&lt;&gt;"",H3065&lt;&gt;0,H3065&lt;&gt;1)),"Flags devem ser 0 ou 1",IF(AND(H3065=1,LEN(TRIM(I3065))=0),"Preencher nome do indicante",IF(AND(H3065&lt;&gt;1,I3065&lt;&gt;""),"Nome sem indicação interna",IF(AND(G3065=1,F3065=""),"Fechamento sem conversa",IF(OR(AND(E3065&lt;&gt;"",E3065&lt;B3065),AND(F3065&lt;&gt;"",F3065&lt;B3065)),"Evento anterior à entrada",IF(AND(F3065&lt;&gt;"",E3065=""),"Conversa sem agendamento",IF(OR(E3065&gt;TODAY(),F3065&gt;TODAY()),"Verificar evento futuro","OK"))))))))))</f>
        <v/>
      </c>
    </row>
    <row r="3066" spans="12:15">
      <c r="L3066" s="5">
        <f>IF(OR(A3066="",B3066=""),"",B3066-WEEKDAY(B3066,2)+1)</f>
        <v/>
      </c>
      <c r="M3066" s="5">
        <f>IF(L3066="","",L3066+6)</f>
        <v/>
      </c>
      <c r="N3066" s="6">
        <f>IF(OR(A3066="",B3066=""),"",DATE(YEAR(B3066),MONTH(B3066),1))</f>
        <v/>
      </c>
      <c r="O3066" s="7">
        <f>IF(COUNTA(A3066:K3066)=0,"",IF(OR(A3066="",B3066=""),"Preencher CPF e entrada",IF(COUNTIFS($A$12:$A$5011,A3066,$B$12:$B$5011,B3066)&gt;1,"CPF + dia duplicado",IF(OR(AND(G3066&lt;&gt;"",G3066&lt;&gt;0,G3066&lt;&gt;1),AND(H3066&lt;&gt;"",H3066&lt;&gt;0,H3066&lt;&gt;1)),"Flags devem ser 0 ou 1",IF(AND(H3066=1,LEN(TRIM(I3066))=0),"Preencher nome do indicante",IF(AND(H3066&lt;&gt;1,I3066&lt;&gt;""),"Nome sem indicação interna",IF(AND(G3066=1,F3066=""),"Fechamento sem conversa",IF(OR(AND(E3066&lt;&gt;"",E3066&lt;B3066),AND(F3066&lt;&gt;"",F3066&lt;B3066)),"Evento anterior à entrada",IF(AND(F3066&lt;&gt;"",E3066=""),"Conversa sem agendamento",IF(OR(E3066&gt;TODAY(),F3066&gt;TODAY()),"Verificar evento futuro","OK"))))))))))</f>
        <v/>
      </c>
    </row>
    <row r="3067" spans="12:15">
      <c r="L3067" s="5">
        <f>IF(OR(A3067="",B3067=""),"",B3067-WEEKDAY(B3067,2)+1)</f>
        <v/>
      </c>
      <c r="M3067" s="5">
        <f>IF(L3067="","",L3067+6)</f>
        <v/>
      </c>
      <c r="N3067" s="6">
        <f>IF(OR(A3067="",B3067=""),"",DATE(YEAR(B3067),MONTH(B3067),1))</f>
        <v/>
      </c>
      <c r="O3067" s="7">
        <f>IF(COUNTA(A3067:K3067)=0,"",IF(OR(A3067="",B3067=""),"Preencher CPF e entrada",IF(COUNTIFS($A$12:$A$5011,A3067,$B$12:$B$5011,B3067)&gt;1,"CPF + dia duplicado",IF(OR(AND(G3067&lt;&gt;"",G3067&lt;&gt;0,G3067&lt;&gt;1),AND(H3067&lt;&gt;"",H3067&lt;&gt;0,H3067&lt;&gt;1)),"Flags devem ser 0 ou 1",IF(AND(H3067=1,LEN(TRIM(I3067))=0),"Preencher nome do indicante",IF(AND(H3067&lt;&gt;1,I3067&lt;&gt;""),"Nome sem indicação interna",IF(AND(G3067=1,F3067=""),"Fechamento sem conversa",IF(OR(AND(E3067&lt;&gt;"",E3067&lt;B3067),AND(F3067&lt;&gt;"",F3067&lt;B3067)),"Evento anterior à entrada",IF(AND(F3067&lt;&gt;"",E3067=""),"Conversa sem agendamento",IF(OR(E3067&gt;TODAY(),F3067&gt;TODAY()),"Verificar evento futuro","OK"))))))))))</f>
        <v/>
      </c>
    </row>
    <row r="3068" spans="12:15">
      <c r="L3068" s="5">
        <f>IF(OR(A3068="",B3068=""),"",B3068-WEEKDAY(B3068,2)+1)</f>
        <v/>
      </c>
      <c r="M3068" s="5">
        <f>IF(L3068="","",L3068+6)</f>
        <v/>
      </c>
      <c r="N3068" s="6">
        <f>IF(OR(A3068="",B3068=""),"",DATE(YEAR(B3068),MONTH(B3068),1))</f>
        <v/>
      </c>
      <c r="O3068" s="7">
        <f>IF(COUNTA(A3068:K3068)=0,"",IF(OR(A3068="",B3068=""),"Preencher CPF e entrada",IF(COUNTIFS($A$12:$A$5011,A3068,$B$12:$B$5011,B3068)&gt;1,"CPF + dia duplicado",IF(OR(AND(G3068&lt;&gt;"",G3068&lt;&gt;0,G3068&lt;&gt;1),AND(H3068&lt;&gt;"",H3068&lt;&gt;0,H3068&lt;&gt;1)),"Flags devem ser 0 ou 1",IF(AND(H3068=1,LEN(TRIM(I3068))=0),"Preencher nome do indicante",IF(AND(H3068&lt;&gt;1,I3068&lt;&gt;""),"Nome sem indicação interna",IF(AND(G3068=1,F3068=""),"Fechamento sem conversa",IF(OR(AND(E3068&lt;&gt;"",E3068&lt;B3068),AND(F3068&lt;&gt;"",F3068&lt;B3068)),"Evento anterior à entrada",IF(AND(F3068&lt;&gt;"",E3068=""),"Conversa sem agendamento",IF(OR(E3068&gt;TODAY(),F3068&gt;TODAY()),"Verificar evento futuro","OK"))))))))))</f>
        <v/>
      </c>
    </row>
    <row r="3069" spans="12:15">
      <c r="L3069" s="5">
        <f>IF(OR(A3069="",B3069=""),"",B3069-WEEKDAY(B3069,2)+1)</f>
        <v/>
      </c>
      <c r="M3069" s="5">
        <f>IF(L3069="","",L3069+6)</f>
        <v/>
      </c>
      <c r="N3069" s="6">
        <f>IF(OR(A3069="",B3069=""),"",DATE(YEAR(B3069),MONTH(B3069),1))</f>
        <v/>
      </c>
      <c r="O3069" s="7">
        <f>IF(COUNTA(A3069:K3069)=0,"",IF(OR(A3069="",B3069=""),"Preencher CPF e entrada",IF(COUNTIFS($A$12:$A$5011,A3069,$B$12:$B$5011,B3069)&gt;1,"CPF + dia duplicado",IF(OR(AND(G3069&lt;&gt;"",G3069&lt;&gt;0,G3069&lt;&gt;1),AND(H3069&lt;&gt;"",H3069&lt;&gt;0,H3069&lt;&gt;1)),"Flags devem ser 0 ou 1",IF(AND(H3069=1,LEN(TRIM(I3069))=0),"Preencher nome do indicante",IF(AND(H3069&lt;&gt;1,I3069&lt;&gt;""),"Nome sem indicação interna",IF(AND(G3069=1,F3069=""),"Fechamento sem conversa",IF(OR(AND(E3069&lt;&gt;"",E3069&lt;B3069),AND(F3069&lt;&gt;"",F3069&lt;B3069)),"Evento anterior à entrada",IF(AND(F3069&lt;&gt;"",E3069=""),"Conversa sem agendamento",IF(OR(E3069&gt;TODAY(),F3069&gt;TODAY()),"Verificar evento futuro","OK"))))))))))</f>
        <v/>
      </c>
    </row>
    <row r="3070" spans="12:15">
      <c r="L3070" s="5">
        <f>IF(OR(A3070="",B3070=""),"",B3070-WEEKDAY(B3070,2)+1)</f>
        <v/>
      </c>
      <c r="M3070" s="5">
        <f>IF(L3070="","",L3070+6)</f>
        <v/>
      </c>
      <c r="N3070" s="6">
        <f>IF(OR(A3070="",B3070=""),"",DATE(YEAR(B3070),MONTH(B3070),1))</f>
        <v/>
      </c>
      <c r="O3070" s="7">
        <f>IF(COUNTA(A3070:K3070)=0,"",IF(OR(A3070="",B3070=""),"Preencher CPF e entrada",IF(COUNTIFS($A$12:$A$5011,A3070,$B$12:$B$5011,B3070)&gt;1,"CPF + dia duplicado",IF(OR(AND(G3070&lt;&gt;"",G3070&lt;&gt;0,G3070&lt;&gt;1),AND(H3070&lt;&gt;"",H3070&lt;&gt;0,H3070&lt;&gt;1)),"Flags devem ser 0 ou 1",IF(AND(H3070=1,LEN(TRIM(I3070))=0),"Preencher nome do indicante",IF(AND(H3070&lt;&gt;1,I3070&lt;&gt;""),"Nome sem indicação interna",IF(AND(G3070=1,F3070=""),"Fechamento sem conversa",IF(OR(AND(E3070&lt;&gt;"",E3070&lt;B3070),AND(F3070&lt;&gt;"",F3070&lt;B3070)),"Evento anterior à entrada",IF(AND(F3070&lt;&gt;"",E3070=""),"Conversa sem agendamento",IF(OR(E3070&gt;TODAY(),F3070&gt;TODAY()),"Verificar evento futuro","OK"))))))))))</f>
        <v/>
      </c>
    </row>
    <row r="3071" spans="12:15">
      <c r="L3071" s="5">
        <f>IF(OR(A3071="",B3071=""),"",B3071-WEEKDAY(B3071,2)+1)</f>
        <v/>
      </c>
      <c r="M3071" s="5">
        <f>IF(L3071="","",L3071+6)</f>
        <v/>
      </c>
      <c r="N3071" s="6">
        <f>IF(OR(A3071="",B3071=""),"",DATE(YEAR(B3071),MONTH(B3071),1))</f>
        <v/>
      </c>
      <c r="O3071" s="7">
        <f>IF(COUNTA(A3071:K3071)=0,"",IF(OR(A3071="",B3071=""),"Preencher CPF e entrada",IF(COUNTIFS($A$12:$A$5011,A3071,$B$12:$B$5011,B3071)&gt;1,"CPF + dia duplicado",IF(OR(AND(G3071&lt;&gt;"",G3071&lt;&gt;0,G3071&lt;&gt;1),AND(H3071&lt;&gt;"",H3071&lt;&gt;0,H3071&lt;&gt;1)),"Flags devem ser 0 ou 1",IF(AND(H3071=1,LEN(TRIM(I3071))=0),"Preencher nome do indicante",IF(AND(H3071&lt;&gt;1,I3071&lt;&gt;""),"Nome sem indicação interna",IF(AND(G3071=1,F3071=""),"Fechamento sem conversa",IF(OR(AND(E3071&lt;&gt;"",E3071&lt;B3071),AND(F3071&lt;&gt;"",F3071&lt;B3071)),"Evento anterior à entrada",IF(AND(F3071&lt;&gt;"",E3071=""),"Conversa sem agendamento",IF(OR(E3071&gt;TODAY(),F3071&gt;TODAY()),"Verificar evento futuro","OK"))))))))))</f>
        <v/>
      </c>
    </row>
    <row r="3072" spans="12:15">
      <c r="L3072" s="5">
        <f>IF(OR(A3072="",B3072=""),"",B3072-WEEKDAY(B3072,2)+1)</f>
        <v/>
      </c>
      <c r="M3072" s="5">
        <f>IF(L3072="","",L3072+6)</f>
        <v/>
      </c>
      <c r="N3072" s="6">
        <f>IF(OR(A3072="",B3072=""),"",DATE(YEAR(B3072),MONTH(B3072),1))</f>
        <v/>
      </c>
      <c r="O3072" s="7">
        <f>IF(COUNTA(A3072:K3072)=0,"",IF(OR(A3072="",B3072=""),"Preencher CPF e entrada",IF(COUNTIFS($A$12:$A$5011,A3072,$B$12:$B$5011,B3072)&gt;1,"CPF + dia duplicado",IF(OR(AND(G3072&lt;&gt;"",G3072&lt;&gt;0,G3072&lt;&gt;1),AND(H3072&lt;&gt;"",H3072&lt;&gt;0,H3072&lt;&gt;1)),"Flags devem ser 0 ou 1",IF(AND(H3072=1,LEN(TRIM(I3072))=0),"Preencher nome do indicante",IF(AND(H3072&lt;&gt;1,I3072&lt;&gt;""),"Nome sem indicação interna",IF(AND(G3072=1,F3072=""),"Fechamento sem conversa",IF(OR(AND(E3072&lt;&gt;"",E3072&lt;B3072),AND(F3072&lt;&gt;"",F3072&lt;B3072)),"Evento anterior à entrada",IF(AND(F3072&lt;&gt;"",E3072=""),"Conversa sem agendamento",IF(OR(E3072&gt;TODAY(),F3072&gt;TODAY()),"Verificar evento futuro","OK"))))))))))</f>
        <v/>
      </c>
    </row>
    <row r="3073" spans="12:15">
      <c r="L3073" s="5">
        <f>IF(OR(A3073="",B3073=""),"",B3073-WEEKDAY(B3073,2)+1)</f>
        <v/>
      </c>
      <c r="M3073" s="5">
        <f>IF(L3073="","",L3073+6)</f>
        <v/>
      </c>
      <c r="N3073" s="6">
        <f>IF(OR(A3073="",B3073=""),"",DATE(YEAR(B3073),MONTH(B3073),1))</f>
        <v/>
      </c>
      <c r="O3073" s="7">
        <f>IF(COUNTA(A3073:K3073)=0,"",IF(OR(A3073="",B3073=""),"Preencher CPF e entrada",IF(COUNTIFS($A$12:$A$5011,A3073,$B$12:$B$5011,B3073)&gt;1,"CPF + dia duplicado",IF(OR(AND(G3073&lt;&gt;"",G3073&lt;&gt;0,G3073&lt;&gt;1),AND(H3073&lt;&gt;"",H3073&lt;&gt;0,H3073&lt;&gt;1)),"Flags devem ser 0 ou 1",IF(AND(H3073=1,LEN(TRIM(I3073))=0),"Preencher nome do indicante",IF(AND(H3073&lt;&gt;1,I3073&lt;&gt;""),"Nome sem indicação interna",IF(AND(G3073=1,F3073=""),"Fechamento sem conversa",IF(OR(AND(E3073&lt;&gt;"",E3073&lt;B3073),AND(F3073&lt;&gt;"",F3073&lt;B3073)),"Evento anterior à entrada",IF(AND(F3073&lt;&gt;"",E3073=""),"Conversa sem agendamento",IF(OR(E3073&gt;TODAY(),F3073&gt;TODAY()),"Verificar evento futuro","OK"))))))))))</f>
        <v/>
      </c>
    </row>
    <row r="3074" spans="12:15">
      <c r="L3074" s="5">
        <f>IF(OR(A3074="",B3074=""),"",B3074-WEEKDAY(B3074,2)+1)</f>
        <v/>
      </c>
      <c r="M3074" s="5">
        <f>IF(L3074="","",L3074+6)</f>
        <v/>
      </c>
      <c r="N3074" s="6">
        <f>IF(OR(A3074="",B3074=""),"",DATE(YEAR(B3074),MONTH(B3074),1))</f>
        <v/>
      </c>
      <c r="O3074" s="7">
        <f>IF(COUNTA(A3074:K3074)=0,"",IF(OR(A3074="",B3074=""),"Preencher CPF e entrada",IF(COUNTIFS($A$12:$A$5011,A3074,$B$12:$B$5011,B3074)&gt;1,"CPF + dia duplicado",IF(OR(AND(G3074&lt;&gt;"",G3074&lt;&gt;0,G3074&lt;&gt;1),AND(H3074&lt;&gt;"",H3074&lt;&gt;0,H3074&lt;&gt;1)),"Flags devem ser 0 ou 1",IF(AND(H3074=1,LEN(TRIM(I3074))=0),"Preencher nome do indicante",IF(AND(H3074&lt;&gt;1,I3074&lt;&gt;""),"Nome sem indicação interna",IF(AND(G3074=1,F3074=""),"Fechamento sem conversa",IF(OR(AND(E3074&lt;&gt;"",E3074&lt;B3074),AND(F3074&lt;&gt;"",F3074&lt;B3074)),"Evento anterior à entrada",IF(AND(F3074&lt;&gt;"",E3074=""),"Conversa sem agendamento",IF(OR(E3074&gt;TODAY(),F3074&gt;TODAY()),"Verificar evento futuro","OK"))))))))))</f>
        <v/>
      </c>
    </row>
    <row r="3075" spans="12:15">
      <c r="L3075" s="5">
        <f>IF(OR(A3075="",B3075=""),"",B3075-WEEKDAY(B3075,2)+1)</f>
        <v/>
      </c>
      <c r="M3075" s="5">
        <f>IF(L3075="","",L3075+6)</f>
        <v/>
      </c>
      <c r="N3075" s="6">
        <f>IF(OR(A3075="",B3075=""),"",DATE(YEAR(B3075),MONTH(B3075),1))</f>
        <v/>
      </c>
      <c r="O3075" s="7">
        <f>IF(COUNTA(A3075:K3075)=0,"",IF(OR(A3075="",B3075=""),"Preencher CPF e entrada",IF(COUNTIFS($A$12:$A$5011,A3075,$B$12:$B$5011,B3075)&gt;1,"CPF + dia duplicado",IF(OR(AND(G3075&lt;&gt;"",G3075&lt;&gt;0,G3075&lt;&gt;1),AND(H3075&lt;&gt;"",H3075&lt;&gt;0,H3075&lt;&gt;1)),"Flags devem ser 0 ou 1",IF(AND(H3075=1,LEN(TRIM(I3075))=0),"Preencher nome do indicante",IF(AND(H3075&lt;&gt;1,I3075&lt;&gt;""),"Nome sem indicação interna",IF(AND(G3075=1,F3075=""),"Fechamento sem conversa",IF(OR(AND(E3075&lt;&gt;"",E3075&lt;B3075),AND(F3075&lt;&gt;"",F3075&lt;B3075)),"Evento anterior à entrada",IF(AND(F3075&lt;&gt;"",E3075=""),"Conversa sem agendamento",IF(OR(E3075&gt;TODAY(),F3075&gt;TODAY()),"Verificar evento futuro","OK"))))))))))</f>
        <v/>
      </c>
    </row>
    <row r="3076" spans="12:15">
      <c r="L3076" s="5">
        <f>IF(OR(A3076="",B3076=""),"",B3076-WEEKDAY(B3076,2)+1)</f>
        <v/>
      </c>
      <c r="M3076" s="5">
        <f>IF(L3076="","",L3076+6)</f>
        <v/>
      </c>
      <c r="N3076" s="6">
        <f>IF(OR(A3076="",B3076=""),"",DATE(YEAR(B3076),MONTH(B3076),1))</f>
        <v/>
      </c>
      <c r="O3076" s="7">
        <f>IF(COUNTA(A3076:K3076)=0,"",IF(OR(A3076="",B3076=""),"Preencher CPF e entrada",IF(COUNTIFS($A$12:$A$5011,A3076,$B$12:$B$5011,B3076)&gt;1,"CPF + dia duplicado",IF(OR(AND(G3076&lt;&gt;"",G3076&lt;&gt;0,G3076&lt;&gt;1),AND(H3076&lt;&gt;"",H3076&lt;&gt;0,H3076&lt;&gt;1)),"Flags devem ser 0 ou 1",IF(AND(H3076=1,LEN(TRIM(I3076))=0),"Preencher nome do indicante",IF(AND(H3076&lt;&gt;1,I3076&lt;&gt;""),"Nome sem indicação interna",IF(AND(G3076=1,F3076=""),"Fechamento sem conversa",IF(OR(AND(E3076&lt;&gt;"",E3076&lt;B3076),AND(F3076&lt;&gt;"",F3076&lt;B3076)),"Evento anterior à entrada",IF(AND(F3076&lt;&gt;"",E3076=""),"Conversa sem agendamento",IF(OR(E3076&gt;TODAY(),F3076&gt;TODAY()),"Verificar evento futuro","OK"))))))))))</f>
        <v/>
      </c>
    </row>
    <row r="3077" spans="12:15">
      <c r="L3077" s="5">
        <f>IF(OR(A3077="",B3077=""),"",B3077-WEEKDAY(B3077,2)+1)</f>
        <v/>
      </c>
      <c r="M3077" s="5">
        <f>IF(L3077="","",L3077+6)</f>
        <v/>
      </c>
      <c r="N3077" s="6">
        <f>IF(OR(A3077="",B3077=""),"",DATE(YEAR(B3077),MONTH(B3077),1))</f>
        <v/>
      </c>
      <c r="O3077" s="7">
        <f>IF(COUNTA(A3077:K3077)=0,"",IF(OR(A3077="",B3077=""),"Preencher CPF e entrada",IF(COUNTIFS($A$12:$A$5011,A3077,$B$12:$B$5011,B3077)&gt;1,"CPF + dia duplicado",IF(OR(AND(G3077&lt;&gt;"",G3077&lt;&gt;0,G3077&lt;&gt;1),AND(H3077&lt;&gt;"",H3077&lt;&gt;0,H3077&lt;&gt;1)),"Flags devem ser 0 ou 1",IF(AND(H3077=1,LEN(TRIM(I3077))=0),"Preencher nome do indicante",IF(AND(H3077&lt;&gt;1,I3077&lt;&gt;""),"Nome sem indicação interna",IF(AND(G3077=1,F3077=""),"Fechamento sem conversa",IF(OR(AND(E3077&lt;&gt;"",E3077&lt;B3077),AND(F3077&lt;&gt;"",F3077&lt;B3077)),"Evento anterior à entrada",IF(AND(F3077&lt;&gt;"",E3077=""),"Conversa sem agendamento",IF(OR(E3077&gt;TODAY(),F3077&gt;TODAY()),"Verificar evento futuro","OK"))))))))))</f>
        <v/>
      </c>
    </row>
    <row r="3078" spans="12:15">
      <c r="L3078" s="5">
        <f>IF(OR(A3078="",B3078=""),"",B3078-WEEKDAY(B3078,2)+1)</f>
        <v/>
      </c>
      <c r="M3078" s="5">
        <f>IF(L3078="","",L3078+6)</f>
        <v/>
      </c>
      <c r="N3078" s="6">
        <f>IF(OR(A3078="",B3078=""),"",DATE(YEAR(B3078),MONTH(B3078),1))</f>
        <v/>
      </c>
      <c r="O3078" s="7">
        <f>IF(COUNTA(A3078:K3078)=0,"",IF(OR(A3078="",B3078=""),"Preencher CPF e entrada",IF(COUNTIFS($A$12:$A$5011,A3078,$B$12:$B$5011,B3078)&gt;1,"CPF + dia duplicado",IF(OR(AND(G3078&lt;&gt;"",G3078&lt;&gt;0,G3078&lt;&gt;1),AND(H3078&lt;&gt;"",H3078&lt;&gt;0,H3078&lt;&gt;1)),"Flags devem ser 0 ou 1",IF(AND(H3078=1,LEN(TRIM(I3078))=0),"Preencher nome do indicante",IF(AND(H3078&lt;&gt;1,I3078&lt;&gt;""),"Nome sem indicação interna",IF(AND(G3078=1,F3078=""),"Fechamento sem conversa",IF(OR(AND(E3078&lt;&gt;"",E3078&lt;B3078),AND(F3078&lt;&gt;"",F3078&lt;B3078)),"Evento anterior à entrada",IF(AND(F3078&lt;&gt;"",E3078=""),"Conversa sem agendamento",IF(OR(E3078&gt;TODAY(),F3078&gt;TODAY()),"Verificar evento futuro","OK"))))))))))</f>
        <v/>
      </c>
    </row>
    <row r="3079" spans="12:15">
      <c r="L3079" s="5">
        <f>IF(OR(A3079="",B3079=""),"",B3079-WEEKDAY(B3079,2)+1)</f>
        <v/>
      </c>
      <c r="M3079" s="5">
        <f>IF(L3079="","",L3079+6)</f>
        <v/>
      </c>
      <c r="N3079" s="6">
        <f>IF(OR(A3079="",B3079=""),"",DATE(YEAR(B3079),MONTH(B3079),1))</f>
        <v/>
      </c>
      <c r="O3079" s="7">
        <f>IF(COUNTA(A3079:K3079)=0,"",IF(OR(A3079="",B3079=""),"Preencher CPF e entrada",IF(COUNTIFS($A$12:$A$5011,A3079,$B$12:$B$5011,B3079)&gt;1,"CPF + dia duplicado",IF(OR(AND(G3079&lt;&gt;"",G3079&lt;&gt;0,G3079&lt;&gt;1),AND(H3079&lt;&gt;"",H3079&lt;&gt;0,H3079&lt;&gt;1)),"Flags devem ser 0 ou 1",IF(AND(H3079=1,LEN(TRIM(I3079))=0),"Preencher nome do indicante",IF(AND(H3079&lt;&gt;1,I3079&lt;&gt;""),"Nome sem indicação interna",IF(AND(G3079=1,F3079=""),"Fechamento sem conversa",IF(OR(AND(E3079&lt;&gt;"",E3079&lt;B3079),AND(F3079&lt;&gt;"",F3079&lt;B3079)),"Evento anterior à entrada",IF(AND(F3079&lt;&gt;"",E3079=""),"Conversa sem agendamento",IF(OR(E3079&gt;TODAY(),F3079&gt;TODAY()),"Verificar evento futuro","OK"))))))))))</f>
        <v/>
      </c>
    </row>
    <row r="3080" spans="12:15">
      <c r="L3080" s="5">
        <f>IF(OR(A3080="",B3080=""),"",B3080-WEEKDAY(B3080,2)+1)</f>
        <v/>
      </c>
      <c r="M3080" s="5">
        <f>IF(L3080="","",L3080+6)</f>
        <v/>
      </c>
      <c r="N3080" s="6">
        <f>IF(OR(A3080="",B3080=""),"",DATE(YEAR(B3080),MONTH(B3080),1))</f>
        <v/>
      </c>
      <c r="O3080" s="7">
        <f>IF(COUNTA(A3080:K3080)=0,"",IF(OR(A3080="",B3080=""),"Preencher CPF e entrada",IF(COUNTIFS($A$12:$A$5011,A3080,$B$12:$B$5011,B3080)&gt;1,"CPF + dia duplicado",IF(OR(AND(G3080&lt;&gt;"",G3080&lt;&gt;0,G3080&lt;&gt;1),AND(H3080&lt;&gt;"",H3080&lt;&gt;0,H3080&lt;&gt;1)),"Flags devem ser 0 ou 1",IF(AND(H3080=1,LEN(TRIM(I3080))=0),"Preencher nome do indicante",IF(AND(H3080&lt;&gt;1,I3080&lt;&gt;""),"Nome sem indicação interna",IF(AND(G3080=1,F3080=""),"Fechamento sem conversa",IF(OR(AND(E3080&lt;&gt;"",E3080&lt;B3080),AND(F3080&lt;&gt;"",F3080&lt;B3080)),"Evento anterior à entrada",IF(AND(F3080&lt;&gt;"",E3080=""),"Conversa sem agendamento",IF(OR(E3080&gt;TODAY(),F3080&gt;TODAY()),"Verificar evento futuro","OK"))))))))))</f>
        <v/>
      </c>
    </row>
    <row r="3081" spans="12:15">
      <c r="L3081" s="5">
        <f>IF(OR(A3081="",B3081=""),"",B3081-WEEKDAY(B3081,2)+1)</f>
        <v/>
      </c>
      <c r="M3081" s="5">
        <f>IF(L3081="","",L3081+6)</f>
        <v/>
      </c>
      <c r="N3081" s="6">
        <f>IF(OR(A3081="",B3081=""),"",DATE(YEAR(B3081),MONTH(B3081),1))</f>
        <v/>
      </c>
      <c r="O3081" s="7">
        <f>IF(COUNTA(A3081:K3081)=0,"",IF(OR(A3081="",B3081=""),"Preencher CPF e entrada",IF(COUNTIFS($A$12:$A$5011,A3081,$B$12:$B$5011,B3081)&gt;1,"CPF + dia duplicado",IF(OR(AND(G3081&lt;&gt;"",G3081&lt;&gt;0,G3081&lt;&gt;1),AND(H3081&lt;&gt;"",H3081&lt;&gt;0,H3081&lt;&gt;1)),"Flags devem ser 0 ou 1",IF(AND(H3081=1,LEN(TRIM(I3081))=0),"Preencher nome do indicante",IF(AND(H3081&lt;&gt;1,I3081&lt;&gt;""),"Nome sem indicação interna",IF(AND(G3081=1,F3081=""),"Fechamento sem conversa",IF(OR(AND(E3081&lt;&gt;"",E3081&lt;B3081),AND(F3081&lt;&gt;"",F3081&lt;B3081)),"Evento anterior à entrada",IF(AND(F3081&lt;&gt;"",E3081=""),"Conversa sem agendamento",IF(OR(E3081&gt;TODAY(),F3081&gt;TODAY()),"Verificar evento futuro","OK"))))))))))</f>
        <v/>
      </c>
    </row>
    <row r="3082" spans="12:15">
      <c r="L3082" s="5">
        <f>IF(OR(A3082="",B3082=""),"",B3082-WEEKDAY(B3082,2)+1)</f>
        <v/>
      </c>
      <c r="M3082" s="5">
        <f>IF(L3082="","",L3082+6)</f>
        <v/>
      </c>
      <c r="N3082" s="6">
        <f>IF(OR(A3082="",B3082=""),"",DATE(YEAR(B3082),MONTH(B3082),1))</f>
        <v/>
      </c>
      <c r="O3082" s="7">
        <f>IF(COUNTA(A3082:K3082)=0,"",IF(OR(A3082="",B3082=""),"Preencher CPF e entrada",IF(COUNTIFS($A$12:$A$5011,A3082,$B$12:$B$5011,B3082)&gt;1,"CPF + dia duplicado",IF(OR(AND(G3082&lt;&gt;"",G3082&lt;&gt;0,G3082&lt;&gt;1),AND(H3082&lt;&gt;"",H3082&lt;&gt;0,H3082&lt;&gt;1)),"Flags devem ser 0 ou 1",IF(AND(H3082=1,LEN(TRIM(I3082))=0),"Preencher nome do indicante",IF(AND(H3082&lt;&gt;1,I3082&lt;&gt;""),"Nome sem indicação interna",IF(AND(G3082=1,F3082=""),"Fechamento sem conversa",IF(OR(AND(E3082&lt;&gt;"",E3082&lt;B3082),AND(F3082&lt;&gt;"",F3082&lt;B3082)),"Evento anterior à entrada",IF(AND(F3082&lt;&gt;"",E3082=""),"Conversa sem agendamento",IF(OR(E3082&gt;TODAY(),F3082&gt;TODAY()),"Verificar evento futuro","OK"))))))))))</f>
        <v/>
      </c>
    </row>
    <row r="3083" spans="12:15">
      <c r="L3083" s="5">
        <f>IF(OR(A3083="",B3083=""),"",B3083-WEEKDAY(B3083,2)+1)</f>
        <v/>
      </c>
      <c r="M3083" s="5">
        <f>IF(L3083="","",L3083+6)</f>
        <v/>
      </c>
      <c r="N3083" s="6">
        <f>IF(OR(A3083="",B3083=""),"",DATE(YEAR(B3083),MONTH(B3083),1))</f>
        <v/>
      </c>
      <c r="O3083" s="7">
        <f>IF(COUNTA(A3083:K3083)=0,"",IF(OR(A3083="",B3083=""),"Preencher CPF e entrada",IF(COUNTIFS($A$12:$A$5011,A3083,$B$12:$B$5011,B3083)&gt;1,"CPF + dia duplicado",IF(OR(AND(G3083&lt;&gt;"",G3083&lt;&gt;0,G3083&lt;&gt;1),AND(H3083&lt;&gt;"",H3083&lt;&gt;0,H3083&lt;&gt;1)),"Flags devem ser 0 ou 1",IF(AND(H3083=1,LEN(TRIM(I3083))=0),"Preencher nome do indicante",IF(AND(H3083&lt;&gt;1,I3083&lt;&gt;""),"Nome sem indicação interna",IF(AND(G3083=1,F3083=""),"Fechamento sem conversa",IF(OR(AND(E3083&lt;&gt;"",E3083&lt;B3083),AND(F3083&lt;&gt;"",F3083&lt;B3083)),"Evento anterior à entrada",IF(AND(F3083&lt;&gt;"",E3083=""),"Conversa sem agendamento",IF(OR(E3083&gt;TODAY(),F3083&gt;TODAY()),"Verificar evento futuro","OK"))))))))))</f>
        <v/>
      </c>
    </row>
    <row r="3084" spans="12:15">
      <c r="L3084" s="5">
        <f>IF(OR(A3084="",B3084=""),"",B3084-WEEKDAY(B3084,2)+1)</f>
        <v/>
      </c>
      <c r="M3084" s="5">
        <f>IF(L3084="","",L3084+6)</f>
        <v/>
      </c>
      <c r="N3084" s="6">
        <f>IF(OR(A3084="",B3084=""),"",DATE(YEAR(B3084),MONTH(B3084),1))</f>
        <v/>
      </c>
      <c r="O3084" s="7">
        <f>IF(COUNTA(A3084:K3084)=0,"",IF(OR(A3084="",B3084=""),"Preencher CPF e entrada",IF(COUNTIFS($A$12:$A$5011,A3084,$B$12:$B$5011,B3084)&gt;1,"CPF + dia duplicado",IF(OR(AND(G3084&lt;&gt;"",G3084&lt;&gt;0,G3084&lt;&gt;1),AND(H3084&lt;&gt;"",H3084&lt;&gt;0,H3084&lt;&gt;1)),"Flags devem ser 0 ou 1",IF(AND(H3084=1,LEN(TRIM(I3084))=0),"Preencher nome do indicante",IF(AND(H3084&lt;&gt;1,I3084&lt;&gt;""),"Nome sem indicação interna",IF(AND(G3084=1,F3084=""),"Fechamento sem conversa",IF(OR(AND(E3084&lt;&gt;"",E3084&lt;B3084),AND(F3084&lt;&gt;"",F3084&lt;B3084)),"Evento anterior à entrada",IF(AND(F3084&lt;&gt;"",E3084=""),"Conversa sem agendamento",IF(OR(E3084&gt;TODAY(),F3084&gt;TODAY()),"Verificar evento futuro","OK"))))))))))</f>
        <v/>
      </c>
    </row>
    <row r="3085" spans="12:15">
      <c r="L3085" s="5">
        <f>IF(OR(A3085="",B3085=""),"",B3085-WEEKDAY(B3085,2)+1)</f>
        <v/>
      </c>
      <c r="M3085" s="5">
        <f>IF(L3085="","",L3085+6)</f>
        <v/>
      </c>
      <c r="N3085" s="6">
        <f>IF(OR(A3085="",B3085=""),"",DATE(YEAR(B3085),MONTH(B3085),1))</f>
        <v/>
      </c>
      <c r="O3085" s="7">
        <f>IF(COUNTA(A3085:K3085)=0,"",IF(OR(A3085="",B3085=""),"Preencher CPF e entrada",IF(COUNTIFS($A$12:$A$5011,A3085,$B$12:$B$5011,B3085)&gt;1,"CPF + dia duplicado",IF(OR(AND(G3085&lt;&gt;"",G3085&lt;&gt;0,G3085&lt;&gt;1),AND(H3085&lt;&gt;"",H3085&lt;&gt;0,H3085&lt;&gt;1)),"Flags devem ser 0 ou 1",IF(AND(H3085=1,LEN(TRIM(I3085))=0),"Preencher nome do indicante",IF(AND(H3085&lt;&gt;1,I3085&lt;&gt;""),"Nome sem indicação interna",IF(AND(G3085=1,F3085=""),"Fechamento sem conversa",IF(OR(AND(E3085&lt;&gt;"",E3085&lt;B3085),AND(F3085&lt;&gt;"",F3085&lt;B3085)),"Evento anterior à entrada",IF(AND(F3085&lt;&gt;"",E3085=""),"Conversa sem agendamento",IF(OR(E3085&gt;TODAY(),F3085&gt;TODAY()),"Verificar evento futuro","OK"))))))))))</f>
        <v/>
      </c>
    </row>
    <row r="3086" spans="12:15">
      <c r="L3086" s="5">
        <f>IF(OR(A3086="",B3086=""),"",B3086-WEEKDAY(B3086,2)+1)</f>
        <v/>
      </c>
      <c r="M3086" s="5">
        <f>IF(L3086="","",L3086+6)</f>
        <v/>
      </c>
      <c r="N3086" s="6">
        <f>IF(OR(A3086="",B3086=""),"",DATE(YEAR(B3086),MONTH(B3086),1))</f>
        <v/>
      </c>
      <c r="O3086" s="7">
        <f>IF(COUNTA(A3086:K3086)=0,"",IF(OR(A3086="",B3086=""),"Preencher CPF e entrada",IF(COUNTIFS($A$12:$A$5011,A3086,$B$12:$B$5011,B3086)&gt;1,"CPF + dia duplicado",IF(OR(AND(G3086&lt;&gt;"",G3086&lt;&gt;0,G3086&lt;&gt;1),AND(H3086&lt;&gt;"",H3086&lt;&gt;0,H3086&lt;&gt;1)),"Flags devem ser 0 ou 1",IF(AND(H3086=1,LEN(TRIM(I3086))=0),"Preencher nome do indicante",IF(AND(H3086&lt;&gt;1,I3086&lt;&gt;""),"Nome sem indicação interna",IF(AND(G3086=1,F3086=""),"Fechamento sem conversa",IF(OR(AND(E3086&lt;&gt;"",E3086&lt;B3086),AND(F3086&lt;&gt;"",F3086&lt;B3086)),"Evento anterior à entrada",IF(AND(F3086&lt;&gt;"",E3086=""),"Conversa sem agendamento",IF(OR(E3086&gt;TODAY(),F3086&gt;TODAY()),"Verificar evento futuro","OK"))))))))))</f>
        <v/>
      </c>
    </row>
    <row r="3087" spans="12:15">
      <c r="L3087" s="5">
        <f>IF(OR(A3087="",B3087=""),"",B3087-WEEKDAY(B3087,2)+1)</f>
        <v/>
      </c>
      <c r="M3087" s="5">
        <f>IF(L3087="","",L3087+6)</f>
        <v/>
      </c>
      <c r="N3087" s="6">
        <f>IF(OR(A3087="",B3087=""),"",DATE(YEAR(B3087),MONTH(B3087),1))</f>
        <v/>
      </c>
      <c r="O3087" s="7">
        <f>IF(COUNTA(A3087:K3087)=0,"",IF(OR(A3087="",B3087=""),"Preencher CPF e entrada",IF(COUNTIFS($A$12:$A$5011,A3087,$B$12:$B$5011,B3087)&gt;1,"CPF + dia duplicado",IF(OR(AND(G3087&lt;&gt;"",G3087&lt;&gt;0,G3087&lt;&gt;1),AND(H3087&lt;&gt;"",H3087&lt;&gt;0,H3087&lt;&gt;1)),"Flags devem ser 0 ou 1",IF(AND(H3087=1,LEN(TRIM(I3087))=0),"Preencher nome do indicante",IF(AND(H3087&lt;&gt;1,I3087&lt;&gt;""),"Nome sem indicação interna",IF(AND(G3087=1,F3087=""),"Fechamento sem conversa",IF(OR(AND(E3087&lt;&gt;"",E3087&lt;B3087),AND(F3087&lt;&gt;"",F3087&lt;B3087)),"Evento anterior à entrada",IF(AND(F3087&lt;&gt;"",E3087=""),"Conversa sem agendamento",IF(OR(E3087&gt;TODAY(),F3087&gt;TODAY()),"Verificar evento futuro","OK"))))))))))</f>
        <v/>
      </c>
    </row>
    <row r="3088" spans="12:15">
      <c r="L3088" s="5">
        <f>IF(OR(A3088="",B3088=""),"",B3088-WEEKDAY(B3088,2)+1)</f>
        <v/>
      </c>
      <c r="M3088" s="5">
        <f>IF(L3088="","",L3088+6)</f>
        <v/>
      </c>
      <c r="N3088" s="6">
        <f>IF(OR(A3088="",B3088=""),"",DATE(YEAR(B3088),MONTH(B3088),1))</f>
        <v/>
      </c>
      <c r="O3088" s="7">
        <f>IF(COUNTA(A3088:K3088)=0,"",IF(OR(A3088="",B3088=""),"Preencher CPF e entrada",IF(COUNTIFS($A$12:$A$5011,A3088,$B$12:$B$5011,B3088)&gt;1,"CPF + dia duplicado",IF(OR(AND(G3088&lt;&gt;"",G3088&lt;&gt;0,G3088&lt;&gt;1),AND(H3088&lt;&gt;"",H3088&lt;&gt;0,H3088&lt;&gt;1)),"Flags devem ser 0 ou 1",IF(AND(H3088=1,LEN(TRIM(I3088))=0),"Preencher nome do indicante",IF(AND(H3088&lt;&gt;1,I3088&lt;&gt;""),"Nome sem indicação interna",IF(AND(G3088=1,F3088=""),"Fechamento sem conversa",IF(OR(AND(E3088&lt;&gt;"",E3088&lt;B3088),AND(F3088&lt;&gt;"",F3088&lt;B3088)),"Evento anterior à entrada",IF(AND(F3088&lt;&gt;"",E3088=""),"Conversa sem agendamento",IF(OR(E3088&gt;TODAY(),F3088&gt;TODAY()),"Verificar evento futuro","OK"))))))))))</f>
        <v/>
      </c>
    </row>
    <row r="3089" spans="12:15">
      <c r="L3089" s="5">
        <f>IF(OR(A3089="",B3089=""),"",B3089-WEEKDAY(B3089,2)+1)</f>
        <v/>
      </c>
      <c r="M3089" s="5">
        <f>IF(L3089="","",L3089+6)</f>
        <v/>
      </c>
      <c r="N3089" s="6">
        <f>IF(OR(A3089="",B3089=""),"",DATE(YEAR(B3089),MONTH(B3089),1))</f>
        <v/>
      </c>
      <c r="O3089" s="7">
        <f>IF(COUNTA(A3089:K3089)=0,"",IF(OR(A3089="",B3089=""),"Preencher CPF e entrada",IF(COUNTIFS($A$12:$A$5011,A3089,$B$12:$B$5011,B3089)&gt;1,"CPF + dia duplicado",IF(OR(AND(G3089&lt;&gt;"",G3089&lt;&gt;0,G3089&lt;&gt;1),AND(H3089&lt;&gt;"",H3089&lt;&gt;0,H3089&lt;&gt;1)),"Flags devem ser 0 ou 1",IF(AND(H3089=1,LEN(TRIM(I3089))=0),"Preencher nome do indicante",IF(AND(H3089&lt;&gt;1,I3089&lt;&gt;""),"Nome sem indicação interna",IF(AND(G3089=1,F3089=""),"Fechamento sem conversa",IF(OR(AND(E3089&lt;&gt;"",E3089&lt;B3089),AND(F3089&lt;&gt;"",F3089&lt;B3089)),"Evento anterior à entrada",IF(AND(F3089&lt;&gt;"",E3089=""),"Conversa sem agendamento",IF(OR(E3089&gt;TODAY(),F3089&gt;TODAY()),"Verificar evento futuro","OK"))))))))))</f>
        <v/>
      </c>
    </row>
    <row r="3090" spans="12:15">
      <c r="L3090" s="5">
        <f>IF(OR(A3090="",B3090=""),"",B3090-WEEKDAY(B3090,2)+1)</f>
        <v/>
      </c>
      <c r="M3090" s="5">
        <f>IF(L3090="","",L3090+6)</f>
        <v/>
      </c>
      <c r="N3090" s="6">
        <f>IF(OR(A3090="",B3090=""),"",DATE(YEAR(B3090),MONTH(B3090),1))</f>
        <v/>
      </c>
      <c r="O3090" s="7">
        <f>IF(COUNTA(A3090:K3090)=0,"",IF(OR(A3090="",B3090=""),"Preencher CPF e entrada",IF(COUNTIFS($A$12:$A$5011,A3090,$B$12:$B$5011,B3090)&gt;1,"CPF + dia duplicado",IF(OR(AND(G3090&lt;&gt;"",G3090&lt;&gt;0,G3090&lt;&gt;1),AND(H3090&lt;&gt;"",H3090&lt;&gt;0,H3090&lt;&gt;1)),"Flags devem ser 0 ou 1",IF(AND(H3090=1,LEN(TRIM(I3090))=0),"Preencher nome do indicante",IF(AND(H3090&lt;&gt;1,I3090&lt;&gt;""),"Nome sem indicação interna",IF(AND(G3090=1,F3090=""),"Fechamento sem conversa",IF(OR(AND(E3090&lt;&gt;"",E3090&lt;B3090),AND(F3090&lt;&gt;"",F3090&lt;B3090)),"Evento anterior à entrada",IF(AND(F3090&lt;&gt;"",E3090=""),"Conversa sem agendamento",IF(OR(E3090&gt;TODAY(),F3090&gt;TODAY()),"Verificar evento futuro","OK"))))))))))</f>
        <v/>
      </c>
    </row>
    <row r="3091" spans="12:15">
      <c r="L3091" s="5">
        <f>IF(OR(A3091="",B3091=""),"",B3091-WEEKDAY(B3091,2)+1)</f>
        <v/>
      </c>
      <c r="M3091" s="5">
        <f>IF(L3091="","",L3091+6)</f>
        <v/>
      </c>
      <c r="N3091" s="6">
        <f>IF(OR(A3091="",B3091=""),"",DATE(YEAR(B3091),MONTH(B3091),1))</f>
        <v/>
      </c>
      <c r="O3091" s="7">
        <f>IF(COUNTA(A3091:K3091)=0,"",IF(OR(A3091="",B3091=""),"Preencher CPF e entrada",IF(COUNTIFS($A$12:$A$5011,A3091,$B$12:$B$5011,B3091)&gt;1,"CPF + dia duplicado",IF(OR(AND(G3091&lt;&gt;"",G3091&lt;&gt;0,G3091&lt;&gt;1),AND(H3091&lt;&gt;"",H3091&lt;&gt;0,H3091&lt;&gt;1)),"Flags devem ser 0 ou 1",IF(AND(H3091=1,LEN(TRIM(I3091))=0),"Preencher nome do indicante",IF(AND(H3091&lt;&gt;1,I3091&lt;&gt;""),"Nome sem indicação interna",IF(AND(G3091=1,F3091=""),"Fechamento sem conversa",IF(OR(AND(E3091&lt;&gt;"",E3091&lt;B3091),AND(F3091&lt;&gt;"",F3091&lt;B3091)),"Evento anterior à entrada",IF(AND(F3091&lt;&gt;"",E3091=""),"Conversa sem agendamento",IF(OR(E3091&gt;TODAY(),F3091&gt;TODAY()),"Verificar evento futuro","OK"))))))))))</f>
        <v/>
      </c>
    </row>
    <row r="3092" spans="12:15">
      <c r="L3092" s="5">
        <f>IF(OR(A3092="",B3092=""),"",B3092-WEEKDAY(B3092,2)+1)</f>
        <v/>
      </c>
      <c r="M3092" s="5">
        <f>IF(L3092="","",L3092+6)</f>
        <v/>
      </c>
      <c r="N3092" s="6">
        <f>IF(OR(A3092="",B3092=""),"",DATE(YEAR(B3092),MONTH(B3092),1))</f>
        <v/>
      </c>
      <c r="O3092" s="7">
        <f>IF(COUNTA(A3092:K3092)=0,"",IF(OR(A3092="",B3092=""),"Preencher CPF e entrada",IF(COUNTIFS($A$12:$A$5011,A3092,$B$12:$B$5011,B3092)&gt;1,"CPF + dia duplicado",IF(OR(AND(G3092&lt;&gt;"",G3092&lt;&gt;0,G3092&lt;&gt;1),AND(H3092&lt;&gt;"",H3092&lt;&gt;0,H3092&lt;&gt;1)),"Flags devem ser 0 ou 1",IF(AND(H3092=1,LEN(TRIM(I3092))=0),"Preencher nome do indicante",IF(AND(H3092&lt;&gt;1,I3092&lt;&gt;""),"Nome sem indicação interna",IF(AND(G3092=1,F3092=""),"Fechamento sem conversa",IF(OR(AND(E3092&lt;&gt;"",E3092&lt;B3092),AND(F3092&lt;&gt;"",F3092&lt;B3092)),"Evento anterior à entrada",IF(AND(F3092&lt;&gt;"",E3092=""),"Conversa sem agendamento",IF(OR(E3092&gt;TODAY(),F3092&gt;TODAY()),"Verificar evento futuro","OK"))))))))))</f>
        <v/>
      </c>
    </row>
    <row r="3093" spans="12:15">
      <c r="L3093" s="5">
        <f>IF(OR(A3093="",B3093=""),"",B3093-WEEKDAY(B3093,2)+1)</f>
        <v/>
      </c>
      <c r="M3093" s="5">
        <f>IF(L3093="","",L3093+6)</f>
        <v/>
      </c>
      <c r="N3093" s="6">
        <f>IF(OR(A3093="",B3093=""),"",DATE(YEAR(B3093),MONTH(B3093),1))</f>
        <v/>
      </c>
      <c r="O3093" s="7">
        <f>IF(COUNTA(A3093:K3093)=0,"",IF(OR(A3093="",B3093=""),"Preencher CPF e entrada",IF(COUNTIFS($A$12:$A$5011,A3093,$B$12:$B$5011,B3093)&gt;1,"CPF + dia duplicado",IF(OR(AND(G3093&lt;&gt;"",G3093&lt;&gt;0,G3093&lt;&gt;1),AND(H3093&lt;&gt;"",H3093&lt;&gt;0,H3093&lt;&gt;1)),"Flags devem ser 0 ou 1",IF(AND(H3093=1,LEN(TRIM(I3093))=0),"Preencher nome do indicante",IF(AND(H3093&lt;&gt;1,I3093&lt;&gt;""),"Nome sem indicação interna",IF(AND(G3093=1,F3093=""),"Fechamento sem conversa",IF(OR(AND(E3093&lt;&gt;"",E3093&lt;B3093),AND(F3093&lt;&gt;"",F3093&lt;B3093)),"Evento anterior à entrada",IF(AND(F3093&lt;&gt;"",E3093=""),"Conversa sem agendamento",IF(OR(E3093&gt;TODAY(),F3093&gt;TODAY()),"Verificar evento futuro","OK"))))))))))</f>
        <v/>
      </c>
    </row>
    <row r="3094" spans="12:15">
      <c r="L3094" s="5">
        <f>IF(OR(A3094="",B3094=""),"",B3094-WEEKDAY(B3094,2)+1)</f>
        <v/>
      </c>
      <c r="M3094" s="5">
        <f>IF(L3094="","",L3094+6)</f>
        <v/>
      </c>
      <c r="N3094" s="6">
        <f>IF(OR(A3094="",B3094=""),"",DATE(YEAR(B3094),MONTH(B3094),1))</f>
        <v/>
      </c>
      <c r="O3094" s="7">
        <f>IF(COUNTA(A3094:K3094)=0,"",IF(OR(A3094="",B3094=""),"Preencher CPF e entrada",IF(COUNTIFS($A$12:$A$5011,A3094,$B$12:$B$5011,B3094)&gt;1,"CPF + dia duplicado",IF(OR(AND(G3094&lt;&gt;"",G3094&lt;&gt;0,G3094&lt;&gt;1),AND(H3094&lt;&gt;"",H3094&lt;&gt;0,H3094&lt;&gt;1)),"Flags devem ser 0 ou 1",IF(AND(H3094=1,LEN(TRIM(I3094))=0),"Preencher nome do indicante",IF(AND(H3094&lt;&gt;1,I3094&lt;&gt;""),"Nome sem indicação interna",IF(AND(G3094=1,F3094=""),"Fechamento sem conversa",IF(OR(AND(E3094&lt;&gt;"",E3094&lt;B3094),AND(F3094&lt;&gt;"",F3094&lt;B3094)),"Evento anterior à entrada",IF(AND(F3094&lt;&gt;"",E3094=""),"Conversa sem agendamento",IF(OR(E3094&gt;TODAY(),F3094&gt;TODAY()),"Verificar evento futuro","OK"))))))))))</f>
        <v/>
      </c>
    </row>
    <row r="3095" spans="12:15">
      <c r="L3095" s="5">
        <f>IF(OR(A3095="",B3095=""),"",B3095-WEEKDAY(B3095,2)+1)</f>
        <v/>
      </c>
      <c r="M3095" s="5">
        <f>IF(L3095="","",L3095+6)</f>
        <v/>
      </c>
      <c r="N3095" s="6">
        <f>IF(OR(A3095="",B3095=""),"",DATE(YEAR(B3095),MONTH(B3095),1))</f>
        <v/>
      </c>
      <c r="O3095" s="7">
        <f>IF(COUNTA(A3095:K3095)=0,"",IF(OR(A3095="",B3095=""),"Preencher CPF e entrada",IF(COUNTIFS($A$12:$A$5011,A3095,$B$12:$B$5011,B3095)&gt;1,"CPF + dia duplicado",IF(OR(AND(G3095&lt;&gt;"",G3095&lt;&gt;0,G3095&lt;&gt;1),AND(H3095&lt;&gt;"",H3095&lt;&gt;0,H3095&lt;&gt;1)),"Flags devem ser 0 ou 1",IF(AND(H3095=1,LEN(TRIM(I3095))=0),"Preencher nome do indicante",IF(AND(H3095&lt;&gt;1,I3095&lt;&gt;""),"Nome sem indicação interna",IF(AND(G3095=1,F3095=""),"Fechamento sem conversa",IF(OR(AND(E3095&lt;&gt;"",E3095&lt;B3095),AND(F3095&lt;&gt;"",F3095&lt;B3095)),"Evento anterior à entrada",IF(AND(F3095&lt;&gt;"",E3095=""),"Conversa sem agendamento",IF(OR(E3095&gt;TODAY(),F3095&gt;TODAY()),"Verificar evento futuro","OK"))))))))))</f>
        <v/>
      </c>
    </row>
    <row r="3096" spans="12:15">
      <c r="L3096" s="5">
        <f>IF(OR(A3096="",B3096=""),"",B3096-WEEKDAY(B3096,2)+1)</f>
        <v/>
      </c>
      <c r="M3096" s="5">
        <f>IF(L3096="","",L3096+6)</f>
        <v/>
      </c>
      <c r="N3096" s="6">
        <f>IF(OR(A3096="",B3096=""),"",DATE(YEAR(B3096),MONTH(B3096),1))</f>
        <v/>
      </c>
      <c r="O3096" s="7">
        <f>IF(COUNTA(A3096:K3096)=0,"",IF(OR(A3096="",B3096=""),"Preencher CPF e entrada",IF(COUNTIFS($A$12:$A$5011,A3096,$B$12:$B$5011,B3096)&gt;1,"CPF + dia duplicado",IF(OR(AND(G3096&lt;&gt;"",G3096&lt;&gt;0,G3096&lt;&gt;1),AND(H3096&lt;&gt;"",H3096&lt;&gt;0,H3096&lt;&gt;1)),"Flags devem ser 0 ou 1",IF(AND(H3096=1,LEN(TRIM(I3096))=0),"Preencher nome do indicante",IF(AND(H3096&lt;&gt;1,I3096&lt;&gt;""),"Nome sem indicação interna",IF(AND(G3096=1,F3096=""),"Fechamento sem conversa",IF(OR(AND(E3096&lt;&gt;"",E3096&lt;B3096),AND(F3096&lt;&gt;"",F3096&lt;B3096)),"Evento anterior à entrada",IF(AND(F3096&lt;&gt;"",E3096=""),"Conversa sem agendamento",IF(OR(E3096&gt;TODAY(),F3096&gt;TODAY()),"Verificar evento futuro","OK"))))))))))</f>
        <v/>
      </c>
    </row>
    <row r="3097" spans="12:15">
      <c r="L3097" s="5">
        <f>IF(OR(A3097="",B3097=""),"",B3097-WEEKDAY(B3097,2)+1)</f>
        <v/>
      </c>
      <c r="M3097" s="5">
        <f>IF(L3097="","",L3097+6)</f>
        <v/>
      </c>
      <c r="N3097" s="6">
        <f>IF(OR(A3097="",B3097=""),"",DATE(YEAR(B3097),MONTH(B3097),1))</f>
        <v/>
      </c>
      <c r="O3097" s="7">
        <f>IF(COUNTA(A3097:K3097)=0,"",IF(OR(A3097="",B3097=""),"Preencher CPF e entrada",IF(COUNTIFS($A$12:$A$5011,A3097,$B$12:$B$5011,B3097)&gt;1,"CPF + dia duplicado",IF(OR(AND(G3097&lt;&gt;"",G3097&lt;&gt;0,G3097&lt;&gt;1),AND(H3097&lt;&gt;"",H3097&lt;&gt;0,H3097&lt;&gt;1)),"Flags devem ser 0 ou 1",IF(AND(H3097=1,LEN(TRIM(I3097))=0),"Preencher nome do indicante",IF(AND(H3097&lt;&gt;1,I3097&lt;&gt;""),"Nome sem indicação interna",IF(AND(G3097=1,F3097=""),"Fechamento sem conversa",IF(OR(AND(E3097&lt;&gt;"",E3097&lt;B3097),AND(F3097&lt;&gt;"",F3097&lt;B3097)),"Evento anterior à entrada",IF(AND(F3097&lt;&gt;"",E3097=""),"Conversa sem agendamento",IF(OR(E3097&gt;TODAY(),F3097&gt;TODAY()),"Verificar evento futuro","OK"))))))))))</f>
        <v/>
      </c>
    </row>
    <row r="3098" spans="12:15">
      <c r="L3098" s="5">
        <f>IF(OR(A3098="",B3098=""),"",B3098-WEEKDAY(B3098,2)+1)</f>
        <v/>
      </c>
      <c r="M3098" s="5">
        <f>IF(L3098="","",L3098+6)</f>
        <v/>
      </c>
      <c r="N3098" s="6">
        <f>IF(OR(A3098="",B3098=""),"",DATE(YEAR(B3098),MONTH(B3098),1))</f>
        <v/>
      </c>
      <c r="O3098" s="7">
        <f>IF(COUNTA(A3098:K3098)=0,"",IF(OR(A3098="",B3098=""),"Preencher CPF e entrada",IF(COUNTIFS($A$12:$A$5011,A3098,$B$12:$B$5011,B3098)&gt;1,"CPF + dia duplicado",IF(OR(AND(G3098&lt;&gt;"",G3098&lt;&gt;0,G3098&lt;&gt;1),AND(H3098&lt;&gt;"",H3098&lt;&gt;0,H3098&lt;&gt;1)),"Flags devem ser 0 ou 1",IF(AND(H3098=1,LEN(TRIM(I3098))=0),"Preencher nome do indicante",IF(AND(H3098&lt;&gt;1,I3098&lt;&gt;""),"Nome sem indicação interna",IF(AND(G3098=1,F3098=""),"Fechamento sem conversa",IF(OR(AND(E3098&lt;&gt;"",E3098&lt;B3098),AND(F3098&lt;&gt;"",F3098&lt;B3098)),"Evento anterior à entrada",IF(AND(F3098&lt;&gt;"",E3098=""),"Conversa sem agendamento",IF(OR(E3098&gt;TODAY(),F3098&gt;TODAY()),"Verificar evento futuro","OK"))))))))))</f>
        <v/>
      </c>
    </row>
    <row r="3099" spans="12:15">
      <c r="L3099" s="5">
        <f>IF(OR(A3099="",B3099=""),"",B3099-WEEKDAY(B3099,2)+1)</f>
        <v/>
      </c>
      <c r="M3099" s="5">
        <f>IF(L3099="","",L3099+6)</f>
        <v/>
      </c>
      <c r="N3099" s="6">
        <f>IF(OR(A3099="",B3099=""),"",DATE(YEAR(B3099),MONTH(B3099),1))</f>
        <v/>
      </c>
      <c r="O3099" s="7">
        <f>IF(COUNTA(A3099:K3099)=0,"",IF(OR(A3099="",B3099=""),"Preencher CPF e entrada",IF(COUNTIFS($A$12:$A$5011,A3099,$B$12:$B$5011,B3099)&gt;1,"CPF + dia duplicado",IF(OR(AND(G3099&lt;&gt;"",G3099&lt;&gt;0,G3099&lt;&gt;1),AND(H3099&lt;&gt;"",H3099&lt;&gt;0,H3099&lt;&gt;1)),"Flags devem ser 0 ou 1",IF(AND(H3099=1,LEN(TRIM(I3099))=0),"Preencher nome do indicante",IF(AND(H3099&lt;&gt;1,I3099&lt;&gt;""),"Nome sem indicação interna",IF(AND(G3099=1,F3099=""),"Fechamento sem conversa",IF(OR(AND(E3099&lt;&gt;"",E3099&lt;B3099),AND(F3099&lt;&gt;"",F3099&lt;B3099)),"Evento anterior à entrada",IF(AND(F3099&lt;&gt;"",E3099=""),"Conversa sem agendamento",IF(OR(E3099&gt;TODAY(),F3099&gt;TODAY()),"Verificar evento futuro","OK"))))))))))</f>
        <v/>
      </c>
    </row>
    <row r="3100" spans="12:15">
      <c r="L3100" s="5">
        <f>IF(OR(A3100="",B3100=""),"",B3100-WEEKDAY(B3100,2)+1)</f>
        <v/>
      </c>
      <c r="M3100" s="5">
        <f>IF(L3100="","",L3100+6)</f>
        <v/>
      </c>
      <c r="N3100" s="6">
        <f>IF(OR(A3100="",B3100=""),"",DATE(YEAR(B3100),MONTH(B3100),1))</f>
        <v/>
      </c>
      <c r="O3100" s="7">
        <f>IF(COUNTA(A3100:K3100)=0,"",IF(OR(A3100="",B3100=""),"Preencher CPF e entrada",IF(COUNTIFS($A$12:$A$5011,A3100,$B$12:$B$5011,B3100)&gt;1,"CPF + dia duplicado",IF(OR(AND(G3100&lt;&gt;"",G3100&lt;&gt;0,G3100&lt;&gt;1),AND(H3100&lt;&gt;"",H3100&lt;&gt;0,H3100&lt;&gt;1)),"Flags devem ser 0 ou 1",IF(AND(H3100=1,LEN(TRIM(I3100))=0),"Preencher nome do indicante",IF(AND(H3100&lt;&gt;1,I3100&lt;&gt;""),"Nome sem indicação interna",IF(AND(G3100=1,F3100=""),"Fechamento sem conversa",IF(OR(AND(E3100&lt;&gt;"",E3100&lt;B3100),AND(F3100&lt;&gt;"",F3100&lt;B3100)),"Evento anterior à entrada",IF(AND(F3100&lt;&gt;"",E3100=""),"Conversa sem agendamento",IF(OR(E3100&gt;TODAY(),F3100&gt;TODAY()),"Verificar evento futuro","OK"))))))))))</f>
        <v/>
      </c>
    </row>
    <row r="3101" spans="12:15">
      <c r="L3101" s="5">
        <f>IF(OR(A3101="",B3101=""),"",B3101-WEEKDAY(B3101,2)+1)</f>
        <v/>
      </c>
      <c r="M3101" s="5">
        <f>IF(L3101="","",L3101+6)</f>
        <v/>
      </c>
      <c r="N3101" s="6">
        <f>IF(OR(A3101="",B3101=""),"",DATE(YEAR(B3101),MONTH(B3101),1))</f>
        <v/>
      </c>
      <c r="O3101" s="7">
        <f>IF(COUNTA(A3101:K3101)=0,"",IF(OR(A3101="",B3101=""),"Preencher CPF e entrada",IF(COUNTIFS($A$12:$A$5011,A3101,$B$12:$B$5011,B3101)&gt;1,"CPF + dia duplicado",IF(OR(AND(G3101&lt;&gt;"",G3101&lt;&gt;0,G3101&lt;&gt;1),AND(H3101&lt;&gt;"",H3101&lt;&gt;0,H3101&lt;&gt;1)),"Flags devem ser 0 ou 1",IF(AND(H3101=1,LEN(TRIM(I3101))=0),"Preencher nome do indicante",IF(AND(H3101&lt;&gt;1,I3101&lt;&gt;""),"Nome sem indicação interna",IF(AND(G3101=1,F3101=""),"Fechamento sem conversa",IF(OR(AND(E3101&lt;&gt;"",E3101&lt;B3101),AND(F3101&lt;&gt;"",F3101&lt;B3101)),"Evento anterior à entrada",IF(AND(F3101&lt;&gt;"",E3101=""),"Conversa sem agendamento",IF(OR(E3101&gt;TODAY(),F3101&gt;TODAY()),"Verificar evento futuro","OK"))))))))))</f>
        <v/>
      </c>
    </row>
    <row r="3102" spans="12:15">
      <c r="L3102" s="5">
        <f>IF(OR(A3102="",B3102=""),"",B3102-WEEKDAY(B3102,2)+1)</f>
        <v/>
      </c>
      <c r="M3102" s="5">
        <f>IF(L3102="","",L3102+6)</f>
        <v/>
      </c>
      <c r="N3102" s="6">
        <f>IF(OR(A3102="",B3102=""),"",DATE(YEAR(B3102),MONTH(B3102),1))</f>
        <v/>
      </c>
      <c r="O3102" s="7">
        <f>IF(COUNTA(A3102:K3102)=0,"",IF(OR(A3102="",B3102=""),"Preencher CPF e entrada",IF(COUNTIFS($A$12:$A$5011,A3102,$B$12:$B$5011,B3102)&gt;1,"CPF + dia duplicado",IF(OR(AND(G3102&lt;&gt;"",G3102&lt;&gt;0,G3102&lt;&gt;1),AND(H3102&lt;&gt;"",H3102&lt;&gt;0,H3102&lt;&gt;1)),"Flags devem ser 0 ou 1",IF(AND(H3102=1,LEN(TRIM(I3102))=0),"Preencher nome do indicante",IF(AND(H3102&lt;&gt;1,I3102&lt;&gt;""),"Nome sem indicação interna",IF(AND(G3102=1,F3102=""),"Fechamento sem conversa",IF(OR(AND(E3102&lt;&gt;"",E3102&lt;B3102),AND(F3102&lt;&gt;"",F3102&lt;B3102)),"Evento anterior à entrada",IF(AND(F3102&lt;&gt;"",E3102=""),"Conversa sem agendamento",IF(OR(E3102&gt;TODAY(),F3102&gt;TODAY()),"Verificar evento futuro","OK"))))))))))</f>
        <v/>
      </c>
    </row>
    <row r="3103" spans="12:15">
      <c r="L3103" s="5">
        <f>IF(OR(A3103="",B3103=""),"",B3103-WEEKDAY(B3103,2)+1)</f>
        <v/>
      </c>
      <c r="M3103" s="5">
        <f>IF(L3103="","",L3103+6)</f>
        <v/>
      </c>
      <c r="N3103" s="6">
        <f>IF(OR(A3103="",B3103=""),"",DATE(YEAR(B3103),MONTH(B3103),1))</f>
        <v/>
      </c>
      <c r="O3103" s="7">
        <f>IF(COUNTA(A3103:K3103)=0,"",IF(OR(A3103="",B3103=""),"Preencher CPF e entrada",IF(COUNTIFS($A$12:$A$5011,A3103,$B$12:$B$5011,B3103)&gt;1,"CPF + dia duplicado",IF(OR(AND(G3103&lt;&gt;"",G3103&lt;&gt;0,G3103&lt;&gt;1),AND(H3103&lt;&gt;"",H3103&lt;&gt;0,H3103&lt;&gt;1)),"Flags devem ser 0 ou 1",IF(AND(H3103=1,LEN(TRIM(I3103))=0),"Preencher nome do indicante",IF(AND(H3103&lt;&gt;1,I3103&lt;&gt;""),"Nome sem indicação interna",IF(AND(G3103=1,F3103=""),"Fechamento sem conversa",IF(OR(AND(E3103&lt;&gt;"",E3103&lt;B3103),AND(F3103&lt;&gt;"",F3103&lt;B3103)),"Evento anterior à entrada",IF(AND(F3103&lt;&gt;"",E3103=""),"Conversa sem agendamento",IF(OR(E3103&gt;TODAY(),F3103&gt;TODAY()),"Verificar evento futuro","OK"))))))))))</f>
        <v/>
      </c>
    </row>
    <row r="3104" spans="12:15">
      <c r="L3104" s="5">
        <f>IF(OR(A3104="",B3104=""),"",B3104-WEEKDAY(B3104,2)+1)</f>
        <v/>
      </c>
      <c r="M3104" s="5">
        <f>IF(L3104="","",L3104+6)</f>
        <v/>
      </c>
      <c r="N3104" s="6">
        <f>IF(OR(A3104="",B3104=""),"",DATE(YEAR(B3104),MONTH(B3104),1))</f>
        <v/>
      </c>
      <c r="O3104" s="7">
        <f>IF(COUNTA(A3104:K3104)=0,"",IF(OR(A3104="",B3104=""),"Preencher CPF e entrada",IF(COUNTIFS($A$12:$A$5011,A3104,$B$12:$B$5011,B3104)&gt;1,"CPF + dia duplicado",IF(OR(AND(G3104&lt;&gt;"",G3104&lt;&gt;0,G3104&lt;&gt;1),AND(H3104&lt;&gt;"",H3104&lt;&gt;0,H3104&lt;&gt;1)),"Flags devem ser 0 ou 1",IF(AND(H3104=1,LEN(TRIM(I3104))=0),"Preencher nome do indicante",IF(AND(H3104&lt;&gt;1,I3104&lt;&gt;""),"Nome sem indicação interna",IF(AND(G3104=1,F3104=""),"Fechamento sem conversa",IF(OR(AND(E3104&lt;&gt;"",E3104&lt;B3104),AND(F3104&lt;&gt;"",F3104&lt;B3104)),"Evento anterior à entrada",IF(AND(F3104&lt;&gt;"",E3104=""),"Conversa sem agendamento",IF(OR(E3104&gt;TODAY(),F3104&gt;TODAY()),"Verificar evento futuro","OK"))))))))))</f>
        <v/>
      </c>
    </row>
    <row r="3105" spans="12:15">
      <c r="L3105" s="5">
        <f>IF(OR(A3105="",B3105=""),"",B3105-WEEKDAY(B3105,2)+1)</f>
        <v/>
      </c>
      <c r="M3105" s="5">
        <f>IF(L3105="","",L3105+6)</f>
        <v/>
      </c>
      <c r="N3105" s="6">
        <f>IF(OR(A3105="",B3105=""),"",DATE(YEAR(B3105),MONTH(B3105),1))</f>
        <v/>
      </c>
      <c r="O3105" s="7">
        <f>IF(COUNTA(A3105:K3105)=0,"",IF(OR(A3105="",B3105=""),"Preencher CPF e entrada",IF(COUNTIFS($A$12:$A$5011,A3105,$B$12:$B$5011,B3105)&gt;1,"CPF + dia duplicado",IF(OR(AND(G3105&lt;&gt;"",G3105&lt;&gt;0,G3105&lt;&gt;1),AND(H3105&lt;&gt;"",H3105&lt;&gt;0,H3105&lt;&gt;1)),"Flags devem ser 0 ou 1",IF(AND(H3105=1,LEN(TRIM(I3105))=0),"Preencher nome do indicante",IF(AND(H3105&lt;&gt;1,I3105&lt;&gt;""),"Nome sem indicação interna",IF(AND(G3105=1,F3105=""),"Fechamento sem conversa",IF(OR(AND(E3105&lt;&gt;"",E3105&lt;B3105),AND(F3105&lt;&gt;"",F3105&lt;B3105)),"Evento anterior à entrada",IF(AND(F3105&lt;&gt;"",E3105=""),"Conversa sem agendamento",IF(OR(E3105&gt;TODAY(),F3105&gt;TODAY()),"Verificar evento futuro","OK"))))))))))</f>
        <v/>
      </c>
    </row>
    <row r="3106" spans="12:15">
      <c r="L3106" s="5">
        <f>IF(OR(A3106="",B3106=""),"",B3106-WEEKDAY(B3106,2)+1)</f>
        <v/>
      </c>
      <c r="M3106" s="5">
        <f>IF(L3106="","",L3106+6)</f>
        <v/>
      </c>
      <c r="N3106" s="6">
        <f>IF(OR(A3106="",B3106=""),"",DATE(YEAR(B3106),MONTH(B3106),1))</f>
        <v/>
      </c>
      <c r="O3106" s="7">
        <f>IF(COUNTA(A3106:K3106)=0,"",IF(OR(A3106="",B3106=""),"Preencher CPF e entrada",IF(COUNTIFS($A$12:$A$5011,A3106,$B$12:$B$5011,B3106)&gt;1,"CPF + dia duplicado",IF(OR(AND(G3106&lt;&gt;"",G3106&lt;&gt;0,G3106&lt;&gt;1),AND(H3106&lt;&gt;"",H3106&lt;&gt;0,H3106&lt;&gt;1)),"Flags devem ser 0 ou 1",IF(AND(H3106=1,LEN(TRIM(I3106))=0),"Preencher nome do indicante",IF(AND(H3106&lt;&gt;1,I3106&lt;&gt;""),"Nome sem indicação interna",IF(AND(G3106=1,F3106=""),"Fechamento sem conversa",IF(OR(AND(E3106&lt;&gt;"",E3106&lt;B3106),AND(F3106&lt;&gt;"",F3106&lt;B3106)),"Evento anterior à entrada",IF(AND(F3106&lt;&gt;"",E3106=""),"Conversa sem agendamento",IF(OR(E3106&gt;TODAY(),F3106&gt;TODAY()),"Verificar evento futuro","OK"))))))))))</f>
        <v/>
      </c>
    </row>
    <row r="3107" spans="12:15">
      <c r="L3107" s="5">
        <f>IF(OR(A3107="",B3107=""),"",B3107-WEEKDAY(B3107,2)+1)</f>
        <v/>
      </c>
      <c r="M3107" s="5">
        <f>IF(L3107="","",L3107+6)</f>
        <v/>
      </c>
      <c r="N3107" s="6">
        <f>IF(OR(A3107="",B3107=""),"",DATE(YEAR(B3107),MONTH(B3107),1))</f>
        <v/>
      </c>
      <c r="O3107" s="7">
        <f>IF(COUNTA(A3107:K3107)=0,"",IF(OR(A3107="",B3107=""),"Preencher CPF e entrada",IF(COUNTIFS($A$12:$A$5011,A3107,$B$12:$B$5011,B3107)&gt;1,"CPF + dia duplicado",IF(OR(AND(G3107&lt;&gt;"",G3107&lt;&gt;0,G3107&lt;&gt;1),AND(H3107&lt;&gt;"",H3107&lt;&gt;0,H3107&lt;&gt;1)),"Flags devem ser 0 ou 1",IF(AND(H3107=1,LEN(TRIM(I3107))=0),"Preencher nome do indicante",IF(AND(H3107&lt;&gt;1,I3107&lt;&gt;""),"Nome sem indicação interna",IF(AND(G3107=1,F3107=""),"Fechamento sem conversa",IF(OR(AND(E3107&lt;&gt;"",E3107&lt;B3107),AND(F3107&lt;&gt;"",F3107&lt;B3107)),"Evento anterior à entrada",IF(AND(F3107&lt;&gt;"",E3107=""),"Conversa sem agendamento",IF(OR(E3107&gt;TODAY(),F3107&gt;TODAY()),"Verificar evento futuro","OK"))))))))))</f>
        <v/>
      </c>
    </row>
    <row r="3108" spans="12:15">
      <c r="L3108" s="5">
        <f>IF(OR(A3108="",B3108=""),"",B3108-WEEKDAY(B3108,2)+1)</f>
        <v/>
      </c>
      <c r="M3108" s="5">
        <f>IF(L3108="","",L3108+6)</f>
        <v/>
      </c>
      <c r="N3108" s="6">
        <f>IF(OR(A3108="",B3108=""),"",DATE(YEAR(B3108),MONTH(B3108),1))</f>
        <v/>
      </c>
      <c r="O3108" s="7">
        <f>IF(COUNTA(A3108:K3108)=0,"",IF(OR(A3108="",B3108=""),"Preencher CPF e entrada",IF(COUNTIFS($A$12:$A$5011,A3108,$B$12:$B$5011,B3108)&gt;1,"CPF + dia duplicado",IF(OR(AND(G3108&lt;&gt;"",G3108&lt;&gt;0,G3108&lt;&gt;1),AND(H3108&lt;&gt;"",H3108&lt;&gt;0,H3108&lt;&gt;1)),"Flags devem ser 0 ou 1",IF(AND(H3108=1,LEN(TRIM(I3108))=0),"Preencher nome do indicante",IF(AND(H3108&lt;&gt;1,I3108&lt;&gt;""),"Nome sem indicação interna",IF(AND(G3108=1,F3108=""),"Fechamento sem conversa",IF(OR(AND(E3108&lt;&gt;"",E3108&lt;B3108),AND(F3108&lt;&gt;"",F3108&lt;B3108)),"Evento anterior à entrada",IF(AND(F3108&lt;&gt;"",E3108=""),"Conversa sem agendamento",IF(OR(E3108&gt;TODAY(),F3108&gt;TODAY()),"Verificar evento futuro","OK"))))))))))</f>
        <v/>
      </c>
    </row>
    <row r="3109" spans="12:15">
      <c r="L3109" s="5">
        <f>IF(OR(A3109="",B3109=""),"",B3109-WEEKDAY(B3109,2)+1)</f>
        <v/>
      </c>
      <c r="M3109" s="5">
        <f>IF(L3109="","",L3109+6)</f>
        <v/>
      </c>
      <c r="N3109" s="6">
        <f>IF(OR(A3109="",B3109=""),"",DATE(YEAR(B3109),MONTH(B3109),1))</f>
        <v/>
      </c>
      <c r="O3109" s="7">
        <f>IF(COUNTA(A3109:K3109)=0,"",IF(OR(A3109="",B3109=""),"Preencher CPF e entrada",IF(COUNTIFS($A$12:$A$5011,A3109,$B$12:$B$5011,B3109)&gt;1,"CPF + dia duplicado",IF(OR(AND(G3109&lt;&gt;"",G3109&lt;&gt;0,G3109&lt;&gt;1),AND(H3109&lt;&gt;"",H3109&lt;&gt;0,H3109&lt;&gt;1)),"Flags devem ser 0 ou 1",IF(AND(H3109=1,LEN(TRIM(I3109))=0),"Preencher nome do indicante",IF(AND(H3109&lt;&gt;1,I3109&lt;&gt;""),"Nome sem indicação interna",IF(AND(G3109=1,F3109=""),"Fechamento sem conversa",IF(OR(AND(E3109&lt;&gt;"",E3109&lt;B3109),AND(F3109&lt;&gt;"",F3109&lt;B3109)),"Evento anterior à entrada",IF(AND(F3109&lt;&gt;"",E3109=""),"Conversa sem agendamento",IF(OR(E3109&gt;TODAY(),F3109&gt;TODAY()),"Verificar evento futuro","OK"))))))))))</f>
        <v/>
      </c>
    </row>
    <row r="3110" spans="12:15">
      <c r="L3110" s="5">
        <f>IF(OR(A3110="",B3110=""),"",B3110-WEEKDAY(B3110,2)+1)</f>
        <v/>
      </c>
      <c r="M3110" s="5">
        <f>IF(L3110="","",L3110+6)</f>
        <v/>
      </c>
      <c r="N3110" s="6">
        <f>IF(OR(A3110="",B3110=""),"",DATE(YEAR(B3110),MONTH(B3110),1))</f>
        <v/>
      </c>
      <c r="O3110" s="7">
        <f>IF(COUNTA(A3110:K3110)=0,"",IF(OR(A3110="",B3110=""),"Preencher CPF e entrada",IF(COUNTIFS($A$12:$A$5011,A3110,$B$12:$B$5011,B3110)&gt;1,"CPF + dia duplicado",IF(OR(AND(G3110&lt;&gt;"",G3110&lt;&gt;0,G3110&lt;&gt;1),AND(H3110&lt;&gt;"",H3110&lt;&gt;0,H3110&lt;&gt;1)),"Flags devem ser 0 ou 1",IF(AND(H3110=1,LEN(TRIM(I3110))=0),"Preencher nome do indicante",IF(AND(H3110&lt;&gt;1,I3110&lt;&gt;""),"Nome sem indicação interna",IF(AND(G3110=1,F3110=""),"Fechamento sem conversa",IF(OR(AND(E3110&lt;&gt;"",E3110&lt;B3110),AND(F3110&lt;&gt;"",F3110&lt;B3110)),"Evento anterior à entrada",IF(AND(F3110&lt;&gt;"",E3110=""),"Conversa sem agendamento",IF(OR(E3110&gt;TODAY(),F3110&gt;TODAY()),"Verificar evento futuro","OK"))))))))))</f>
        <v/>
      </c>
    </row>
    <row r="3111" spans="12:15">
      <c r="L3111" s="5">
        <f>IF(OR(A3111="",B3111=""),"",B3111-WEEKDAY(B3111,2)+1)</f>
        <v/>
      </c>
      <c r="M3111" s="5">
        <f>IF(L3111="","",L3111+6)</f>
        <v/>
      </c>
      <c r="N3111" s="6">
        <f>IF(OR(A3111="",B3111=""),"",DATE(YEAR(B3111),MONTH(B3111),1))</f>
        <v/>
      </c>
      <c r="O3111" s="7">
        <f>IF(COUNTA(A3111:K3111)=0,"",IF(OR(A3111="",B3111=""),"Preencher CPF e entrada",IF(COUNTIFS($A$12:$A$5011,A3111,$B$12:$B$5011,B3111)&gt;1,"CPF + dia duplicado",IF(OR(AND(G3111&lt;&gt;"",G3111&lt;&gt;0,G3111&lt;&gt;1),AND(H3111&lt;&gt;"",H3111&lt;&gt;0,H3111&lt;&gt;1)),"Flags devem ser 0 ou 1",IF(AND(H3111=1,LEN(TRIM(I3111))=0),"Preencher nome do indicante",IF(AND(H3111&lt;&gt;1,I3111&lt;&gt;""),"Nome sem indicação interna",IF(AND(G3111=1,F3111=""),"Fechamento sem conversa",IF(OR(AND(E3111&lt;&gt;"",E3111&lt;B3111),AND(F3111&lt;&gt;"",F3111&lt;B3111)),"Evento anterior à entrada",IF(AND(F3111&lt;&gt;"",E3111=""),"Conversa sem agendamento",IF(OR(E3111&gt;TODAY(),F3111&gt;TODAY()),"Verificar evento futuro","OK"))))))))))</f>
        <v/>
      </c>
    </row>
    <row r="3112" spans="12:15">
      <c r="L3112" s="5">
        <f>IF(OR(A3112="",B3112=""),"",B3112-WEEKDAY(B3112,2)+1)</f>
        <v/>
      </c>
      <c r="M3112" s="5">
        <f>IF(L3112="","",L3112+6)</f>
        <v/>
      </c>
      <c r="N3112" s="6">
        <f>IF(OR(A3112="",B3112=""),"",DATE(YEAR(B3112),MONTH(B3112),1))</f>
        <v/>
      </c>
      <c r="O3112" s="7">
        <f>IF(COUNTA(A3112:K3112)=0,"",IF(OR(A3112="",B3112=""),"Preencher CPF e entrada",IF(COUNTIFS($A$12:$A$5011,A3112,$B$12:$B$5011,B3112)&gt;1,"CPF + dia duplicado",IF(OR(AND(G3112&lt;&gt;"",G3112&lt;&gt;0,G3112&lt;&gt;1),AND(H3112&lt;&gt;"",H3112&lt;&gt;0,H3112&lt;&gt;1)),"Flags devem ser 0 ou 1",IF(AND(H3112=1,LEN(TRIM(I3112))=0),"Preencher nome do indicante",IF(AND(H3112&lt;&gt;1,I3112&lt;&gt;""),"Nome sem indicação interna",IF(AND(G3112=1,F3112=""),"Fechamento sem conversa",IF(OR(AND(E3112&lt;&gt;"",E3112&lt;B3112),AND(F3112&lt;&gt;"",F3112&lt;B3112)),"Evento anterior à entrada",IF(AND(F3112&lt;&gt;"",E3112=""),"Conversa sem agendamento",IF(OR(E3112&gt;TODAY(),F3112&gt;TODAY()),"Verificar evento futuro","OK"))))))))))</f>
        <v/>
      </c>
    </row>
    <row r="3113" spans="12:15">
      <c r="L3113" s="5">
        <f>IF(OR(A3113="",B3113=""),"",B3113-WEEKDAY(B3113,2)+1)</f>
        <v/>
      </c>
      <c r="M3113" s="5">
        <f>IF(L3113="","",L3113+6)</f>
        <v/>
      </c>
      <c r="N3113" s="6">
        <f>IF(OR(A3113="",B3113=""),"",DATE(YEAR(B3113),MONTH(B3113),1))</f>
        <v/>
      </c>
      <c r="O3113" s="7">
        <f>IF(COUNTA(A3113:K3113)=0,"",IF(OR(A3113="",B3113=""),"Preencher CPF e entrada",IF(COUNTIFS($A$12:$A$5011,A3113,$B$12:$B$5011,B3113)&gt;1,"CPF + dia duplicado",IF(OR(AND(G3113&lt;&gt;"",G3113&lt;&gt;0,G3113&lt;&gt;1),AND(H3113&lt;&gt;"",H3113&lt;&gt;0,H3113&lt;&gt;1)),"Flags devem ser 0 ou 1",IF(AND(H3113=1,LEN(TRIM(I3113))=0),"Preencher nome do indicante",IF(AND(H3113&lt;&gt;1,I3113&lt;&gt;""),"Nome sem indicação interna",IF(AND(G3113=1,F3113=""),"Fechamento sem conversa",IF(OR(AND(E3113&lt;&gt;"",E3113&lt;B3113),AND(F3113&lt;&gt;"",F3113&lt;B3113)),"Evento anterior à entrada",IF(AND(F3113&lt;&gt;"",E3113=""),"Conversa sem agendamento",IF(OR(E3113&gt;TODAY(),F3113&gt;TODAY()),"Verificar evento futuro","OK"))))))))))</f>
        <v/>
      </c>
    </row>
    <row r="3114" spans="12:15">
      <c r="L3114" s="5">
        <f>IF(OR(A3114="",B3114=""),"",B3114-WEEKDAY(B3114,2)+1)</f>
        <v/>
      </c>
      <c r="M3114" s="5">
        <f>IF(L3114="","",L3114+6)</f>
        <v/>
      </c>
      <c r="N3114" s="6">
        <f>IF(OR(A3114="",B3114=""),"",DATE(YEAR(B3114),MONTH(B3114),1))</f>
        <v/>
      </c>
      <c r="O3114" s="7">
        <f>IF(COUNTA(A3114:K3114)=0,"",IF(OR(A3114="",B3114=""),"Preencher CPF e entrada",IF(COUNTIFS($A$12:$A$5011,A3114,$B$12:$B$5011,B3114)&gt;1,"CPF + dia duplicado",IF(OR(AND(G3114&lt;&gt;"",G3114&lt;&gt;0,G3114&lt;&gt;1),AND(H3114&lt;&gt;"",H3114&lt;&gt;0,H3114&lt;&gt;1)),"Flags devem ser 0 ou 1",IF(AND(H3114=1,LEN(TRIM(I3114))=0),"Preencher nome do indicante",IF(AND(H3114&lt;&gt;1,I3114&lt;&gt;""),"Nome sem indicação interna",IF(AND(G3114=1,F3114=""),"Fechamento sem conversa",IF(OR(AND(E3114&lt;&gt;"",E3114&lt;B3114),AND(F3114&lt;&gt;"",F3114&lt;B3114)),"Evento anterior à entrada",IF(AND(F3114&lt;&gt;"",E3114=""),"Conversa sem agendamento",IF(OR(E3114&gt;TODAY(),F3114&gt;TODAY()),"Verificar evento futuro","OK"))))))))))</f>
        <v/>
      </c>
    </row>
    <row r="3115" spans="12:15">
      <c r="L3115" s="5">
        <f>IF(OR(A3115="",B3115=""),"",B3115-WEEKDAY(B3115,2)+1)</f>
        <v/>
      </c>
      <c r="M3115" s="5">
        <f>IF(L3115="","",L3115+6)</f>
        <v/>
      </c>
      <c r="N3115" s="6">
        <f>IF(OR(A3115="",B3115=""),"",DATE(YEAR(B3115),MONTH(B3115),1))</f>
        <v/>
      </c>
      <c r="O3115" s="7">
        <f>IF(COUNTA(A3115:K3115)=0,"",IF(OR(A3115="",B3115=""),"Preencher CPF e entrada",IF(COUNTIFS($A$12:$A$5011,A3115,$B$12:$B$5011,B3115)&gt;1,"CPF + dia duplicado",IF(OR(AND(G3115&lt;&gt;"",G3115&lt;&gt;0,G3115&lt;&gt;1),AND(H3115&lt;&gt;"",H3115&lt;&gt;0,H3115&lt;&gt;1)),"Flags devem ser 0 ou 1",IF(AND(H3115=1,LEN(TRIM(I3115))=0),"Preencher nome do indicante",IF(AND(H3115&lt;&gt;1,I3115&lt;&gt;""),"Nome sem indicação interna",IF(AND(G3115=1,F3115=""),"Fechamento sem conversa",IF(OR(AND(E3115&lt;&gt;"",E3115&lt;B3115),AND(F3115&lt;&gt;"",F3115&lt;B3115)),"Evento anterior à entrada",IF(AND(F3115&lt;&gt;"",E3115=""),"Conversa sem agendamento",IF(OR(E3115&gt;TODAY(),F3115&gt;TODAY()),"Verificar evento futuro","OK"))))))))))</f>
        <v/>
      </c>
    </row>
    <row r="3116" spans="12:15">
      <c r="L3116" s="5">
        <f>IF(OR(A3116="",B3116=""),"",B3116-WEEKDAY(B3116,2)+1)</f>
        <v/>
      </c>
      <c r="M3116" s="5">
        <f>IF(L3116="","",L3116+6)</f>
        <v/>
      </c>
      <c r="N3116" s="6">
        <f>IF(OR(A3116="",B3116=""),"",DATE(YEAR(B3116),MONTH(B3116),1))</f>
        <v/>
      </c>
      <c r="O3116" s="7">
        <f>IF(COUNTA(A3116:K3116)=0,"",IF(OR(A3116="",B3116=""),"Preencher CPF e entrada",IF(COUNTIFS($A$12:$A$5011,A3116,$B$12:$B$5011,B3116)&gt;1,"CPF + dia duplicado",IF(OR(AND(G3116&lt;&gt;"",G3116&lt;&gt;0,G3116&lt;&gt;1),AND(H3116&lt;&gt;"",H3116&lt;&gt;0,H3116&lt;&gt;1)),"Flags devem ser 0 ou 1",IF(AND(H3116=1,LEN(TRIM(I3116))=0),"Preencher nome do indicante",IF(AND(H3116&lt;&gt;1,I3116&lt;&gt;""),"Nome sem indicação interna",IF(AND(G3116=1,F3116=""),"Fechamento sem conversa",IF(OR(AND(E3116&lt;&gt;"",E3116&lt;B3116),AND(F3116&lt;&gt;"",F3116&lt;B3116)),"Evento anterior à entrada",IF(AND(F3116&lt;&gt;"",E3116=""),"Conversa sem agendamento",IF(OR(E3116&gt;TODAY(),F3116&gt;TODAY()),"Verificar evento futuro","OK"))))))))))</f>
        <v/>
      </c>
    </row>
    <row r="3117" spans="12:15">
      <c r="L3117" s="5">
        <f>IF(OR(A3117="",B3117=""),"",B3117-WEEKDAY(B3117,2)+1)</f>
        <v/>
      </c>
      <c r="M3117" s="5">
        <f>IF(L3117="","",L3117+6)</f>
        <v/>
      </c>
      <c r="N3117" s="6">
        <f>IF(OR(A3117="",B3117=""),"",DATE(YEAR(B3117),MONTH(B3117),1))</f>
        <v/>
      </c>
      <c r="O3117" s="7">
        <f>IF(COUNTA(A3117:K3117)=0,"",IF(OR(A3117="",B3117=""),"Preencher CPF e entrada",IF(COUNTIFS($A$12:$A$5011,A3117,$B$12:$B$5011,B3117)&gt;1,"CPF + dia duplicado",IF(OR(AND(G3117&lt;&gt;"",G3117&lt;&gt;0,G3117&lt;&gt;1),AND(H3117&lt;&gt;"",H3117&lt;&gt;0,H3117&lt;&gt;1)),"Flags devem ser 0 ou 1",IF(AND(H3117=1,LEN(TRIM(I3117))=0),"Preencher nome do indicante",IF(AND(H3117&lt;&gt;1,I3117&lt;&gt;""),"Nome sem indicação interna",IF(AND(G3117=1,F3117=""),"Fechamento sem conversa",IF(OR(AND(E3117&lt;&gt;"",E3117&lt;B3117),AND(F3117&lt;&gt;"",F3117&lt;B3117)),"Evento anterior à entrada",IF(AND(F3117&lt;&gt;"",E3117=""),"Conversa sem agendamento",IF(OR(E3117&gt;TODAY(),F3117&gt;TODAY()),"Verificar evento futuro","OK"))))))))))</f>
        <v/>
      </c>
    </row>
    <row r="3118" spans="12:15">
      <c r="L3118" s="5">
        <f>IF(OR(A3118="",B3118=""),"",B3118-WEEKDAY(B3118,2)+1)</f>
        <v/>
      </c>
      <c r="M3118" s="5">
        <f>IF(L3118="","",L3118+6)</f>
        <v/>
      </c>
      <c r="N3118" s="6">
        <f>IF(OR(A3118="",B3118=""),"",DATE(YEAR(B3118),MONTH(B3118),1))</f>
        <v/>
      </c>
      <c r="O3118" s="7">
        <f>IF(COUNTA(A3118:K3118)=0,"",IF(OR(A3118="",B3118=""),"Preencher CPF e entrada",IF(COUNTIFS($A$12:$A$5011,A3118,$B$12:$B$5011,B3118)&gt;1,"CPF + dia duplicado",IF(OR(AND(G3118&lt;&gt;"",G3118&lt;&gt;0,G3118&lt;&gt;1),AND(H3118&lt;&gt;"",H3118&lt;&gt;0,H3118&lt;&gt;1)),"Flags devem ser 0 ou 1",IF(AND(H3118=1,LEN(TRIM(I3118))=0),"Preencher nome do indicante",IF(AND(H3118&lt;&gt;1,I3118&lt;&gt;""),"Nome sem indicação interna",IF(AND(G3118=1,F3118=""),"Fechamento sem conversa",IF(OR(AND(E3118&lt;&gt;"",E3118&lt;B3118),AND(F3118&lt;&gt;"",F3118&lt;B3118)),"Evento anterior à entrada",IF(AND(F3118&lt;&gt;"",E3118=""),"Conversa sem agendamento",IF(OR(E3118&gt;TODAY(),F3118&gt;TODAY()),"Verificar evento futuro","OK"))))))))))</f>
        <v/>
      </c>
    </row>
    <row r="3119" spans="12:15">
      <c r="L3119" s="5">
        <f>IF(OR(A3119="",B3119=""),"",B3119-WEEKDAY(B3119,2)+1)</f>
        <v/>
      </c>
      <c r="M3119" s="5">
        <f>IF(L3119="","",L3119+6)</f>
        <v/>
      </c>
      <c r="N3119" s="6">
        <f>IF(OR(A3119="",B3119=""),"",DATE(YEAR(B3119),MONTH(B3119),1))</f>
        <v/>
      </c>
      <c r="O3119" s="7">
        <f>IF(COUNTA(A3119:K3119)=0,"",IF(OR(A3119="",B3119=""),"Preencher CPF e entrada",IF(COUNTIFS($A$12:$A$5011,A3119,$B$12:$B$5011,B3119)&gt;1,"CPF + dia duplicado",IF(OR(AND(G3119&lt;&gt;"",G3119&lt;&gt;0,G3119&lt;&gt;1),AND(H3119&lt;&gt;"",H3119&lt;&gt;0,H3119&lt;&gt;1)),"Flags devem ser 0 ou 1",IF(AND(H3119=1,LEN(TRIM(I3119))=0),"Preencher nome do indicante",IF(AND(H3119&lt;&gt;1,I3119&lt;&gt;""),"Nome sem indicação interna",IF(AND(G3119=1,F3119=""),"Fechamento sem conversa",IF(OR(AND(E3119&lt;&gt;"",E3119&lt;B3119),AND(F3119&lt;&gt;"",F3119&lt;B3119)),"Evento anterior à entrada",IF(AND(F3119&lt;&gt;"",E3119=""),"Conversa sem agendamento",IF(OR(E3119&gt;TODAY(),F3119&gt;TODAY()),"Verificar evento futuro","OK"))))))))))</f>
        <v/>
      </c>
    </row>
    <row r="3120" spans="12:15">
      <c r="L3120" s="5">
        <f>IF(OR(A3120="",B3120=""),"",B3120-WEEKDAY(B3120,2)+1)</f>
        <v/>
      </c>
      <c r="M3120" s="5">
        <f>IF(L3120="","",L3120+6)</f>
        <v/>
      </c>
      <c r="N3120" s="6">
        <f>IF(OR(A3120="",B3120=""),"",DATE(YEAR(B3120),MONTH(B3120),1))</f>
        <v/>
      </c>
      <c r="O3120" s="7">
        <f>IF(COUNTA(A3120:K3120)=0,"",IF(OR(A3120="",B3120=""),"Preencher CPF e entrada",IF(COUNTIFS($A$12:$A$5011,A3120,$B$12:$B$5011,B3120)&gt;1,"CPF + dia duplicado",IF(OR(AND(G3120&lt;&gt;"",G3120&lt;&gt;0,G3120&lt;&gt;1),AND(H3120&lt;&gt;"",H3120&lt;&gt;0,H3120&lt;&gt;1)),"Flags devem ser 0 ou 1",IF(AND(H3120=1,LEN(TRIM(I3120))=0),"Preencher nome do indicante",IF(AND(H3120&lt;&gt;1,I3120&lt;&gt;""),"Nome sem indicação interna",IF(AND(G3120=1,F3120=""),"Fechamento sem conversa",IF(OR(AND(E3120&lt;&gt;"",E3120&lt;B3120),AND(F3120&lt;&gt;"",F3120&lt;B3120)),"Evento anterior à entrada",IF(AND(F3120&lt;&gt;"",E3120=""),"Conversa sem agendamento",IF(OR(E3120&gt;TODAY(),F3120&gt;TODAY()),"Verificar evento futuro","OK"))))))))))</f>
        <v/>
      </c>
    </row>
    <row r="3121" spans="12:15">
      <c r="L3121" s="5">
        <f>IF(OR(A3121="",B3121=""),"",B3121-WEEKDAY(B3121,2)+1)</f>
        <v/>
      </c>
      <c r="M3121" s="5">
        <f>IF(L3121="","",L3121+6)</f>
        <v/>
      </c>
      <c r="N3121" s="6">
        <f>IF(OR(A3121="",B3121=""),"",DATE(YEAR(B3121),MONTH(B3121),1))</f>
        <v/>
      </c>
      <c r="O3121" s="7">
        <f>IF(COUNTA(A3121:K3121)=0,"",IF(OR(A3121="",B3121=""),"Preencher CPF e entrada",IF(COUNTIFS($A$12:$A$5011,A3121,$B$12:$B$5011,B3121)&gt;1,"CPF + dia duplicado",IF(OR(AND(G3121&lt;&gt;"",G3121&lt;&gt;0,G3121&lt;&gt;1),AND(H3121&lt;&gt;"",H3121&lt;&gt;0,H3121&lt;&gt;1)),"Flags devem ser 0 ou 1",IF(AND(H3121=1,LEN(TRIM(I3121))=0),"Preencher nome do indicante",IF(AND(H3121&lt;&gt;1,I3121&lt;&gt;""),"Nome sem indicação interna",IF(AND(G3121=1,F3121=""),"Fechamento sem conversa",IF(OR(AND(E3121&lt;&gt;"",E3121&lt;B3121),AND(F3121&lt;&gt;"",F3121&lt;B3121)),"Evento anterior à entrada",IF(AND(F3121&lt;&gt;"",E3121=""),"Conversa sem agendamento",IF(OR(E3121&gt;TODAY(),F3121&gt;TODAY()),"Verificar evento futuro","OK"))))))))))</f>
        <v/>
      </c>
    </row>
    <row r="3122" spans="12:15">
      <c r="L3122" s="5">
        <f>IF(OR(A3122="",B3122=""),"",B3122-WEEKDAY(B3122,2)+1)</f>
        <v/>
      </c>
      <c r="M3122" s="5">
        <f>IF(L3122="","",L3122+6)</f>
        <v/>
      </c>
      <c r="N3122" s="6">
        <f>IF(OR(A3122="",B3122=""),"",DATE(YEAR(B3122),MONTH(B3122),1))</f>
        <v/>
      </c>
      <c r="O3122" s="7">
        <f>IF(COUNTA(A3122:K3122)=0,"",IF(OR(A3122="",B3122=""),"Preencher CPF e entrada",IF(COUNTIFS($A$12:$A$5011,A3122,$B$12:$B$5011,B3122)&gt;1,"CPF + dia duplicado",IF(OR(AND(G3122&lt;&gt;"",G3122&lt;&gt;0,G3122&lt;&gt;1),AND(H3122&lt;&gt;"",H3122&lt;&gt;0,H3122&lt;&gt;1)),"Flags devem ser 0 ou 1",IF(AND(H3122=1,LEN(TRIM(I3122))=0),"Preencher nome do indicante",IF(AND(H3122&lt;&gt;1,I3122&lt;&gt;""),"Nome sem indicação interna",IF(AND(G3122=1,F3122=""),"Fechamento sem conversa",IF(OR(AND(E3122&lt;&gt;"",E3122&lt;B3122),AND(F3122&lt;&gt;"",F3122&lt;B3122)),"Evento anterior à entrada",IF(AND(F3122&lt;&gt;"",E3122=""),"Conversa sem agendamento",IF(OR(E3122&gt;TODAY(),F3122&gt;TODAY()),"Verificar evento futuro","OK"))))))))))</f>
        <v/>
      </c>
    </row>
    <row r="3123" spans="12:15">
      <c r="L3123" s="5">
        <f>IF(OR(A3123="",B3123=""),"",B3123-WEEKDAY(B3123,2)+1)</f>
        <v/>
      </c>
      <c r="M3123" s="5">
        <f>IF(L3123="","",L3123+6)</f>
        <v/>
      </c>
      <c r="N3123" s="6">
        <f>IF(OR(A3123="",B3123=""),"",DATE(YEAR(B3123),MONTH(B3123),1))</f>
        <v/>
      </c>
      <c r="O3123" s="7">
        <f>IF(COUNTA(A3123:K3123)=0,"",IF(OR(A3123="",B3123=""),"Preencher CPF e entrada",IF(COUNTIFS($A$12:$A$5011,A3123,$B$12:$B$5011,B3123)&gt;1,"CPF + dia duplicado",IF(OR(AND(G3123&lt;&gt;"",G3123&lt;&gt;0,G3123&lt;&gt;1),AND(H3123&lt;&gt;"",H3123&lt;&gt;0,H3123&lt;&gt;1)),"Flags devem ser 0 ou 1",IF(AND(H3123=1,LEN(TRIM(I3123))=0),"Preencher nome do indicante",IF(AND(H3123&lt;&gt;1,I3123&lt;&gt;""),"Nome sem indicação interna",IF(AND(G3123=1,F3123=""),"Fechamento sem conversa",IF(OR(AND(E3123&lt;&gt;"",E3123&lt;B3123),AND(F3123&lt;&gt;"",F3123&lt;B3123)),"Evento anterior à entrada",IF(AND(F3123&lt;&gt;"",E3123=""),"Conversa sem agendamento",IF(OR(E3123&gt;TODAY(),F3123&gt;TODAY()),"Verificar evento futuro","OK"))))))))))</f>
        <v/>
      </c>
    </row>
    <row r="3124" spans="12:15">
      <c r="L3124" s="5">
        <f>IF(OR(A3124="",B3124=""),"",B3124-WEEKDAY(B3124,2)+1)</f>
        <v/>
      </c>
      <c r="M3124" s="5">
        <f>IF(L3124="","",L3124+6)</f>
        <v/>
      </c>
      <c r="N3124" s="6">
        <f>IF(OR(A3124="",B3124=""),"",DATE(YEAR(B3124),MONTH(B3124),1))</f>
        <v/>
      </c>
      <c r="O3124" s="7">
        <f>IF(COUNTA(A3124:K3124)=0,"",IF(OR(A3124="",B3124=""),"Preencher CPF e entrada",IF(COUNTIFS($A$12:$A$5011,A3124,$B$12:$B$5011,B3124)&gt;1,"CPF + dia duplicado",IF(OR(AND(G3124&lt;&gt;"",G3124&lt;&gt;0,G3124&lt;&gt;1),AND(H3124&lt;&gt;"",H3124&lt;&gt;0,H3124&lt;&gt;1)),"Flags devem ser 0 ou 1",IF(AND(H3124=1,LEN(TRIM(I3124))=0),"Preencher nome do indicante",IF(AND(H3124&lt;&gt;1,I3124&lt;&gt;""),"Nome sem indicação interna",IF(AND(G3124=1,F3124=""),"Fechamento sem conversa",IF(OR(AND(E3124&lt;&gt;"",E3124&lt;B3124),AND(F3124&lt;&gt;"",F3124&lt;B3124)),"Evento anterior à entrada",IF(AND(F3124&lt;&gt;"",E3124=""),"Conversa sem agendamento",IF(OR(E3124&gt;TODAY(),F3124&gt;TODAY()),"Verificar evento futuro","OK"))))))))))</f>
        <v/>
      </c>
    </row>
    <row r="3125" spans="12:15">
      <c r="L3125" s="5">
        <f>IF(OR(A3125="",B3125=""),"",B3125-WEEKDAY(B3125,2)+1)</f>
        <v/>
      </c>
      <c r="M3125" s="5">
        <f>IF(L3125="","",L3125+6)</f>
        <v/>
      </c>
      <c r="N3125" s="6">
        <f>IF(OR(A3125="",B3125=""),"",DATE(YEAR(B3125),MONTH(B3125),1))</f>
        <v/>
      </c>
      <c r="O3125" s="7">
        <f>IF(COUNTA(A3125:K3125)=0,"",IF(OR(A3125="",B3125=""),"Preencher CPF e entrada",IF(COUNTIFS($A$12:$A$5011,A3125,$B$12:$B$5011,B3125)&gt;1,"CPF + dia duplicado",IF(OR(AND(G3125&lt;&gt;"",G3125&lt;&gt;0,G3125&lt;&gt;1),AND(H3125&lt;&gt;"",H3125&lt;&gt;0,H3125&lt;&gt;1)),"Flags devem ser 0 ou 1",IF(AND(H3125=1,LEN(TRIM(I3125))=0),"Preencher nome do indicante",IF(AND(H3125&lt;&gt;1,I3125&lt;&gt;""),"Nome sem indicação interna",IF(AND(G3125=1,F3125=""),"Fechamento sem conversa",IF(OR(AND(E3125&lt;&gt;"",E3125&lt;B3125),AND(F3125&lt;&gt;"",F3125&lt;B3125)),"Evento anterior à entrada",IF(AND(F3125&lt;&gt;"",E3125=""),"Conversa sem agendamento",IF(OR(E3125&gt;TODAY(),F3125&gt;TODAY()),"Verificar evento futuro","OK"))))))))))</f>
        <v/>
      </c>
    </row>
    <row r="3126" spans="12:15">
      <c r="L3126" s="5">
        <f>IF(OR(A3126="",B3126=""),"",B3126-WEEKDAY(B3126,2)+1)</f>
        <v/>
      </c>
      <c r="M3126" s="5">
        <f>IF(L3126="","",L3126+6)</f>
        <v/>
      </c>
      <c r="N3126" s="6">
        <f>IF(OR(A3126="",B3126=""),"",DATE(YEAR(B3126),MONTH(B3126),1))</f>
        <v/>
      </c>
      <c r="O3126" s="7">
        <f>IF(COUNTA(A3126:K3126)=0,"",IF(OR(A3126="",B3126=""),"Preencher CPF e entrada",IF(COUNTIFS($A$12:$A$5011,A3126,$B$12:$B$5011,B3126)&gt;1,"CPF + dia duplicado",IF(OR(AND(G3126&lt;&gt;"",G3126&lt;&gt;0,G3126&lt;&gt;1),AND(H3126&lt;&gt;"",H3126&lt;&gt;0,H3126&lt;&gt;1)),"Flags devem ser 0 ou 1",IF(AND(H3126=1,LEN(TRIM(I3126))=0),"Preencher nome do indicante",IF(AND(H3126&lt;&gt;1,I3126&lt;&gt;""),"Nome sem indicação interna",IF(AND(G3126=1,F3126=""),"Fechamento sem conversa",IF(OR(AND(E3126&lt;&gt;"",E3126&lt;B3126),AND(F3126&lt;&gt;"",F3126&lt;B3126)),"Evento anterior à entrada",IF(AND(F3126&lt;&gt;"",E3126=""),"Conversa sem agendamento",IF(OR(E3126&gt;TODAY(),F3126&gt;TODAY()),"Verificar evento futuro","OK"))))))))))</f>
        <v/>
      </c>
    </row>
    <row r="3127" spans="12:15">
      <c r="L3127" s="5">
        <f>IF(OR(A3127="",B3127=""),"",B3127-WEEKDAY(B3127,2)+1)</f>
        <v/>
      </c>
      <c r="M3127" s="5">
        <f>IF(L3127="","",L3127+6)</f>
        <v/>
      </c>
      <c r="N3127" s="6">
        <f>IF(OR(A3127="",B3127=""),"",DATE(YEAR(B3127),MONTH(B3127),1))</f>
        <v/>
      </c>
      <c r="O3127" s="7">
        <f>IF(COUNTA(A3127:K3127)=0,"",IF(OR(A3127="",B3127=""),"Preencher CPF e entrada",IF(COUNTIFS($A$12:$A$5011,A3127,$B$12:$B$5011,B3127)&gt;1,"CPF + dia duplicado",IF(OR(AND(G3127&lt;&gt;"",G3127&lt;&gt;0,G3127&lt;&gt;1),AND(H3127&lt;&gt;"",H3127&lt;&gt;0,H3127&lt;&gt;1)),"Flags devem ser 0 ou 1",IF(AND(H3127=1,LEN(TRIM(I3127))=0),"Preencher nome do indicante",IF(AND(H3127&lt;&gt;1,I3127&lt;&gt;""),"Nome sem indicação interna",IF(AND(G3127=1,F3127=""),"Fechamento sem conversa",IF(OR(AND(E3127&lt;&gt;"",E3127&lt;B3127),AND(F3127&lt;&gt;"",F3127&lt;B3127)),"Evento anterior à entrada",IF(AND(F3127&lt;&gt;"",E3127=""),"Conversa sem agendamento",IF(OR(E3127&gt;TODAY(),F3127&gt;TODAY()),"Verificar evento futuro","OK"))))))))))</f>
        <v/>
      </c>
    </row>
    <row r="3128" spans="12:15">
      <c r="L3128" s="5">
        <f>IF(OR(A3128="",B3128=""),"",B3128-WEEKDAY(B3128,2)+1)</f>
        <v/>
      </c>
      <c r="M3128" s="5">
        <f>IF(L3128="","",L3128+6)</f>
        <v/>
      </c>
      <c r="N3128" s="6">
        <f>IF(OR(A3128="",B3128=""),"",DATE(YEAR(B3128),MONTH(B3128),1))</f>
        <v/>
      </c>
      <c r="O3128" s="7">
        <f>IF(COUNTA(A3128:K3128)=0,"",IF(OR(A3128="",B3128=""),"Preencher CPF e entrada",IF(COUNTIFS($A$12:$A$5011,A3128,$B$12:$B$5011,B3128)&gt;1,"CPF + dia duplicado",IF(OR(AND(G3128&lt;&gt;"",G3128&lt;&gt;0,G3128&lt;&gt;1),AND(H3128&lt;&gt;"",H3128&lt;&gt;0,H3128&lt;&gt;1)),"Flags devem ser 0 ou 1",IF(AND(H3128=1,LEN(TRIM(I3128))=0),"Preencher nome do indicante",IF(AND(H3128&lt;&gt;1,I3128&lt;&gt;""),"Nome sem indicação interna",IF(AND(G3128=1,F3128=""),"Fechamento sem conversa",IF(OR(AND(E3128&lt;&gt;"",E3128&lt;B3128),AND(F3128&lt;&gt;"",F3128&lt;B3128)),"Evento anterior à entrada",IF(AND(F3128&lt;&gt;"",E3128=""),"Conversa sem agendamento",IF(OR(E3128&gt;TODAY(),F3128&gt;TODAY()),"Verificar evento futuro","OK"))))))))))</f>
        <v/>
      </c>
    </row>
    <row r="3129" spans="12:15">
      <c r="L3129" s="5">
        <f>IF(OR(A3129="",B3129=""),"",B3129-WEEKDAY(B3129,2)+1)</f>
        <v/>
      </c>
      <c r="M3129" s="5">
        <f>IF(L3129="","",L3129+6)</f>
        <v/>
      </c>
      <c r="N3129" s="6">
        <f>IF(OR(A3129="",B3129=""),"",DATE(YEAR(B3129),MONTH(B3129),1))</f>
        <v/>
      </c>
      <c r="O3129" s="7">
        <f>IF(COUNTA(A3129:K3129)=0,"",IF(OR(A3129="",B3129=""),"Preencher CPF e entrada",IF(COUNTIFS($A$12:$A$5011,A3129,$B$12:$B$5011,B3129)&gt;1,"CPF + dia duplicado",IF(OR(AND(G3129&lt;&gt;"",G3129&lt;&gt;0,G3129&lt;&gt;1),AND(H3129&lt;&gt;"",H3129&lt;&gt;0,H3129&lt;&gt;1)),"Flags devem ser 0 ou 1",IF(AND(H3129=1,LEN(TRIM(I3129))=0),"Preencher nome do indicante",IF(AND(H3129&lt;&gt;1,I3129&lt;&gt;""),"Nome sem indicação interna",IF(AND(G3129=1,F3129=""),"Fechamento sem conversa",IF(OR(AND(E3129&lt;&gt;"",E3129&lt;B3129),AND(F3129&lt;&gt;"",F3129&lt;B3129)),"Evento anterior à entrada",IF(AND(F3129&lt;&gt;"",E3129=""),"Conversa sem agendamento",IF(OR(E3129&gt;TODAY(),F3129&gt;TODAY()),"Verificar evento futuro","OK"))))))))))</f>
        <v/>
      </c>
    </row>
    <row r="3130" spans="12:15">
      <c r="L3130" s="5">
        <f>IF(OR(A3130="",B3130=""),"",B3130-WEEKDAY(B3130,2)+1)</f>
        <v/>
      </c>
      <c r="M3130" s="5">
        <f>IF(L3130="","",L3130+6)</f>
        <v/>
      </c>
      <c r="N3130" s="6">
        <f>IF(OR(A3130="",B3130=""),"",DATE(YEAR(B3130),MONTH(B3130),1))</f>
        <v/>
      </c>
      <c r="O3130" s="7">
        <f>IF(COUNTA(A3130:K3130)=0,"",IF(OR(A3130="",B3130=""),"Preencher CPF e entrada",IF(COUNTIFS($A$12:$A$5011,A3130,$B$12:$B$5011,B3130)&gt;1,"CPF + dia duplicado",IF(OR(AND(G3130&lt;&gt;"",G3130&lt;&gt;0,G3130&lt;&gt;1),AND(H3130&lt;&gt;"",H3130&lt;&gt;0,H3130&lt;&gt;1)),"Flags devem ser 0 ou 1",IF(AND(H3130=1,LEN(TRIM(I3130))=0),"Preencher nome do indicante",IF(AND(H3130&lt;&gt;1,I3130&lt;&gt;""),"Nome sem indicação interna",IF(AND(G3130=1,F3130=""),"Fechamento sem conversa",IF(OR(AND(E3130&lt;&gt;"",E3130&lt;B3130),AND(F3130&lt;&gt;"",F3130&lt;B3130)),"Evento anterior à entrada",IF(AND(F3130&lt;&gt;"",E3130=""),"Conversa sem agendamento",IF(OR(E3130&gt;TODAY(),F3130&gt;TODAY()),"Verificar evento futuro","OK"))))))))))</f>
        <v/>
      </c>
    </row>
    <row r="3131" spans="12:15">
      <c r="L3131" s="5">
        <f>IF(OR(A3131="",B3131=""),"",B3131-WEEKDAY(B3131,2)+1)</f>
        <v/>
      </c>
      <c r="M3131" s="5">
        <f>IF(L3131="","",L3131+6)</f>
        <v/>
      </c>
      <c r="N3131" s="6">
        <f>IF(OR(A3131="",B3131=""),"",DATE(YEAR(B3131),MONTH(B3131),1))</f>
        <v/>
      </c>
      <c r="O3131" s="7">
        <f>IF(COUNTA(A3131:K3131)=0,"",IF(OR(A3131="",B3131=""),"Preencher CPF e entrada",IF(COUNTIFS($A$12:$A$5011,A3131,$B$12:$B$5011,B3131)&gt;1,"CPF + dia duplicado",IF(OR(AND(G3131&lt;&gt;"",G3131&lt;&gt;0,G3131&lt;&gt;1),AND(H3131&lt;&gt;"",H3131&lt;&gt;0,H3131&lt;&gt;1)),"Flags devem ser 0 ou 1",IF(AND(H3131=1,LEN(TRIM(I3131))=0),"Preencher nome do indicante",IF(AND(H3131&lt;&gt;1,I3131&lt;&gt;""),"Nome sem indicação interna",IF(AND(G3131=1,F3131=""),"Fechamento sem conversa",IF(OR(AND(E3131&lt;&gt;"",E3131&lt;B3131),AND(F3131&lt;&gt;"",F3131&lt;B3131)),"Evento anterior à entrada",IF(AND(F3131&lt;&gt;"",E3131=""),"Conversa sem agendamento",IF(OR(E3131&gt;TODAY(),F3131&gt;TODAY()),"Verificar evento futuro","OK"))))))))))</f>
        <v/>
      </c>
    </row>
    <row r="3132" spans="12:15">
      <c r="L3132" s="5">
        <f>IF(OR(A3132="",B3132=""),"",B3132-WEEKDAY(B3132,2)+1)</f>
        <v/>
      </c>
      <c r="M3132" s="5">
        <f>IF(L3132="","",L3132+6)</f>
        <v/>
      </c>
      <c r="N3132" s="6">
        <f>IF(OR(A3132="",B3132=""),"",DATE(YEAR(B3132),MONTH(B3132),1))</f>
        <v/>
      </c>
      <c r="O3132" s="7">
        <f>IF(COUNTA(A3132:K3132)=0,"",IF(OR(A3132="",B3132=""),"Preencher CPF e entrada",IF(COUNTIFS($A$12:$A$5011,A3132,$B$12:$B$5011,B3132)&gt;1,"CPF + dia duplicado",IF(OR(AND(G3132&lt;&gt;"",G3132&lt;&gt;0,G3132&lt;&gt;1),AND(H3132&lt;&gt;"",H3132&lt;&gt;0,H3132&lt;&gt;1)),"Flags devem ser 0 ou 1",IF(AND(H3132=1,LEN(TRIM(I3132))=0),"Preencher nome do indicante",IF(AND(H3132&lt;&gt;1,I3132&lt;&gt;""),"Nome sem indicação interna",IF(AND(G3132=1,F3132=""),"Fechamento sem conversa",IF(OR(AND(E3132&lt;&gt;"",E3132&lt;B3132),AND(F3132&lt;&gt;"",F3132&lt;B3132)),"Evento anterior à entrada",IF(AND(F3132&lt;&gt;"",E3132=""),"Conversa sem agendamento",IF(OR(E3132&gt;TODAY(),F3132&gt;TODAY()),"Verificar evento futuro","OK"))))))))))</f>
        <v/>
      </c>
    </row>
    <row r="3133" spans="12:15">
      <c r="L3133" s="5">
        <f>IF(OR(A3133="",B3133=""),"",B3133-WEEKDAY(B3133,2)+1)</f>
        <v/>
      </c>
      <c r="M3133" s="5">
        <f>IF(L3133="","",L3133+6)</f>
        <v/>
      </c>
      <c r="N3133" s="6">
        <f>IF(OR(A3133="",B3133=""),"",DATE(YEAR(B3133),MONTH(B3133),1))</f>
        <v/>
      </c>
      <c r="O3133" s="7">
        <f>IF(COUNTA(A3133:K3133)=0,"",IF(OR(A3133="",B3133=""),"Preencher CPF e entrada",IF(COUNTIFS($A$12:$A$5011,A3133,$B$12:$B$5011,B3133)&gt;1,"CPF + dia duplicado",IF(OR(AND(G3133&lt;&gt;"",G3133&lt;&gt;0,G3133&lt;&gt;1),AND(H3133&lt;&gt;"",H3133&lt;&gt;0,H3133&lt;&gt;1)),"Flags devem ser 0 ou 1",IF(AND(H3133=1,LEN(TRIM(I3133))=0),"Preencher nome do indicante",IF(AND(H3133&lt;&gt;1,I3133&lt;&gt;""),"Nome sem indicação interna",IF(AND(G3133=1,F3133=""),"Fechamento sem conversa",IF(OR(AND(E3133&lt;&gt;"",E3133&lt;B3133),AND(F3133&lt;&gt;"",F3133&lt;B3133)),"Evento anterior à entrada",IF(AND(F3133&lt;&gt;"",E3133=""),"Conversa sem agendamento",IF(OR(E3133&gt;TODAY(),F3133&gt;TODAY()),"Verificar evento futuro","OK"))))))))))</f>
        <v/>
      </c>
    </row>
    <row r="3134" spans="12:15">
      <c r="L3134" s="5">
        <f>IF(OR(A3134="",B3134=""),"",B3134-WEEKDAY(B3134,2)+1)</f>
        <v/>
      </c>
      <c r="M3134" s="5">
        <f>IF(L3134="","",L3134+6)</f>
        <v/>
      </c>
      <c r="N3134" s="6">
        <f>IF(OR(A3134="",B3134=""),"",DATE(YEAR(B3134),MONTH(B3134),1))</f>
        <v/>
      </c>
      <c r="O3134" s="7">
        <f>IF(COUNTA(A3134:K3134)=0,"",IF(OR(A3134="",B3134=""),"Preencher CPF e entrada",IF(COUNTIFS($A$12:$A$5011,A3134,$B$12:$B$5011,B3134)&gt;1,"CPF + dia duplicado",IF(OR(AND(G3134&lt;&gt;"",G3134&lt;&gt;0,G3134&lt;&gt;1),AND(H3134&lt;&gt;"",H3134&lt;&gt;0,H3134&lt;&gt;1)),"Flags devem ser 0 ou 1",IF(AND(H3134=1,LEN(TRIM(I3134))=0),"Preencher nome do indicante",IF(AND(H3134&lt;&gt;1,I3134&lt;&gt;""),"Nome sem indicação interna",IF(AND(G3134=1,F3134=""),"Fechamento sem conversa",IF(OR(AND(E3134&lt;&gt;"",E3134&lt;B3134),AND(F3134&lt;&gt;"",F3134&lt;B3134)),"Evento anterior à entrada",IF(AND(F3134&lt;&gt;"",E3134=""),"Conversa sem agendamento",IF(OR(E3134&gt;TODAY(),F3134&gt;TODAY()),"Verificar evento futuro","OK"))))))))))</f>
        <v/>
      </c>
    </row>
    <row r="3135" spans="12:15">
      <c r="L3135" s="5">
        <f>IF(OR(A3135="",B3135=""),"",B3135-WEEKDAY(B3135,2)+1)</f>
        <v/>
      </c>
      <c r="M3135" s="5">
        <f>IF(L3135="","",L3135+6)</f>
        <v/>
      </c>
      <c r="N3135" s="6">
        <f>IF(OR(A3135="",B3135=""),"",DATE(YEAR(B3135),MONTH(B3135),1))</f>
        <v/>
      </c>
      <c r="O3135" s="7">
        <f>IF(COUNTA(A3135:K3135)=0,"",IF(OR(A3135="",B3135=""),"Preencher CPF e entrada",IF(COUNTIFS($A$12:$A$5011,A3135,$B$12:$B$5011,B3135)&gt;1,"CPF + dia duplicado",IF(OR(AND(G3135&lt;&gt;"",G3135&lt;&gt;0,G3135&lt;&gt;1),AND(H3135&lt;&gt;"",H3135&lt;&gt;0,H3135&lt;&gt;1)),"Flags devem ser 0 ou 1",IF(AND(H3135=1,LEN(TRIM(I3135))=0),"Preencher nome do indicante",IF(AND(H3135&lt;&gt;1,I3135&lt;&gt;""),"Nome sem indicação interna",IF(AND(G3135=1,F3135=""),"Fechamento sem conversa",IF(OR(AND(E3135&lt;&gt;"",E3135&lt;B3135),AND(F3135&lt;&gt;"",F3135&lt;B3135)),"Evento anterior à entrada",IF(AND(F3135&lt;&gt;"",E3135=""),"Conversa sem agendamento",IF(OR(E3135&gt;TODAY(),F3135&gt;TODAY()),"Verificar evento futuro","OK"))))))))))</f>
        <v/>
      </c>
    </row>
    <row r="3136" spans="12:15">
      <c r="L3136" s="5">
        <f>IF(OR(A3136="",B3136=""),"",B3136-WEEKDAY(B3136,2)+1)</f>
        <v/>
      </c>
      <c r="M3136" s="5">
        <f>IF(L3136="","",L3136+6)</f>
        <v/>
      </c>
      <c r="N3136" s="6">
        <f>IF(OR(A3136="",B3136=""),"",DATE(YEAR(B3136),MONTH(B3136),1))</f>
        <v/>
      </c>
      <c r="O3136" s="7">
        <f>IF(COUNTA(A3136:K3136)=0,"",IF(OR(A3136="",B3136=""),"Preencher CPF e entrada",IF(COUNTIFS($A$12:$A$5011,A3136,$B$12:$B$5011,B3136)&gt;1,"CPF + dia duplicado",IF(OR(AND(G3136&lt;&gt;"",G3136&lt;&gt;0,G3136&lt;&gt;1),AND(H3136&lt;&gt;"",H3136&lt;&gt;0,H3136&lt;&gt;1)),"Flags devem ser 0 ou 1",IF(AND(H3136=1,LEN(TRIM(I3136))=0),"Preencher nome do indicante",IF(AND(H3136&lt;&gt;1,I3136&lt;&gt;""),"Nome sem indicação interna",IF(AND(G3136=1,F3136=""),"Fechamento sem conversa",IF(OR(AND(E3136&lt;&gt;"",E3136&lt;B3136),AND(F3136&lt;&gt;"",F3136&lt;B3136)),"Evento anterior à entrada",IF(AND(F3136&lt;&gt;"",E3136=""),"Conversa sem agendamento",IF(OR(E3136&gt;TODAY(),F3136&gt;TODAY()),"Verificar evento futuro","OK"))))))))))</f>
        <v/>
      </c>
    </row>
    <row r="3137" spans="12:15">
      <c r="L3137" s="5">
        <f>IF(OR(A3137="",B3137=""),"",B3137-WEEKDAY(B3137,2)+1)</f>
        <v/>
      </c>
      <c r="M3137" s="5">
        <f>IF(L3137="","",L3137+6)</f>
        <v/>
      </c>
      <c r="N3137" s="6">
        <f>IF(OR(A3137="",B3137=""),"",DATE(YEAR(B3137),MONTH(B3137),1))</f>
        <v/>
      </c>
      <c r="O3137" s="7">
        <f>IF(COUNTA(A3137:K3137)=0,"",IF(OR(A3137="",B3137=""),"Preencher CPF e entrada",IF(COUNTIFS($A$12:$A$5011,A3137,$B$12:$B$5011,B3137)&gt;1,"CPF + dia duplicado",IF(OR(AND(G3137&lt;&gt;"",G3137&lt;&gt;0,G3137&lt;&gt;1),AND(H3137&lt;&gt;"",H3137&lt;&gt;0,H3137&lt;&gt;1)),"Flags devem ser 0 ou 1",IF(AND(H3137=1,LEN(TRIM(I3137))=0),"Preencher nome do indicante",IF(AND(H3137&lt;&gt;1,I3137&lt;&gt;""),"Nome sem indicação interna",IF(AND(G3137=1,F3137=""),"Fechamento sem conversa",IF(OR(AND(E3137&lt;&gt;"",E3137&lt;B3137),AND(F3137&lt;&gt;"",F3137&lt;B3137)),"Evento anterior à entrada",IF(AND(F3137&lt;&gt;"",E3137=""),"Conversa sem agendamento",IF(OR(E3137&gt;TODAY(),F3137&gt;TODAY()),"Verificar evento futuro","OK"))))))))))</f>
        <v/>
      </c>
    </row>
    <row r="3138" spans="12:15">
      <c r="L3138" s="5">
        <f>IF(OR(A3138="",B3138=""),"",B3138-WEEKDAY(B3138,2)+1)</f>
        <v/>
      </c>
      <c r="M3138" s="5">
        <f>IF(L3138="","",L3138+6)</f>
        <v/>
      </c>
      <c r="N3138" s="6">
        <f>IF(OR(A3138="",B3138=""),"",DATE(YEAR(B3138),MONTH(B3138),1))</f>
        <v/>
      </c>
      <c r="O3138" s="7">
        <f>IF(COUNTA(A3138:K3138)=0,"",IF(OR(A3138="",B3138=""),"Preencher CPF e entrada",IF(COUNTIFS($A$12:$A$5011,A3138,$B$12:$B$5011,B3138)&gt;1,"CPF + dia duplicado",IF(OR(AND(G3138&lt;&gt;"",G3138&lt;&gt;0,G3138&lt;&gt;1),AND(H3138&lt;&gt;"",H3138&lt;&gt;0,H3138&lt;&gt;1)),"Flags devem ser 0 ou 1",IF(AND(H3138=1,LEN(TRIM(I3138))=0),"Preencher nome do indicante",IF(AND(H3138&lt;&gt;1,I3138&lt;&gt;""),"Nome sem indicação interna",IF(AND(G3138=1,F3138=""),"Fechamento sem conversa",IF(OR(AND(E3138&lt;&gt;"",E3138&lt;B3138),AND(F3138&lt;&gt;"",F3138&lt;B3138)),"Evento anterior à entrada",IF(AND(F3138&lt;&gt;"",E3138=""),"Conversa sem agendamento",IF(OR(E3138&gt;TODAY(),F3138&gt;TODAY()),"Verificar evento futuro","OK"))))))))))</f>
        <v/>
      </c>
    </row>
    <row r="3139" spans="12:15">
      <c r="L3139" s="5">
        <f>IF(OR(A3139="",B3139=""),"",B3139-WEEKDAY(B3139,2)+1)</f>
        <v/>
      </c>
      <c r="M3139" s="5">
        <f>IF(L3139="","",L3139+6)</f>
        <v/>
      </c>
      <c r="N3139" s="6">
        <f>IF(OR(A3139="",B3139=""),"",DATE(YEAR(B3139),MONTH(B3139),1))</f>
        <v/>
      </c>
      <c r="O3139" s="7">
        <f>IF(COUNTA(A3139:K3139)=0,"",IF(OR(A3139="",B3139=""),"Preencher CPF e entrada",IF(COUNTIFS($A$12:$A$5011,A3139,$B$12:$B$5011,B3139)&gt;1,"CPF + dia duplicado",IF(OR(AND(G3139&lt;&gt;"",G3139&lt;&gt;0,G3139&lt;&gt;1),AND(H3139&lt;&gt;"",H3139&lt;&gt;0,H3139&lt;&gt;1)),"Flags devem ser 0 ou 1",IF(AND(H3139=1,LEN(TRIM(I3139))=0),"Preencher nome do indicante",IF(AND(H3139&lt;&gt;1,I3139&lt;&gt;""),"Nome sem indicação interna",IF(AND(G3139=1,F3139=""),"Fechamento sem conversa",IF(OR(AND(E3139&lt;&gt;"",E3139&lt;B3139),AND(F3139&lt;&gt;"",F3139&lt;B3139)),"Evento anterior à entrada",IF(AND(F3139&lt;&gt;"",E3139=""),"Conversa sem agendamento",IF(OR(E3139&gt;TODAY(),F3139&gt;TODAY()),"Verificar evento futuro","OK"))))))))))</f>
        <v/>
      </c>
    </row>
    <row r="3140" spans="12:15">
      <c r="L3140" s="5">
        <f>IF(OR(A3140="",B3140=""),"",B3140-WEEKDAY(B3140,2)+1)</f>
        <v/>
      </c>
      <c r="M3140" s="5">
        <f>IF(L3140="","",L3140+6)</f>
        <v/>
      </c>
      <c r="N3140" s="6">
        <f>IF(OR(A3140="",B3140=""),"",DATE(YEAR(B3140),MONTH(B3140),1))</f>
        <v/>
      </c>
      <c r="O3140" s="7">
        <f>IF(COUNTA(A3140:K3140)=0,"",IF(OR(A3140="",B3140=""),"Preencher CPF e entrada",IF(COUNTIFS($A$12:$A$5011,A3140,$B$12:$B$5011,B3140)&gt;1,"CPF + dia duplicado",IF(OR(AND(G3140&lt;&gt;"",G3140&lt;&gt;0,G3140&lt;&gt;1),AND(H3140&lt;&gt;"",H3140&lt;&gt;0,H3140&lt;&gt;1)),"Flags devem ser 0 ou 1",IF(AND(H3140=1,LEN(TRIM(I3140))=0),"Preencher nome do indicante",IF(AND(H3140&lt;&gt;1,I3140&lt;&gt;""),"Nome sem indicação interna",IF(AND(G3140=1,F3140=""),"Fechamento sem conversa",IF(OR(AND(E3140&lt;&gt;"",E3140&lt;B3140),AND(F3140&lt;&gt;"",F3140&lt;B3140)),"Evento anterior à entrada",IF(AND(F3140&lt;&gt;"",E3140=""),"Conversa sem agendamento",IF(OR(E3140&gt;TODAY(),F3140&gt;TODAY()),"Verificar evento futuro","OK"))))))))))</f>
        <v/>
      </c>
    </row>
    <row r="3141" spans="12:15">
      <c r="L3141" s="5">
        <f>IF(OR(A3141="",B3141=""),"",B3141-WEEKDAY(B3141,2)+1)</f>
        <v/>
      </c>
      <c r="M3141" s="5">
        <f>IF(L3141="","",L3141+6)</f>
        <v/>
      </c>
      <c r="N3141" s="6">
        <f>IF(OR(A3141="",B3141=""),"",DATE(YEAR(B3141),MONTH(B3141),1))</f>
        <v/>
      </c>
      <c r="O3141" s="7">
        <f>IF(COUNTA(A3141:K3141)=0,"",IF(OR(A3141="",B3141=""),"Preencher CPF e entrada",IF(COUNTIFS($A$12:$A$5011,A3141,$B$12:$B$5011,B3141)&gt;1,"CPF + dia duplicado",IF(OR(AND(G3141&lt;&gt;"",G3141&lt;&gt;0,G3141&lt;&gt;1),AND(H3141&lt;&gt;"",H3141&lt;&gt;0,H3141&lt;&gt;1)),"Flags devem ser 0 ou 1",IF(AND(H3141=1,LEN(TRIM(I3141))=0),"Preencher nome do indicante",IF(AND(H3141&lt;&gt;1,I3141&lt;&gt;""),"Nome sem indicação interna",IF(AND(G3141=1,F3141=""),"Fechamento sem conversa",IF(OR(AND(E3141&lt;&gt;"",E3141&lt;B3141),AND(F3141&lt;&gt;"",F3141&lt;B3141)),"Evento anterior à entrada",IF(AND(F3141&lt;&gt;"",E3141=""),"Conversa sem agendamento",IF(OR(E3141&gt;TODAY(),F3141&gt;TODAY()),"Verificar evento futuro","OK"))))))))))</f>
        <v/>
      </c>
    </row>
    <row r="3142" spans="12:15">
      <c r="L3142" s="5">
        <f>IF(OR(A3142="",B3142=""),"",B3142-WEEKDAY(B3142,2)+1)</f>
        <v/>
      </c>
      <c r="M3142" s="5">
        <f>IF(L3142="","",L3142+6)</f>
        <v/>
      </c>
      <c r="N3142" s="6">
        <f>IF(OR(A3142="",B3142=""),"",DATE(YEAR(B3142),MONTH(B3142),1))</f>
        <v/>
      </c>
      <c r="O3142" s="7">
        <f>IF(COUNTA(A3142:K3142)=0,"",IF(OR(A3142="",B3142=""),"Preencher CPF e entrada",IF(COUNTIFS($A$12:$A$5011,A3142,$B$12:$B$5011,B3142)&gt;1,"CPF + dia duplicado",IF(OR(AND(G3142&lt;&gt;"",G3142&lt;&gt;0,G3142&lt;&gt;1),AND(H3142&lt;&gt;"",H3142&lt;&gt;0,H3142&lt;&gt;1)),"Flags devem ser 0 ou 1",IF(AND(H3142=1,LEN(TRIM(I3142))=0),"Preencher nome do indicante",IF(AND(H3142&lt;&gt;1,I3142&lt;&gt;""),"Nome sem indicação interna",IF(AND(G3142=1,F3142=""),"Fechamento sem conversa",IF(OR(AND(E3142&lt;&gt;"",E3142&lt;B3142),AND(F3142&lt;&gt;"",F3142&lt;B3142)),"Evento anterior à entrada",IF(AND(F3142&lt;&gt;"",E3142=""),"Conversa sem agendamento",IF(OR(E3142&gt;TODAY(),F3142&gt;TODAY()),"Verificar evento futuro","OK"))))))))))</f>
        <v/>
      </c>
    </row>
    <row r="3143" spans="12:15">
      <c r="L3143" s="5">
        <f>IF(OR(A3143="",B3143=""),"",B3143-WEEKDAY(B3143,2)+1)</f>
        <v/>
      </c>
      <c r="M3143" s="5">
        <f>IF(L3143="","",L3143+6)</f>
        <v/>
      </c>
      <c r="N3143" s="6">
        <f>IF(OR(A3143="",B3143=""),"",DATE(YEAR(B3143),MONTH(B3143),1))</f>
        <v/>
      </c>
      <c r="O3143" s="7">
        <f>IF(COUNTA(A3143:K3143)=0,"",IF(OR(A3143="",B3143=""),"Preencher CPF e entrada",IF(COUNTIFS($A$12:$A$5011,A3143,$B$12:$B$5011,B3143)&gt;1,"CPF + dia duplicado",IF(OR(AND(G3143&lt;&gt;"",G3143&lt;&gt;0,G3143&lt;&gt;1),AND(H3143&lt;&gt;"",H3143&lt;&gt;0,H3143&lt;&gt;1)),"Flags devem ser 0 ou 1",IF(AND(H3143=1,LEN(TRIM(I3143))=0),"Preencher nome do indicante",IF(AND(H3143&lt;&gt;1,I3143&lt;&gt;""),"Nome sem indicação interna",IF(AND(G3143=1,F3143=""),"Fechamento sem conversa",IF(OR(AND(E3143&lt;&gt;"",E3143&lt;B3143),AND(F3143&lt;&gt;"",F3143&lt;B3143)),"Evento anterior à entrada",IF(AND(F3143&lt;&gt;"",E3143=""),"Conversa sem agendamento",IF(OR(E3143&gt;TODAY(),F3143&gt;TODAY()),"Verificar evento futuro","OK"))))))))))</f>
        <v/>
      </c>
    </row>
    <row r="3144" spans="12:15">
      <c r="L3144" s="5">
        <f>IF(OR(A3144="",B3144=""),"",B3144-WEEKDAY(B3144,2)+1)</f>
        <v/>
      </c>
      <c r="M3144" s="5">
        <f>IF(L3144="","",L3144+6)</f>
        <v/>
      </c>
      <c r="N3144" s="6">
        <f>IF(OR(A3144="",B3144=""),"",DATE(YEAR(B3144),MONTH(B3144),1))</f>
        <v/>
      </c>
      <c r="O3144" s="7">
        <f>IF(COUNTA(A3144:K3144)=0,"",IF(OR(A3144="",B3144=""),"Preencher CPF e entrada",IF(COUNTIFS($A$12:$A$5011,A3144,$B$12:$B$5011,B3144)&gt;1,"CPF + dia duplicado",IF(OR(AND(G3144&lt;&gt;"",G3144&lt;&gt;0,G3144&lt;&gt;1),AND(H3144&lt;&gt;"",H3144&lt;&gt;0,H3144&lt;&gt;1)),"Flags devem ser 0 ou 1",IF(AND(H3144=1,LEN(TRIM(I3144))=0),"Preencher nome do indicante",IF(AND(H3144&lt;&gt;1,I3144&lt;&gt;""),"Nome sem indicação interna",IF(AND(G3144=1,F3144=""),"Fechamento sem conversa",IF(OR(AND(E3144&lt;&gt;"",E3144&lt;B3144),AND(F3144&lt;&gt;"",F3144&lt;B3144)),"Evento anterior à entrada",IF(AND(F3144&lt;&gt;"",E3144=""),"Conversa sem agendamento",IF(OR(E3144&gt;TODAY(),F3144&gt;TODAY()),"Verificar evento futuro","OK"))))))))))</f>
        <v/>
      </c>
    </row>
    <row r="3145" spans="12:15">
      <c r="L3145" s="5">
        <f>IF(OR(A3145="",B3145=""),"",B3145-WEEKDAY(B3145,2)+1)</f>
        <v/>
      </c>
      <c r="M3145" s="5">
        <f>IF(L3145="","",L3145+6)</f>
        <v/>
      </c>
      <c r="N3145" s="6">
        <f>IF(OR(A3145="",B3145=""),"",DATE(YEAR(B3145),MONTH(B3145),1))</f>
        <v/>
      </c>
      <c r="O3145" s="7">
        <f>IF(COUNTA(A3145:K3145)=0,"",IF(OR(A3145="",B3145=""),"Preencher CPF e entrada",IF(COUNTIFS($A$12:$A$5011,A3145,$B$12:$B$5011,B3145)&gt;1,"CPF + dia duplicado",IF(OR(AND(G3145&lt;&gt;"",G3145&lt;&gt;0,G3145&lt;&gt;1),AND(H3145&lt;&gt;"",H3145&lt;&gt;0,H3145&lt;&gt;1)),"Flags devem ser 0 ou 1",IF(AND(H3145=1,LEN(TRIM(I3145))=0),"Preencher nome do indicante",IF(AND(H3145&lt;&gt;1,I3145&lt;&gt;""),"Nome sem indicação interna",IF(AND(G3145=1,F3145=""),"Fechamento sem conversa",IF(OR(AND(E3145&lt;&gt;"",E3145&lt;B3145),AND(F3145&lt;&gt;"",F3145&lt;B3145)),"Evento anterior à entrada",IF(AND(F3145&lt;&gt;"",E3145=""),"Conversa sem agendamento",IF(OR(E3145&gt;TODAY(),F3145&gt;TODAY()),"Verificar evento futuro","OK"))))))))))</f>
        <v/>
      </c>
    </row>
    <row r="3146" spans="12:15">
      <c r="L3146" s="5">
        <f>IF(OR(A3146="",B3146=""),"",B3146-WEEKDAY(B3146,2)+1)</f>
        <v/>
      </c>
      <c r="M3146" s="5">
        <f>IF(L3146="","",L3146+6)</f>
        <v/>
      </c>
      <c r="N3146" s="6">
        <f>IF(OR(A3146="",B3146=""),"",DATE(YEAR(B3146),MONTH(B3146),1))</f>
        <v/>
      </c>
      <c r="O3146" s="7">
        <f>IF(COUNTA(A3146:K3146)=0,"",IF(OR(A3146="",B3146=""),"Preencher CPF e entrada",IF(COUNTIFS($A$12:$A$5011,A3146,$B$12:$B$5011,B3146)&gt;1,"CPF + dia duplicado",IF(OR(AND(G3146&lt;&gt;"",G3146&lt;&gt;0,G3146&lt;&gt;1),AND(H3146&lt;&gt;"",H3146&lt;&gt;0,H3146&lt;&gt;1)),"Flags devem ser 0 ou 1",IF(AND(H3146=1,LEN(TRIM(I3146))=0),"Preencher nome do indicante",IF(AND(H3146&lt;&gt;1,I3146&lt;&gt;""),"Nome sem indicação interna",IF(AND(G3146=1,F3146=""),"Fechamento sem conversa",IF(OR(AND(E3146&lt;&gt;"",E3146&lt;B3146),AND(F3146&lt;&gt;"",F3146&lt;B3146)),"Evento anterior à entrada",IF(AND(F3146&lt;&gt;"",E3146=""),"Conversa sem agendamento",IF(OR(E3146&gt;TODAY(),F3146&gt;TODAY()),"Verificar evento futuro","OK"))))))))))</f>
        <v/>
      </c>
    </row>
    <row r="3147" spans="12:15">
      <c r="L3147" s="5">
        <f>IF(OR(A3147="",B3147=""),"",B3147-WEEKDAY(B3147,2)+1)</f>
        <v/>
      </c>
      <c r="M3147" s="5">
        <f>IF(L3147="","",L3147+6)</f>
        <v/>
      </c>
      <c r="N3147" s="6">
        <f>IF(OR(A3147="",B3147=""),"",DATE(YEAR(B3147),MONTH(B3147),1))</f>
        <v/>
      </c>
      <c r="O3147" s="7">
        <f>IF(COUNTA(A3147:K3147)=0,"",IF(OR(A3147="",B3147=""),"Preencher CPF e entrada",IF(COUNTIFS($A$12:$A$5011,A3147,$B$12:$B$5011,B3147)&gt;1,"CPF + dia duplicado",IF(OR(AND(G3147&lt;&gt;"",G3147&lt;&gt;0,G3147&lt;&gt;1),AND(H3147&lt;&gt;"",H3147&lt;&gt;0,H3147&lt;&gt;1)),"Flags devem ser 0 ou 1",IF(AND(H3147=1,LEN(TRIM(I3147))=0),"Preencher nome do indicante",IF(AND(H3147&lt;&gt;1,I3147&lt;&gt;""),"Nome sem indicação interna",IF(AND(G3147=1,F3147=""),"Fechamento sem conversa",IF(OR(AND(E3147&lt;&gt;"",E3147&lt;B3147),AND(F3147&lt;&gt;"",F3147&lt;B3147)),"Evento anterior à entrada",IF(AND(F3147&lt;&gt;"",E3147=""),"Conversa sem agendamento",IF(OR(E3147&gt;TODAY(),F3147&gt;TODAY()),"Verificar evento futuro","OK"))))))))))</f>
        <v/>
      </c>
    </row>
    <row r="3148" spans="12:15">
      <c r="L3148" s="5">
        <f>IF(OR(A3148="",B3148=""),"",B3148-WEEKDAY(B3148,2)+1)</f>
        <v/>
      </c>
      <c r="M3148" s="5">
        <f>IF(L3148="","",L3148+6)</f>
        <v/>
      </c>
      <c r="N3148" s="6">
        <f>IF(OR(A3148="",B3148=""),"",DATE(YEAR(B3148),MONTH(B3148),1))</f>
        <v/>
      </c>
      <c r="O3148" s="7">
        <f>IF(COUNTA(A3148:K3148)=0,"",IF(OR(A3148="",B3148=""),"Preencher CPF e entrada",IF(COUNTIFS($A$12:$A$5011,A3148,$B$12:$B$5011,B3148)&gt;1,"CPF + dia duplicado",IF(OR(AND(G3148&lt;&gt;"",G3148&lt;&gt;0,G3148&lt;&gt;1),AND(H3148&lt;&gt;"",H3148&lt;&gt;0,H3148&lt;&gt;1)),"Flags devem ser 0 ou 1",IF(AND(H3148=1,LEN(TRIM(I3148))=0),"Preencher nome do indicante",IF(AND(H3148&lt;&gt;1,I3148&lt;&gt;""),"Nome sem indicação interna",IF(AND(G3148=1,F3148=""),"Fechamento sem conversa",IF(OR(AND(E3148&lt;&gt;"",E3148&lt;B3148),AND(F3148&lt;&gt;"",F3148&lt;B3148)),"Evento anterior à entrada",IF(AND(F3148&lt;&gt;"",E3148=""),"Conversa sem agendamento",IF(OR(E3148&gt;TODAY(),F3148&gt;TODAY()),"Verificar evento futuro","OK"))))))))))</f>
        <v/>
      </c>
    </row>
    <row r="3149" spans="12:15">
      <c r="L3149" s="5">
        <f>IF(OR(A3149="",B3149=""),"",B3149-WEEKDAY(B3149,2)+1)</f>
        <v/>
      </c>
      <c r="M3149" s="5">
        <f>IF(L3149="","",L3149+6)</f>
        <v/>
      </c>
      <c r="N3149" s="6">
        <f>IF(OR(A3149="",B3149=""),"",DATE(YEAR(B3149),MONTH(B3149),1))</f>
        <v/>
      </c>
      <c r="O3149" s="7">
        <f>IF(COUNTA(A3149:K3149)=0,"",IF(OR(A3149="",B3149=""),"Preencher CPF e entrada",IF(COUNTIFS($A$12:$A$5011,A3149,$B$12:$B$5011,B3149)&gt;1,"CPF + dia duplicado",IF(OR(AND(G3149&lt;&gt;"",G3149&lt;&gt;0,G3149&lt;&gt;1),AND(H3149&lt;&gt;"",H3149&lt;&gt;0,H3149&lt;&gt;1)),"Flags devem ser 0 ou 1",IF(AND(H3149=1,LEN(TRIM(I3149))=0),"Preencher nome do indicante",IF(AND(H3149&lt;&gt;1,I3149&lt;&gt;""),"Nome sem indicação interna",IF(AND(G3149=1,F3149=""),"Fechamento sem conversa",IF(OR(AND(E3149&lt;&gt;"",E3149&lt;B3149),AND(F3149&lt;&gt;"",F3149&lt;B3149)),"Evento anterior à entrada",IF(AND(F3149&lt;&gt;"",E3149=""),"Conversa sem agendamento",IF(OR(E3149&gt;TODAY(),F3149&gt;TODAY()),"Verificar evento futuro","OK"))))))))))</f>
        <v/>
      </c>
    </row>
    <row r="3150" spans="12:15">
      <c r="L3150" s="5">
        <f>IF(OR(A3150="",B3150=""),"",B3150-WEEKDAY(B3150,2)+1)</f>
        <v/>
      </c>
      <c r="M3150" s="5">
        <f>IF(L3150="","",L3150+6)</f>
        <v/>
      </c>
      <c r="N3150" s="6">
        <f>IF(OR(A3150="",B3150=""),"",DATE(YEAR(B3150),MONTH(B3150),1))</f>
        <v/>
      </c>
      <c r="O3150" s="7">
        <f>IF(COUNTA(A3150:K3150)=0,"",IF(OR(A3150="",B3150=""),"Preencher CPF e entrada",IF(COUNTIFS($A$12:$A$5011,A3150,$B$12:$B$5011,B3150)&gt;1,"CPF + dia duplicado",IF(OR(AND(G3150&lt;&gt;"",G3150&lt;&gt;0,G3150&lt;&gt;1),AND(H3150&lt;&gt;"",H3150&lt;&gt;0,H3150&lt;&gt;1)),"Flags devem ser 0 ou 1",IF(AND(H3150=1,LEN(TRIM(I3150))=0),"Preencher nome do indicante",IF(AND(H3150&lt;&gt;1,I3150&lt;&gt;""),"Nome sem indicação interna",IF(AND(G3150=1,F3150=""),"Fechamento sem conversa",IF(OR(AND(E3150&lt;&gt;"",E3150&lt;B3150),AND(F3150&lt;&gt;"",F3150&lt;B3150)),"Evento anterior à entrada",IF(AND(F3150&lt;&gt;"",E3150=""),"Conversa sem agendamento",IF(OR(E3150&gt;TODAY(),F3150&gt;TODAY()),"Verificar evento futuro","OK"))))))))))</f>
        <v/>
      </c>
    </row>
    <row r="3151" spans="12:15">
      <c r="L3151" s="5">
        <f>IF(OR(A3151="",B3151=""),"",B3151-WEEKDAY(B3151,2)+1)</f>
        <v/>
      </c>
      <c r="M3151" s="5">
        <f>IF(L3151="","",L3151+6)</f>
        <v/>
      </c>
      <c r="N3151" s="6">
        <f>IF(OR(A3151="",B3151=""),"",DATE(YEAR(B3151),MONTH(B3151),1))</f>
        <v/>
      </c>
      <c r="O3151" s="7">
        <f>IF(COUNTA(A3151:K3151)=0,"",IF(OR(A3151="",B3151=""),"Preencher CPF e entrada",IF(COUNTIFS($A$12:$A$5011,A3151,$B$12:$B$5011,B3151)&gt;1,"CPF + dia duplicado",IF(OR(AND(G3151&lt;&gt;"",G3151&lt;&gt;0,G3151&lt;&gt;1),AND(H3151&lt;&gt;"",H3151&lt;&gt;0,H3151&lt;&gt;1)),"Flags devem ser 0 ou 1",IF(AND(H3151=1,LEN(TRIM(I3151))=0),"Preencher nome do indicante",IF(AND(H3151&lt;&gt;1,I3151&lt;&gt;""),"Nome sem indicação interna",IF(AND(G3151=1,F3151=""),"Fechamento sem conversa",IF(OR(AND(E3151&lt;&gt;"",E3151&lt;B3151),AND(F3151&lt;&gt;"",F3151&lt;B3151)),"Evento anterior à entrada",IF(AND(F3151&lt;&gt;"",E3151=""),"Conversa sem agendamento",IF(OR(E3151&gt;TODAY(),F3151&gt;TODAY()),"Verificar evento futuro","OK"))))))))))</f>
        <v/>
      </c>
    </row>
    <row r="3152" spans="12:15">
      <c r="L3152" s="5">
        <f>IF(OR(A3152="",B3152=""),"",B3152-WEEKDAY(B3152,2)+1)</f>
        <v/>
      </c>
      <c r="M3152" s="5">
        <f>IF(L3152="","",L3152+6)</f>
        <v/>
      </c>
      <c r="N3152" s="6">
        <f>IF(OR(A3152="",B3152=""),"",DATE(YEAR(B3152),MONTH(B3152),1))</f>
        <v/>
      </c>
      <c r="O3152" s="7">
        <f>IF(COUNTA(A3152:K3152)=0,"",IF(OR(A3152="",B3152=""),"Preencher CPF e entrada",IF(COUNTIFS($A$12:$A$5011,A3152,$B$12:$B$5011,B3152)&gt;1,"CPF + dia duplicado",IF(OR(AND(G3152&lt;&gt;"",G3152&lt;&gt;0,G3152&lt;&gt;1),AND(H3152&lt;&gt;"",H3152&lt;&gt;0,H3152&lt;&gt;1)),"Flags devem ser 0 ou 1",IF(AND(H3152=1,LEN(TRIM(I3152))=0),"Preencher nome do indicante",IF(AND(H3152&lt;&gt;1,I3152&lt;&gt;""),"Nome sem indicação interna",IF(AND(G3152=1,F3152=""),"Fechamento sem conversa",IF(OR(AND(E3152&lt;&gt;"",E3152&lt;B3152),AND(F3152&lt;&gt;"",F3152&lt;B3152)),"Evento anterior à entrada",IF(AND(F3152&lt;&gt;"",E3152=""),"Conversa sem agendamento",IF(OR(E3152&gt;TODAY(),F3152&gt;TODAY()),"Verificar evento futuro","OK"))))))))))</f>
        <v/>
      </c>
    </row>
    <row r="3153" spans="12:15">
      <c r="L3153" s="5">
        <f>IF(OR(A3153="",B3153=""),"",B3153-WEEKDAY(B3153,2)+1)</f>
        <v/>
      </c>
      <c r="M3153" s="5">
        <f>IF(L3153="","",L3153+6)</f>
        <v/>
      </c>
      <c r="N3153" s="6">
        <f>IF(OR(A3153="",B3153=""),"",DATE(YEAR(B3153),MONTH(B3153),1))</f>
        <v/>
      </c>
      <c r="O3153" s="7">
        <f>IF(COUNTA(A3153:K3153)=0,"",IF(OR(A3153="",B3153=""),"Preencher CPF e entrada",IF(COUNTIFS($A$12:$A$5011,A3153,$B$12:$B$5011,B3153)&gt;1,"CPF + dia duplicado",IF(OR(AND(G3153&lt;&gt;"",G3153&lt;&gt;0,G3153&lt;&gt;1),AND(H3153&lt;&gt;"",H3153&lt;&gt;0,H3153&lt;&gt;1)),"Flags devem ser 0 ou 1",IF(AND(H3153=1,LEN(TRIM(I3153))=0),"Preencher nome do indicante",IF(AND(H3153&lt;&gt;1,I3153&lt;&gt;""),"Nome sem indicação interna",IF(AND(G3153=1,F3153=""),"Fechamento sem conversa",IF(OR(AND(E3153&lt;&gt;"",E3153&lt;B3153),AND(F3153&lt;&gt;"",F3153&lt;B3153)),"Evento anterior à entrada",IF(AND(F3153&lt;&gt;"",E3153=""),"Conversa sem agendamento",IF(OR(E3153&gt;TODAY(),F3153&gt;TODAY()),"Verificar evento futuro","OK"))))))))))</f>
        <v/>
      </c>
    </row>
    <row r="3154" spans="12:15">
      <c r="L3154" s="5">
        <f>IF(OR(A3154="",B3154=""),"",B3154-WEEKDAY(B3154,2)+1)</f>
        <v/>
      </c>
      <c r="M3154" s="5">
        <f>IF(L3154="","",L3154+6)</f>
        <v/>
      </c>
      <c r="N3154" s="6">
        <f>IF(OR(A3154="",B3154=""),"",DATE(YEAR(B3154),MONTH(B3154),1))</f>
        <v/>
      </c>
      <c r="O3154" s="7">
        <f>IF(COUNTA(A3154:K3154)=0,"",IF(OR(A3154="",B3154=""),"Preencher CPF e entrada",IF(COUNTIFS($A$12:$A$5011,A3154,$B$12:$B$5011,B3154)&gt;1,"CPF + dia duplicado",IF(OR(AND(G3154&lt;&gt;"",G3154&lt;&gt;0,G3154&lt;&gt;1),AND(H3154&lt;&gt;"",H3154&lt;&gt;0,H3154&lt;&gt;1)),"Flags devem ser 0 ou 1",IF(AND(H3154=1,LEN(TRIM(I3154))=0),"Preencher nome do indicante",IF(AND(H3154&lt;&gt;1,I3154&lt;&gt;""),"Nome sem indicação interna",IF(AND(G3154=1,F3154=""),"Fechamento sem conversa",IF(OR(AND(E3154&lt;&gt;"",E3154&lt;B3154),AND(F3154&lt;&gt;"",F3154&lt;B3154)),"Evento anterior à entrada",IF(AND(F3154&lt;&gt;"",E3154=""),"Conversa sem agendamento",IF(OR(E3154&gt;TODAY(),F3154&gt;TODAY()),"Verificar evento futuro","OK"))))))))))</f>
        <v/>
      </c>
    </row>
    <row r="3155" spans="12:15">
      <c r="L3155" s="5">
        <f>IF(OR(A3155="",B3155=""),"",B3155-WEEKDAY(B3155,2)+1)</f>
        <v/>
      </c>
      <c r="M3155" s="5">
        <f>IF(L3155="","",L3155+6)</f>
        <v/>
      </c>
      <c r="N3155" s="6">
        <f>IF(OR(A3155="",B3155=""),"",DATE(YEAR(B3155),MONTH(B3155),1))</f>
        <v/>
      </c>
      <c r="O3155" s="7">
        <f>IF(COUNTA(A3155:K3155)=0,"",IF(OR(A3155="",B3155=""),"Preencher CPF e entrada",IF(COUNTIFS($A$12:$A$5011,A3155,$B$12:$B$5011,B3155)&gt;1,"CPF + dia duplicado",IF(OR(AND(G3155&lt;&gt;"",G3155&lt;&gt;0,G3155&lt;&gt;1),AND(H3155&lt;&gt;"",H3155&lt;&gt;0,H3155&lt;&gt;1)),"Flags devem ser 0 ou 1",IF(AND(H3155=1,LEN(TRIM(I3155))=0),"Preencher nome do indicante",IF(AND(H3155&lt;&gt;1,I3155&lt;&gt;""),"Nome sem indicação interna",IF(AND(G3155=1,F3155=""),"Fechamento sem conversa",IF(OR(AND(E3155&lt;&gt;"",E3155&lt;B3155),AND(F3155&lt;&gt;"",F3155&lt;B3155)),"Evento anterior à entrada",IF(AND(F3155&lt;&gt;"",E3155=""),"Conversa sem agendamento",IF(OR(E3155&gt;TODAY(),F3155&gt;TODAY()),"Verificar evento futuro","OK"))))))))))</f>
        <v/>
      </c>
    </row>
    <row r="3156" spans="12:15">
      <c r="L3156" s="5">
        <f>IF(OR(A3156="",B3156=""),"",B3156-WEEKDAY(B3156,2)+1)</f>
        <v/>
      </c>
      <c r="M3156" s="5">
        <f>IF(L3156="","",L3156+6)</f>
        <v/>
      </c>
      <c r="N3156" s="6">
        <f>IF(OR(A3156="",B3156=""),"",DATE(YEAR(B3156),MONTH(B3156),1))</f>
        <v/>
      </c>
      <c r="O3156" s="7">
        <f>IF(COUNTA(A3156:K3156)=0,"",IF(OR(A3156="",B3156=""),"Preencher CPF e entrada",IF(COUNTIFS($A$12:$A$5011,A3156,$B$12:$B$5011,B3156)&gt;1,"CPF + dia duplicado",IF(OR(AND(G3156&lt;&gt;"",G3156&lt;&gt;0,G3156&lt;&gt;1),AND(H3156&lt;&gt;"",H3156&lt;&gt;0,H3156&lt;&gt;1)),"Flags devem ser 0 ou 1",IF(AND(H3156=1,LEN(TRIM(I3156))=0),"Preencher nome do indicante",IF(AND(H3156&lt;&gt;1,I3156&lt;&gt;""),"Nome sem indicação interna",IF(AND(G3156=1,F3156=""),"Fechamento sem conversa",IF(OR(AND(E3156&lt;&gt;"",E3156&lt;B3156),AND(F3156&lt;&gt;"",F3156&lt;B3156)),"Evento anterior à entrada",IF(AND(F3156&lt;&gt;"",E3156=""),"Conversa sem agendamento",IF(OR(E3156&gt;TODAY(),F3156&gt;TODAY()),"Verificar evento futuro","OK"))))))))))</f>
        <v/>
      </c>
    </row>
    <row r="3157" spans="12:15">
      <c r="L3157" s="5">
        <f>IF(OR(A3157="",B3157=""),"",B3157-WEEKDAY(B3157,2)+1)</f>
        <v/>
      </c>
      <c r="M3157" s="5">
        <f>IF(L3157="","",L3157+6)</f>
        <v/>
      </c>
      <c r="N3157" s="6">
        <f>IF(OR(A3157="",B3157=""),"",DATE(YEAR(B3157),MONTH(B3157),1))</f>
        <v/>
      </c>
      <c r="O3157" s="7">
        <f>IF(COUNTA(A3157:K3157)=0,"",IF(OR(A3157="",B3157=""),"Preencher CPF e entrada",IF(COUNTIFS($A$12:$A$5011,A3157,$B$12:$B$5011,B3157)&gt;1,"CPF + dia duplicado",IF(OR(AND(G3157&lt;&gt;"",G3157&lt;&gt;0,G3157&lt;&gt;1),AND(H3157&lt;&gt;"",H3157&lt;&gt;0,H3157&lt;&gt;1)),"Flags devem ser 0 ou 1",IF(AND(H3157=1,LEN(TRIM(I3157))=0),"Preencher nome do indicante",IF(AND(H3157&lt;&gt;1,I3157&lt;&gt;""),"Nome sem indicação interna",IF(AND(G3157=1,F3157=""),"Fechamento sem conversa",IF(OR(AND(E3157&lt;&gt;"",E3157&lt;B3157),AND(F3157&lt;&gt;"",F3157&lt;B3157)),"Evento anterior à entrada",IF(AND(F3157&lt;&gt;"",E3157=""),"Conversa sem agendamento",IF(OR(E3157&gt;TODAY(),F3157&gt;TODAY()),"Verificar evento futuro","OK"))))))))))</f>
        <v/>
      </c>
    </row>
    <row r="3158" spans="12:15">
      <c r="L3158" s="5">
        <f>IF(OR(A3158="",B3158=""),"",B3158-WEEKDAY(B3158,2)+1)</f>
        <v/>
      </c>
      <c r="M3158" s="5">
        <f>IF(L3158="","",L3158+6)</f>
        <v/>
      </c>
      <c r="N3158" s="6">
        <f>IF(OR(A3158="",B3158=""),"",DATE(YEAR(B3158),MONTH(B3158),1))</f>
        <v/>
      </c>
      <c r="O3158" s="7">
        <f>IF(COUNTA(A3158:K3158)=0,"",IF(OR(A3158="",B3158=""),"Preencher CPF e entrada",IF(COUNTIFS($A$12:$A$5011,A3158,$B$12:$B$5011,B3158)&gt;1,"CPF + dia duplicado",IF(OR(AND(G3158&lt;&gt;"",G3158&lt;&gt;0,G3158&lt;&gt;1),AND(H3158&lt;&gt;"",H3158&lt;&gt;0,H3158&lt;&gt;1)),"Flags devem ser 0 ou 1",IF(AND(H3158=1,LEN(TRIM(I3158))=0),"Preencher nome do indicante",IF(AND(H3158&lt;&gt;1,I3158&lt;&gt;""),"Nome sem indicação interna",IF(AND(G3158=1,F3158=""),"Fechamento sem conversa",IF(OR(AND(E3158&lt;&gt;"",E3158&lt;B3158),AND(F3158&lt;&gt;"",F3158&lt;B3158)),"Evento anterior à entrada",IF(AND(F3158&lt;&gt;"",E3158=""),"Conversa sem agendamento",IF(OR(E3158&gt;TODAY(),F3158&gt;TODAY()),"Verificar evento futuro","OK"))))))))))</f>
        <v/>
      </c>
    </row>
    <row r="3159" spans="12:15">
      <c r="L3159" s="5">
        <f>IF(OR(A3159="",B3159=""),"",B3159-WEEKDAY(B3159,2)+1)</f>
        <v/>
      </c>
      <c r="M3159" s="5">
        <f>IF(L3159="","",L3159+6)</f>
        <v/>
      </c>
      <c r="N3159" s="6">
        <f>IF(OR(A3159="",B3159=""),"",DATE(YEAR(B3159),MONTH(B3159),1))</f>
        <v/>
      </c>
      <c r="O3159" s="7">
        <f>IF(COUNTA(A3159:K3159)=0,"",IF(OR(A3159="",B3159=""),"Preencher CPF e entrada",IF(COUNTIFS($A$12:$A$5011,A3159,$B$12:$B$5011,B3159)&gt;1,"CPF + dia duplicado",IF(OR(AND(G3159&lt;&gt;"",G3159&lt;&gt;0,G3159&lt;&gt;1),AND(H3159&lt;&gt;"",H3159&lt;&gt;0,H3159&lt;&gt;1)),"Flags devem ser 0 ou 1",IF(AND(H3159=1,LEN(TRIM(I3159))=0),"Preencher nome do indicante",IF(AND(H3159&lt;&gt;1,I3159&lt;&gt;""),"Nome sem indicação interna",IF(AND(G3159=1,F3159=""),"Fechamento sem conversa",IF(OR(AND(E3159&lt;&gt;"",E3159&lt;B3159),AND(F3159&lt;&gt;"",F3159&lt;B3159)),"Evento anterior à entrada",IF(AND(F3159&lt;&gt;"",E3159=""),"Conversa sem agendamento",IF(OR(E3159&gt;TODAY(),F3159&gt;TODAY()),"Verificar evento futuro","OK"))))))))))</f>
        <v/>
      </c>
    </row>
    <row r="3160" spans="12:15">
      <c r="L3160" s="5">
        <f>IF(OR(A3160="",B3160=""),"",B3160-WEEKDAY(B3160,2)+1)</f>
        <v/>
      </c>
      <c r="M3160" s="5">
        <f>IF(L3160="","",L3160+6)</f>
        <v/>
      </c>
      <c r="N3160" s="6">
        <f>IF(OR(A3160="",B3160=""),"",DATE(YEAR(B3160),MONTH(B3160),1))</f>
        <v/>
      </c>
      <c r="O3160" s="7">
        <f>IF(COUNTA(A3160:K3160)=0,"",IF(OR(A3160="",B3160=""),"Preencher CPF e entrada",IF(COUNTIFS($A$12:$A$5011,A3160,$B$12:$B$5011,B3160)&gt;1,"CPF + dia duplicado",IF(OR(AND(G3160&lt;&gt;"",G3160&lt;&gt;0,G3160&lt;&gt;1),AND(H3160&lt;&gt;"",H3160&lt;&gt;0,H3160&lt;&gt;1)),"Flags devem ser 0 ou 1",IF(AND(H3160=1,LEN(TRIM(I3160))=0),"Preencher nome do indicante",IF(AND(H3160&lt;&gt;1,I3160&lt;&gt;""),"Nome sem indicação interna",IF(AND(G3160=1,F3160=""),"Fechamento sem conversa",IF(OR(AND(E3160&lt;&gt;"",E3160&lt;B3160),AND(F3160&lt;&gt;"",F3160&lt;B3160)),"Evento anterior à entrada",IF(AND(F3160&lt;&gt;"",E3160=""),"Conversa sem agendamento",IF(OR(E3160&gt;TODAY(),F3160&gt;TODAY()),"Verificar evento futuro","OK"))))))))))</f>
        <v/>
      </c>
    </row>
    <row r="3161" spans="12:15">
      <c r="L3161" s="5">
        <f>IF(OR(A3161="",B3161=""),"",B3161-WEEKDAY(B3161,2)+1)</f>
        <v/>
      </c>
      <c r="M3161" s="5">
        <f>IF(L3161="","",L3161+6)</f>
        <v/>
      </c>
      <c r="N3161" s="6">
        <f>IF(OR(A3161="",B3161=""),"",DATE(YEAR(B3161),MONTH(B3161),1))</f>
        <v/>
      </c>
      <c r="O3161" s="7">
        <f>IF(COUNTA(A3161:K3161)=0,"",IF(OR(A3161="",B3161=""),"Preencher CPF e entrada",IF(COUNTIFS($A$12:$A$5011,A3161,$B$12:$B$5011,B3161)&gt;1,"CPF + dia duplicado",IF(OR(AND(G3161&lt;&gt;"",G3161&lt;&gt;0,G3161&lt;&gt;1),AND(H3161&lt;&gt;"",H3161&lt;&gt;0,H3161&lt;&gt;1)),"Flags devem ser 0 ou 1",IF(AND(H3161=1,LEN(TRIM(I3161))=0),"Preencher nome do indicante",IF(AND(H3161&lt;&gt;1,I3161&lt;&gt;""),"Nome sem indicação interna",IF(AND(G3161=1,F3161=""),"Fechamento sem conversa",IF(OR(AND(E3161&lt;&gt;"",E3161&lt;B3161),AND(F3161&lt;&gt;"",F3161&lt;B3161)),"Evento anterior à entrada",IF(AND(F3161&lt;&gt;"",E3161=""),"Conversa sem agendamento",IF(OR(E3161&gt;TODAY(),F3161&gt;TODAY()),"Verificar evento futuro","OK"))))))))))</f>
        <v/>
      </c>
    </row>
    <row r="3162" spans="12:15">
      <c r="L3162" s="5">
        <f>IF(OR(A3162="",B3162=""),"",B3162-WEEKDAY(B3162,2)+1)</f>
        <v/>
      </c>
      <c r="M3162" s="5">
        <f>IF(L3162="","",L3162+6)</f>
        <v/>
      </c>
      <c r="N3162" s="6">
        <f>IF(OR(A3162="",B3162=""),"",DATE(YEAR(B3162),MONTH(B3162),1))</f>
        <v/>
      </c>
      <c r="O3162" s="7">
        <f>IF(COUNTA(A3162:K3162)=0,"",IF(OR(A3162="",B3162=""),"Preencher CPF e entrada",IF(COUNTIFS($A$12:$A$5011,A3162,$B$12:$B$5011,B3162)&gt;1,"CPF + dia duplicado",IF(OR(AND(G3162&lt;&gt;"",G3162&lt;&gt;0,G3162&lt;&gt;1),AND(H3162&lt;&gt;"",H3162&lt;&gt;0,H3162&lt;&gt;1)),"Flags devem ser 0 ou 1",IF(AND(H3162=1,LEN(TRIM(I3162))=0),"Preencher nome do indicante",IF(AND(H3162&lt;&gt;1,I3162&lt;&gt;""),"Nome sem indicação interna",IF(AND(G3162=1,F3162=""),"Fechamento sem conversa",IF(OR(AND(E3162&lt;&gt;"",E3162&lt;B3162),AND(F3162&lt;&gt;"",F3162&lt;B3162)),"Evento anterior à entrada",IF(AND(F3162&lt;&gt;"",E3162=""),"Conversa sem agendamento",IF(OR(E3162&gt;TODAY(),F3162&gt;TODAY()),"Verificar evento futuro","OK"))))))))))</f>
        <v/>
      </c>
    </row>
    <row r="3163" spans="12:15">
      <c r="L3163" s="5">
        <f>IF(OR(A3163="",B3163=""),"",B3163-WEEKDAY(B3163,2)+1)</f>
        <v/>
      </c>
      <c r="M3163" s="5">
        <f>IF(L3163="","",L3163+6)</f>
        <v/>
      </c>
      <c r="N3163" s="6">
        <f>IF(OR(A3163="",B3163=""),"",DATE(YEAR(B3163),MONTH(B3163),1))</f>
        <v/>
      </c>
      <c r="O3163" s="7">
        <f>IF(COUNTA(A3163:K3163)=0,"",IF(OR(A3163="",B3163=""),"Preencher CPF e entrada",IF(COUNTIFS($A$12:$A$5011,A3163,$B$12:$B$5011,B3163)&gt;1,"CPF + dia duplicado",IF(OR(AND(G3163&lt;&gt;"",G3163&lt;&gt;0,G3163&lt;&gt;1),AND(H3163&lt;&gt;"",H3163&lt;&gt;0,H3163&lt;&gt;1)),"Flags devem ser 0 ou 1",IF(AND(H3163=1,LEN(TRIM(I3163))=0),"Preencher nome do indicante",IF(AND(H3163&lt;&gt;1,I3163&lt;&gt;""),"Nome sem indicação interna",IF(AND(G3163=1,F3163=""),"Fechamento sem conversa",IF(OR(AND(E3163&lt;&gt;"",E3163&lt;B3163),AND(F3163&lt;&gt;"",F3163&lt;B3163)),"Evento anterior à entrada",IF(AND(F3163&lt;&gt;"",E3163=""),"Conversa sem agendamento",IF(OR(E3163&gt;TODAY(),F3163&gt;TODAY()),"Verificar evento futuro","OK"))))))))))</f>
        <v/>
      </c>
    </row>
    <row r="3164" spans="12:15">
      <c r="L3164" s="5">
        <f>IF(OR(A3164="",B3164=""),"",B3164-WEEKDAY(B3164,2)+1)</f>
        <v/>
      </c>
      <c r="M3164" s="5">
        <f>IF(L3164="","",L3164+6)</f>
        <v/>
      </c>
      <c r="N3164" s="6">
        <f>IF(OR(A3164="",B3164=""),"",DATE(YEAR(B3164),MONTH(B3164),1))</f>
        <v/>
      </c>
      <c r="O3164" s="7">
        <f>IF(COUNTA(A3164:K3164)=0,"",IF(OR(A3164="",B3164=""),"Preencher CPF e entrada",IF(COUNTIFS($A$12:$A$5011,A3164,$B$12:$B$5011,B3164)&gt;1,"CPF + dia duplicado",IF(OR(AND(G3164&lt;&gt;"",G3164&lt;&gt;0,G3164&lt;&gt;1),AND(H3164&lt;&gt;"",H3164&lt;&gt;0,H3164&lt;&gt;1)),"Flags devem ser 0 ou 1",IF(AND(H3164=1,LEN(TRIM(I3164))=0),"Preencher nome do indicante",IF(AND(H3164&lt;&gt;1,I3164&lt;&gt;""),"Nome sem indicação interna",IF(AND(G3164=1,F3164=""),"Fechamento sem conversa",IF(OR(AND(E3164&lt;&gt;"",E3164&lt;B3164),AND(F3164&lt;&gt;"",F3164&lt;B3164)),"Evento anterior à entrada",IF(AND(F3164&lt;&gt;"",E3164=""),"Conversa sem agendamento",IF(OR(E3164&gt;TODAY(),F3164&gt;TODAY()),"Verificar evento futuro","OK"))))))))))</f>
        <v/>
      </c>
    </row>
    <row r="3165" spans="12:15">
      <c r="L3165" s="5">
        <f>IF(OR(A3165="",B3165=""),"",B3165-WEEKDAY(B3165,2)+1)</f>
        <v/>
      </c>
      <c r="M3165" s="5">
        <f>IF(L3165="","",L3165+6)</f>
        <v/>
      </c>
      <c r="N3165" s="6">
        <f>IF(OR(A3165="",B3165=""),"",DATE(YEAR(B3165),MONTH(B3165),1))</f>
        <v/>
      </c>
      <c r="O3165" s="7">
        <f>IF(COUNTA(A3165:K3165)=0,"",IF(OR(A3165="",B3165=""),"Preencher CPF e entrada",IF(COUNTIFS($A$12:$A$5011,A3165,$B$12:$B$5011,B3165)&gt;1,"CPF + dia duplicado",IF(OR(AND(G3165&lt;&gt;"",G3165&lt;&gt;0,G3165&lt;&gt;1),AND(H3165&lt;&gt;"",H3165&lt;&gt;0,H3165&lt;&gt;1)),"Flags devem ser 0 ou 1",IF(AND(H3165=1,LEN(TRIM(I3165))=0),"Preencher nome do indicante",IF(AND(H3165&lt;&gt;1,I3165&lt;&gt;""),"Nome sem indicação interna",IF(AND(G3165=1,F3165=""),"Fechamento sem conversa",IF(OR(AND(E3165&lt;&gt;"",E3165&lt;B3165),AND(F3165&lt;&gt;"",F3165&lt;B3165)),"Evento anterior à entrada",IF(AND(F3165&lt;&gt;"",E3165=""),"Conversa sem agendamento",IF(OR(E3165&gt;TODAY(),F3165&gt;TODAY()),"Verificar evento futuro","OK"))))))))))</f>
        <v/>
      </c>
    </row>
    <row r="3166" spans="12:15">
      <c r="L3166" s="5">
        <f>IF(OR(A3166="",B3166=""),"",B3166-WEEKDAY(B3166,2)+1)</f>
        <v/>
      </c>
      <c r="M3166" s="5">
        <f>IF(L3166="","",L3166+6)</f>
        <v/>
      </c>
      <c r="N3166" s="6">
        <f>IF(OR(A3166="",B3166=""),"",DATE(YEAR(B3166),MONTH(B3166),1))</f>
        <v/>
      </c>
      <c r="O3166" s="7">
        <f>IF(COUNTA(A3166:K3166)=0,"",IF(OR(A3166="",B3166=""),"Preencher CPF e entrada",IF(COUNTIFS($A$12:$A$5011,A3166,$B$12:$B$5011,B3166)&gt;1,"CPF + dia duplicado",IF(OR(AND(G3166&lt;&gt;"",G3166&lt;&gt;0,G3166&lt;&gt;1),AND(H3166&lt;&gt;"",H3166&lt;&gt;0,H3166&lt;&gt;1)),"Flags devem ser 0 ou 1",IF(AND(H3166=1,LEN(TRIM(I3166))=0),"Preencher nome do indicante",IF(AND(H3166&lt;&gt;1,I3166&lt;&gt;""),"Nome sem indicação interna",IF(AND(G3166=1,F3166=""),"Fechamento sem conversa",IF(OR(AND(E3166&lt;&gt;"",E3166&lt;B3166),AND(F3166&lt;&gt;"",F3166&lt;B3166)),"Evento anterior à entrada",IF(AND(F3166&lt;&gt;"",E3166=""),"Conversa sem agendamento",IF(OR(E3166&gt;TODAY(),F3166&gt;TODAY()),"Verificar evento futuro","OK"))))))))))</f>
        <v/>
      </c>
    </row>
    <row r="3167" spans="12:15">
      <c r="L3167" s="5">
        <f>IF(OR(A3167="",B3167=""),"",B3167-WEEKDAY(B3167,2)+1)</f>
        <v/>
      </c>
      <c r="M3167" s="5">
        <f>IF(L3167="","",L3167+6)</f>
        <v/>
      </c>
      <c r="N3167" s="6">
        <f>IF(OR(A3167="",B3167=""),"",DATE(YEAR(B3167),MONTH(B3167),1))</f>
        <v/>
      </c>
      <c r="O3167" s="7">
        <f>IF(COUNTA(A3167:K3167)=0,"",IF(OR(A3167="",B3167=""),"Preencher CPF e entrada",IF(COUNTIFS($A$12:$A$5011,A3167,$B$12:$B$5011,B3167)&gt;1,"CPF + dia duplicado",IF(OR(AND(G3167&lt;&gt;"",G3167&lt;&gt;0,G3167&lt;&gt;1),AND(H3167&lt;&gt;"",H3167&lt;&gt;0,H3167&lt;&gt;1)),"Flags devem ser 0 ou 1",IF(AND(H3167=1,LEN(TRIM(I3167))=0),"Preencher nome do indicante",IF(AND(H3167&lt;&gt;1,I3167&lt;&gt;""),"Nome sem indicação interna",IF(AND(G3167=1,F3167=""),"Fechamento sem conversa",IF(OR(AND(E3167&lt;&gt;"",E3167&lt;B3167),AND(F3167&lt;&gt;"",F3167&lt;B3167)),"Evento anterior à entrada",IF(AND(F3167&lt;&gt;"",E3167=""),"Conversa sem agendamento",IF(OR(E3167&gt;TODAY(),F3167&gt;TODAY()),"Verificar evento futuro","OK"))))))))))</f>
        <v/>
      </c>
    </row>
    <row r="3168" spans="12:15">
      <c r="L3168" s="5">
        <f>IF(OR(A3168="",B3168=""),"",B3168-WEEKDAY(B3168,2)+1)</f>
        <v/>
      </c>
      <c r="M3168" s="5">
        <f>IF(L3168="","",L3168+6)</f>
        <v/>
      </c>
      <c r="N3168" s="6">
        <f>IF(OR(A3168="",B3168=""),"",DATE(YEAR(B3168),MONTH(B3168),1))</f>
        <v/>
      </c>
      <c r="O3168" s="7">
        <f>IF(COUNTA(A3168:K3168)=0,"",IF(OR(A3168="",B3168=""),"Preencher CPF e entrada",IF(COUNTIFS($A$12:$A$5011,A3168,$B$12:$B$5011,B3168)&gt;1,"CPF + dia duplicado",IF(OR(AND(G3168&lt;&gt;"",G3168&lt;&gt;0,G3168&lt;&gt;1),AND(H3168&lt;&gt;"",H3168&lt;&gt;0,H3168&lt;&gt;1)),"Flags devem ser 0 ou 1",IF(AND(H3168=1,LEN(TRIM(I3168))=0),"Preencher nome do indicante",IF(AND(H3168&lt;&gt;1,I3168&lt;&gt;""),"Nome sem indicação interna",IF(AND(G3168=1,F3168=""),"Fechamento sem conversa",IF(OR(AND(E3168&lt;&gt;"",E3168&lt;B3168),AND(F3168&lt;&gt;"",F3168&lt;B3168)),"Evento anterior à entrada",IF(AND(F3168&lt;&gt;"",E3168=""),"Conversa sem agendamento",IF(OR(E3168&gt;TODAY(),F3168&gt;TODAY()),"Verificar evento futuro","OK"))))))))))</f>
        <v/>
      </c>
    </row>
    <row r="3169" spans="12:15">
      <c r="L3169" s="5">
        <f>IF(OR(A3169="",B3169=""),"",B3169-WEEKDAY(B3169,2)+1)</f>
        <v/>
      </c>
      <c r="M3169" s="5">
        <f>IF(L3169="","",L3169+6)</f>
        <v/>
      </c>
      <c r="N3169" s="6">
        <f>IF(OR(A3169="",B3169=""),"",DATE(YEAR(B3169),MONTH(B3169),1))</f>
        <v/>
      </c>
      <c r="O3169" s="7">
        <f>IF(COUNTA(A3169:K3169)=0,"",IF(OR(A3169="",B3169=""),"Preencher CPF e entrada",IF(COUNTIFS($A$12:$A$5011,A3169,$B$12:$B$5011,B3169)&gt;1,"CPF + dia duplicado",IF(OR(AND(G3169&lt;&gt;"",G3169&lt;&gt;0,G3169&lt;&gt;1),AND(H3169&lt;&gt;"",H3169&lt;&gt;0,H3169&lt;&gt;1)),"Flags devem ser 0 ou 1",IF(AND(H3169=1,LEN(TRIM(I3169))=0),"Preencher nome do indicante",IF(AND(H3169&lt;&gt;1,I3169&lt;&gt;""),"Nome sem indicação interna",IF(AND(G3169=1,F3169=""),"Fechamento sem conversa",IF(OR(AND(E3169&lt;&gt;"",E3169&lt;B3169),AND(F3169&lt;&gt;"",F3169&lt;B3169)),"Evento anterior à entrada",IF(AND(F3169&lt;&gt;"",E3169=""),"Conversa sem agendamento",IF(OR(E3169&gt;TODAY(),F3169&gt;TODAY()),"Verificar evento futuro","OK"))))))))))</f>
        <v/>
      </c>
    </row>
    <row r="3170" spans="12:15">
      <c r="L3170" s="5">
        <f>IF(OR(A3170="",B3170=""),"",B3170-WEEKDAY(B3170,2)+1)</f>
        <v/>
      </c>
      <c r="M3170" s="5">
        <f>IF(L3170="","",L3170+6)</f>
        <v/>
      </c>
      <c r="N3170" s="6">
        <f>IF(OR(A3170="",B3170=""),"",DATE(YEAR(B3170),MONTH(B3170),1))</f>
        <v/>
      </c>
      <c r="O3170" s="7">
        <f>IF(COUNTA(A3170:K3170)=0,"",IF(OR(A3170="",B3170=""),"Preencher CPF e entrada",IF(COUNTIFS($A$12:$A$5011,A3170,$B$12:$B$5011,B3170)&gt;1,"CPF + dia duplicado",IF(OR(AND(G3170&lt;&gt;"",G3170&lt;&gt;0,G3170&lt;&gt;1),AND(H3170&lt;&gt;"",H3170&lt;&gt;0,H3170&lt;&gt;1)),"Flags devem ser 0 ou 1",IF(AND(H3170=1,LEN(TRIM(I3170))=0),"Preencher nome do indicante",IF(AND(H3170&lt;&gt;1,I3170&lt;&gt;""),"Nome sem indicação interna",IF(AND(G3170=1,F3170=""),"Fechamento sem conversa",IF(OR(AND(E3170&lt;&gt;"",E3170&lt;B3170),AND(F3170&lt;&gt;"",F3170&lt;B3170)),"Evento anterior à entrada",IF(AND(F3170&lt;&gt;"",E3170=""),"Conversa sem agendamento",IF(OR(E3170&gt;TODAY(),F3170&gt;TODAY()),"Verificar evento futuro","OK"))))))))))</f>
        <v/>
      </c>
    </row>
    <row r="3171" spans="12:15">
      <c r="L3171" s="5">
        <f>IF(OR(A3171="",B3171=""),"",B3171-WEEKDAY(B3171,2)+1)</f>
        <v/>
      </c>
      <c r="M3171" s="5">
        <f>IF(L3171="","",L3171+6)</f>
        <v/>
      </c>
      <c r="N3171" s="6">
        <f>IF(OR(A3171="",B3171=""),"",DATE(YEAR(B3171),MONTH(B3171),1))</f>
        <v/>
      </c>
      <c r="O3171" s="7">
        <f>IF(COUNTA(A3171:K3171)=0,"",IF(OR(A3171="",B3171=""),"Preencher CPF e entrada",IF(COUNTIFS($A$12:$A$5011,A3171,$B$12:$B$5011,B3171)&gt;1,"CPF + dia duplicado",IF(OR(AND(G3171&lt;&gt;"",G3171&lt;&gt;0,G3171&lt;&gt;1),AND(H3171&lt;&gt;"",H3171&lt;&gt;0,H3171&lt;&gt;1)),"Flags devem ser 0 ou 1",IF(AND(H3171=1,LEN(TRIM(I3171))=0),"Preencher nome do indicante",IF(AND(H3171&lt;&gt;1,I3171&lt;&gt;""),"Nome sem indicação interna",IF(AND(G3171=1,F3171=""),"Fechamento sem conversa",IF(OR(AND(E3171&lt;&gt;"",E3171&lt;B3171),AND(F3171&lt;&gt;"",F3171&lt;B3171)),"Evento anterior à entrada",IF(AND(F3171&lt;&gt;"",E3171=""),"Conversa sem agendamento",IF(OR(E3171&gt;TODAY(),F3171&gt;TODAY()),"Verificar evento futuro","OK"))))))))))</f>
        <v/>
      </c>
    </row>
    <row r="3172" spans="12:15">
      <c r="L3172" s="5">
        <f>IF(OR(A3172="",B3172=""),"",B3172-WEEKDAY(B3172,2)+1)</f>
        <v/>
      </c>
      <c r="M3172" s="5">
        <f>IF(L3172="","",L3172+6)</f>
        <v/>
      </c>
      <c r="N3172" s="6">
        <f>IF(OR(A3172="",B3172=""),"",DATE(YEAR(B3172),MONTH(B3172),1))</f>
        <v/>
      </c>
      <c r="O3172" s="7">
        <f>IF(COUNTA(A3172:K3172)=0,"",IF(OR(A3172="",B3172=""),"Preencher CPF e entrada",IF(COUNTIFS($A$12:$A$5011,A3172,$B$12:$B$5011,B3172)&gt;1,"CPF + dia duplicado",IF(OR(AND(G3172&lt;&gt;"",G3172&lt;&gt;0,G3172&lt;&gt;1),AND(H3172&lt;&gt;"",H3172&lt;&gt;0,H3172&lt;&gt;1)),"Flags devem ser 0 ou 1",IF(AND(H3172=1,LEN(TRIM(I3172))=0),"Preencher nome do indicante",IF(AND(H3172&lt;&gt;1,I3172&lt;&gt;""),"Nome sem indicação interna",IF(AND(G3172=1,F3172=""),"Fechamento sem conversa",IF(OR(AND(E3172&lt;&gt;"",E3172&lt;B3172),AND(F3172&lt;&gt;"",F3172&lt;B3172)),"Evento anterior à entrada",IF(AND(F3172&lt;&gt;"",E3172=""),"Conversa sem agendamento",IF(OR(E3172&gt;TODAY(),F3172&gt;TODAY()),"Verificar evento futuro","OK"))))))))))</f>
        <v/>
      </c>
    </row>
    <row r="3173" spans="12:15">
      <c r="L3173" s="5">
        <f>IF(OR(A3173="",B3173=""),"",B3173-WEEKDAY(B3173,2)+1)</f>
        <v/>
      </c>
      <c r="M3173" s="5">
        <f>IF(L3173="","",L3173+6)</f>
        <v/>
      </c>
      <c r="N3173" s="6">
        <f>IF(OR(A3173="",B3173=""),"",DATE(YEAR(B3173),MONTH(B3173),1))</f>
        <v/>
      </c>
      <c r="O3173" s="7">
        <f>IF(COUNTA(A3173:K3173)=0,"",IF(OR(A3173="",B3173=""),"Preencher CPF e entrada",IF(COUNTIFS($A$12:$A$5011,A3173,$B$12:$B$5011,B3173)&gt;1,"CPF + dia duplicado",IF(OR(AND(G3173&lt;&gt;"",G3173&lt;&gt;0,G3173&lt;&gt;1),AND(H3173&lt;&gt;"",H3173&lt;&gt;0,H3173&lt;&gt;1)),"Flags devem ser 0 ou 1",IF(AND(H3173=1,LEN(TRIM(I3173))=0),"Preencher nome do indicante",IF(AND(H3173&lt;&gt;1,I3173&lt;&gt;""),"Nome sem indicação interna",IF(AND(G3173=1,F3173=""),"Fechamento sem conversa",IF(OR(AND(E3173&lt;&gt;"",E3173&lt;B3173),AND(F3173&lt;&gt;"",F3173&lt;B3173)),"Evento anterior à entrada",IF(AND(F3173&lt;&gt;"",E3173=""),"Conversa sem agendamento",IF(OR(E3173&gt;TODAY(),F3173&gt;TODAY()),"Verificar evento futuro","OK"))))))))))</f>
        <v/>
      </c>
    </row>
    <row r="3174" spans="12:15">
      <c r="L3174" s="5">
        <f>IF(OR(A3174="",B3174=""),"",B3174-WEEKDAY(B3174,2)+1)</f>
        <v/>
      </c>
      <c r="M3174" s="5">
        <f>IF(L3174="","",L3174+6)</f>
        <v/>
      </c>
      <c r="N3174" s="6">
        <f>IF(OR(A3174="",B3174=""),"",DATE(YEAR(B3174),MONTH(B3174),1))</f>
        <v/>
      </c>
      <c r="O3174" s="7">
        <f>IF(COUNTA(A3174:K3174)=0,"",IF(OR(A3174="",B3174=""),"Preencher CPF e entrada",IF(COUNTIFS($A$12:$A$5011,A3174,$B$12:$B$5011,B3174)&gt;1,"CPF + dia duplicado",IF(OR(AND(G3174&lt;&gt;"",G3174&lt;&gt;0,G3174&lt;&gt;1),AND(H3174&lt;&gt;"",H3174&lt;&gt;0,H3174&lt;&gt;1)),"Flags devem ser 0 ou 1",IF(AND(H3174=1,LEN(TRIM(I3174))=0),"Preencher nome do indicante",IF(AND(H3174&lt;&gt;1,I3174&lt;&gt;""),"Nome sem indicação interna",IF(AND(G3174=1,F3174=""),"Fechamento sem conversa",IF(OR(AND(E3174&lt;&gt;"",E3174&lt;B3174),AND(F3174&lt;&gt;"",F3174&lt;B3174)),"Evento anterior à entrada",IF(AND(F3174&lt;&gt;"",E3174=""),"Conversa sem agendamento",IF(OR(E3174&gt;TODAY(),F3174&gt;TODAY()),"Verificar evento futuro","OK"))))))))))</f>
        <v/>
      </c>
    </row>
    <row r="3175" spans="12:15">
      <c r="L3175" s="5">
        <f>IF(OR(A3175="",B3175=""),"",B3175-WEEKDAY(B3175,2)+1)</f>
        <v/>
      </c>
      <c r="M3175" s="5">
        <f>IF(L3175="","",L3175+6)</f>
        <v/>
      </c>
      <c r="N3175" s="6">
        <f>IF(OR(A3175="",B3175=""),"",DATE(YEAR(B3175),MONTH(B3175),1))</f>
        <v/>
      </c>
      <c r="O3175" s="7">
        <f>IF(COUNTA(A3175:K3175)=0,"",IF(OR(A3175="",B3175=""),"Preencher CPF e entrada",IF(COUNTIFS($A$12:$A$5011,A3175,$B$12:$B$5011,B3175)&gt;1,"CPF + dia duplicado",IF(OR(AND(G3175&lt;&gt;"",G3175&lt;&gt;0,G3175&lt;&gt;1),AND(H3175&lt;&gt;"",H3175&lt;&gt;0,H3175&lt;&gt;1)),"Flags devem ser 0 ou 1",IF(AND(H3175=1,LEN(TRIM(I3175))=0),"Preencher nome do indicante",IF(AND(H3175&lt;&gt;1,I3175&lt;&gt;""),"Nome sem indicação interna",IF(AND(G3175=1,F3175=""),"Fechamento sem conversa",IF(OR(AND(E3175&lt;&gt;"",E3175&lt;B3175),AND(F3175&lt;&gt;"",F3175&lt;B3175)),"Evento anterior à entrada",IF(AND(F3175&lt;&gt;"",E3175=""),"Conversa sem agendamento",IF(OR(E3175&gt;TODAY(),F3175&gt;TODAY()),"Verificar evento futuro","OK"))))))))))</f>
        <v/>
      </c>
    </row>
    <row r="3176" spans="12:15">
      <c r="L3176" s="5">
        <f>IF(OR(A3176="",B3176=""),"",B3176-WEEKDAY(B3176,2)+1)</f>
        <v/>
      </c>
      <c r="M3176" s="5">
        <f>IF(L3176="","",L3176+6)</f>
        <v/>
      </c>
      <c r="N3176" s="6">
        <f>IF(OR(A3176="",B3176=""),"",DATE(YEAR(B3176),MONTH(B3176),1))</f>
        <v/>
      </c>
      <c r="O3176" s="7">
        <f>IF(COUNTA(A3176:K3176)=0,"",IF(OR(A3176="",B3176=""),"Preencher CPF e entrada",IF(COUNTIFS($A$12:$A$5011,A3176,$B$12:$B$5011,B3176)&gt;1,"CPF + dia duplicado",IF(OR(AND(G3176&lt;&gt;"",G3176&lt;&gt;0,G3176&lt;&gt;1),AND(H3176&lt;&gt;"",H3176&lt;&gt;0,H3176&lt;&gt;1)),"Flags devem ser 0 ou 1",IF(AND(H3176=1,LEN(TRIM(I3176))=0),"Preencher nome do indicante",IF(AND(H3176&lt;&gt;1,I3176&lt;&gt;""),"Nome sem indicação interna",IF(AND(G3176=1,F3176=""),"Fechamento sem conversa",IF(OR(AND(E3176&lt;&gt;"",E3176&lt;B3176),AND(F3176&lt;&gt;"",F3176&lt;B3176)),"Evento anterior à entrada",IF(AND(F3176&lt;&gt;"",E3176=""),"Conversa sem agendamento",IF(OR(E3176&gt;TODAY(),F3176&gt;TODAY()),"Verificar evento futuro","OK"))))))))))</f>
        <v/>
      </c>
    </row>
    <row r="3177" spans="12:15">
      <c r="L3177" s="5">
        <f>IF(OR(A3177="",B3177=""),"",B3177-WEEKDAY(B3177,2)+1)</f>
        <v/>
      </c>
      <c r="M3177" s="5">
        <f>IF(L3177="","",L3177+6)</f>
        <v/>
      </c>
      <c r="N3177" s="6">
        <f>IF(OR(A3177="",B3177=""),"",DATE(YEAR(B3177),MONTH(B3177),1))</f>
        <v/>
      </c>
      <c r="O3177" s="7">
        <f>IF(COUNTA(A3177:K3177)=0,"",IF(OR(A3177="",B3177=""),"Preencher CPF e entrada",IF(COUNTIFS($A$12:$A$5011,A3177,$B$12:$B$5011,B3177)&gt;1,"CPF + dia duplicado",IF(OR(AND(G3177&lt;&gt;"",G3177&lt;&gt;0,G3177&lt;&gt;1),AND(H3177&lt;&gt;"",H3177&lt;&gt;0,H3177&lt;&gt;1)),"Flags devem ser 0 ou 1",IF(AND(H3177=1,LEN(TRIM(I3177))=0),"Preencher nome do indicante",IF(AND(H3177&lt;&gt;1,I3177&lt;&gt;""),"Nome sem indicação interna",IF(AND(G3177=1,F3177=""),"Fechamento sem conversa",IF(OR(AND(E3177&lt;&gt;"",E3177&lt;B3177),AND(F3177&lt;&gt;"",F3177&lt;B3177)),"Evento anterior à entrada",IF(AND(F3177&lt;&gt;"",E3177=""),"Conversa sem agendamento",IF(OR(E3177&gt;TODAY(),F3177&gt;TODAY()),"Verificar evento futuro","OK"))))))))))</f>
        <v/>
      </c>
    </row>
    <row r="3178" spans="12:15">
      <c r="L3178" s="5">
        <f>IF(OR(A3178="",B3178=""),"",B3178-WEEKDAY(B3178,2)+1)</f>
        <v/>
      </c>
      <c r="M3178" s="5">
        <f>IF(L3178="","",L3178+6)</f>
        <v/>
      </c>
      <c r="N3178" s="6">
        <f>IF(OR(A3178="",B3178=""),"",DATE(YEAR(B3178),MONTH(B3178),1))</f>
        <v/>
      </c>
      <c r="O3178" s="7">
        <f>IF(COUNTA(A3178:K3178)=0,"",IF(OR(A3178="",B3178=""),"Preencher CPF e entrada",IF(COUNTIFS($A$12:$A$5011,A3178,$B$12:$B$5011,B3178)&gt;1,"CPF + dia duplicado",IF(OR(AND(G3178&lt;&gt;"",G3178&lt;&gt;0,G3178&lt;&gt;1),AND(H3178&lt;&gt;"",H3178&lt;&gt;0,H3178&lt;&gt;1)),"Flags devem ser 0 ou 1",IF(AND(H3178=1,LEN(TRIM(I3178))=0),"Preencher nome do indicante",IF(AND(H3178&lt;&gt;1,I3178&lt;&gt;""),"Nome sem indicação interna",IF(AND(G3178=1,F3178=""),"Fechamento sem conversa",IF(OR(AND(E3178&lt;&gt;"",E3178&lt;B3178),AND(F3178&lt;&gt;"",F3178&lt;B3178)),"Evento anterior à entrada",IF(AND(F3178&lt;&gt;"",E3178=""),"Conversa sem agendamento",IF(OR(E3178&gt;TODAY(),F3178&gt;TODAY()),"Verificar evento futuro","OK"))))))))))</f>
        <v/>
      </c>
    </row>
    <row r="3179" spans="12:15">
      <c r="L3179" s="5">
        <f>IF(OR(A3179="",B3179=""),"",B3179-WEEKDAY(B3179,2)+1)</f>
        <v/>
      </c>
      <c r="M3179" s="5">
        <f>IF(L3179="","",L3179+6)</f>
        <v/>
      </c>
      <c r="N3179" s="6">
        <f>IF(OR(A3179="",B3179=""),"",DATE(YEAR(B3179),MONTH(B3179),1))</f>
        <v/>
      </c>
      <c r="O3179" s="7">
        <f>IF(COUNTA(A3179:K3179)=0,"",IF(OR(A3179="",B3179=""),"Preencher CPF e entrada",IF(COUNTIFS($A$12:$A$5011,A3179,$B$12:$B$5011,B3179)&gt;1,"CPF + dia duplicado",IF(OR(AND(G3179&lt;&gt;"",G3179&lt;&gt;0,G3179&lt;&gt;1),AND(H3179&lt;&gt;"",H3179&lt;&gt;0,H3179&lt;&gt;1)),"Flags devem ser 0 ou 1",IF(AND(H3179=1,LEN(TRIM(I3179))=0),"Preencher nome do indicante",IF(AND(H3179&lt;&gt;1,I3179&lt;&gt;""),"Nome sem indicação interna",IF(AND(G3179=1,F3179=""),"Fechamento sem conversa",IF(OR(AND(E3179&lt;&gt;"",E3179&lt;B3179),AND(F3179&lt;&gt;"",F3179&lt;B3179)),"Evento anterior à entrada",IF(AND(F3179&lt;&gt;"",E3179=""),"Conversa sem agendamento",IF(OR(E3179&gt;TODAY(),F3179&gt;TODAY()),"Verificar evento futuro","OK"))))))))))</f>
        <v/>
      </c>
    </row>
    <row r="3180" spans="12:15">
      <c r="L3180" s="5">
        <f>IF(OR(A3180="",B3180=""),"",B3180-WEEKDAY(B3180,2)+1)</f>
        <v/>
      </c>
      <c r="M3180" s="5">
        <f>IF(L3180="","",L3180+6)</f>
        <v/>
      </c>
      <c r="N3180" s="6">
        <f>IF(OR(A3180="",B3180=""),"",DATE(YEAR(B3180),MONTH(B3180),1))</f>
        <v/>
      </c>
      <c r="O3180" s="7">
        <f>IF(COUNTA(A3180:K3180)=0,"",IF(OR(A3180="",B3180=""),"Preencher CPF e entrada",IF(COUNTIFS($A$12:$A$5011,A3180,$B$12:$B$5011,B3180)&gt;1,"CPF + dia duplicado",IF(OR(AND(G3180&lt;&gt;"",G3180&lt;&gt;0,G3180&lt;&gt;1),AND(H3180&lt;&gt;"",H3180&lt;&gt;0,H3180&lt;&gt;1)),"Flags devem ser 0 ou 1",IF(AND(H3180=1,LEN(TRIM(I3180))=0),"Preencher nome do indicante",IF(AND(H3180&lt;&gt;1,I3180&lt;&gt;""),"Nome sem indicação interna",IF(AND(G3180=1,F3180=""),"Fechamento sem conversa",IF(OR(AND(E3180&lt;&gt;"",E3180&lt;B3180),AND(F3180&lt;&gt;"",F3180&lt;B3180)),"Evento anterior à entrada",IF(AND(F3180&lt;&gt;"",E3180=""),"Conversa sem agendamento",IF(OR(E3180&gt;TODAY(),F3180&gt;TODAY()),"Verificar evento futuro","OK"))))))))))</f>
        <v/>
      </c>
    </row>
    <row r="3181" spans="12:15">
      <c r="L3181" s="5">
        <f>IF(OR(A3181="",B3181=""),"",B3181-WEEKDAY(B3181,2)+1)</f>
        <v/>
      </c>
      <c r="M3181" s="5">
        <f>IF(L3181="","",L3181+6)</f>
        <v/>
      </c>
      <c r="N3181" s="6">
        <f>IF(OR(A3181="",B3181=""),"",DATE(YEAR(B3181),MONTH(B3181),1))</f>
        <v/>
      </c>
      <c r="O3181" s="7">
        <f>IF(COUNTA(A3181:K3181)=0,"",IF(OR(A3181="",B3181=""),"Preencher CPF e entrada",IF(COUNTIFS($A$12:$A$5011,A3181,$B$12:$B$5011,B3181)&gt;1,"CPF + dia duplicado",IF(OR(AND(G3181&lt;&gt;"",G3181&lt;&gt;0,G3181&lt;&gt;1),AND(H3181&lt;&gt;"",H3181&lt;&gt;0,H3181&lt;&gt;1)),"Flags devem ser 0 ou 1",IF(AND(H3181=1,LEN(TRIM(I3181))=0),"Preencher nome do indicante",IF(AND(H3181&lt;&gt;1,I3181&lt;&gt;""),"Nome sem indicação interna",IF(AND(G3181=1,F3181=""),"Fechamento sem conversa",IF(OR(AND(E3181&lt;&gt;"",E3181&lt;B3181),AND(F3181&lt;&gt;"",F3181&lt;B3181)),"Evento anterior à entrada",IF(AND(F3181&lt;&gt;"",E3181=""),"Conversa sem agendamento",IF(OR(E3181&gt;TODAY(),F3181&gt;TODAY()),"Verificar evento futuro","OK"))))))))))</f>
        <v/>
      </c>
    </row>
    <row r="3182" spans="12:15">
      <c r="L3182" s="5">
        <f>IF(OR(A3182="",B3182=""),"",B3182-WEEKDAY(B3182,2)+1)</f>
        <v/>
      </c>
      <c r="M3182" s="5">
        <f>IF(L3182="","",L3182+6)</f>
        <v/>
      </c>
      <c r="N3182" s="6">
        <f>IF(OR(A3182="",B3182=""),"",DATE(YEAR(B3182),MONTH(B3182),1))</f>
        <v/>
      </c>
      <c r="O3182" s="7">
        <f>IF(COUNTA(A3182:K3182)=0,"",IF(OR(A3182="",B3182=""),"Preencher CPF e entrada",IF(COUNTIFS($A$12:$A$5011,A3182,$B$12:$B$5011,B3182)&gt;1,"CPF + dia duplicado",IF(OR(AND(G3182&lt;&gt;"",G3182&lt;&gt;0,G3182&lt;&gt;1),AND(H3182&lt;&gt;"",H3182&lt;&gt;0,H3182&lt;&gt;1)),"Flags devem ser 0 ou 1",IF(AND(H3182=1,LEN(TRIM(I3182))=0),"Preencher nome do indicante",IF(AND(H3182&lt;&gt;1,I3182&lt;&gt;""),"Nome sem indicação interna",IF(AND(G3182=1,F3182=""),"Fechamento sem conversa",IF(OR(AND(E3182&lt;&gt;"",E3182&lt;B3182),AND(F3182&lt;&gt;"",F3182&lt;B3182)),"Evento anterior à entrada",IF(AND(F3182&lt;&gt;"",E3182=""),"Conversa sem agendamento",IF(OR(E3182&gt;TODAY(),F3182&gt;TODAY()),"Verificar evento futuro","OK"))))))))))</f>
        <v/>
      </c>
    </row>
    <row r="3183" spans="12:15">
      <c r="L3183" s="5">
        <f>IF(OR(A3183="",B3183=""),"",B3183-WEEKDAY(B3183,2)+1)</f>
        <v/>
      </c>
      <c r="M3183" s="5">
        <f>IF(L3183="","",L3183+6)</f>
        <v/>
      </c>
      <c r="N3183" s="6">
        <f>IF(OR(A3183="",B3183=""),"",DATE(YEAR(B3183),MONTH(B3183),1))</f>
        <v/>
      </c>
      <c r="O3183" s="7">
        <f>IF(COUNTA(A3183:K3183)=0,"",IF(OR(A3183="",B3183=""),"Preencher CPF e entrada",IF(COUNTIFS($A$12:$A$5011,A3183,$B$12:$B$5011,B3183)&gt;1,"CPF + dia duplicado",IF(OR(AND(G3183&lt;&gt;"",G3183&lt;&gt;0,G3183&lt;&gt;1),AND(H3183&lt;&gt;"",H3183&lt;&gt;0,H3183&lt;&gt;1)),"Flags devem ser 0 ou 1",IF(AND(H3183=1,LEN(TRIM(I3183))=0),"Preencher nome do indicante",IF(AND(H3183&lt;&gt;1,I3183&lt;&gt;""),"Nome sem indicação interna",IF(AND(G3183=1,F3183=""),"Fechamento sem conversa",IF(OR(AND(E3183&lt;&gt;"",E3183&lt;B3183),AND(F3183&lt;&gt;"",F3183&lt;B3183)),"Evento anterior à entrada",IF(AND(F3183&lt;&gt;"",E3183=""),"Conversa sem agendamento",IF(OR(E3183&gt;TODAY(),F3183&gt;TODAY()),"Verificar evento futuro","OK"))))))))))</f>
        <v/>
      </c>
    </row>
    <row r="3184" spans="12:15">
      <c r="L3184" s="5">
        <f>IF(OR(A3184="",B3184=""),"",B3184-WEEKDAY(B3184,2)+1)</f>
        <v/>
      </c>
      <c r="M3184" s="5">
        <f>IF(L3184="","",L3184+6)</f>
        <v/>
      </c>
      <c r="N3184" s="6">
        <f>IF(OR(A3184="",B3184=""),"",DATE(YEAR(B3184),MONTH(B3184),1))</f>
        <v/>
      </c>
      <c r="O3184" s="7">
        <f>IF(COUNTA(A3184:K3184)=0,"",IF(OR(A3184="",B3184=""),"Preencher CPF e entrada",IF(COUNTIFS($A$12:$A$5011,A3184,$B$12:$B$5011,B3184)&gt;1,"CPF + dia duplicado",IF(OR(AND(G3184&lt;&gt;"",G3184&lt;&gt;0,G3184&lt;&gt;1),AND(H3184&lt;&gt;"",H3184&lt;&gt;0,H3184&lt;&gt;1)),"Flags devem ser 0 ou 1",IF(AND(H3184=1,LEN(TRIM(I3184))=0),"Preencher nome do indicante",IF(AND(H3184&lt;&gt;1,I3184&lt;&gt;""),"Nome sem indicação interna",IF(AND(G3184=1,F3184=""),"Fechamento sem conversa",IF(OR(AND(E3184&lt;&gt;"",E3184&lt;B3184),AND(F3184&lt;&gt;"",F3184&lt;B3184)),"Evento anterior à entrada",IF(AND(F3184&lt;&gt;"",E3184=""),"Conversa sem agendamento",IF(OR(E3184&gt;TODAY(),F3184&gt;TODAY()),"Verificar evento futuro","OK"))))))))))</f>
        <v/>
      </c>
    </row>
    <row r="3185" spans="12:15">
      <c r="L3185" s="5">
        <f>IF(OR(A3185="",B3185=""),"",B3185-WEEKDAY(B3185,2)+1)</f>
        <v/>
      </c>
      <c r="M3185" s="5">
        <f>IF(L3185="","",L3185+6)</f>
        <v/>
      </c>
      <c r="N3185" s="6">
        <f>IF(OR(A3185="",B3185=""),"",DATE(YEAR(B3185),MONTH(B3185),1))</f>
        <v/>
      </c>
      <c r="O3185" s="7">
        <f>IF(COUNTA(A3185:K3185)=0,"",IF(OR(A3185="",B3185=""),"Preencher CPF e entrada",IF(COUNTIFS($A$12:$A$5011,A3185,$B$12:$B$5011,B3185)&gt;1,"CPF + dia duplicado",IF(OR(AND(G3185&lt;&gt;"",G3185&lt;&gt;0,G3185&lt;&gt;1),AND(H3185&lt;&gt;"",H3185&lt;&gt;0,H3185&lt;&gt;1)),"Flags devem ser 0 ou 1",IF(AND(H3185=1,LEN(TRIM(I3185))=0),"Preencher nome do indicante",IF(AND(H3185&lt;&gt;1,I3185&lt;&gt;""),"Nome sem indicação interna",IF(AND(G3185=1,F3185=""),"Fechamento sem conversa",IF(OR(AND(E3185&lt;&gt;"",E3185&lt;B3185),AND(F3185&lt;&gt;"",F3185&lt;B3185)),"Evento anterior à entrada",IF(AND(F3185&lt;&gt;"",E3185=""),"Conversa sem agendamento",IF(OR(E3185&gt;TODAY(),F3185&gt;TODAY()),"Verificar evento futuro","OK"))))))))))</f>
        <v/>
      </c>
    </row>
    <row r="3186" spans="12:15">
      <c r="L3186" s="5">
        <f>IF(OR(A3186="",B3186=""),"",B3186-WEEKDAY(B3186,2)+1)</f>
        <v/>
      </c>
      <c r="M3186" s="5">
        <f>IF(L3186="","",L3186+6)</f>
        <v/>
      </c>
      <c r="N3186" s="6">
        <f>IF(OR(A3186="",B3186=""),"",DATE(YEAR(B3186),MONTH(B3186),1))</f>
        <v/>
      </c>
      <c r="O3186" s="7">
        <f>IF(COUNTA(A3186:K3186)=0,"",IF(OR(A3186="",B3186=""),"Preencher CPF e entrada",IF(COUNTIFS($A$12:$A$5011,A3186,$B$12:$B$5011,B3186)&gt;1,"CPF + dia duplicado",IF(OR(AND(G3186&lt;&gt;"",G3186&lt;&gt;0,G3186&lt;&gt;1),AND(H3186&lt;&gt;"",H3186&lt;&gt;0,H3186&lt;&gt;1)),"Flags devem ser 0 ou 1",IF(AND(H3186=1,LEN(TRIM(I3186))=0),"Preencher nome do indicante",IF(AND(H3186&lt;&gt;1,I3186&lt;&gt;""),"Nome sem indicação interna",IF(AND(G3186=1,F3186=""),"Fechamento sem conversa",IF(OR(AND(E3186&lt;&gt;"",E3186&lt;B3186),AND(F3186&lt;&gt;"",F3186&lt;B3186)),"Evento anterior à entrada",IF(AND(F3186&lt;&gt;"",E3186=""),"Conversa sem agendamento",IF(OR(E3186&gt;TODAY(),F3186&gt;TODAY()),"Verificar evento futuro","OK"))))))))))</f>
        <v/>
      </c>
    </row>
    <row r="3187" spans="12:15">
      <c r="L3187" s="5">
        <f>IF(OR(A3187="",B3187=""),"",B3187-WEEKDAY(B3187,2)+1)</f>
        <v/>
      </c>
      <c r="M3187" s="5">
        <f>IF(L3187="","",L3187+6)</f>
        <v/>
      </c>
      <c r="N3187" s="6">
        <f>IF(OR(A3187="",B3187=""),"",DATE(YEAR(B3187),MONTH(B3187),1))</f>
        <v/>
      </c>
      <c r="O3187" s="7">
        <f>IF(COUNTA(A3187:K3187)=0,"",IF(OR(A3187="",B3187=""),"Preencher CPF e entrada",IF(COUNTIFS($A$12:$A$5011,A3187,$B$12:$B$5011,B3187)&gt;1,"CPF + dia duplicado",IF(OR(AND(G3187&lt;&gt;"",G3187&lt;&gt;0,G3187&lt;&gt;1),AND(H3187&lt;&gt;"",H3187&lt;&gt;0,H3187&lt;&gt;1)),"Flags devem ser 0 ou 1",IF(AND(H3187=1,LEN(TRIM(I3187))=0),"Preencher nome do indicante",IF(AND(H3187&lt;&gt;1,I3187&lt;&gt;""),"Nome sem indicação interna",IF(AND(G3187=1,F3187=""),"Fechamento sem conversa",IF(OR(AND(E3187&lt;&gt;"",E3187&lt;B3187),AND(F3187&lt;&gt;"",F3187&lt;B3187)),"Evento anterior à entrada",IF(AND(F3187&lt;&gt;"",E3187=""),"Conversa sem agendamento",IF(OR(E3187&gt;TODAY(),F3187&gt;TODAY()),"Verificar evento futuro","OK"))))))))))</f>
        <v/>
      </c>
    </row>
    <row r="3188" spans="12:15">
      <c r="L3188" s="5">
        <f>IF(OR(A3188="",B3188=""),"",B3188-WEEKDAY(B3188,2)+1)</f>
        <v/>
      </c>
      <c r="M3188" s="5">
        <f>IF(L3188="","",L3188+6)</f>
        <v/>
      </c>
      <c r="N3188" s="6">
        <f>IF(OR(A3188="",B3188=""),"",DATE(YEAR(B3188),MONTH(B3188),1))</f>
        <v/>
      </c>
      <c r="O3188" s="7">
        <f>IF(COUNTA(A3188:K3188)=0,"",IF(OR(A3188="",B3188=""),"Preencher CPF e entrada",IF(COUNTIFS($A$12:$A$5011,A3188,$B$12:$B$5011,B3188)&gt;1,"CPF + dia duplicado",IF(OR(AND(G3188&lt;&gt;"",G3188&lt;&gt;0,G3188&lt;&gt;1),AND(H3188&lt;&gt;"",H3188&lt;&gt;0,H3188&lt;&gt;1)),"Flags devem ser 0 ou 1",IF(AND(H3188=1,LEN(TRIM(I3188))=0),"Preencher nome do indicante",IF(AND(H3188&lt;&gt;1,I3188&lt;&gt;""),"Nome sem indicação interna",IF(AND(G3188=1,F3188=""),"Fechamento sem conversa",IF(OR(AND(E3188&lt;&gt;"",E3188&lt;B3188),AND(F3188&lt;&gt;"",F3188&lt;B3188)),"Evento anterior à entrada",IF(AND(F3188&lt;&gt;"",E3188=""),"Conversa sem agendamento",IF(OR(E3188&gt;TODAY(),F3188&gt;TODAY()),"Verificar evento futuro","OK"))))))))))</f>
        <v/>
      </c>
    </row>
    <row r="3189" spans="12:15">
      <c r="L3189" s="5">
        <f>IF(OR(A3189="",B3189=""),"",B3189-WEEKDAY(B3189,2)+1)</f>
        <v/>
      </c>
      <c r="M3189" s="5">
        <f>IF(L3189="","",L3189+6)</f>
        <v/>
      </c>
      <c r="N3189" s="6">
        <f>IF(OR(A3189="",B3189=""),"",DATE(YEAR(B3189),MONTH(B3189),1))</f>
        <v/>
      </c>
      <c r="O3189" s="7">
        <f>IF(COUNTA(A3189:K3189)=0,"",IF(OR(A3189="",B3189=""),"Preencher CPF e entrada",IF(COUNTIFS($A$12:$A$5011,A3189,$B$12:$B$5011,B3189)&gt;1,"CPF + dia duplicado",IF(OR(AND(G3189&lt;&gt;"",G3189&lt;&gt;0,G3189&lt;&gt;1),AND(H3189&lt;&gt;"",H3189&lt;&gt;0,H3189&lt;&gt;1)),"Flags devem ser 0 ou 1",IF(AND(H3189=1,LEN(TRIM(I3189))=0),"Preencher nome do indicante",IF(AND(H3189&lt;&gt;1,I3189&lt;&gt;""),"Nome sem indicação interna",IF(AND(G3189=1,F3189=""),"Fechamento sem conversa",IF(OR(AND(E3189&lt;&gt;"",E3189&lt;B3189),AND(F3189&lt;&gt;"",F3189&lt;B3189)),"Evento anterior à entrada",IF(AND(F3189&lt;&gt;"",E3189=""),"Conversa sem agendamento",IF(OR(E3189&gt;TODAY(),F3189&gt;TODAY()),"Verificar evento futuro","OK"))))))))))</f>
        <v/>
      </c>
    </row>
    <row r="3190" spans="12:15">
      <c r="L3190" s="5">
        <f>IF(OR(A3190="",B3190=""),"",B3190-WEEKDAY(B3190,2)+1)</f>
        <v/>
      </c>
      <c r="M3190" s="5">
        <f>IF(L3190="","",L3190+6)</f>
        <v/>
      </c>
      <c r="N3190" s="6">
        <f>IF(OR(A3190="",B3190=""),"",DATE(YEAR(B3190),MONTH(B3190),1))</f>
        <v/>
      </c>
      <c r="O3190" s="7">
        <f>IF(COUNTA(A3190:K3190)=0,"",IF(OR(A3190="",B3190=""),"Preencher CPF e entrada",IF(COUNTIFS($A$12:$A$5011,A3190,$B$12:$B$5011,B3190)&gt;1,"CPF + dia duplicado",IF(OR(AND(G3190&lt;&gt;"",G3190&lt;&gt;0,G3190&lt;&gt;1),AND(H3190&lt;&gt;"",H3190&lt;&gt;0,H3190&lt;&gt;1)),"Flags devem ser 0 ou 1",IF(AND(H3190=1,LEN(TRIM(I3190))=0),"Preencher nome do indicante",IF(AND(H3190&lt;&gt;1,I3190&lt;&gt;""),"Nome sem indicação interna",IF(AND(G3190=1,F3190=""),"Fechamento sem conversa",IF(OR(AND(E3190&lt;&gt;"",E3190&lt;B3190),AND(F3190&lt;&gt;"",F3190&lt;B3190)),"Evento anterior à entrada",IF(AND(F3190&lt;&gt;"",E3190=""),"Conversa sem agendamento",IF(OR(E3190&gt;TODAY(),F3190&gt;TODAY()),"Verificar evento futuro","OK"))))))))))</f>
        <v/>
      </c>
    </row>
    <row r="3191" spans="12:15">
      <c r="L3191" s="5">
        <f>IF(OR(A3191="",B3191=""),"",B3191-WEEKDAY(B3191,2)+1)</f>
        <v/>
      </c>
      <c r="M3191" s="5">
        <f>IF(L3191="","",L3191+6)</f>
        <v/>
      </c>
      <c r="N3191" s="6">
        <f>IF(OR(A3191="",B3191=""),"",DATE(YEAR(B3191),MONTH(B3191),1))</f>
        <v/>
      </c>
      <c r="O3191" s="7">
        <f>IF(COUNTA(A3191:K3191)=0,"",IF(OR(A3191="",B3191=""),"Preencher CPF e entrada",IF(COUNTIFS($A$12:$A$5011,A3191,$B$12:$B$5011,B3191)&gt;1,"CPF + dia duplicado",IF(OR(AND(G3191&lt;&gt;"",G3191&lt;&gt;0,G3191&lt;&gt;1),AND(H3191&lt;&gt;"",H3191&lt;&gt;0,H3191&lt;&gt;1)),"Flags devem ser 0 ou 1",IF(AND(H3191=1,LEN(TRIM(I3191))=0),"Preencher nome do indicante",IF(AND(H3191&lt;&gt;1,I3191&lt;&gt;""),"Nome sem indicação interna",IF(AND(G3191=1,F3191=""),"Fechamento sem conversa",IF(OR(AND(E3191&lt;&gt;"",E3191&lt;B3191),AND(F3191&lt;&gt;"",F3191&lt;B3191)),"Evento anterior à entrada",IF(AND(F3191&lt;&gt;"",E3191=""),"Conversa sem agendamento",IF(OR(E3191&gt;TODAY(),F3191&gt;TODAY()),"Verificar evento futuro","OK"))))))))))</f>
        <v/>
      </c>
    </row>
    <row r="3192" spans="12:15">
      <c r="L3192" s="5">
        <f>IF(OR(A3192="",B3192=""),"",B3192-WEEKDAY(B3192,2)+1)</f>
        <v/>
      </c>
      <c r="M3192" s="5">
        <f>IF(L3192="","",L3192+6)</f>
        <v/>
      </c>
      <c r="N3192" s="6">
        <f>IF(OR(A3192="",B3192=""),"",DATE(YEAR(B3192),MONTH(B3192),1))</f>
        <v/>
      </c>
      <c r="O3192" s="7">
        <f>IF(COUNTA(A3192:K3192)=0,"",IF(OR(A3192="",B3192=""),"Preencher CPF e entrada",IF(COUNTIFS($A$12:$A$5011,A3192,$B$12:$B$5011,B3192)&gt;1,"CPF + dia duplicado",IF(OR(AND(G3192&lt;&gt;"",G3192&lt;&gt;0,G3192&lt;&gt;1),AND(H3192&lt;&gt;"",H3192&lt;&gt;0,H3192&lt;&gt;1)),"Flags devem ser 0 ou 1",IF(AND(H3192=1,LEN(TRIM(I3192))=0),"Preencher nome do indicante",IF(AND(H3192&lt;&gt;1,I3192&lt;&gt;""),"Nome sem indicação interna",IF(AND(G3192=1,F3192=""),"Fechamento sem conversa",IF(OR(AND(E3192&lt;&gt;"",E3192&lt;B3192),AND(F3192&lt;&gt;"",F3192&lt;B3192)),"Evento anterior à entrada",IF(AND(F3192&lt;&gt;"",E3192=""),"Conversa sem agendamento",IF(OR(E3192&gt;TODAY(),F3192&gt;TODAY()),"Verificar evento futuro","OK"))))))))))</f>
        <v/>
      </c>
    </row>
    <row r="3193" spans="12:15">
      <c r="L3193" s="5">
        <f>IF(OR(A3193="",B3193=""),"",B3193-WEEKDAY(B3193,2)+1)</f>
        <v/>
      </c>
      <c r="M3193" s="5">
        <f>IF(L3193="","",L3193+6)</f>
        <v/>
      </c>
      <c r="N3193" s="6">
        <f>IF(OR(A3193="",B3193=""),"",DATE(YEAR(B3193),MONTH(B3193),1))</f>
        <v/>
      </c>
      <c r="O3193" s="7">
        <f>IF(COUNTA(A3193:K3193)=0,"",IF(OR(A3193="",B3193=""),"Preencher CPF e entrada",IF(COUNTIFS($A$12:$A$5011,A3193,$B$12:$B$5011,B3193)&gt;1,"CPF + dia duplicado",IF(OR(AND(G3193&lt;&gt;"",G3193&lt;&gt;0,G3193&lt;&gt;1),AND(H3193&lt;&gt;"",H3193&lt;&gt;0,H3193&lt;&gt;1)),"Flags devem ser 0 ou 1",IF(AND(H3193=1,LEN(TRIM(I3193))=0),"Preencher nome do indicante",IF(AND(H3193&lt;&gt;1,I3193&lt;&gt;""),"Nome sem indicação interna",IF(AND(G3193=1,F3193=""),"Fechamento sem conversa",IF(OR(AND(E3193&lt;&gt;"",E3193&lt;B3193),AND(F3193&lt;&gt;"",F3193&lt;B3193)),"Evento anterior à entrada",IF(AND(F3193&lt;&gt;"",E3193=""),"Conversa sem agendamento",IF(OR(E3193&gt;TODAY(),F3193&gt;TODAY()),"Verificar evento futuro","OK"))))))))))</f>
        <v/>
      </c>
    </row>
    <row r="3194" spans="12:15">
      <c r="L3194" s="5">
        <f>IF(OR(A3194="",B3194=""),"",B3194-WEEKDAY(B3194,2)+1)</f>
        <v/>
      </c>
      <c r="M3194" s="5">
        <f>IF(L3194="","",L3194+6)</f>
        <v/>
      </c>
      <c r="N3194" s="6">
        <f>IF(OR(A3194="",B3194=""),"",DATE(YEAR(B3194),MONTH(B3194),1))</f>
        <v/>
      </c>
      <c r="O3194" s="7">
        <f>IF(COUNTA(A3194:K3194)=0,"",IF(OR(A3194="",B3194=""),"Preencher CPF e entrada",IF(COUNTIFS($A$12:$A$5011,A3194,$B$12:$B$5011,B3194)&gt;1,"CPF + dia duplicado",IF(OR(AND(G3194&lt;&gt;"",G3194&lt;&gt;0,G3194&lt;&gt;1),AND(H3194&lt;&gt;"",H3194&lt;&gt;0,H3194&lt;&gt;1)),"Flags devem ser 0 ou 1",IF(AND(H3194=1,LEN(TRIM(I3194))=0),"Preencher nome do indicante",IF(AND(H3194&lt;&gt;1,I3194&lt;&gt;""),"Nome sem indicação interna",IF(AND(G3194=1,F3194=""),"Fechamento sem conversa",IF(OR(AND(E3194&lt;&gt;"",E3194&lt;B3194),AND(F3194&lt;&gt;"",F3194&lt;B3194)),"Evento anterior à entrada",IF(AND(F3194&lt;&gt;"",E3194=""),"Conversa sem agendamento",IF(OR(E3194&gt;TODAY(),F3194&gt;TODAY()),"Verificar evento futuro","OK"))))))))))</f>
        <v/>
      </c>
    </row>
    <row r="3195" spans="12:15">
      <c r="L3195" s="5">
        <f>IF(OR(A3195="",B3195=""),"",B3195-WEEKDAY(B3195,2)+1)</f>
        <v/>
      </c>
      <c r="M3195" s="5">
        <f>IF(L3195="","",L3195+6)</f>
        <v/>
      </c>
      <c r="N3195" s="6">
        <f>IF(OR(A3195="",B3195=""),"",DATE(YEAR(B3195),MONTH(B3195),1))</f>
        <v/>
      </c>
      <c r="O3195" s="7">
        <f>IF(COUNTA(A3195:K3195)=0,"",IF(OR(A3195="",B3195=""),"Preencher CPF e entrada",IF(COUNTIFS($A$12:$A$5011,A3195,$B$12:$B$5011,B3195)&gt;1,"CPF + dia duplicado",IF(OR(AND(G3195&lt;&gt;"",G3195&lt;&gt;0,G3195&lt;&gt;1),AND(H3195&lt;&gt;"",H3195&lt;&gt;0,H3195&lt;&gt;1)),"Flags devem ser 0 ou 1",IF(AND(H3195=1,LEN(TRIM(I3195))=0),"Preencher nome do indicante",IF(AND(H3195&lt;&gt;1,I3195&lt;&gt;""),"Nome sem indicação interna",IF(AND(G3195=1,F3195=""),"Fechamento sem conversa",IF(OR(AND(E3195&lt;&gt;"",E3195&lt;B3195),AND(F3195&lt;&gt;"",F3195&lt;B3195)),"Evento anterior à entrada",IF(AND(F3195&lt;&gt;"",E3195=""),"Conversa sem agendamento",IF(OR(E3195&gt;TODAY(),F3195&gt;TODAY()),"Verificar evento futuro","OK"))))))))))</f>
        <v/>
      </c>
    </row>
    <row r="3196" spans="12:15">
      <c r="L3196" s="5">
        <f>IF(OR(A3196="",B3196=""),"",B3196-WEEKDAY(B3196,2)+1)</f>
        <v/>
      </c>
      <c r="M3196" s="5">
        <f>IF(L3196="","",L3196+6)</f>
        <v/>
      </c>
      <c r="N3196" s="6">
        <f>IF(OR(A3196="",B3196=""),"",DATE(YEAR(B3196),MONTH(B3196),1))</f>
        <v/>
      </c>
      <c r="O3196" s="7">
        <f>IF(COUNTA(A3196:K3196)=0,"",IF(OR(A3196="",B3196=""),"Preencher CPF e entrada",IF(COUNTIFS($A$12:$A$5011,A3196,$B$12:$B$5011,B3196)&gt;1,"CPF + dia duplicado",IF(OR(AND(G3196&lt;&gt;"",G3196&lt;&gt;0,G3196&lt;&gt;1),AND(H3196&lt;&gt;"",H3196&lt;&gt;0,H3196&lt;&gt;1)),"Flags devem ser 0 ou 1",IF(AND(H3196=1,LEN(TRIM(I3196))=0),"Preencher nome do indicante",IF(AND(H3196&lt;&gt;1,I3196&lt;&gt;""),"Nome sem indicação interna",IF(AND(G3196=1,F3196=""),"Fechamento sem conversa",IF(OR(AND(E3196&lt;&gt;"",E3196&lt;B3196),AND(F3196&lt;&gt;"",F3196&lt;B3196)),"Evento anterior à entrada",IF(AND(F3196&lt;&gt;"",E3196=""),"Conversa sem agendamento",IF(OR(E3196&gt;TODAY(),F3196&gt;TODAY()),"Verificar evento futuro","OK"))))))))))</f>
        <v/>
      </c>
    </row>
    <row r="3197" spans="12:15">
      <c r="L3197" s="5">
        <f>IF(OR(A3197="",B3197=""),"",B3197-WEEKDAY(B3197,2)+1)</f>
        <v/>
      </c>
      <c r="M3197" s="5">
        <f>IF(L3197="","",L3197+6)</f>
        <v/>
      </c>
      <c r="N3197" s="6">
        <f>IF(OR(A3197="",B3197=""),"",DATE(YEAR(B3197),MONTH(B3197),1))</f>
        <v/>
      </c>
      <c r="O3197" s="7">
        <f>IF(COUNTA(A3197:K3197)=0,"",IF(OR(A3197="",B3197=""),"Preencher CPF e entrada",IF(COUNTIFS($A$12:$A$5011,A3197,$B$12:$B$5011,B3197)&gt;1,"CPF + dia duplicado",IF(OR(AND(G3197&lt;&gt;"",G3197&lt;&gt;0,G3197&lt;&gt;1),AND(H3197&lt;&gt;"",H3197&lt;&gt;0,H3197&lt;&gt;1)),"Flags devem ser 0 ou 1",IF(AND(H3197=1,LEN(TRIM(I3197))=0),"Preencher nome do indicante",IF(AND(H3197&lt;&gt;1,I3197&lt;&gt;""),"Nome sem indicação interna",IF(AND(G3197=1,F3197=""),"Fechamento sem conversa",IF(OR(AND(E3197&lt;&gt;"",E3197&lt;B3197),AND(F3197&lt;&gt;"",F3197&lt;B3197)),"Evento anterior à entrada",IF(AND(F3197&lt;&gt;"",E3197=""),"Conversa sem agendamento",IF(OR(E3197&gt;TODAY(),F3197&gt;TODAY()),"Verificar evento futuro","OK"))))))))))</f>
        <v/>
      </c>
    </row>
    <row r="3198" spans="12:15">
      <c r="L3198" s="5">
        <f>IF(OR(A3198="",B3198=""),"",B3198-WEEKDAY(B3198,2)+1)</f>
        <v/>
      </c>
      <c r="M3198" s="5">
        <f>IF(L3198="","",L3198+6)</f>
        <v/>
      </c>
      <c r="N3198" s="6">
        <f>IF(OR(A3198="",B3198=""),"",DATE(YEAR(B3198),MONTH(B3198),1))</f>
        <v/>
      </c>
      <c r="O3198" s="7">
        <f>IF(COUNTA(A3198:K3198)=0,"",IF(OR(A3198="",B3198=""),"Preencher CPF e entrada",IF(COUNTIFS($A$12:$A$5011,A3198,$B$12:$B$5011,B3198)&gt;1,"CPF + dia duplicado",IF(OR(AND(G3198&lt;&gt;"",G3198&lt;&gt;0,G3198&lt;&gt;1),AND(H3198&lt;&gt;"",H3198&lt;&gt;0,H3198&lt;&gt;1)),"Flags devem ser 0 ou 1",IF(AND(H3198=1,LEN(TRIM(I3198))=0),"Preencher nome do indicante",IF(AND(H3198&lt;&gt;1,I3198&lt;&gt;""),"Nome sem indicação interna",IF(AND(G3198=1,F3198=""),"Fechamento sem conversa",IF(OR(AND(E3198&lt;&gt;"",E3198&lt;B3198),AND(F3198&lt;&gt;"",F3198&lt;B3198)),"Evento anterior à entrada",IF(AND(F3198&lt;&gt;"",E3198=""),"Conversa sem agendamento",IF(OR(E3198&gt;TODAY(),F3198&gt;TODAY()),"Verificar evento futuro","OK"))))))))))</f>
        <v/>
      </c>
    </row>
    <row r="3199" spans="12:15">
      <c r="L3199" s="5">
        <f>IF(OR(A3199="",B3199=""),"",B3199-WEEKDAY(B3199,2)+1)</f>
        <v/>
      </c>
      <c r="M3199" s="5">
        <f>IF(L3199="","",L3199+6)</f>
        <v/>
      </c>
      <c r="N3199" s="6">
        <f>IF(OR(A3199="",B3199=""),"",DATE(YEAR(B3199),MONTH(B3199),1))</f>
        <v/>
      </c>
      <c r="O3199" s="7">
        <f>IF(COUNTA(A3199:K3199)=0,"",IF(OR(A3199="",B3199=""),"Preencher CPF e entrada",IF(COUNTIFS($A$12:$A$5011,A3199,$B$12:$B$5011,B3199)&gt;1,"CPF + dia duplicado",IF(OR(AND(G3199&lt;&gt;"",G3199&lt;&gt;0,G3199&lt;&gt;1),AND(H3199&lt;&gt;"",H3199&lt;&gt;0,H3199&lt;&gt;1)),"Flags devem ser 0 ou 1",IF(AND(H3199=1,LEN(TRIM(I3199))=0),"Preencher nome do indicante",IF(AND(H3199&lt;&gt;1,I3199&lt;&gt;""),"Nome sem indicação interna",IF(AND(G3199=1,F3199=""),"Fechamento sem conversa",IF(OR(AND(E3199&lt;&gt;"",E3199&lt;B3199),AND(F3199&lt;&gt;"",F3199&lt;B3199)),"Evento anterior à entrada",IF(AND(F3199&lt;&gt;"",E3199=""),"Conversa sem agendamento",IF(OR(E3199&gt;TODAY(),F3199&gt;TODAY()),"Verificar evento futuro","OK"))))))))))</f>
        <v/>
      </c>
    </row>
    <row r="3200" spans="12:15">
      <c r="L3200" s="5">
        <f>IF(OR(A3200="",B3200=""),"",B3200-WEEKDAY(B3200,2)+1)</f>
        <v/>
      </c>
      <c r="M3200" s="5">
        <f>IF(L3200="","",L3200+6)</f>
        <v/>
      </c>
      <c r="N3200" s="6">
        <f>IF(OR(A3200="",B3200=""),"",DATE(YEAR(B3200),MONTH(B3200),1))</f>
        <v/>
      </c>
      <c r="O3200" s="7">
        <f>IF(COUNTA(A3200:K3200)=0,"",IF(OR(A3200="",B3200=""),"Preencher CPF e entrada",IF(COUNTIFS($A$12:$A$5011,A3200,$B$12:$B$5011,B3200)&gt;1,"CPF + dia duplicado",IF(OR(AND(G3200&lt;&gt;"",G3200&lt;&gt;0,G3200&lt;&gt;1),AND(H3200&lt;&gt;"",H3200&lt;&gt;0,H3200&lt;&gt;1)),"Flags devem ser 0 ou 1",IF(AND(H3200=1,LEN(TRIM(I3200))=0),"Preencher nome do indicante",IF(AND(H3200&lt;&gt;1,I3200&lt;&gt;""),"Nome sem indicação interna",IF(AND(G3200=1,F3200=""),"Fechamento sem conversa",IF(OR(AND(E3200&lt;&gt;"",E3200&lt;B3200),AND(F3200&lt;&gt;"",F3200&lt;B3200)),"Evento anterior à entrada",IF(AND(F3200&lt;&gt;"",E3200=""),"Conversa sem agendamento",IF(OR(E3200&gt;TODAY(),F3200&gt;TODAY()),"Verificar evento futuro","OK"))))))))))</f>
        <v/>
      </c>
    </row>
    <row r="3201" spans="12:15">
      <c r="L3201" s="5">
        <f>IF(OR(A3201="",B3201=""),"",B3201-WEEKDAY(B3201,2)+1)</f>
        <v/>
      </c>
      <c r="M3201" s="5">
        <f>IF(L3201="","",L3201+6)</f>
        <v/>
      </c>
      <c r="N3201" s="6">
        <f>IF(OR(A3201="",B3201=""),"",DATE(YEAR(B3201),MONTH(B3201),1))</f>
        <v/>
      </c>
      <c r="O3201" s="7">
        <f>IF(COUNTA(A3201:K3201)=0,"",IF(OR(A3201="",B3201=""),"Preencher CPF e entrada",IF(COUNTIFS($A$12:$A$5011,A3201,$B$12:$B$5011,B3201)&gt;1,"CPF + dia duplicado",IF(OR(AND(G3201&lt;&gt;"",G3201&lt;&gt;0,G3201&lt;&gt;1),AND(H3201&lt;&gt;"",H3201&lt;&gt;0,H3201&lt;&gt;1)),"Flags devem ser 0 ou 1",IF(AND(H3201=1,LEN(TRIM(I3201))=0),"Preencher nome do indicante",IF(AND(H3201&lt;&gt;1,I3201&lt;&gt;""),"Nome sem indicação interna",IF(AND(G3201=1,F3201=""),"Fechamento sem conversa",IF(OR(AND(E3201&lt;&gt;"",E3201&lt;B3201),AND(F3201&lt;&gt;"",F3201&lt;B3201)),"Evento anterior à entrada",IF(AND(F3201&lt;&gt;"",E3201=""),"Conversa sem agendamento",IF(OR(E3201&gt;TODAY(),F3201&gt;TODAY()),"Verificar evento futuro","OK"))))))))))</f>
        <v/>
      </c>
    </row>
    <row r="3202" spans="12:15">
      <c r="L3202" s="5">
        <f>IF(OR(A3202="",B3202=""),"",B3202-WEEKDAY(B3202,2)+1)</f>
        <v/>
      </c>
      <c r="M3202" s="5">
        <f>IF(L3202="","",L3202+6)</f>
        <v/>
      </c>
      <c r="N3202" s="6">
        <f>IF(OR(A3202="",B3202=""),"",DATE(YEAR(B3202),MONTH(B3202),1))</f>
        <v/>
      </c>
      <c r="O3202" s="7">
        <f>IF(COUNTA(A3202:K3202)=0,"",IF(OR(A3202="",B3202=""),"Preencher CPF e entrada",IF(COUNTIFS($A$12:$A$5011,A3202,$B$12:$B$5011,B3202)&gt;1,"CPF + dia duplicado",IF(OR(AND(G3202&lt;&gt;"",G3202&lt;&gt;0,G3202&lt;&gt;1),AND(H3202&lt;&gt;"",H3202&lt;&gt;0,H3202&lt;&gt;1)),"Flags devem ser 0 ou 1",IF(AND(H3202=1,LEN(TRIM(I3202))=0),"Preencher nome do indicante",IF(AND(H3202&lt;&gt;1,I3202&lt;&gt;""),"Nome sem indicação interna",IF(AND(G3202=1,F3202=""),"Fechamento sem conversa",IF(OR(AND(E3202&lt;&gt;"",E3202&lt;B3202),AND(F3202&lt;&gt;"",F3202&lt;B3202)),"Evento anterior à entrada",IF(AND(F3202&lt;&gt;"",E3202=""),"Conversa sem agendamento",IF(OR(E3202&gt;TODAY(),F3202&gt;TODAY()),"Verificar evento futuro","OK"))))))))))</f>
        <v/>
      </c>
    </row>
    <row r="3203" spans="12:15">
      <c r="L3203" s="5">
        <f>IF(OR(A3203="",B3203=""),"",B3203-WEEKDAY(B3203,2)+1)</f>
        <v/>
      </c>
      <c r="M3203" s="5">
        <f>IF(L3203="","",L3203+6)</f>
        <v/>
      </c>
      <c r="N3203" s="6">
        <f>IF(OR(A3203="",B3203=""),"",DATE(YEAR(B3203),MONTH(B3203),1))</f>
        <v/>
      </c>
      <c r="O3203" s="7">
        <f>IF(COUNTA(A3203:K3203)=0,"",IF(OR(A3203="",B3203=""),"Preencher CPF e entrada",IF(COUNTIFS($A$12:$A$5011,A3203,$B$12:$B$5011,B3203)&gt;1,"CPF + dia duplicado",IF(OR(AND(G3203&lt;&gt;"",G3203&lt;&gt;0,G3203&lt;&gt;1),AND(H3203&lt;&gt;"",H3203&lt;&gt;0,H3203&lt;&gt;1)),"Flags devem ser 0 ou 1",IF(AND(H3203=1,LEN(TRIM(I3203))=0),"Preencher nome do indicante",IF(AND(H3203&lt;&gt;1,I3203&lt;&gt;""),"Nome sem indicação interna",IF(AND(G3203=1,F3203=""),"Fechamento sem conversa",IF(OR(AND(E3203&lt;&gt;"",E3203&lt;B3203),AND(F3203&lt;&gt;"",F3203&lt;B3203)),"Evento anterior à entrada",IF(AND(F3203&lt;&gt;"",E3203=""),"Conversa sem agendamento",IF(OR(E3203&gt;TODAY(),F3203&gt;TODAY()),"Verificar evento futuro","OK"))))))))))</f>
        <v/>
      </c>
    </row>
    <row r="3204" spans="12:15">
      <c r="L3204" s="5">
        <f>IF(OR(A3204="",B3204=""),"",B3204-WEEKDAY(B3204,2)+1)</f>
        <v/>
      </c>
      <c r="M3204" s="5">
        <f>IF(L3204="","",L3204+6)</f>
        <v/>
      </c>
      <c r="N3204" s="6">
        <f>IF(OR(A3204="",B3204=""),"",DATE(YEAR(B3204),MONTH(B3204),1))</f>
        <v/>
      </c>
      <c r="O3204" s="7">
        <f>IF(COUNTA(A3204:K3204)=0,"",IF(OR(A3204="",B3204=""),"Preencher CPF e entrada",IF(COUNTIFS($A$12:$A$5011,A3204,$B$12:$B$5011,B3204)&gt;1,"CPF + dia duplicado",IF(OR(AND(G3204&lt;&gt;"",G3204&lt;&gt;0,G3204&lt;&gt;1),AND(H3204&lt;&gt;"",H3204&lt;&gt;0,H3204&lt;&gt;1)),"Flags devem ser 0 ou 1",IF(AND(H3204=1,LEN(TRIM(I3204))=0),"Preencher nome do indicante",IF(AND(H3204&lt;&gt;1,I3204&lt;&gt;""),"Nome sem indicação interna",IF(AND(G3204=1,F3204=""),"Fechamento sem conversa",IF(OR(AND(E3204&lt;&gt;"",E3204&lt;B3204),AND(F3204&lt;&gt;"",F3204&lt;B3204)),"Evento anterior à entrada",IF(AND(F3204&lt;&gt;"",E3204=""),"Conversa sem agendamento",IF(OR(E3204&gt;TODAY(),F3204&gt;TODAY()),"Verificar evento futuro","OK"))))))))))</f>
        <v/>
      </c>
    </row>
    <row r="3205" spans="12:15">
      <c r="L3205" s="5">
        <f>IF(OR(A3205="",B3205=""),"",B3205-WEEKDAY(B3205,2)+1)</f>
        <v/>
      </c>
      <c r="M3205" s="5">
        <f>IF(L3205="","",L3205+6)</f>
        <v/>
      </c>
      <c r="N3205" s="6">
        <f>IF(OR(A3205="",B3205=""),"",DATE(YEAR(B3205),MONTH(B3205),1))</f>
        <v/>
      </c>
      <c r="O3205" s="7">
        <f>IF(COUNTA(A3205:K3205)=0,"",IF(OR(A3205="",B3205=""),"Preencher CPF e entrada",IF(COUNTIFS($A$12:$A$5011,A3205,$B$12:$B$5011,B3205)&gt;1,"CPF + dia duplicado",IF(OR(AND(G3205&lt;&gt;"",G3205&lt;&gt;0,G3205&lt;&gt;1),AND(H3205&lt;&gt;"",H3205&lt;&gt;0,H3205&lt;&gt;1)),"Flags devem ser 0 ou 1",IF(AND(H3205=1,LEN(TRIM(I3205))=0),"Preencher nome do indicante",IF(AND(H3205&lt;&gt;1,I3205&lt;&gt;""),"Nome sem indicação interna",IF(AND(G3205=1,F3205=""),"Fechamento sem conversa",IF(OR(AND(E3205&lt;&gt;"",E3205&lt;B3205),AND(F3205&lt;&gt;"",F3205&lt;B3205)),"Evento anterior à entrada",IF(AND(F3205&lt;&gt;"",E3205=""),"Conversa sem agendamento",IF(OR(E3205&gt;TODAY(),F3205&gt;TODAY()),"Verificar evento futuro","OK"))))))))))</f>
        <v/>
      </c>
    </row>
    <row r="3206" spans="12:15">
      <c r="L3206" s="5">
        <f>IF(OR(A3206="",B3206=""),"",B3206-WEEKDAY(B3206,2)+1)</f>
        <v/>
      </c>
      <c r="M3206" s="5">
        <f>IF(L3206="","",L3206+6)</f>
        <v/>
      </c>
      <c r="N3206" s="6">
        <f>IF(OR(A3206="",B3206=""),"",DATE(YEAR(B3206),MONTH(B3206),1))</f>
        <v/>
      </c>
      <c r="O3206" s="7">
        <f>IF(COUNTA(A3206:K3206)=0,"",IF(OR(A3206="",B3206=""),"Preencher CPF e entrada",IF(COUNTIFS($A$12:$A$5011,A3206,$B$12:$B$5011,B3206)&gt;1,"CPF + dia duplicado",IF(OR(AND(G3206&lt;&gt;"",G3206&lt;&gt;0,G3206&lt;&gt;1),AND(H3206&lt;&gt;"",H3206&lt;&gt;0,H3206&lt;&gt;1)),"Flags devem ser 0 ou 1",IF(AND(H3206=1,LEN(TRIM(I3206))=0),"Preencher nome do indicante",IF(AND(H3206&lt;&gt;1,I3206&lt;&gt;""),"Nome sem indicação interna",IF(AND(G3206=1,F3206=""),"Fechamento sem conversa",IF(OR(AND(E3206&lt;&gt;"",E3206&lt;B3206),AND(F3206&lt;&gt;"",F3206&lt;B3206)),"Evento anterior à entrada",IF(AND(F3206&lt;&gt;"",E3206=""),"Conversa sem agendamento",IF(OR(E3206&gt;TODAY(),F3206&gt;TODAY()),"Verificar evento futuro","OK"))))))))))</f>
        <v/>
      </c>
    </row>
    <row r="3207" spans="12:15">
      <c r="L3207" s="5">
        <f>IF(OR(A3207="",B3207=""),"",B3207-WEEKDAY(B3207,2)+1)</f>
        <v/>
      </c>
      <c r="M3207" s="5">
        <f>IF(L3207="","",L3207+6)</f>
        <v/>
      </c>
      <c r="N3207" s="6">
        <f>IF(OR(A3207="",B3207=""),"",DATE(YEAR(B3207),MONTH(B3207),1))</f>
        <v/>
      </c>
      <c r="O3207" s="7">
        <f>IF(COUNTA(A3207:K3207)=0,"",IF(OR(A3207="",B3207=""),"Preencher CPF e entrada",IF(COUNTIFS($A$12:$A$5011,A3207,$B$12:$B$5011,B3207)&gt;1,"CPF + dia duplicado",IF(OR(AND(G3207&lt;&gt;"",G3207&lt;&gt;0,G3207&lt;&gt;1),AND(H3207&lt;&gt;"",H3207&lt;&gt;0,H3207&lt;&gt;1)),"Flags devem ser 0 ou 1",IF(AND(H3207=1,LEN(TRIM(I3207))=0),"Preencher nome do indicante",IF(AND(H3207&lt;&gt;1,I3207&lt;&gt;""),"Nome sem indicação interna",IF(AND(G3207=1,F3207=""),"Fechamento sem conversa",IF(OR(AND(E3207&lt;&gt;"",E3207&lt;B3207),AND(F3207&lt;&gt;"",F3207&lt;B3207)),"Evento anterior à entrada",IF(AND(F3207&lt;&gt;"",E3207=""),"Conversa sem agendamento",IF(OR(E3207&gt;TODAY(),F3207&gt;TODAY()),"Verificar evento futuro","OK"))))))))))</f>
        <v/>
      </c>
    </row>
    <row r="3208" spans="12:15">
      <c r="L3208" s="5">
        <f>IF(OR(A3208="",B3208=""),"",B3208-WEEKDAY(B3208,2)+1)</f>
        <v/>
      </c>
      <c r="M3208" s="5">
        <f>IF(L3208="","",L3208+6)</f>
        <v/>
      </c>
      <c r="N3208" s="6">
        <f>IF(OR(A3208="",B3208=""),"",DATE(YEAR(B3208),MONTH(B3208),1))</f>
        <v/>
      </c>
      <c r="O3208" s="7">
        <f>IF(COUNTA(A3208:K3208)=0,"",IF(OR(A3208="",B3208=""),"Preencher CPF e entrada",IF(COUNTIFS($A$12:$A$5011,A3208,$B$12:$B$5011,B3208)&gt;1,"CPF + dia duplicado",IF(OR(AND(G3208&lt;&gt;"",G3208&lt;&gt;0,G3208&lt;&gt;1),AND(H3208&lt;&gt;"",H3208&lt;&gt;0,H3208&lt;&gt;1)),"Flags devem ser 0 ou 1",IF(AND(H3208=1,LEN(TRIM(I3208))=0),"Preencher nome do indicante",IF(AND(H3208&lt;&gt;1,I3208&lt;&gt;""),"Nome sem indicação interna",IF(AND(G3208=1,F3208=""),"Fechamento sem conversa",IF(OR(AND(E3208&lt;&gt;"",E3208&lt;B3208),AND(F3208&lt;&gt;"",F3208&lt;B3208)),"Evento anterior à entrada",IF(AND(F3208&lt;&gt;"",E3208=""),"Conversa sem agendamento",IF(OR(E3208&gt;TODAY(),F3208&gt;TODAY()),"Verificar evento futuro","OK"))))))))))</f>
        <v/>
      </c>
    </row>
    <row r="3209" spans="12:15">
      <c r="L3209" s="5">
        <f>IF(OR(A3209="",B3209=""),"",B3209-WEEKDAY(B3209,2)+1)</f>
        <v/>
      </c>
      <c r="M3209" s="5">
        <f>IF(L3209="","",L3209+6)</f>
        <v/>
      </c>
      <c r="N3209" s="6">
        <f>IF(OR(A3209="",B3209=""),"",DATE(YEAR(B3209),MONTH(B3209),1))</f>
        <v/>
      </c>
      <c r="O3209" s="7">
        <f>IF(COUNTA(A3209:K3209)=0,"",IF(OR(A3209="",B3209=""),"Preencher CPF e entrada",IF(COUNTIFS($A$12:$A$5011,A3209,$B$12:$B$5011,B3209)&gt;1,"CPF + dia duplicado",IF(OR(AND(G3209&lt;&gt;"",G3209&lt;&gt;0,G3209&lt;&gt;1),AND(H3209&lt;&gt;"",H3209&lt;&gt;0,H3209&lt;&gt;1)),"Flags devem ser 0 ou 1",IF(AND(H3209=1,LEN(TRIM(I3209))=0),"Preencher nome do indicante",IF(AND(H3209&lt;&gt;1,I3209&lt;&gt;""),"Nome sem indicação interna",IF(AND(G3209=1,F3209=""),"Fechamento sem conversa",IF(OR(AND(E3209&lt;&gt;"",E3209&lt;B3209),AND(F3209&lt;&gt;"",F3209&lt;B3209)),"Evento anterior à entrada",IF(AND(F3209&lt;&gt;"",E3209=""),"Conversa sem agendamento",IF(OR(E3209&gt;TODAY(),F3209&gt;TODAY()),"Verificar evento futuro","OK"))))))))))</f>
        <v/>
      </c>
    </row>
    <row r="3210" spans="12:15">
      <c r="L3210" s="5">
        <f>IF(OR(A3210="",B3210=""),"",B3210-WEEKDAY(B3210,2)+1)</f>
        <v/>
      </c>
      <c r="M3210" s="5">
        <f>IF(L3210="","",L3210+6)</f>
        <v/>
      </c>
      <c r="N3210" s="6">
        <f>IF(OR(A3210="",B3210=""),"",DATE(YEAR(B3210),MONTH(B3210),1))</f>
        <v/>
      </c>
      <c r="O3210" s="7">
        <f>IF(COUNTA(A3210:K3210)=0,"",IF(OR(A3210="",B3210=""),"Preencher CPF e entrada",IF(COUNTIFS($A$12:$A$5011,A3210,$B$12:$B$5011,B3210)&gt;1,"CPF + dia duplicado",IF(OR(AND(G3210&lt;&gt;"",G3210&lt;&gt;0,G3210&lt;&gt;1),AND(H3210&lt;&gt;"",H3210&lt;&gt;0,H3210&lt;&gt;1)),"Flags devem ser 0 ou 1",IF(AND(H3210=1,LEN(TRIM(I3210))=0),"Preencher nome do indicante",IF(AND(H3210&lt;&gt;1,I3210&lt;&gt;""),"Nome sem indicação interna",IF(AND(G3210=1,F3210=""),"Fechamento sem conversa",IF(OR(AND(E3210&lt;&gt;"",E3210&lt;B3210),AND(F3210&lt;&gt;"",F3210&lt;B3210)),"Evento anterior à entrada",IF(AND(F3210&lt;&gt;"",E3210=""),"Conversa sem agendamento",IF(OR(E3210&gt;TODAY(),F3210&gt;TODAY()),"Verificar evento futuro","OK"))))))))))</f>
        <v/>
      </c>
    </row>
    <row r="3211" spans="12:15">
      <c r="L3211" s="5">
        <f>IF(OR(A3211="",B3211=""),"",B3211-WEEKDAY(B3211,2)+1)</f>
        <v/>
      </c>
      <c r="M3211" s="5">
        <f>IF(L3211="","",L3211+6)</f>
        <v/>
      </c>
      <c r="N3211" s="6">
        <f>IF(OR(A3211="",B3211=""),"",DATE(YEAR(B3211),MONTH(B3211),1))</f>
        <v/>
      </c>
      <c r="O3211" s="7">
        <f>IF(COUNTA(A3211:K3211)=0,"",IF(OR(A3211="",B3211=""),"Preencher CPF e entrada",IF(COUNTIFS($A$12:$A$5011,A3211,$B$12:$B$5011,B3211)&gt;1,"CPF + dia duplicado",IF(OR(AND(G3211&lt;&gt;"",G3211&lt;&gt;0,G3211&lt;&gt;1),AND(H3211&lt;&gt;"",H3211&lt;&gt;0,H3211&lt;&gt;1)),"Flags devem ser 0 ou 1",IF(AND(H3211=1,LEN(TRIM(I3211))=0),"Preencher nome do indicante",IF(AND(H3211&lt;&gt;1,I3211&lt;&gt;""),"Nome sem indicação interna",IF(AND(G3211=1,F3211=""),"Fechamento sem conversa",IF(OR(AND(E3211&lt;&gt;"",E3211&lt;B3211),AND(F3211&lt;&gt;"",F3211&lt;B3211)),"Evento anterior à entrada",IF(AND(F3211&lt;&gt;"",E3211=""),"Conversa sem agendamento",IF(OR(E3211&gt;TODAY(),F3211&gt;TODAY()),"Verificar evento futuro","OK"))))))))))</f>
        <v/>
      </c>
    </row>
    <row r="3212" spans="12:15">
      <c r="L3212" s="5">
        <f>IF(OR(A3212="",B3212=""),"",B3212-WEEKDAY(B3212,2)+1)</f>
        <v/>
      </c>
      <c r="M3212" s="5">
        <f>IF(L3212="","",L3212+6)</f>
        <v/>
      </c>
      <c r="N3212" s="6">
        <f>IF(OR(A3212="",B3212=""),"",DATE(YEAR(B3212),MONTH(B3212),1))</f>
        <v/>
      </c>
      <c r="O3212" s="7">
        <f>IF(COUNTA(A3212:K3212)=0,"",IF(OR(A3212="",B3212=""),"Preencher CPF e entrada",IF(COUNTIFS($A$12:$A$5011,A3212,$B$12:$B$5011,B3212)&gt;1,"CPF + dia duplicado",IF(OR(AND(G3212&lt;&gt;"",G3212&lt;&gt;0,G3212&lt;&gt;1),AND(H3212&lt;&gt;"",H3212&lt;&gt;0,H3212&lt;&gt;1)),"Flags devem ser 0 ou 1",IF(AND(H3212=1,LEN(TRIM(I3212))=0),"Preencher nome do indicante",IF(AND(H3212&lt;&gt;1,I3212&lt;&gt;""),"Nome sem indicação interna",IF(AND(G3212=1,F3212=""),"Fechamento sem conversa",IF(OR(AND(E3212&lt;&gt;"",E3212&lt;B3212),AND(F3212&lt;&gt;"",F3212&lt;B3212)),"Evento anterior à entrada",IF(AND(F3212&lt;&gt;"",E3212=""),"Conversa sem agendamento",IF(OR(E3212&gt;TODAY(),F3212&gt;TODAY()),"Verificar evento futuro","OK"))))))))))</f>
        <v/>
      </c>
    </row>
    <row r="3213" spans="12:15">
      <c r="L3213" s="5">
        <f>IF(OR(A3213="",B3213=""),"",B3213-WEEKDAY(B3213,2)+1)</f>
        <v/>
      </c>
      <c r="M3213" s="5">
        <f>IF(L3213="","",L3213+6)</f>
        <v/>
      </c>
      <c r="N3213" s="6">
        <f>IF(OR(A3213="",B3213=""),"",DATE(YEAR(B3213),MONTH(B3213),1))</f>
        <v/>
      </c>
      <c r="O3213" s="7">
        <f>IF(COUNTA(A3213:K3213)=0,"",IF(OR(A3213="",B3213=""),"Preencher CPF e entrada",IF(COUNTIFS($A$12:$A$5011,A3213,$B$12:$B$5011,B3213)&gt;1,"CPF + dia duplicado",IF(OR(AND(G3213&lt;&gt;"",G3213&lt;&gt;0,G3213&lt;&gt;1),AND(H3213&lt;&gt;"",H3213&lt;&gt;0,H3213&lt;&gt;1)),"Flags devem ser 0 ou 1",IF(AND(H3213=1,LEN(TRIM(I3213))=0),"Preencher nome do indicante",IF(AND(H3213&lt;&gt;1,I3213&lt;&gt;""),"Nome sem indicação interna",IF(AND(G3213=1,F3213=""),"Fechamento sem conversa",IF(OR(AND(E3213&lt;&gt;"",E3213&lt;B3213),AND(F3213&lt;&gt;"",F3213&lt;B3213)),"Evento anterior à entrada",IF(AND(F3213&lt;&gt;"",E3213=""),"Conversa sem agendamento",IF(OR(E3213&gt;TODAY(),F3213&gt;TODAY()),"Verificar evento futuro","OK"))))))))))</f>
        <v/>
      </c>
    </row>
    <row r="3214" spans="12:15">
      <c r="L3214" s="5">
        <f>IF(OR(A3214="",B3214=""),"",B3214-WEEKDAY(B3214,2)+1)</f>
        <v/>
      </c>
      <c r="M3214" s="5">
        <f>IF(L3214="","",L3214+6)</f>
        <v/>
      </c>
      <c r="N3214" s="6">
        <f>IF(OR(A3214="",B3214=""),"",DATE(YEAR(B3214),MONTH(B3214),1))</f>
        <v/>
      </c>
      <c r="O3214" s="7">
        <f>IF(COUNTA(A3214:K3214)=0,"",IF(OR(A3214="",B3214=""),"Preencher CPF e entrada",IF(COUNTIFS($A$12:$A$5011,A3214,$B$12:$B$5011,B3214)&gt;1,"CPF + dia duplicado",IF(OR(AND(G3214&lt;&gt;"",G3214&lt;&gt;0,G3214&lt;&gt;1),AND(H3214&lt;&gt;"",H3214&lt;&gt;0,H3214&lt;&gt;1)),"Flags devem ser 0 ou 1",IF(AND(H3214=1,LEN(TRIM(I3214))=0),"Preencher nome do indicante",IF(AND(H3214&lt;&gt;1,I3214&lt;&gt;""),"Nome sem indicação interna",IF(AND(G3214=1,F3214=""),"Fechamento sem conversa",IF(OR(AND(E3214&lt;&gt;"",E3214&lt;B3214),AND(F3214&lt;&gt;"",F3214&lt;B3214)),"Evento anterior à entrada",IF(AND(F3214&lt;&gt;"",E3214=""),"Conversa sem agendamento",IF(OR(E3214&gt;TODAY(),F3214&gt;TODAY()),"Verificar evento futuro","OK"))))))))))</f>
        <v/>
      </c>
    </row>
    <row r="3215" spans="12:15">
      <c r="L3215" s="5">
        <f>IF(OR(A3215="",B3215=""),"",B3215-WEEKDAY(B3215,2)+1)</f>
        <v/>
      </c>
      <c r="M3215" s="5">
        <f>IF(L3215="","",L3215+6)</f>
        <v/>
      </c>
      <c r="N3215" s="6">
        <f>IF(OR(A3215="",B3215=""),"",DATE(YEAR(B3215),MONTH(B3215),1))</f>
        <v/>
      </c>
      <c r="O3215" s="7">
        <f>IF(COUNTA(A3215:K3215)=0,"",IF(OR(A3215="",B3215=""),"Preencher CPF e entrada",IF(COUNTIFS($A$12:$A$5011,A3215,$B$12:$B$5011,B3215)&gt;1,"CPF + dia duplicado",IF(OR(AND(G3215&lt;&gt;"",G3215&lt;&gt;0,G3215&lt;&gt;1),AND(H3215&lt;&gt;"",H3215&lt;&gt;0,H3215&lt;&gt;1)),"Flags devem ser 0 ou 1",IF(AND(H3215=1,LEN(TRIM(I3215))=0),"Preencher nome do indicante",IF(AND(H3215&lt;&gt;1,I3215&lt;&gt;""),"Nome sem indicação interna",IF(AND(G3215=1,F3215=""),"Fechamento sem conversa",IF(OR(AND(E3215&lt;&gt;"",E3215&lt;B3215),AND(F3215&lt;&gt;"",F3215&lt;B3215)),"Evento anterior à entrada",IF(AND(F3215&lt;&gt;"",E3215=""),"Conversa sem agendamento",IF(OR(E3215&gt;TODAY(),F3215&gt;TODAY()),"Verificar evento futuro","OK"))))))))))</f>
        <v/>
      </c>
    </row>
    <row r="3216" spans="12:15">
      <c r="L3216" s="5">
        <f>IF(OR(A3216="",B3216=""),"",B3216-WEEKDAY(B3216,2)+1)</f>
        <v/>
      </c>
      <c r="M3216" s="5">
        <f>IF(L3216="","",L3216+6)</f>
        <v/>
      </c>
      <c r="N3216" s="6">
        <f>IF(OR(A3216="",B3216=""),"",DATE(YEAR(B3216),MONTH(B3216),1))</f>
        <v/>
      </c>
      <c r="O3216" s="7">
        <f>IF(COUNTA(A3216:K3216)=0,"",IF(OR(A3216="",B3216=""),"Preencher CPF e entrada",IF(COUNTIFS($A$12:$A$5011,A3216,$B$12:$B$5011,B3216)&gt;1,"CPF + dia duplicado",IF(OR(AND(G3216&lt;&gt;"",G3216&lt;&gt;0,G3216&lt;&gt;1),AND(H3216&lt;&gt;"",H3216&lt;&gt;0,H3216&lt;&gt;1)),"Flags devem ser 0 ou 1",IF(AND(H3216=1,LEN(TRIM(I3216))=0),"Preencher nome do indicante",IF(AND(H3216&lt;&gt;1,I3216&lt;&gt;""),"Nome sem indicação interna",IF(AND(G3216=1,F3216=""),"Fechamento sem conversa",IF(OR(AND(E3216&lt;&gt;"",E3216&lt;B3216),AND(F3216&lt;&gt;"",F3216&lt;B3216)),"Evento anterior à entrada",IF(AND(F3216&lt;&gt;"",E3216=""),"Conversa sem agendamento",IF(OR(E3216&gt;TODAY(),F3216&gt;TODAY()),"Verificar evento futuro","OK"))))))))))</f>
        <v/>
      </c>
    </row>
    <row r="3217" spans="12:15">
      <c r="L3217" s="5">
        <f>IF(OR(A3217="",B3217=""),"",B3217-WEEKDAY(B3217,2)+1)</f>
        <v/>
      </c>
      <c r="M3217" s="5">
        <f>IF(L3217="","",L3217+6)</f>
        <v/>
      </c>
      <c r="N3217" s="6">
        <f>IF(OR(A3217="",B3217=""),"",DATE(YEAR(B3217),MONTH(B3217),1))</f>
        <v/>
      </c>
      <c r="O3217" s="7">
        <f>IF(COUNTA(A3217:K3217)=0,"",IF(OR(A3217="",B3217=""),"Preencher CPF e entrada",IF(COUNTIFS($A$12:$A$5011,A3217,$B$12:$B$5011,B3217)&gt;1,"CPF + dia duplicado",IF(OR(AND(G3217&lt;&gt;"",G3217&lt;&gt;0,G3217&lt;&gt;1),AND(H3217&lt;&gt;"",H3217&lt;&gt;0,H3217&lt;&gt;1)),"Flags devem ser 0 ou 1",IF(AND(H3217=1,LEN(TRIM(I3217))=0),"Preencher nome do indicante",IF(AND(H3217&lt;&gt;1,I3217&lt;&gt;""),"Nome sem indicação interna",IF(AND(G3217=1,F3217=""),"Fechamento sem conversa",IF(OR(AND(E3217&lt;&gt;"",E3217&lt;B3217),AND(F3217&lt;&gt;"",F3217&lt;B3217)),"Evento anterior à entrada",IF(AND(F3217&lt;&gt;"",E3217=""),"Conversa sem agendamento",IF(OR(E3217&gt;TODAY(),F3217&gt;TODAY()),"Verificar evento futuro","OK"))))))))))</f>
        <v/>
      </c>
    </row>
    <row r="3218" spans="12:15">
      <c r="L3218" s="5">
        <f>IF(OR(A3218="",B3218=""),"",B3218-WEEKDAY(B3218,2)+1)</f>
        <v/>
      </c>
      <c r="M3218" s="5">
        <f>IF(L3218="","",L3218+6)</f>
        <v/>
      </c>
      <c r="N3218" s="6">
        <f>IF(OR(A3218="",B3218=""),"",DATE(YEAR(B3218),MONTH(B3218),1))</f>
        <v/>
      </c>
      <c r="O3218" s="7">
        <f>IF(COUNTA(A3218:K3218)=0,"",IF(OR(A3218="",B3218=""),"Preencher CPF e entrada",IF(COUNTIFS($A$12:$A$5011,A3218,$B$12:$B$5011,B3218)&gt;1,"CPF + dia duplicado",IF(OR(AND(G3218&lt;&gt;"",G3218&lt;&gt;0,G3218&lt;&gt;1),AND(H3218&lt;&gt;"",H3218&lt;&gt;0,H3218&lt;&gt;1)),"Flags devem ser 0 ou 1",IF(AND(H3218=1,LEN(TRIM(I3218))=0),"Preencher nome do indicante",IF(AND(H3218&lt;&gt;1,I3218&lt;&gt;""),"Nome sem indicação interna",IF(AND(G3218=1,F3218=""),"Fechamento sem conversa",IF(OR(AND(E3218&lt;&gt;"",E3218&lt;B3218),AND(F3218&lt;&gt;"",F3218&lt;B3218)),"Evento anterior à entrada",IF(AND(F3218&lt;&gt;"",E3218=""),"Conversa sem agendamento",IF(OR(E3218&gt;TODAY(),F3218&gt;TODAY()),"Verificar evento futuro","OK"))))))))))</f>
        <v/>
      </c>
    </row>
    <row r="3219" spans="12:15">
      <c r="L3219" s="5">
        <f>IF(OR(A3219="",B3219=""),"",B3219-WEEKDAY(B3219,2)+1)</f>
        <v/>
      </c>
      <c r="M3219" s="5">
        <f>IF(L3219="","",L3219+6)</f>
        <v/>
      </c>
      <c r="N3219" s="6">
        <f>IF(OR(A3219="",B3219=""),"",DATE(YEAR(B3219),MONTH(B3219),1))</f>
        <v/>
      </c>
      <c r="O3219" s="7">
        <f>IF(COUNTA(A3219:K3219)=0,"",IF(OR(A3219="",B3219=""),"Preencher CPF e entrada",IF(COUNTIFS($A$12:$A$5011,A3219,$B$12:$B$5011,B3219)&gt;1,"CPF + dia duplicado",IF(OR(AND(G3219&lt;&gt;"",G3219&lt;&gt;0,G3219&lt;&gt;1),AND(H3219&lt;&gt;"",H3219&lt;&gt;0,H3219&lt;&gt;1)),"Flags devem ser 0 ou 1",IF(AND(H3219=1,LEN(TRIM(I3219))=0),"Preencher nome do indicante",IF(AND(H3219&lt;&gt;1,I3219&lt;&gt;""),"Nome sem indicação interna",IF(AND(G3219=1,F3219=""),"Fechamento sem conversa",IF(OR(AND(E3219&lt;&gt;"",E3219&lt;B3219),AND(F3219&lt;&gt;"",F3219&lt;B3219)),"Evento anterior à entrada",IF(AND(F3219&lt;&gt;"",E3219=""),"Conversa sem agendamento",IF(OR(E3219&gt;TODAY(),F3219&gt;TODAY()),"Verificar evento futuro","OK"))))))))))</f>
        <v/>
      </c>
    </row>
    <row r="3220" spans="12:15">
      <c r="L3220" s="5">
        <f>IF(OR(A3220="",B3220=""),"",B3220-WEEKDAY(B3220,2)+1)</f>
        <v/>
      </c>
      <c r="M3220" s="5">
        <f>IF(L3220="","",L3220+6)</f>
        <v/>
      </c>
      <c r="N3220" s="6">
        <f>IF(OR(A3220="",B3220=""),"",DATE(YEAR(B3220),MONTH(B3220),1))</f>
        <v/>
      </c>
      <c r="O3220" s="7">
        <f>IF(COUNTA(A3220:K3220)=0,"",IF(OR(A3220="",B3220=""),"Preencher CPF e entrada",IF(COUNTIFS($A$12:$A$5011,A3220,$B$12:$B$5011,B3220)&gt;1,"CPF + dia duplicado",IF(OR(AND(G3220&lt;&gt;"",G3220&lt;&gt;0,G3220&lt;&gt;1),AND(H3220&lt;&gt;"",H3220&lt;&gt;0,H3220&lt;&gt;1)),"Flags devem ser 0 ou 1",IF(AND(H3220=1,LEN(TRIM(I3220))=0),"Preencher nome do indicante",IF(AND(H3220&lt;&gt;1,I3220&lt;&gt;""),"Nome sem indicação interna",IF(AND(G3220=1,F3220=""),"Fechamento sem conversa",IF(OR(AND(E3220&lt;&gt;"",E3220&lt;B3220),AND(F3220&lt;&gt;"",F3220&lt;B3220)),"Evento anterior à entrada",IF(AND(F3220&lt;&gt;"",E3220=""),"Conversa sem agendamento",IF(OR(E3220&gt;TODAY(),F3220&gt;TODAY()),"Verificar evento futuro","OK"))))))))))</f>
        <v/>
      </c>
    </row>
    <row r="3221" spans="12:15">
      <c r="L3221" s="5">
        <f>IF(OR(A3221="",B3221=""),"",B3221-WEEKDAY(B3221,2)+1)</f>
        <v/>
      </c>
      <c r="M3221" s="5">
        <f>IF(L3221="","",L3221+6)</f>
        <v/>
      </c>
      <c r="N3221" s="6">
        <f>IF(OR(A3221="",B3221=""),"",DATE(YEAR(B3221),MONTH(B3221),1))</f>
        <v/>
      </c>
      <c r="O3221" s="7">
        <f>IF(COUNTA(A3221:K3221)=0,"",IF(OR(A3221="",B3221=""),"Preencher CPF e entrada",IF(COUNTIFS($A$12:$A$5011,A3221,$B$12:$B$5011,B3221)&gt;1,"CPF + dia duplicado",IF(OR(AND(G3221&lt;&gt;"",G3221&lt;&gt;0,G3221&lt;&gt;1),AND(H3221&lt;&gt;"",H3221&lt;&gt;0,H3221&lt;&gt;1)),"Flags devem ser 0 ou 1",IF(AND(H3221=1,LEN(TRIM(I3221))=0),"Preencher nome do indicante",IF(AND(H3221&lt;&gt;1,I3221&lt;&gt;""),"Nome sem indicação interna",IF(AND(G3221=1,F3221=""),"Fechamento sem conversa",IF(OR(AND(E3221&lt;&gt;"",E3221&lt;B3221),AND(F3221&lt;&gt;"",F3221&lt;B3221)),"Evento anterior à entrada",IF(AND(F3221&lt;&gt;"",E3221=""),"Conversa sem agendamento",IF(OR(E3221&gt;TODAY(),F3221&gt;TODAY()),"Verificar evento futuro","OK"))))))))))</f>
        <v/>
      </c>
    </row>
    <row r="3222" spans="12:15">
      <c r="L3222" s="5">
        <f>IF(OR(A3222="",B3222=""),"",B3222-WEEKDAY(B3222,2)+1)</f>
        <v/>
      </c>
      <c r="M3222" s="5">
        <f>IF(L3222="","",L3222+6)</f>
        <v/>
      </c>
      <c r="N3222" s="6">
        <f>IF(OR(A3222="",B3222=""),"",DATE(YEAR(B3222),MONTH(B3222),1))</f>
        <v/>
      </c>
      <c r="O3222" s="7">
        <f>IF(COUNTA(A3222:K3222)=0,"",IF(OR(A3222="",B3222=""),"Preencher CPF e entrada",IF(COUNTIFS($A$12:$A$5011,A3222,$B$12:$B$5011,B3222)&gt;1,"CPF + dia duplicado",IF(OR(AND(G3222&lt;&gt;"",G3222&lt;&gt;0,G3222&lt;&gt;1),AND(H3222&lt;&gt;"",H3222&lt;&gt;0,H3222&lt;&gt;1)),"Flags devem ser 0 ou 1",IF(AND(H3222=1,LEN(TRIM(I3222))=0),"Preencher nome do indicante",IF(AND(H3222&lt;&gt;1,I3222&lt;&gt;""),"Nome sem indicação interna",IF(AND(G3222=1,F3222=""),"Fechamento sem conversa",IF(OR(AND(E3222&lt;&gt;"",E3222&lt;B3222),AND(F3222&lt;&gt;"",F3222&lt;B3222)),"Evento anterior à entrada",IF(AND(F3222&lt;&gt;"",E3222=""),"Conversa sem agendamento",IF(OR(E3222&gt;TODAY(),F3222&gt;TODAY()),"Verificar evento futuro","OK"))))))))))</f>
        <v/>
      </c>
    </row>
    <row r="3223" spans="12:15">
      <c r="L3223" s="5">
        <f>IF(OR(A3223="",B3223=""),"",B3223-WEEKDAY(B3223,2)+1)</f>
        <v/>
      </c>
      <c r="M3223" s="5">
        <f>IF(L3223="","",L3223+6)</f>
        <v/>
      </c>
      <c r="N3223" s="6">
        <f>IF(OR(A3223="",B3223=""),"",DATE(YEAR(B3223),MONTH(B3223),1))</f>
        <v/>
      </c>
      <c r="O3223" s="7">
        <f>IF(COUNTA(A3223:K3223)=0,"",IF(OR(A3223="",B3223=""),"Preencher CPF e entrada",IF(COUNTIFS($A$12:$A$5011,A3223,$B$12:$B$5011,B3223)&gt;1,"CPF + dia duplicado",IF(OR(AND(G3223&lt;&gt;"",G3223&lt;&gt;0,G3223&lt;&gt;1),AND(H3223&lt;&gt;"",H3223&lt;&gt;0,H3223&lt;&gt;1)),"Flags devem ser 0 ou 1",IF(AND(H3223=1,LEN(TRIM(I3223))=0),"Preencher nome do indicante",IF(AND(H3223&lt;&gt;1,I3223&lt;&gt;""),"Nome sem indicação interna",IF(AND(G3223=1,F3223=""),"Fechamento sem conversa",IF(OR(AND(E3223&lt;&gt;"",E3223&lt;B3223),AND(F3223&lt;&gt;"",F3223&lt;B3223)),"Evento anterior à entrada",IF(AND(F3223&lt;&gt;"",E3223=""),"Conversa sem agendamento",IF(OR(E3223&gt;TODAY(),F3223&gt;TODAY()),"Verificar evento futuro","OK"))))))))))</f>
        <v/>
      </c>
    </row>
    <row r="3224" spans="12:15">
      <c r="L3224" s="5">
        <f>IF(OR(A3224="",B3224=""),"",B3224-WEEKDAY(B3224,2)+1)</f>
        <v/>
      </c>
      <c r="M3224" s="5">
        <f>IF(L3224="","",L3224+6)</f>
        <v/>
      </c>
      <c r="N3224" s="6">
        <f>IF(OR(A3224="",B3224=""),"",DATE(YEAR(B3224),MONTH(B3224),1))</f>
        <v/>
      </c>
      <c r="O3224" s="7">
        <f>IF(COUNTA(A3224:K3224)=0,"",IF(OR(A3224="",B3224=""),"Preencher CPF e entrada",IF(COUNTIFS($A$12:$A$5011,A3224,$B$12:$B$5011,B3224)&gt;1,"CPF + dia duplicado",IF(OR(AND(G3224&lt;&gt;"",G3224&lt;&gt;0,G3224&lt;&gt;1),AND(H3224&lt;&gt;"",H3224&lt;&gt;0,H3224&lt;&gt;1)),"Flags devem ser 0 ou 1",IF(AND(H3224=1,LEN(TRIM(I3224))=0),"Preencher nome do indicante",IF(AND(H3224&lt;&gt;1,I3224&lt;&gt;""),"Nome sem indicação interna",IF(AND(G3224=1,F3224=""),"Fechamento sem conversa",IF(OR(AND(E3224&lt;&gt;"",E3224&lt;B3224),AND(F3224&lt;&gt;"",F3224&lt;B3224)),"Evento anterior à entrada",IF(AND(F3224&lt;&gt;"",E3224=""),"Conversa sem agendamento",IF(OR(E3224&gt;TODAY(),F3224&gt;TODAY()),"Verificar evento futuro","OK"))))))))))</f>
        <v/>
      </c>
    </row>
    <row r="3225" spans="12:15">
      <c r="L3225" s="5">
        <f>IF(OR(A3225="",B3225=""),"",B3225-WEEKDAY(B3225,2)+1)</f>
        <v/>
      </c>
      <c r="M3225" s="5">
        <f>IF(L3225="","",L3225+6)</f>
        <v/>
      </c>
      <c r="N3225" s="6">
        <f>IF(OR(A3225="",B3225=""),"",DATE(YEAR(B3225),MONTH(B3225),1))</f>
        <v/>
      </c>
      <c r="O3225" s="7">
        <f>IF(COUNTA(A3225:K3225)=0,"",IF(OR(A3225="",B3225=""),"Preencher CPF e entrada",IF(COUNTIFS($A$12:$A$5011,A3225,$B$12:$B$5011,B3225)&gt;1,"CPF + dia duplicado",IF(OR(AND(G3225&lt;&gt;"",G3225&lt;&gt;0,G3225&lt;&gt;1),AND(H3225&lt;&gt;"",H3225&lt;&gt;0,H3225&lt;&gt;1)),"Flags devem ser 0 ou 1",IF(AND(H3225=1,LEN(TRIM(I3225))=0),"Preencher nome do indicante",IF(AND(H3225&lt;&gt;1,I3225&lt;&gt;""),"Nome sem indicação interna",IF(AND(G3225=1,F3225=""),"Fechamento sem conversa",IF(OR(AND(E3225&lt;&gt;"",E3225&lt;B3225),AND(F3225&lt;&gt;"",F3225&lt;B3225)),"Evento anterior à entrada",IF(AND(F3225&lt;&gt;"",E3225=""),"Conversa sem agendamento",IF(OR(E3225&gt;TODAY(),F3225&gt;TODAY()),"Verificar evento futuro","OK"))))))))))</f>
        <v/>
      </c>
    </row>
    <row r="3226" spans="12:15">
      <c r="L3226" s="5">
        <f>IF(OR(A3226="",B3226=""),"",B3226-WEEKDAY(B3226,2)+1)</f>
        <v/>
      </c>
      <c r="M3226" s="5">
        <f>IF(L3226="","",L3226+6)</f>
        <v/>
      </c>
      <c r="N3226" s="6">
        <f>IF(OR(A3226="",B3226=""),"",DATE(YEAR(B3226),MONTH(B3226),1))</f>
        <v/>
      </c>
      <c r="O3226" s="7">
        <f>IF(COUNTA(A3226:K3226)=0,"",IF(OR(A3226="",B3226=""),"Preencher CPF e entrada",IF(COUNTIFS($A$12:$A$5011,A3226,$B$12:$B$5011,B3226)&gt;1,"CPF + dia duplicado",IF(OR(AND(G3226&lt;&gt;"",G3226&lt;&gt;0,G3226&lt;&gt;1),AND(H3226&lt;&gt;"",H3226&lt;&gt;0,H3226&lt;&gt;1)),"Flags devem ser 0 ou 1",IF(AND(H3226=1,LEN(TRIM(I3226))=0),"Preencher nome do indicante",IF(AND(H3226&lt;&gt;1,I3226&lt;&gt;""),"Nome sem indicação interna",IF(AND(G3226=1,F3226=""),"Fechamento sem conversa",IF(OR(AND(E3226&lt;&gt;"",E3226&lt;B3226),AND(F3226&lt;&gt;"",F3226&lt;B3226)),"Evento anterior à entrada",IF(AND(F3226&lt;&gt;"",E3226=""),"Conversa sem agendamento",IF(OR(E3226&gt;TODAY(),F3226&gt;TODAY()),"Verificar evento futuro","OK"))))))))))</f>
        <v/>
      </c>
    </row>
    <row r="3227" spans="12:15">
      <c r="L3227" s="5">
        <f>IF(OR(A3227="",B3227=""),"",B3227-WEEKDAY(B3227,2)+1)</f>
        <v/>
      </c>
      <c r="M3227" s="5">
        <f>IF(L3227="","",L3227+6)</f>
        <v/>
      </c>
      <c r="N3227" s="6">
        <f>IF(OR(A3227="",B3227=""),"",DATE(YEAR(B3227),MONTH(B3227),1))</f>
        <v/>
      </c>
      <c r="O3227" s="7">
        <f>IF(COUNTA(A3227:K3227)=0,"",IF(OR(A3227="",B3227=""),"Preencher CPF e entrada",IF(COUNTIFS($A$12:$A$5011,A3227,$B$12:$B$5011,B3227)&gt;1,"CPF + dia duplicado",IF(OR(AND(G3227&lt;&gt;"",G3227&lt;&gt;0,G3227&lt;&gt;1),AND(H3227&lt;&gt;"",H3227&lt;&gt;0,H3227&lt;&gt;1)),"Flags devem ser 0 ou 1",IF(AND(H3227=1,LEN(TRIM(I3227))=0),"Preencher nome do indicante",IF(AND(H3227&lt;&gt;1,I3227&lt;&gt;""),"Nome sem indicação interna",IF(AND(G3227=1,F3227=""),"Fechamento sem conversa",IF(OR(AND(E3227&lt;&gt;"",E3227&lt;B3227),AND(F3227&lt;&gt;"",F3227&lt;B3227)),"Evento anterior à entrada",IF(AND(F3227&lt;&gt;"",E3227=""),"Conversa sem agendamento",IF(OR(E3227&gt;TODAY(),F3227&gt;TODAY()),"Verificar evento futuro","OK"))))))))))</f>
        <v/>
      </c>
    </row>
    <row r="3228" spans="12:15">
      <c r="L3228" s="5">
        <f>IF(OR(A3228="",B3228=""),"",B3228-WEEKDAY(B3228,2)+1)</f>
        <v/>
      </c>
      <c r="M3228" s="5">
        <f>IF(L3228="","",L3228+6)</f>
        <v/>
      </c>
      <c r="N3228" s="6">
        <f>IF(OR(A3228="",B3228=""),"",DATE(YEAR(B3228),MONTH(B3228),1))</f>
        <v/>
      </c>
      <c r="O3228" s="7">
        <f>IF(COUNTA(A3228:K3228)=0,"",IF(OR(A3228="",B3228=""),"Preencher CPF e entrada",IF(COUNTIFS($A$12:$A$5011,A3228,$B$12:$B$5011,B3228)&gt;1,"CPF + dia duplicado",IF(OR(AND(G3228&lt;&gt;"",G3228&lt;&gt;0,G3228&lt;&gt;1),AND(H3228&lt;&gt;"",H3228&lt;&gt;0,H3228&lt;&gt;1)),"Flags devem ser 0 ou 1",IF(AND(H3228=1,LEN(TRIM(I3228))=0),"Preencher nome do indicante",IF(AND(H3228&lt;&gt;1,I3228&lt;&gt;""),"Nome sem indicação interna",IF(AND(G3228=1,F3228=""),"Fechamento sem conversa",IF(OR(AND(E3228&lt;&gt;"",E3228&lt;B3228),AND(F3228&lt;&gt;"",F3228&lt;B3228)),"Evento anterior à entrada",IF(AND(F3228&lt;&gt;"",E3228=""),"Conversa sem agendamento",IF(OR(E3228&gt;TODAY(),F3228&gt;TODAY()),"Verificar evento futuro","OK"))))))))))</f>
        <v/>
      </c>
    </row>
    <row r="3229" spans="12:15">
      <c r="L3229" s="5">
        <f>IF(OR(A3229="",B3229=""),"",B3229-WEEKDAY(B3229,2)+1)</f>
        <v/>
      </c>
      <c r="M3229" s="5">
        <f>IF(L3229="","",L3229+6)</f>
        <v/>
      </c>
      <c r="N3229" s="6">
        <f>IF(OR(A3229="",B3229=""),"",DATE(YEAR(B3229),MONTH(B3229),1))</f>
        <v/>
      </c>
      <c r="O3229" s="7">
        <f>IF(COUNTA(A3229:K3229)=0,"",IF(OR(A3229="",B3229=""),"Preencher CPF e entrada",IF(COUNTIFS($A$12:$A$5011,A3229,$B$12:$B$5011,B3229)&gt;1,"CPF + dia duplicado",IF(OR(AND(G3229&lt;&gt;"",G3229&lt;&gt;0,G3229&lt;&gt;1),AND(H3229&lt;&gt;"",H3229&lt;&gt;0,H3229&lt;&gt;1)),"Flags devem ser 0 ou 1",IF(AND(H3229=1,LEN(TRIM(I3229))=0),"Preencher nome do indicante",IF(AND(H3229&lt;&gt;1,I3229&lt;&gt;""),"Nome sem indicação interna",IF(AND(G3229=1,F3229=""),"Fechamento sem conversa",IF(OR(AND(E3229&lt;&gt;"",E3229&lt;B3229),AND(F3229&lt;&gt;"",F3229&lt;B3229)),"Evento anterior à entrada",IF(AND(F3229&lt;&gt;"",E3229=""),"Conversa sem agendamento",IF(OR(E3229&gt;TODAY(),F3229&gt;TODAY()),"Verificar evento futuro","OK"))))))))))</f>
        <v/>
      </c>
    </row>
    <row r="3230" spans="12:15">
      <c r="L3230" s="5">
        <f>IF(OR(A3230="",B3230=""),"",B3230-WEEKDAY(B3230,2)+1)</f>
        <v/>
      </c>
      <c r="M3230" s="5">
        <f>IF(L3230="","",L3230+6)</f>
        <v/>
      </c>
      <c r="N3230" s="6">
        <f>IF(OR(A3230="",B3230=""),"",DATE(YEAR(B3230),MONTH(B3230),1))</f>
        <v/>
      </c>
      <c r="O3230" s="7">
        <f>IF(COUNTA(A3230:K3230)=0,"",IF(OR(A3230="",B3230=""),"Preencher CPF e entrada",IF(COUNTIFS($A$12:$A$5011,A3230,$B$12:$B$5011,B3230)&gt;1,"CPF + dia duplicado",IF(OR(AND(G3230&lt;&gt;"",G3230&lt;&gt;0,G3230&lt;&gt;1),AND(H3230&lt;&gt;"",H3230&lt;&gt;0,H3230&lt;&gt;1)),"Flags devem ser 0 ou 1",IF(AND(H3230=1,LEN(TRIM(I3230))=0),"Preencher nome do indicante",IF(AND(H3230&lt;&gt;1,I3230&lt;&gt;""),"Nome sem indicação interna",IF(AND(G3230=1,F3230=""),"Fechamento sem conversa",IF(OR(AND(E3230&lt;&gt;"",E3230&lt;B3230),AND(F3230&lt;&gt;"",F3230&lt;B3230)),"Evento anterior à entrada",IF(AND(F3230&lt;&gt;"",E3230=""),"Conversa sem agendamento",IF(OR(E3230&gt;TODAY(),F3230&gt;TODAY()),"Verificar evento futuro","OK"))))))))))</f>
        <v/>
      </c>
    </row>
    <row r="3231" spans="12:15">
      <c r="L3231" s="5">
        <f>IF(OR(A3231="",B3231=""),"",B3231-WEEKDAY(B3231,2)+1)</f>
        <v/>
      </c>
      <c r="M3231" s="5">
        <f>IF(L3231="","",L3231+6)</f>
        <v/>
      </c>
      <c r="N3231" s="6">
        <f>IF(OR(A3231="",B3231=""),"",DATE(YEAR(B3231),MONTH(B3231),1))</f>
        <v/>
      </c>
      <c r="O3231" s="7">
        <f>IF(COUNTA(A3231:K3231)=0,"",IF(OR(A3231="",B3231=""),"Preencher CPF e entrada",IF(COUNTIFS($A$12:$A$5011,A3231,$B$12:$B$5011,B3231)&gt;1,"CPF + dia duplicado",IF(OR(AND(G3231&lt;&gt;"",G3231&lt;&gt;0,G3231&lt;&gt;1),AND(H3231&lt;&gt;"",H3231&lt;&gt;0,H3231&lt;&gt;1)),"Flags devem ser 0 ou 1",IF(AND(H3231=1,LEN(TRIM(I3231))=0),"Preencher nome do indicante",IF(AND(H3231&lt;&gt;1,I3231&lt;&gt;""),"Nome sem indicação interna",IF(AND(G3231=1,F3231=""),"Fechamento sem conversa",IF(OR(AND(E3231&lt;&gt;"",E3231&lt;B3231),AND(F3231&lt;&gt;"",F3231&lt;B3231)),"Evento anterior à entrada",IF(AND(F3231&lt;&gt;"",E3231=""),"Conversa sem agendamento",IF(OR(E3231&gt;TODAY(),F3231&gt;TODAY()),"Verificar evento futuro","OK"))))))))))</f>
        <v/>
      </c>
    </row>
    <row r="3232" spans="12:15">
      <c r="L3232" s="5">
        <f>IF(OR(A3232="",B3232=""),"",B3232-WEEKDAY(B3232,2)+1)</f>
        <v/>
      </c>
      <c r="M3232" s="5">
        <f>IF(L3232="","",L3232+6)</f>
        <v/>
      </c>
      <c r="N3232" s="6">
        <f>IF(OR(A3232="",B3232=""),"",DATE(YEAR(B3232),MONTH(B3232),1))</f>
        <v/>
      </c>
      <c r="O3232" s="7">
        <f>IF(COUNTA(A3232:K3232)=0,"",IF(OR(A3232="",B3232=""),"Preencher CPF e entrada",IF(COUNTIFS($A$12:$A$5011,A3232,$B$12:$B$5011,B3232)&gt;1,"CPF + dia duplicado",IF(OR(AND(G3232&lt;&gt;"",G3232&lt;&gt;0,G3232&lt;&gt;1),AND(H3232&lt;&gt;"",H3232&lt;&gt;0,H3232&lt;&gt;1)),"Flags devem ser 0 ou 1",IF(AND(H3232=1,LEN(TRIM(I3232))=0),"Preencher nome do indicante",IF(AND(H3232&lt;&gt;1,I3232&lt;&gt;""),"Nome sem indicação interna",IF(AND(G3232=1,F3232=""),"Fechamento sem conversa",IF(OR(AND(E3232&lt;&gt;"",E3232&lt;B3232),AND(F3232&lt;&gt;"",F3232&lt;B3232)),"Evento anterior à entrada",IF(AND(F3232&lt;&gt;"",E3232=""),"Conversa sem agendamento",IF(OR(E3232&gt;TODAY(),F3232&gt;TODAY()),"Verificar evento futuro","OK"))))))))))</f>
        <v/>
      </c>
    </row>
    <row r="3233" spans="12:15">
      <c r="L3233" s="5">
        <f>IF(OR(A3233="",B3233=""),"",B3233-WEEKDAY(B3233,2)+1)</f>
        <v/>
      </c>
      <c r="M3233" s="5">
        <f>IF(L3233="","",L3233+6)</f>
        <v/>
      </c>
      <c r="N3233" s="6">
        <f>IF(OR(A3233="",B3233=""),"",DATE(YEAR(B3233),MONTH(B3233),1))</f>
        <v/>
      </c>
      <c r="O3233" s="7">
        <f>IF(COUNTA(A3233:K3233)=0,"",IF(OR(A3233="",B3233=""),"Preencher CPF e entrada",IF(COUNTIFS($A$12:$A$5011,A3233,$B$12:$B$5011,B3233)&gt;1,"CPF + dia duplicado",IF(OR(AND(G3233&lt;&gt;"",G3233&lt;&gt;0,G3233&lt;&gt;1),AND(H3233&lt;&gt;"",H3233&lt;&gt;0,H3233&lt;&gt;1)),"Flags devem ser 0 ou 1",IF(AND(H3233=1,LEN(TRIM(I3233))=0),"Preencher nome do indicante",IF(AND(H3233&lt;&gt;1,I3233&lt;&gt;""),"Nome sem indicação interna",IF(AND(G3233=1,F3233=""),"Fechamento sem conversa",IF(OR(AND(E3233&lt;&gt;"",E3233&lt;B3233),AND(F3233&lt;&gt;"",F3233&lt;B3233)),"Evento anterior à entrada",IF(AND(F3233&lt;&gt;"",E3233=""),"Conversa sem agendamento",IF(OR(E3233&gt;TODAY(),F3233&gt;TODAY()),"Verificar evento futuro","OK"))))))))))</f>
        <v/>
      </c>
    </row>
    <row r="3234" spans="12:15">
      <c r="L3234" s="5">
        <f>IF(OR(A3234="",B3234=""),"",B3234-WEEKDAY(B3234,2)+1)</f>
        <v/>
      </c>
      <c r="M3234" s="5">
        <f>IF(L3234="","",L3234+6)</f>
        <v/>
      </c>
      <c r="N3234" s="6">
        <f>IF(OR(A3234="",B3234=""),"",DATE(YEAR(B3234),MONTH(B3234),1))</f>
        <v/>
      </c>
      <c r="O3234" s="7">
        <f>IF(COUNTA(A3234:K3234)=0,"",IF(OR(A3234="",B3234=""),"Preencher CPF e entrada",IF(COUNTIFS($A$12:$A$5011,A3234,$B$12:$B$5011,B3234)&gt;1,"CPF + dia duplicado",IF(OR(AND(G3234&lt;&gt;"",G3234&lt;&gt;0,G3234&lt;&gt;1),AND(H3234&lt;&gt;"",H3234&lt;&gt;0,H3234&lt;&gt;1)),"Flags devem ser 0 ou 1",IF(AND(H3234=1,LEN(TRIM(I3234))=0),"Preencher nome do indicante",IF(AND(H3234&lt;&gt;1,I3234&lt;&gt;""),"Nome sem indicação interna",IF(AND(G3234=1,F3234=""),"Fechamento sem conversa",IF(OR(AND(E3234&lt;&gt;"",E3234&lt;B3234),AND(F3234&lt;&gt;"",F3234&lt;B3234)),"Evento anterior à entrada",IF(AND(F3234&lt;&gt;"",E3234=""),"Conversa sem agendamento",IF(OR(E3234&gt;TODAY(),F3234&gt;TODAY()),"Verificar evento futuro","OK"))))))))))</f>
        <v/>
      </c>
    </row>
    <row r="3235" spans="12:15">
      <c r="L3235" s="5">
        <f>IF(OR(A3235="",B3235=""),"",B3235-WEEKDAY(B3235,2)+1)</f>
        <v/>
      </c>
      <c r="M3235" s="5">
        <f>IF(L3235="","",L3235+6)</f>
        <v/>
      </c>
      <c r="N3235" s="6">
        <f>IF(OR(A3235="",B3235=""),"",DATE(YEAR(B3235),MONTH(B3235),1))</f>
        <v/>
      </c>
      <c r="O3235" s="7">
        <f>IF(COUNTA(A3235:K3235)=0,"",IF(OR(A3235="",B3235=""),"Preencher CPF e entrada",IF(COUNTIFS($A$12:$A$5011,A3235,$B$12:$B$5011,B3235)&gt;1,"CPF + dia duplicado",IF(OR(AND(G3235&lt;&gt;"",G3235&lt;&gt;0,G3235&lt;&gt;1),AND(H3235&lt;&gt;"",H3235&lt;&gt;0,H3235&lt;&gt;1)),"Flags devem ser 0 ou 1",IF(AND(H3235=1,LEN(TRIM(I3235))=0),"Preencher nome do indicante",IF(AND(H3235&lt;&gt;1,I3235&lt;&gt;""),"Nome sem indicação interna",IF(AND(G3235=1,F3235=""),"Fechamento sem conversa",IF(OR(AND(E3235&lt;&gt;"",E3235&lt;B3235),AND(F3235&lt;&gt;"",F3235&lt;B3235)),"Evento anterior à entrada",IF(AND(F3235&lt;&gt;"",E3235=""),"Conversa sem agendamento",IF(OR(E3235&gt;TODAY(),F3235&gt;TODAY()),"Verificar evento futuro","OK"))))))))))</f>
        <v/>
      </c>
    </row>
    <row r="3236" spans="12:15">
      <c r="L3236" s="5">
        <f>IF(OR(A3236="",B3236=""),"",B3236-WEEKDAY(B3236,2)+1)</f>
        <v/>
      </c>
      <c r="M3236" s="5">
        <f>IF(L3236="","",L3236+6)</f>
        <v/>
      </c>
      <c r="N3236" s="6">
        <f>IF(OR(A3236="",B3236=""),"",DATE(YEAR(B3236),MONTH(B3236),1))</f>
        <v/>
      </c>
      <c r="O3236" s="7">
        <f>IF(COUNTA(A3236:K3236)=0,"",IF(OR(A3236="",B3236=""),"Preencher CPF e entrada",IF(COUNTIFS($A$12:$A$5011,A3236,$B$12:$B$5011,B3236)&gt;1,"CPF + dia duplicado",IF(OR(AND(G3236&lt;&gt;"",G3236&lt;&gt;0,G3236&lt;&gt;1),AND(H3236&lt;&gt;"",H3236&lt;&gt;0,H3236&lt;&gt;1)),"Flags devem ser 0 ou 1",IF(AND(H3236=1,LEN(TRIM(I3236))=0),"Preencher nome do indicante",IF(AND(H3236&lt;&gt;1,I3236&lt;&gt;""),"Nome sem indicação interna",IF(AND(G3236=1,F3236=""),"Fechamento sem conversa",IF(OR(AND(E3236&lt;&gt;"",E3236&lt;B3236),AND(F3236&lt;&gt;"",F3236&lt;B3236)),"Evento anterior à entrada",IF(AND(F3236&lt;&gt;"",E3236=""),"Conversa sem agendamento",IF(OR(E3236&gt;TODAY(),F3236&gt;TODAY()),"Verificar evento futuro","OK"))))))))))</f>
        <v/>
      </c>
    </row>
    <row r="3237" spans="12:15">
      <c r="L3237" s="5">
        <f>IF(OR(A3237="",B3237=""),"",B3237-WEEKDAY(B3237,2)+1)</f>
        <v/>
      </c>
      <c r="M3237" s="5">
        <f>IF(L3237="","",L3237+6)</f>
        <v/>
      </c>
      <c r="N3237" s="6">
        <f>IF(OR(A3237="",B3237=""),"",DATE(YEAR(B3237),MONTH(B3237),1))</f>
        <v/>
      </c>
      <c r="O3237" s="7">
        <f>IF(COUNTA(A3237:K3237)=0,"",IF(OR(A3237="",B3237=""),"Preencher CPF e entrada",IF(COUNTIFS($A$12:$A$5011,A3237,$B$12:$B$5011,B3237)&gt;1,"CPF + dia duplicado",IF(OR(AND(G3237&lt;&gt;"",G3237&lt;&gt;0,G3237&lt;&gt;1),AND(H3237&lt;&gt;"",H3237&lt;&gt;0,H3237&lt;&gt;1)),"Flags devem ser 0 ou 1",IF(AND(H3237=1,LEN(TRIM(I3237))=0),"Preencher nome do indicante",IF(AND(H3237&lt;&gt;1,I3237&lt;&gt;""),"Nome sem indicação interna",IF(AND(G3237=1,F3237=""),"Fechamento sem conversa",IF(OR(AND(E3237&lt;&gt;"",E3237&lt;B3237),AND(F3237&lt;&gt;"",F3237&lt;B3237)),"Evento anterior à entrada",IF(AND(F3237&lt;&gt;"",E3237=""),"Conversa sem agendamento",IF(OR(E3237&gt;TODAY(),F3237&gt;TODAY()),"Verificar evento futuro","OK"))))))))))</f>
        <v/>
      </c>
    </row>
    <row r="3238" spans="12:15">
      <c r="L3238" s="5">
        <f>IF(OR(A3238="",B3238=""),"",B3238-WEEKDAY(B3238,2)+1)</f>
        <v/>
      </c>
      <c r="M3238" s="5">
        <f>IF(L3238="","",L3238+6)</f>
        <v/>
      </c>
      <c r="N3238" s="6">
        <f>IF(OR(A3238="",B3238=""),"",DATE(YEAR(B3238),MONTH(B3238),1))</f>
        <v/>
      </c>
      <c r="O3238" s="7">
        <f>IF(COUNTA(A3238:K3238)=0,"",IF(OR(A3238="",B3238=""),"Preencher CPF e entrada",IF(COUNTIFS($A$12:$A$5011,A3238,$B$12:$B$5011,B3238)&gt;1,"CPF + dia duplicado",IF(OR(AND(G3238&lt;&gt;"",G3238&lt;&gt;0,G3238&lt;&gt;1),AND(H3238&lt;&gt;"",H3238&lt;&gt;0,H3238&lt;&gt;1)),"Flags devem ser 0 ou 1",IF(AND(H3238=1,LEN(TRIM(I3238))=0),"Preencher nome do indicante",IF(AND(H3238&lt;&gt;1,I3238&lt;&gt;""),"Nome sem indicação interna",IF(AND(G3238=1,F3238=""),"Fechamento sem conversa",IF(OR(AND(E3238&lt;&gt;"",E3238&lt;B3238),AND(F3238&lt;&gt;"",F3238&lt;B3238)),"Evento anterior à entrada",IF(AND(F3238&lt;&gt;"",E3238=""),"Conversa sem agendamento",IF(OR(E3238&gt;TODAY(),F3238&gt;TODAY()),"Verificar evento futuro","OK"))))))))))</f>
        <v/>
      </c>
    </row>
    <row r="3239" spans="12:15">
      <c r="L3239" s="5">
        <f>IF(OR(A3239="",B3239=""),"",B3239-WEEKDAY(B3239,2)+1)</f>
        <v/>
      </c>
      <c r="M3239" s="5">
        <f>IF(L3239="","",L3239+6)</f>
        <v/>
      </c>
      <c r="N3239" s="6">
        <f>IF(OR(A3239="",B3239=""),"",DATE(YEAR(B3239),MONTH(B3239),1))</f>
        <v/>
      </c>
      <c r="O3239" s="7">
        <f>IF(COUNTA(A3239:K3239)=0,"",IF(OR(A3239="",B3239=""),"Preencher CPF e entrada",IF(COUNTIFS($A$12:$A$5011,A3239,$B$12:$B$5011,B3239)&gt;1,"CPF + dia duplicado",IF(OR(AND(G3239&lt;&gt;"",G3239&lt;&gt;0,G3239&lt;&gt;1),AND(H3239&lt;&gt;"",H3239&lt;&gt;0,H3239&lt;&gt;1)),"Flags devem ser 0 ou 1",IF(AND(H3239=1,LEN(TRIM(I3239))=0),"Preencher nome do indicante",IF(AND(H3239&lt;&gt;1,I3239&lt;&gt;""),"Nome sem indicação interna",IF(AND(G3239=1,F3239=""),"Fechamento sem conversa",IF(OR(AND(E3239&lt;&gt;"",E3239&lt;B3239),AND(F3239&lt;&gt;"",F3239&lt;B3239)),"Evento anterior à entrada",IF(AND(F3239&lt;&gt;"",E3239=""),"Conversa sem agendamento",IF(OR(E3239&gt;TODAY(),F3239&gt;TODAY()),"Verificar evento futuro","OK"))))))))))</f>
        <v/>
      </c>
    </row>
    <row r="3240" spans="12:15">
      <c r="L3240" s="5">
        <f>IF(OR(A3240="",B3240=""),"",B3240-WEEKDAY(B3240,2)+1)</f>
        <v/>
      </c>
      <c r="M3240" s="5">
        <f>IF(L3240="","",L3240+6)</f>
        <v/>
      </c>
      <c r="N3240" s="6">
        <f>IF(OR(A3240="",B3240=""),"",DATE(YEAR(B3240),MONTH(B3240),1))</f>
        <v/>
      </c>
      <c r="O3240" s="7">
        <f>IF(COUNTA(A3240:K3240)=0,"",IF(OR(A3240="",B3240=""),"Preencher CPF e entrada",IF(COUNTIFS($A$12:$A$5011,A3240,$B$12:$B$5011,B3240)&gt;1,"CPF + dia duplicado",IF(OR(AND(G3240&lt;&gt;"",G3240&lt;&gt;0,G3240&lt;&gt;1),AND(H3240&lt;&gt;"",H3240&lt;&gt;0,H3240&lt;&gt;1)),"Flags devem ser 0 ou 1",IF(AND(H3240=1,LEN(TRIM(I3240))=0),"Preencher nome do indicante",IF(AND(H3240&lt;&gt;1,I3240&lt;&gt;""),"Nome sem indicação interna",IF(AND(G3240=1,F3240=""),"Fechamento sem conversa",IF(OR(AND(E3240&lt;&gt;"",E3240&lt;B3240),AND(F3240&lt;&gt;"",F3240&lt;B3240)),"Evento anterior à entrada",IF(AND(F3240&lt;&gt;"",E3240=""),"Conversa sem agendamento",IF(OR(E3240&gt;TODAY(),F3240&gt;TODAY()),"Verificar evento futuro","OK"))))))))))</f>
        <v/>
      </c>
    </row>
    <row r="3241" spans="12:15">
      <c r="L3241" s="5">
        <f>IF(OR(A3241="",B3241=""),"",B3241-WEEKDAY(B3241,2)+1)</f>
        <v/>
      </c>
      <c r="M3241" s="5">
        <f>IF(L3241="","",L3241+6)</f>
        <v/>
      </c>
      <c r="N3241" s="6">
        <f>IF(OR(A3241="",B3241=""),"",DATE(YEAR(B3241),MONTH(B3241),1))</f>
        <v/>
      </c>
      <c r="O3241" s="7">
        <f>IF(COUNTA(A3241:K3241)=0,"",IF(OR(A3241="",B3241=""),"Preencher CPF e entrada",IF(COUNTIFS($A$12:$A$5011,A3241,$B$12:$B$5011,B3241)&gt;1,"CPF + dia duplicado",IF(OR(AND(G3241&lt;&gt;"",G3241&lt;&gt;0,G3241&lt;&gt;1),AND(H3241&lt;&gt;"",H3241&lt;&gt;0,H3241&lt;&gt;1)),"Flags devem ser 0 ou 1",IF(AND(H3241=1,LEN(TRIM(I3241))=0),"Preencher nome do indicante",IF(AND(H3241&lt;&gt;1,I3241&lt;&gt;""),"Nome sem indicação interna",IF(AND(G3241=1,F3241=""),"Fechamento sem conversa",IF(OR(AND(E3241&lt;&gt;"",E3241&lt;B3241),AND(F3241&lt;&gt;"",F3241&lt;B3241)),"Evento anterior à entrada",IF(AND(F3241&lt;&gt;"",E3241=""),"Conversa sem agendamento",IF(OR(E3241&gt;TODAY(),F3241&gt;TODAY()),"Verificar evento futuro","OK"))))))))))</f>
        <v/>
      </c>
    </row>
    <row r="3242" spans="12:15">
      <c r="L3242" s="5">
        <f>IF(OR(A3242="",B3242=""),"",B3242-WEEKDAY(B3242,2)+1)</f>
        <v/>
      </c>
      <c r="M3242" s="5">
        <f>IF(L3242="","",L3242+6)</f>
        <v/>
      </c>
      <c r="N3242" s="6">
        <f>IF(OR(A3242="",B3242=""),"",DATE(YEAR(B3242),MONTH(B3242),1))</f>
        <v/>
      </c>
      <c r="O3242" s="7">
        <f>IF(COUNTA(A3242:K3242)=0,"",IF(OR(A3242="",B3242=""),"Preencher CPF e entrada",IF(COUNTIFS($A$12:$A$5011,A3242,$B$12:$B$5011,B3242)&gt;1,"CPF + dia duplicado",IF(OR(AND(G3242&lt;&gt;"",G3242&lt;&gt;0,G3242&lt;&gt;1),AND(H3242&lt;&gt;"",H3242&lt;&gt;0,H3242&lt;&gt;1)),"Flags devem ser 0 ou 1",IF(AND(H3242=1,LEN(TRIM(I3242))=0),"Preencher nome do indicante",IF(AND(H3242&lt;&gt;1,I3242&lt;&gt;""),"Nome sem indicação interna",IF(AND(G3242=1,F3242=""),"Fechamento sem conversa",IF(OR(AND(E3242&lt;&gt;"",E3242&lt;B3242),AND(F3242&lt;&gt;"",F3242&lt;B3242)),"Evento anterior à entrada",IF(AND(F3242&lt;&gt;"",E3242=""),"Conversa sem agendamento",IF(OR(E3242&gt;TODAY(),F3242&gt;TODAY()),"Verificar evento futuro","OK"))))))))))</f>
        <v/>
      </c>
    </row>
    <row r="3243" spans="12:15">
      <c r="L3243" s="5">
        <f>IF(OR(A3243="",B3243=""),"",B3243-WEEKDAY(B3243,2)+1)</f>
        <v/>
      </c>
      <c r="M3243" s="5">
        <f>IF(L3243="","",L3243+6)</f>
        <v/>
      </c>
      <c r="N3243" s="6">
        <f>IF(OR(A3243="",B3243=""),"",DATE(YEAR(B3243),MONTH(B3243),1))</f>
        <v/>
      </c>
      <c r="O3243" s="7">
        <f>IF(COUNTA(A3243:K3243)=0,"",IF(OR(A3243="",B3243=""),"Preencher CPF e entrada",IF(COUNTIFS($A$12:$A$5011,A3243,$B$12:$B$5011,B3243)&gt;1,"CPF + dia duplicado",IF(OR(AND(G3243&lt;&gt;"",G3243&lt;&gt;0,G3243&lt;&gt;1),AND(H3243&lt;&gt;"",H3243&lt;&gt;0,H3243&lt;&gt;1)),"Flags devem ser 0 ou 1",IF(AND(H3243=1,LEN(TRIM(I3243))=0),"Preencher nome do indicante",IF(AND(H3243&lt;&gt;1,I3243&lt;&gt;""),"Nome sem indicação interna",IF(AND(G3243=1,F3243=""),"Fechamento sem conversa",IF(OR(AND(E3243&lt;&gt;"",E3243&lt;B3243),AND(F3243&lt;&gt;"",F3243&lt;B3243)),"Evento anterior à entrada",IF(AND(F3243&lt;&gt;"",E3243=""),"Conversa sem agendamento",IF(OR(E3243&gt;TODAY(),F3243&gt;TODAY()),"Verificar evento futuro","OK"))))))))))</f>
        <v/>
      </c>
    </row>
    <row r="3244" spans="12:15">
      <c r="L3244" s="5">
        <f>IF(OR(A3244="",B3244=""),"",B3244-WEEKDAY(B3244,2)+1)</f>
        <v/>
      </c>
      <c r="M3244" s="5">
        <f>IF(L3244="","",L3244+6)</f>
        <v/>
      </c>
      <c r="N3244" s="6">
        <f>IF(OR(A3244="",B3244=""),"",DATE(YEAR(B3244),MONTH(B3244),1))</f>
        <v/>
      </c>
      <c r="O3244" s="7">
        <f>IF(COUNTA(A3244:K3244)=0,"",IF(OR(A3244="",B3244=""),"Preencher CPF e entrada",IF(COUNTIFS($A$12:$A$5011,A3244,$B$12:$B$5011,B3244)&gt;1,"CPF + dia duplicado",IF(OR(AND(G3244&lt;&gt;"",G3244&lt;&gt;0,G3244&lt;&gt;1),AND(H3244&lt;&gt;"",H3244&lt;&gt;0,H3244&lt;&gt;1)),"Flags devem ser 0 ou 1",IF(AND(H3244=1,LEN(TRIM(I3244))=0),"Preencher nome do indicante",IF(AND(H3244&lt;&gt;1,I3244&lt;&gt;""),"Nome sem indicação interna",IF(AND(G3244=1,F3244=""),"Fechamento sem conversa",IF(OR(AND(E3244&lt;&gt;"",E3244&lt;B3244),AND(F3244&lt;&gt;"",F3244&lt;B3244)),"Evento anterior à entrada",IF(AND(F3244&lt;&gt;"",E3244=""),"Conversa sem agendamento",IF(OR(E3244&gt;TODAY(),F3244&gt;TODAY()),"Verificar evento futuro","OK"))))))))))</f>
        <v/>
      </c>
    </row>
    <row r="3245" spans="12:15">
      <c r="L3245" s="5">
        <f>IF(OR(A3245="",B3245=""),"",B3245-WEEKDAY(B3245,2)+1)</f>
        <v/>
      </c>
      <c r="M3245" s="5">
        <f>IF(L3245="","",L3245+6)</f>
        <v/>
      </c>
      <c r="N3245" s="6">
        <f>IF(OR(A3245="",B3245=""),"",DATE(YEAR(B3245),MONTH(B3245),1))</f>
        <v/>
      </c>
      <c r="O3245" s="7">
        <f>IF(COUNTA(A3245:K3245)=0,"",IF(OR(A3245="",B3245=""),"Preencher CPF e entrada",IF(COUNTIFS($A$12:$A$5011,A3245,$B$12:$B$5011,B3245)&gt;1,"CPF + dia duplicado",IF(OR(AND(G3245&lt;&gt;"",G3245&lt;&gt;0,G3245&lt;&gt;1),AND(H3245&lt;&gt;"",H3245&lt;&gt;0,H3245&lt;&gt;1)),"Flags devem ser 0 ou 1",IF(AND(H3245=1,LEN(TRIM(I3245))=0),"Preencher nome do indicante",IF(AND(H3245&lt;&gt;1,I3245&lt;&gt;""),"Nome sem indicação interna",IF(AND(G3245=1,F3245=""),"Fechamento sem conversa",IF(OR(AND(E3245&lt;&gt;"",E3245&lt;B3245),AND(F3245&lt;&gt;"",F3245&lt;B3245)),"Evento anterior à entrada",IF(AND(F3245&lt;&gt;"",E3245=""),"Conversa sem agendamento",IF(OR(E3245&gt;TODAY(),F3245&gt;TODAY()),"Verificar evento futuro","OK"))))))))))</f>
        <v/>
      </c>
    </row>
    <row r="3246" spans="12:15">
      <c r="L3246" s="5">
        <f>IF(OR(A3246="",B3246=""),"",B3246-WEEKDAY(B3246,2)+1)</f>
        <v/>
      </c>
      <c r="M3246" s="5">
        <f>IF(L3246="","",L3246+6)</f>
        <v/>
      </c>
      <c r="N3246" s="6">
        <f>IF(OR(A3246="",B3246=""),"",DATE(YEAR(B3246),MONTH(B3246),1))</f>
        <v/>
      </c>
      <c r="O3246" s="7">
        <f>IF(COUNTA(A3246:K3246)=0,"",IF(OR(A3246="",B3246=""),"Preencher CPF e entrada",IF(COUNTIFS($A$12:$A$5011,A3246,$B$12:$B$5011,B3246)&gt;1,"CPF + dia duplicado",IF(OR(AND(G3246&lt;&gt;"",G3246&lt;&gt;0,G3246&lt;&gt;1),AND(H3246&lt;&gt;"",H3246&lt;&gt;0,H3246&lt;&gt;1)),"Flags devem ser 0 ou 1",IF(AND(H3246=1,LEN(TRIM(I3246))=0),"Preencher nome do indicante",IF(AND(H3246&lt;&gt;1,I3246&lt;&gt;""),"Nome sem indicação interna",IF(AND(G3246=1,F3246=""),"Fechamento sem conversa",IF(OR(AND(E3246&lt;&gt;"",E3246&lt;B3246),AND(F3246&lt;&gt;"",F3246&lt;B3246)),"Evento anterior à entrada",IF(AND(F3246&lt;&gt;"",E3246=""),"Conversa sem agendamento",IF(OR(E3246&gt;TODAY(),F3246&gt;TODAY()),"Verificar evento futuro","OK"))))))))))</f>
        <v/>
      </c>
    </row>
    <row r="3247" spans="12:15">
      <c r="L3247" s="5">
        <f>IF(OR(A3247="",B3247=""),"",B3247-WEEKDAY(B3247,2)+1)</f>
        <v/>
      </c>
      <c r="M3247" s="5">
        <f>IF(L3247="","",L3247+6)</f>
        <v/>
      </c>
      <c r="N3247" s="6">
        <f>IF(OR(A3247="",B3247=""),"",DATE(YEAR(B3247),MONTH(B3247),1))</f>
        <v/>
      </c>
      <c r="O3247" s="7">
        <f>IF(COUNTA(A3247:K3247)=0,"",IF(OR(A3247="",B3247=""),"Preencher CPF e entrada",IF(COUNTIFS($A$12:$A$5011,A3247,$B$12:$B$5011,B3247)&gt;1,"CPF + dia duplicado",IF(OR(AND(G3247&lt;&gt;"",G3247&lt;&gt;0,G3247&lt;&gt;1),AND(H3247&lt;&gt;"",H3247&lt;&gt;0,H3247&lt;&gt;1)),"Flags devem ser 0 ou 1",IF(AND(H3247=1,LEN(TRIM(I3247))=0),"Preencher nome do indicante",IF(AND(H3247&lt;&gt;1,I3247&lt;&gt;""),"Nome sem indicação interna",IF(AND(G3247=1,F3247=""),"Fechamento sem conversa",IF(OR(AND(E3247&lt;&gt;"",E3247&lt;B3247),AND(F3247&lt;&gt;"",F3247&lt;B3247)),"Evento anterior à entrada",IF(AND(F3247&lt;&gt;"",E3247=""),"Conversa sem agendamento",IF(OR(E3247&gt;TODAY(),F3247&gt;TODAY()),"Verificar evento futuro","OK"))))))))))</f>
        <v/>
      </c>
    </row>
    <row r="3248" spans="12:15">
      <c r="L3248" s="5">
        <f>IF(OR(A3248="",B3248=""),"",B3248-WEEKDAY(B3248,2)+1)</f>
        <v/>
      </c>
      <c r="M3248" s="5">
        <f>IF(L3248="","",L3248+6)</f>
        <v/>
      </c>
      <c r="N3248" s="6">
        <f>IF(OR(A3248="",B3248=""),"",DATE(YEAR(B3248),MONTH(B3248),1))</f>
        <v/>
      </c>
      <c r="O3248" s="7">
        <f>IF(COUNTA(A3248:K3248)=0,"",IF(OR(A3248="",B3248=""),"Preencher CPF e entrada",IF(COUNTIFS($A$12:$A$5011,A3248,$B$12:$B$5011,B3248)&gt;1,"CPF + dia duplicado",IF(OR(AND(G3248&lt;&gt;"",G3248&lt;&gt;0,G3248&lt;&gt;1),AND(H3248&lt;&gt;"",H3248&lt;&gt;0,H3248&lt;&gt;1)),"Flags devem ser 0 ou 1",IF(AND(H3248=1,LEN(TRIM(I3248))=0),"Preencher nome do indicante",IF(AND(H3248&lt;&gt;1,I3248&lt;&gt;""),"Nome sem indicação interna",IF(AND(G3248=1,F3248=""),"Fechamento sem conversa",IF(OR(AND(E3248&lt;&gt;"",E3248&lt;B3248),AND(F3248&lt;&gt;"",F3248&lt;B3248)),"Evento anterior à entrada",IF(AND(F3248&lt;&gt;"",E3248=""),"Conversa sem agendamento",IF(OR(E3248&gt;TODAY(),F3248&gt;TODAY()),"Verificar evento futuro","OK"))))))))))</f>
        <v/>
      </c>
    </row>
    <row r="3249" spans="12:15">
      <c r="L3249" s="5">
        <f>IF(OR(A3249="",B3249=""),"",B3249-WEEKDAY(B3249,2)+1)</f>
        <v/>
      </c>
      <c r="M3249" s="5">
        <f>IF(L3249="","",L3249+6)</f>
        <v/>
      </c>
      <c r="N3249" s="6">
        <f>IF(OR(A3249="",B3249=""),"",DATE(YEAR(B3249),MONTH(B3249),1))</f>
        <v/>
      </c>
      <c r="O3249" s="7">
        <f>IF(COUNTA(A3249:K3249)=0,"",IF(OR(A3249="",B3249=""),"Preencher CPF e entrada",IF(COUNTIFS($A$12:$A$5011,A3249,$B$12:$B$5011,B3249)&gt;1,"CPF + dia duplicado",IF(OR(AND(G3249&lt;&gt;"",G3249&lt;&gt;0,G3249&lt;&gt;1),AND(H3249&lt;&gt;"",H3249&lt;&gt;0,H3249&lt;&gt;1)),"Flags devem ser 0 ou 1",IF(AND(H3249=1,LEN(TRIM(I3249))=0),"Preencher nome do indicante",IF(AND(H3249&lt;&gt;1,I3249&lt;&gt;""),"Nome sem indicação interna",IF(AND(G3249=1,F3249=""),"Fechamento sem conversa",IF(OR(AND(E3249&lt;&gt;"",E3249&lt;B3249),AND(F3249&lt;&gt;"",F3249&lt;B3249)),"Evento anterior à entrada",IF(AND(F3249&lt;&gt;"",E3249=""),"Conversa sem agendamento",IF(OR(E3249&gt;TODAY(),F3249&gt;TODAY()),"Verificar evento futuro","OK"))))))))))</f>
        <v/>
      </c>
    </row>
    <row r="3250" spans="12:15">
      <c r="L3250" s="5">
        <f>IF(OR(A3250="",B3250=""),"",B3250-WEEKDAY(B3250,2)+1)</f>
        <v/>
      </c>
      <c r="M3250" s="5">
        <f>IF(L3250="","",L3250+6)</f>
        <v/>
      </c>
      <c r="N3250" s="6">
        <f>IF(OR(A3250="",B3250=""),"",DATE(YEAR(B3250),MONTH(B3250),1))</f>
        <v/>
      </c>
      <c r="O3250" s="7">
        <f>IF(COUNTA(A3250:K3250)=0,"",IF(OR(A3250="",B3250=""),"Preencher CPF e entrada",IF(COUNTIFS($A$12:$A$5011,A3250,$B$12:$B$5011,B3250)&gt;1,"CPF + dia duplicado",IF(OR(AND(G3250&lt;&gt;"",G3250&lt;&gt;0,G3250&lt;&gt;1),AND(H3250&lt;&gt;"",H3250&lt;&gt;0,H3250&lt;&gt;1)),"Flags devem ser 0 ou 1",IF(AND(H3250=1,LEN(TRIM(I3250))=0),"Preencher nome do indicante",IF(AND(H3250&lt;&gt;1,I3250&lt;&gt;""),"Nome sem indicação interna",IF(AND(G3250=1,F3250=""),"Fechamento sem conversa",IF(OR(AND(E3250&lt;&gt;"",E3250&lt;B3250),AND(F3250&lt;&gt;"",F3250&lt;B3250)),"Evento anterior à entrada",IF(AND(F3250&lt;&gt;"",E3250=""),"Conversa sem agendamento",IF(OR(E3250&gt;TODAY(),F3250&gt;TODAY()),"Verificar evento futuro","OK"))))))))))</f>
        <v/>
      </c>
    </row>
    <row r="3251" spans="12:15">
      <c r="L3251" s="5">
        <f>IF(OR(A3251="",B3251=""),"",B3251-WEEKDAY(B3251,2)+1)</f>
        <v/>
      </c>
      <c r="M3251" s="5">
        <f>IF(L3251="","",L3251+6)</f>
        <v/>
      </c>
      <c r="N3251" s="6">
        <f>IF(OR(A3251="",B3251=""),"",DATE(YEAR(B3251),MONTH(B3251),1))</f>
        <v/>
      </c>
      <c r="O3251" s="7">
        <f>IF(COUNTA(A3251:K3251)=0,"",IF(OR(A3251="",B3251=""),"Preencher CPF e entrada",IF(COUNTIFS($A$12:$A$5011,A3251,$B$12:$B$5011,B3251)&gt;1,"CPF + dia duplicado",IF(OR(AND(G3251&lt;&gt;"",G3251&lt;&gt;0,G3251&lt;&gt;1),AND(H3251&lt;&gt;"",H3251&lt;&gt;0,H3251&lt;&gt;1)),"Flags devem ser 0 ou 1",IF(AND(H3251=1,LEN(TRIM(I3251))=0),"Preencher nome do indicante",IF(AND(H3251&lt;&gt;1,I3251&lt;&gt;""),"Nome sem indicação interna",IF(AND(G3251=1,F3251=""),"Fechamento sem conversa",IF(OR(AND(E3251&lt;&gt;"",E3251&lt;B3251),AND(F3251&lt;&gt;"",F3251&lt;B3251)),"Evento anterior à entrada",IF(AND(F3251&lt;&gt;"",E3251=""),"Conversa sem agendamento",IF(OR(E3251&gt;TODAY(),F3251&gt;TODAY()),"Verificar evento futuro","OK"))))))))))</f>
        <v/>
      </c>
    </row>
    <row r="3252" spans="12:15">
      <c r="L3252" s="5">
        <f>IF(OR(A3252="",B3252=""),"",B3252-WEEKDAY(B3252,2)+1)</f>
        <v/>
      </c>
      <c r="M3252" s="5">
        <f>IF(L3252="","",L3252+6)</f>
        <v/>
      </c>
      <c r="N3252" s="6">
        <f>IF(OR(A3252="",B3252=""),"",DATE(YEAR(B3252),MONTH(B3252),1))</f>
        <v/>
      </c>
      <c r="O3252" s="7">
        <f>IF(COUNTA(A3252:K3252)=0,"",IF(OR(A3252="",B3252=""),"Preencher CPF e entrada",IF(COUNTIFS($A$12:$A$5011,A3252,$B$12:$B$5011,B3252)&gt;1,"CPF + dia duplicado",IF(OR(AND(G3252&lt;&gt;"",G3252&lt;&gt;0,G3252&lt;&gt;1),AND(H3252&lt;&gt;"",H3252&lt;&gt;0,H3252&lt;&gt;1)),"Flags devem ser 0 ou 1",IF(AND(H3252=1,LEN(TRIM(I3252))=0),"Preencher nome do indicante",IF(AND(H3252&lt;&gt;1,I3252&lt;&gt;""),"Nome sem indicação interna",IF(AND(G3252=1,F3252=""),"Fechamento sem conversa",IF(OR(AND(E3252&lt;&gt;"",E3252&lt;B3252),AND(F3252&lt;&gt;"",F3252&lt;B3252)),"Evento anterior à entrada",IF(AND(F3252&lt;&gt;"",E3252=""),"Conversa sem agendamento",IF(OR(E3252&gt;TODAY(),F3252&gt;TODAY()),"Verificar evento futuro","OK"))))))))))</f>
        <v/>
      </c>
    </row>
    <row r="3253" spans="12:15">
      <c r="L3253" s="5">
        <f>IF(OR(A3253="",B3253=""),"",B3253-WEEKDAY(B3253,2)+1)</f>
        <v/>
      </c>
      <c r="M3253" s="5">
        <f>IF(L3253="","",L3253+6)</f>
        <v/>
      </c>
      <c r="N3253" s="6">
        <f>IF(OR(A3253="",B3253=""),"",DATE(YEAR(B3253),MONTH(B3253),1))</f>
        <v/>
      </c>
      <c r="O3253" s="7">
        <f>IF(COUNTA(A3253:K3253)=0,"",IF(OR(A3253="",B3253=""),"Preencher CPF e entrada",IF(COUNTIFS($A$12:$A$5011,A3253,$B$12:$B$5011,B3253)&gt;1,"CPF + dia duplicado",IF(OR(AND(G3253&lt;&gt;"",G3253&lt;&gt;0,G3253&lt;&gt;1),AND(H3253&lt;&gt;"",H3253&lt;&gt;0,H3253&lt;&gt;1)),"Flags devem ser 0 ou 1",IF(AND(H3253=1,LEN(TRIM(I3253))=0),"Preencher nome do indicante",IF(AND(H3253&lt;&gt;1,I3253&lt;&gt;""),"Nome sem indicação interna",IF(AND(G3253=1,F3253=""),"Fechamento sem conversa",IF(OR(AND(E3253&lt;&gt;"",E3253&lt;B3253),AND(F3253&lt;&gt;"",F3253&lt;B3253)),"Evento anterior à entrada",IF(AND(F3253&lt;&gt;"",E3253=""),"Conversa sem agendamento",IF(OR(E3253&gt;TODAY(),F3253&gt;TODAY()),"Verificar evento futuro","OK"))))))))))</f>
        <v/>
      </c>
    </row>
    <row r="3254" spans="12:15">
      <c r="L3254" s="5">
        <f>IF(OR(A3254="",B3254=""),"",B3254-WEEKDAY(B3254,2)+1)</f>
        <v/>
      </c>
      <c r="M3254" s="5">
        <f>IF(L3254="","",L3254+6)</f>
        <v/>
      </c>
      <c r="N3254" s="6">
        <f>IF(OR(A3254="",B3254=""),"",DATE(YEAR(B3254),MONTH(B3254),1))</f>
        <v/>
      </c>
      <c r="O3254" s="7">
        <f>IF(COUNTA(A3254:K3254)=0,"",IF(OR(A3254="",B3254=""),"Preencher CPF e entrada",IF(COUNTIFS($A$12:$A$5011,A3254,$B$12:$B$5011,B3254)&gt;1,"CPF + dia duplicado",IF(OR(AND(G3254&lt;&gt;"",G3254&lt;&gt;0,G3254&lt;&gt;1),AND(H3254&lt;&gt;"",H3254&lt;&gt;0,H3254&lt;&gt;1)),"Flags devem ser 0 ou 1",IF(AND(H3254=1,LEN(TRIM(I3254))=0),"Preencher nome do indicante",IF(AND(H3254&lt;&gt;1,I3254&lt;&gt;""),"Nome sem indicação interna",IF(AND(G3254=1,F3254=""),"Fechamento sem conversa",IF(OR(AND(E3254&lt;&gt;"",E3254&lt;B3254),AND(F3254&lt;&gt;"",F3254&lt;B3254)),"Evento anterior à entrada",IF(AND(F3254&lt;&gt;"",E3254=""),"Conversa sem agendamento",IF(OR(E3254&gt;TODAY(),F3254&gt;TODAY()),"Verificar evento futuro","OK"))))))))))</f>
        <v/>
      </c>
    </row>
    <row r="3255" spans="12:15">
      <c r="L3255" s="5">
        <f>IF(OR(A3255="",B3255=""),"",B3255-WEEKDAY(B3255,2)+1)</f>
        <v/>
      </c>
      <c r="M3255" s="5">
        <f>IF(L3255="","",L3255+6)</f>
        <v/>
      </c>
      <c r="N3255" s="6">
        <f>IF(OR(A3255="",B3255=""),"",DATE(YEAR(B3255),MONTH(B3255),1))</f>
        <v/>
      </c>
      <c r="O3255" s="7">
        <f>IF(COUNTA(A3255:K3255)=0,"",IF(OR(A3255="",B3255=""),"Preencher CPF e entrada",IF(COUNTIFS($A$12:$A$5011,A3255,$B$12:$B$5011,B3255)&gt;1,"CPF + dia duplicado",IF(OR(AND(G3255&lt;&gt;"",G3255&lt;&gt;0,G3255&lt;&gt;1),AND(H3255&lt;&gt;"",H3255&lt;&gt;0,H3255&lt;&gt;1)),"Flags devem ser 0 ou 1",IF(AND(H3255=1,LEN(TRIM(I3255))=0),"Preencher nome do indicante",IF(AND(H3255&lt;&gt;1,I3255&lt;&gt;""),"Nome sem indicação interna",IF(AND(G3255=1,F3255=""),"Fechamento sem conversa",IF(OR(AND(E3255&lt;&gt;"",E3255&lt;B3255),AND(F3255&lt;&gt;"",F3255&lt;B3255)),"Evento anterior à entrada",IF(AND(F3255&lt;&gt;"",E3255=""),"Conversa sem agendamento",IF(OR(E3255&gt;TODAY(),F3255&gt;TODAY()),"Verificar evento futuro","OK"))))))))))</f>
        <v/>
      </c>
    </row>
    <row r="3256" spans="12:15">
      <c r="L3256" s="5">
        <f>IF(OR(A3256="",B3256=""),"",B3256-WEEKDAY(B3256,2)+1)</f>
        <v/>
      </c>
      <c r="M3256" s="5">
        <f>IF(L3256="","",L3256+6)</f>
        <v/>
      </c>
      <c r="N3256" s="6">
        <f>IF(OR(A3256="",B3256=""),"",DATE(YEAR(B3256),MONTH(B3256),1))</f>
        <v/>
      </c>
      <c r="O3256" s="7">
        <f>IF(COUNTA(A3256:K3256)=0,"",IF(OR(A3256="",B3256=""),"Preencher CPF e entrada",IF(COUNTIFS($A$12:$A$5011,A3256,$B$12:$B$5011,B3256)&gt;1,"CPF + dia duplicado",IF(OR(AND(G3256&lt;&gt;"",G3256&lt;&gt;0,G3256&lt;&gt;1),AND(H3256&lt;&gt;"",H3256&lt;&gt;0,H3256&lt;&gt;1)),"Flags devem ser 0 ou 1",IF(AND(H3256=1,LEN(TRIM(I3256))=0),"Preencher nome do indicante",IF(AND(H3256&lt;&gt;1,I3256&lt;&gt;""),"Nome sem indicação interna",IF(AND(G3256=1,F3256=""),"Fechamento sem conversa",IF(OR(AND(E3256&lt;&gt;"",E3256&lt;B3256),AND(F3256&lt;&gt;"",F3256&lt;B3256)),"Evento anterior à entrada",IF(AND(F3256&lt;&gt;"",E3256=""),"Conversa sem agendamento",IF(OR(E3256&gt;TODAY(),F3256&gt;TODAY()),"Verificar evento futuro","OK"))))))))))</f>
        <v/>
      </c>
    </row>
    <row r="3257" spans="12:15">
      <c r="L3257" s="5">
        <f>IF(OR(A3257="",B3257=""),"",B3257-WEEKDAY(B3257,2)+1)</f>
        <v/>
      </c>
      <c r="M3257" s="5">
        <f>IF(L3257="","",L3257+6)</f>
        <v/>
      </c>
      <c r="N3257" s="6">
        <f>IF(OR(A3257="",B3257=""),"",DATE(YEAR(B3257),MONTH(B3257),1))</f>
        <v/>
      </c>
      <c r="O3257" s="7">
        <f>IF(COUNTA(A3257:K3257)=0,"",IF(OR(A3257="",B3257=""),"Preencher CPF e entrada",IF(COUNTIFS($A$12:$A$5011,A3257,$B$12:$B$5011,B3257)&gt;1,"CPF + dia duplicado",IF(OR(AND(G3257&lt;&gt;"",G3257&lt;&gt;0,G3257&lt;&gt;1),AND(H3257&lt;&gt;"",H3257&lt;&gt;0,H3257&lt;&gt;1)),"Flags devem ser 0 ou 1",IF(AND(H3257=1,LEN(TRIM(I3257))=0),"Preencher nome do indicante",IF(AND(H3257&lt;&gt;1,I3257&lt;&gt;""),"Nome sem indicação interna",IF(AND(G3257=1,F3257=""),"Fechamento sem conversa",IF(OR(AND(E3257&lt;&gt;"",E3257&lt;B3257),AND(F3257&lt;&gt;"",F3257&lt;B3257)),"Evento anterior à entrada",IF(AND(F3257&lt;&gt;"",E3257=""),"Conversa sem agendamento",IF(OR(E3257&gt;TODAY(),F3257&gt;TODAY()),"Verificar evento futuro","OK"))))))))))</f>
        <v/>
      </c>
    </row>
    <row r="3258" spans="12:15">
      <c r="L3258" s="5">
        <f>IF(OR(A3258="",B3258=""),"",B3258-WEEKDAY(B3258,2)+1)</f>
        <v/>
      </c>
      <c r="M3258" s="5">
        <f>IF(L3258="","",L3258+6)</f>
        <v/>
      </c>
      <c r="N3258" s="6">
        <f>IF(OR(A3258="",B3258=""),"",DATE(YEAR(B3258),MONTH(B3258),1))</f>
        <v/>
      </c>
      <c r="O3258" s="7">
        <f>IF(COUNTA(A3258:K3258)=0,"",IF(OR(A3258="",B3258=""),"Preencher CPF e entrada",IF(COUNTIFS($A$12:$A$5011,A3258,$B$12:$B$5011,B3258)&gt;1,"CPF + dia duplicado",IF(OR(AND(G3258&lt;&gt;"",G3258&lt;&gt;0,G3258&lt;&gt;1),AND(H3258&lt;&gt;"",H3258&lt;&gt;0,H3258&lt;&gt;1)),"Flags devem ser 0 ou 1",IF(AND(H3258=1,LEN(TRIM(I3258))=0),"Preencher nome do indicante",IF(AND(H3258&lt;&gt;1,I3258&lt;&gt;""),"Nome sem indicação interna",IF(AND(G3258=1,F3258=""),"Fechamento sem conversa",IF(OR(AND(E3258&lt;&gt;"",E3258&lt;B3258),AND(F3258&lt;&gt;"",F3258&lt;B3258)),"Evento anterior à entrada",IF(AND(F3258&lt;&gt;"",E3258=""),"Conversa sem agendamento",IF(OR(E3258&gt;TODAY(),F3258&gt;TODAY()),"Verificar evento futuro","OK"))))))))))</f>
        <v/>
      </c>
    </row>
    <row r="3259" spans="12:15">
      <c r="L3259" s="5">
        <f>IF(OR(A3259="",B3259=""),"",B3259-WEEKDAY(B3259,2)+1)</f>
        <v/>
      </c>
      <c r="M3259" s="5">
        <f>IF(L3259="","",L3259+6)</f>
        <v/>
      </c>
      <c r="N3259" s="6">
        <f>IF(OR(A3259="",B3259=""),"",DATE(YEAR(B3259),MONTH(B3259),1))</f>
        <v/>
      </c>
      <c r="O3259" s="7">
        <f>IF(COUNTA(A3259:K3259)=0,"",IF(OR(A3259="",B3259=""),"Preencher CPF e entrada",IF(COUNTIFS($A$12:$A$5011,A3259,$B$12:$B$5011,B3259)&gt;1,"CPF + dia duplicado",IF(OR(AND(G3259&lt;&gt;"",G3259&lt;&gt;0,G3259&lt;&gt;1),AND(H3259&lt;&gt;"",H3259&lt;&gt;0,H3259&lt;&gt;1)),"Flags devem ser 0 ou 1",IF(AND(H3259=1,LEN(TRIM(I3259))=0),"Preencher nome do indicante",IF(AND(H3259&lt;&gt;1,I3259&lt;&gt;""),"Nome sem indicação interna",IF(AND(G3259=1,F3259=""),"Fechamento sem conversa",IF(OR(AND(E3259&lt;&gt;"",E3259&lt;B3259),AND(F3259&lt;&gt;"",F3259&lt;B3259)),"Evento anterior à entrada",IF(AND(F3259&lt;&gt;"",E3259=""),"Conversa sem agendamento",IF(OR(E3259&gt;TODAY(),F3259&gt;TODAY()),"Verificar evento futuro","OK"))))))))))</f>
        <v/>
      </c>
    </row>
    <row r="3260" spans="12:15">
      <c r="L3260" s="5">
        <f>IF(OR(A3260="",B3260=""),"",B3260-WEEKDAY(B3260,2)+1)</f>
        <v/>
      </c>
      <c r="M3260" s="5">
        <f>IF(L3260="","",L3260+6)</f>
        <v/>
      </c>
      <c r="N3260" s="6">
        <f>IF(OR(A3260="",B3260=""),"",DATE(YEAR(B3260),MONTH(B3260),1))</f>
        <v/>
      </c>
      <c r="O3260" s="7">
        <f>IF(COUNTA(A3260:K3260)=0,"",IF(OR(A3260="",B3260=""),"Preencher CPF e entrada",IF(COUNTIFS($A$12:$A$5011,A3260,$B$12:$B$5011,B3260)&gt;1,"CPF + dia duplicado",IF(OR(AND(G3260&lt;&gt;"",G3260&lt;&gt;0,G3260&lt;&gt;1),AND(H3260&lt;&gt;"",H3260&lt;&gt;0,H3260&lt;&gt;1)),"Flags devem ser 0 ou 1",IF(AND(H3260=1,LEN(TRIM(I3260))=0),"Preencher nome do indicante",IF(AND(H3260&lt;&gt;1,I3260&lt;&gt;""),"Nome sem indicação interna",IF(AND(G3260=1,F3260=""),"Fechamento sem conversa",IF(OR(AND(E3260&lt;&gt;"",E3260&lt;B3260),AND(F3260&lt;&gt;"",F3260&lt;B3260)),"Evento anterior à entrada",IF(AND(F3260&lt;&gt;"",E3260=""),"Conversa sem agendamento",IF(OR(E3260&gt;TODAY(),F3260&gt;TODAY()),"Verificar evento futuro","OK"))))))))))</f>
        <v/>
      </c>
    </row>
    <row r="3261" spans="12:15">
      <c r="L3261" s="5">
        <f>IF(OR(A3261="",B3261=""),"",B3261-WEEKDAY(B3261,2)+1)</f>
        <v/>
      </c>
      <c r="M3261" s="5">
        <f>IF(L3261="","",L3261+6)</f>
        <v/>
      </c>
      <c r="N3261" s="6">
        <f>IF(OR(A3261="",B3261=""),"",DATE(YEAR(B3261),MONTH(B3261),1))</f>
        <v/>
      </c>
      <c r="O3261" s="7">
        <f>IF(COUNTA(A3261:K3261)=0,"",IF(OR(A3261="",B3261=""),"Preencher CPF e entrada",IF(COUNTIFS($A$12:$A$5011,A3261,$B$12:$B$5011,B3261)&gt;1,"CPF + dia duplicado",IF(OR(AND(G3261&lt;&gt;"",G3261&lt;&gt;0,G3261&lt;&gt;1),AND(H3261&lt;&gt;"",H3261&lt;&gt;0,H3261&lt;&gt;1)),"Flags devem ser 0 ou 1",IF(AND(H3261=1,LEN(TRIM(I3261))=0),"Preencher nome do indicante",IF(AND(H3261&lt;&gt;1,I3261&lt;&gt;""),"Nome sem indicação interna",IF(AND(G3261=1,F3261=""),"Fechamento sem conversa",IF(OR(AND(E3261&lt;&gt;"",E3261&lt;B3261),AND(F3261&lt;&gt;"",F3261&lt;B3261)),"Evento anterior à entrada",IF(AND(F3261&lt;&gt;"",E3261=""),"Conversa sem agendamento",IF(OR(E3261&gt;TODAY(),F3261&gt;TODAY()),"Verificar evento futuro","OK"))))))))))</f>
        <v/>
      </c>
    </row>
    <row r="3262" spans="12:15">
      <c r="L3262" s="5">
        <f>IF(OR(A3262="",B3262=""),"",B3262-WEEKDAY(B3262,2)+1)</f>
        <v/>
      </c>
      <c r="M3262" s="5">
        <f>IF(L3262="","",L3262+6)</f>
        <v/>
      </c>
      <c r="N3262" s="6">
        <f>IF(OR(A3262="",B3262=""),"",DATE(YEAR(B3262),MONTH(B3262),1))</f>
        <v/>
      </c>
      <c r="O3262" s="7">
        <f>IF(COUNTA(A3262:K3262)=0,"",IF(OR(A3262="",B3262=""),"Preencher CPF e entrada",IF(COUNTIFS($A$12:$A$5011,A3262,$B$12:$B$5011,B3262)&gt;1,"CPF + dia duplicado",IF(OR(AND(G3262&lt;&gt;"",G3262&lt;&gt;0,G3262&lt;&gt;1),AND(H3262&lt;&gt;"",H3262&lt;&gt;0,H3262&lt;&gt;1)),"Flags devem ser 0 ou 1",IF(AND(H3262=1,LEN(TRIM(I3262))=0),"Preencher nome do indicante",IF(AND(H3262&lt;&gt;1,I3262&lt;&gt;""),"Nome sem indicação interna",IF(AND(G3262=1,F3262=""),"Fechamento sem conversa",IF(OR(AND(E3262&lt;&gt;"",E3262&lt;B3262),AND(F3262&lt;&gt;"",F3262&lt;B3262)),"Evento anterior à entrada",IF(AND(F3262&lt;&gt;"",E3262=""),"Conversa sem agendamento",IF(OR(E3262&gt;TODAY(),F3262&gt;TODAY()),"Verificar evento futuro","OK"))))))))))</f>
        <v/>
      </c>
    </row>
    <row r="3263" spans="12:15">
      <c r="L3263" s="5">
        <f>IF(OR(A3263="",B3263=""),"",B3263-WEEKDAY(B3263,2)+1)</f>
        <v/>
      </c>
      <c r="M3263" s="5">
        <f>IF(L3263="","",L3263+6)</f>
        <v/>
      </c>
      <c r="N3263" s="6">
        <f>IF(OR(A3263="",B3263=""),"",DATE(YEAR(B3263),MONTH(B3263),1))</f>
        <v/>
      </c>
      <c r="O3263" s="7">
        <f>IF(COUNTA(A3263:K3263)=0,"",IF(OR(A3263="",B3263=""),"Preencher CPF e entrada",IF(COUNTIFS($A$12:$A$5011,A3263,$B$12:$B$5011,B3263)&gt;1,"CPF + dia duplicado",IF(OR(AND(G3263&lt;&gt;"",G3263&lt;&gt;0,G3263&lt;&gt;1),AND(H3263&lt;&gt;"",H3263&lt;&gt;0,H3263&lt;&gt;1)),"Flags devem ser 0 ou 1",IF(AND(H3263=1,LEN(TRIM(I3263))=0),"Preencher nome do indicante",IF(AND(H3263&lt;&gt;1,I3263&lt;&gt;""),"Nome sem indicação interna",IF(AND(G3263=1,F3263=""),"Fechamento sem conversa",IF(OR(AND(E3263&lt;&gt;"",E3263&lt;B3263),AND(F3263&lt;&gt;"",F3263&lt;B3263)),"Evento anterior à entrada",IF(AND(F3263&lt;&gt;"",E3263=""),"Conversa sem agendamento",IF(OR(E3263&gt;TODAY(),F3263&gt;TODAY()),"Verificar evento futuro","OK"))))))))))</f>
        <v/>
      </c>
    </row>
    <row r="3264" spans="12:15">
      <c r="L3264" s="5">
        <f>IF(OR(A3264="",B3264=""),"",B3264-WEEKDAY(B3264,2)+1)</f>
        <v/>
      </c>
      <c r="M3264" s="5">
        <f>IF(L3264="","",L3264+6)</f>
        <v/>
      </c>
      <c r="N3264" s="6">
        <f>IF(OR(A3264="",B3264=""),"",DATE(YEAR(B3264),MONTH(B3264),1))</f>
        <v/>
      </c>
      <c r="O3264" s="7">
        <f>IF(COUNTA(A3264:K3264)=0,"",IF(OR(A3264="",B3264=""),"Preencher CPF e entrada",IF(COUNTIFS($A$12:$A$5011,A3264,$B$12:$B$5011,B3264)&gt;1,"CPF + dia duplicado",IF(OR(AND(G3264&lt;&gt;"",G3264&lt;&gt;0,G3264&lt;&gt;1),AND(H3264&lt;&gt;"",H3264&lt;&gt;0,H3264&lt;&gt;1)),"Flags devem ser 0 ou 1",IF(AND(H3264=1,LEN(TRIM(I3264))=0),"Preencher nome do indicante",IF(AND(H3264&lt;&gt;1,I3264&lt;&gt;""),"Nome sem indicação interna",IF(AND(G3264=1,F3264=""),"Fechamento sem conversa",IF(OR(AND(E3264&lt;&gt;"",E3264&lt;B3264),AND(F3264&lt;&gt;"",F3264&lt;B3264)),"Evento anterior à entrada",IF(AND(F3264&lt;&gt;"",E3264=""),"Conversa sem agendamento",IF(OR(E3264&gt;TODAY(),F3264&gt;TODAY()),"Verificar evento futuro","OK"))))))))))</f>
        <v/>
      </c>
    </row>
    <row r="3265" spans="12:15">
      <c r="L3265" s="5">
        <f>IF(OR(A3265="",B3265=""),"",B3265-WEEKDAY(B3265,2)+1)</f>
        <v/>
      </c>
      <c r="M3265" s="5">
        <f>IF(L3265="","",L3265+6)</f>
        <v/>
      </c>
      <c r="N3265" s="6">
        <f>IF(OR(A3265="",B3265=""),"",DATE(YEAR(B3265),MONTH(B3265),1))</f>
        <v/>
      </c>
      <c r="O3265" s="7">
        <f>IF(COUNTA(A3265:K3265)=0,"",IF(OR(A3265="",B3265=""),"Preencher CPF e entrada",IF(COUNTIFS($A$12:$A$5011,A3265,$B$12:$B$5011,B3265)&gt;1,"CPF + dia duplicado",IF(OR(AND(G3265&lt;&gt;"",G3265&lt;&gt;0,G3265&lt;&gt;1),AND(H3265&lt;&gt;"",H3265&lt;&gt;0,H3265&lt;&gt;1)),"Flags devem ser 0 ou 1",IF(AND(H3265=1,LEN(TRIM(I3265))=0),"Preencher nome do indicante",IF(AND(H3265&lt;&gt;1,I3265&lt;&gt;""),"Nome sem indicação interna",IF(AND(G3265=1,F3265=""),"Fechamento sem conversa",IF(OR(AND(E3265&lt;&gt;"",E3265&lt;B3265),AND(F3265&lt;&gt;"",F3265&lt;B3265)),"Evento anterior à entrada",IF(AND(F3265&lt;&gt;"",E3265=""),"Conversa sem agendamento",IF(OR(E3265&gt;TODAY(),F3265&gt;TODAY()),"Verificar evento futuro","OK"))))))))))</f>
        <v/>
      </c>
    </row>
    <row r="3266" spans="12:15">
      <c r="L3266" s="5">
        <f>IF(OR(A3266="",B3266=""),"",B3266-WEEKDAY(B3266,2)+1)</f>
        <v/>
      </c>
      <c r="M3266" s="5">
        <f>IF(L3266="","",L3266+6)</f>
        <v/>
      </c>
      <c r="N3266" s="6">
        <f>IF(OR(A3266="",B3266=""),"",DATE(YEAR(B3266),MONTH(B3266),1))</f>
        <v/>
      </c>
      <c r="O3266" s="7">
        <f>IF(COUNTA(A3266:K3266)=0,"",IF(OR(A3266="",B3266=""),"Preencher CPF e entrada",IF(COUNTIFS($A$12:$A$5011,A3266,$B$12:$B$5011,B3266)&gt;1,"CPF + dia duplicado",IF(OR(AND(G3266&lt;&gt;"",G3266&lt;&gt;0,G3266&lt;&gt;1),AND(H3266&lt;&gt;"",H3266&lt;&gt;0,H3266&lt;&gt;1)),"Flags devem ser 0 ou 1",IF(AND(H3266=1,LEN(TRIM(I3266))=0),"Preencher nome do indicante",IF(AND(H3266&lt;&gt;1,I3266&lt;&gt;""),"Nome sem indicação interna",IF(AND(G3266=1,F3266=""),"Fechamento sem conversa",IF(OR(AND(E3266&lt;&gt;"",E3266&lt;B3266),AND(F3266&lt;&gt;"",F3266&lt;B3266)),"Evento anterior à entrada",IF(AND(F3266&lt;&gt;"",E3266=""),"Conversa sem agendamento",IF(OR(E3266&gt;TODAY(),F3266&gt;TODAY()),"Verificar evento futuro","OK"))))))))))</f>
        <v/>
      </c>
    </row>
    <row r="3267" spans="12:15">
      <c r="L3267" s="5">
        <f>IF(OR(A3267="",B3267=""),"",B3267-WEEKDAY(B3267,2)+1)</f>
        <v/>
      </c>
      <c r="M3267" s="5">
        <f>IF(L3267="","",L3267+6)</f>
        <v/>
      </c>
      <c r="N3267" s="6">
        <f>IF(OR(A3267="",B3267=""),"",DATE(YEAR(B3267),MONTH(B3267),1))</f>
        <v/>
      </c>
      <c r="O3267" s="7">
        <f>IF(COUNTA(A3267:K3267)=0,"",IF(OR(A3267="",B3267=""),"Preencher CPF e entrada",IF(COUNTIFS($A$12:$A$5011,A3267,$B$12:$B$5011,B3267)&gt;1,"CPF + dia duplicado",IF(OR(AND(G3267&lt;&gt;"",G3267&lt;&gt;0,G3267&lt;&gt;1),AND(H3267&lt;&gt;"",H3267&lt;&gt;0,H3267&lt;&gt;1)),"Flags devem ser 0 ou 1",IF(AND(H3267=1,LEN(TRIM(I3267))=0),"Preencher nome do indicante",IF(AND(H3267&lt;&gt;1,I3267&lt;&gt;""),"Nome sem indicação interna",IF(AND(G3267=1,F3267=""),"Fechamento sem conversa",IF(OR(AND(E3267&lt;&gt;"",E3267&lt;B3267),AND(F3267&lt;&gt;"",F3267&lt;B3267)),"Evento anterior à entrada",IF(AND(F3267&lt;&gt;"",E3267=""),"Conversa sem agendamento",IF(OR(E3267&gt;TODAY(),F3267&gt;TODAY()),"Verificar evento futuro","OK"))))))))))</f>
        <v/>
      </c>
    </row>
    <row r="3268" spans="12:15">
      <c r="L3268" s="5">
        <f>IF(OR(A3268="",B3268=""),"",B3268-WEEKDAY(B3268,2)+1)</f>
        <v/>
      </c>
      <c r="M3268" s="5">
        <f>IF(L3268="","",L3268+6)</f>
        <v/>
      </c>
      <c r="N3268" s="6">
        <f>IF(OR(A3268="",B3268=""),"",DATE(YEAR(B3268),MONTH(B3268),1))</f>
        <v/>
      </c>
      <c r="O3268" s="7">
        <f>IF(COUNTA(A3268:K3268)=0,"",IF(OR(A3268="",B3268=""),"Preencher CPF e entrada",IF(COUNTIFS($A$12:$A$5011,A3268,$B$12:$B$5011,B3268)&gt;1,"CPF + dia duplicado",IF(OR(AND(G3268&lt;&gt;"",G3268&lt;&gt;0,G3268&lt;&gt;1),AND(H3268&lt;&gt;"",H3268&lt;&gt;0,H3268&lt;&gt;1)),"Flags devem ser 0 ou 1",IF(AND(H3268=1,LEN(TRIM(I3268))=0),"Preencher nome do indicante",IF(AND(H3268&lt;&gt;1,I3268&lt;&gt;""),"Nome sem indicação interna",IF(AND(G3268=1,F3268=""),"Fechamento sem conversa",IF(OR(AND(E3268&lt;&gt;"",E3268&lt;B3268),AND(F3268&lt;&gt;"",F3268&lt;B3268)),"Evento anterior à entrada",IF(AND(F3268&lt;&gt;"",E3268=""),"Conversa sem agendamento",IF(OR(E3268&gt;TODAY(),F3268&gt;TODAY()),"Verificar evento futuro","OK"))))))))))</f>
        <v/>
      </c>
    </row>
    <row r="3269" spans="12:15">
      <c r="L3269" s="5">
        <f>IF(OR(A3269="",B3269=""),"",B3269-WEEKDAY(B3269,2)+1)</f>
        <v/>
      </c>
      <c r="M3269" s="5">
        <f>IF(L3269="","",L3269+6)</f>
        <v/>
      </c>
      <c r="N3269" s="6">
        <f>IF(OR(A3269="",B3269=""),"",DATE(YEAR(B3269),MONTH(B3269),1))</f>
        <v/>
      </c>
      <c r="O3269" s="7">
        <f>IF(COUNTA(A3269:K3269)=0,"",IF(OR(A3269="",B3269=""),"Preencher CPF e entrada",IF(COUNTIFS($A$12:$A$5011,A3269,$B$12:$B$5011,B3269)&gt;1,"CPF + dia duplicado",IF(OR(AND(G3269&lt;&gt;"",G3269&lt;&gt;0,G3269&lt;&gt;1),AND(H3269&lt;&gt;"",H3269&lt;&gt;0,H3269&lt;&gt;1)),"Flags devem ser 0 ou 1",IF(AND(H3269=1,LEN(TRIM(I3269))=0),"Preencher nome do indicante",IF(AND(H3269&lt;&gt;1,I3269&lt;&gt;""),"Nome sem indicação interna",IF(AND(G3269=1,F3269=""),"Fechamento sem conversa",IF(OR(AND(E3269&lt;&gt;"",E3269&lt;B3269),AND(F3269&lt;&gt;"",F3269&lt;B3269)),"Evento anterior à entrada",IF(AND(F3269&lt;&gt;"",E3269=""),"Conversa sem agendamento",IF(OR(E3269&gt;TODAY(),F3269&gt;TODAY()),"Verificar evento futuro","OK"))))))))))</f>
        <v/>
      </c>
    </row>
    <row r="3270" spans="12:15">
      <c r="L3270" s="5">
        <f>IF(OR(A3270="",B3270=""),"",B3270-WEEKDAY(B3270,2)+1)</f>
        <v/>
      </c>
      <c r="M3270" s="5">
        <f>IF(L3270="","",L3270+6)</f>
        <v/>
      </c>
      <c r="N3270" s="6">
        <f>IF(OR(A3270="",B3270=""),"",DATE(YEAR(B3270),MONTH(B3270),1))</f>
        <v/>
      </c>
      <c r="O3270" s="7">
        <f>IF(COUNTA(A3270:K3270)=0,"",IF(OR(A3270="",B3270=""),"Preencher CPF e entrada",IF(COUNTIFS($A$12:$A$5011,A3270,$B$12:$B$5011,B3270)&gt;1,"CPF + dia duplicado",IF(OR(AND(G3270&lt;&gt;"",G3270&lt;&gt;0,G3270&lt;&gt;1),AND(H3270&lt;&gt;"",H3270&lt;&gt;0,H3270&lt;&gt;1)),"Flags devem ser 0 ou 1",IF(AND(H3270=1,LEN(TRIM(I3270))=0),"Preencher nome do indicante",IF(AND(H3270&lt;&gt;1,I3270&lt;&gt;""),"Nome sem indicação interna",IF(AND(G3270=1,F3270=""),"Fechamento sem conversa",IF(OR(AND(E3270&lt;&gt;"",E3270&lt;B3270),AND(F3270&lt;&gt;"",F3270&lt;B3270)),"Evento anterior à entrada",IF(AND(F3270&lt;&gt;"",E3270=""),"Conversa sem agendamento",IF(OR(E3270&gt;TODAY(),F3270&gt;TODAY()),"Verificar evento futuro","OK"))))))))))</f>
        <v/>
      </c>
    </row>
    <row r="3271" spans="12:15">
      <c r="L3271" s="5">
        <f>IF(OR(A3271="",B3271=""),"",B3271-WEEKDAY(B3271,2)+1)</f>
        <v/>
      </c>
      <c r="M3271" s="5">
        <f>IF(L3271="","",L3271+6)</f>
        <v/>
      </c>
      <c r="N3271" s="6">
        <f>IF(OR(A3271="",B3271=""),"",DATE(YEAR(B3271),MONTH(B3271),1))</f>
        <v/>
      </c>
      <c r="O3271" s="7">
        <f>IF(COUNTA(A3271:K3271)=0,"",IF(OR(A3271="",B3271=""),"Preencher CPF e entrada",IF(COUNTIFS($A$12:$A$5011,A3271,$B$12:$B$5011,B3271)&gt;1,"CPF + dia duplicado",IF(OR(AND(G3271&lt;&gt;"",G3271&lt;&gt;0,G3271&lt;&gt;1),AND(H3271&lt;&gt;"",H3271&lt;&gt;0,H3271&lt;&gt;1)),"Flags devem ser 0 ou 1",IF(AND(H3271=1,LEN(TRIM(I3271))=0),"Preencher nome do indicante",IF(AND(H3271&lt;&gt;1,I3271&lt;&gt;""),"Nome sem indicação interna",IF(AND(G3271=1,F3271=""),"Fechamento sem conversa",IF(OR(AND(E3271&lt;&gt;"",E3271&lt;B3271),AND(F3271&lt;&gt;"",F3271&lt;B3271)),"Evento anterior à entrada",IF(AND(F3271&lt;&gt;"",E3271=""),"Conversa sem agendamento",IF(OR(E3271&gt;TODAY(),F3271&gt;TODAY()),"Verificar evento futuro","OK"))))))))))</f>
        <v/>
      </c>
    </row>
    <row r="3272" spans="12:15">
      <c r="L3272" s="5">
        <f>IF(OR(A3272="",B3272=""),"",B3272-WEEKDAY(B3272,2)+1)</f>
        <v/>
      </c>
      <c r="M3272" s="5">
        <f>IF(L3272="","",L3272+6)</f>
        <v/>
      </c>
      <c r="N3272" s="6">
        <f>IF(OR(A3272="",B3272=""),"",DATE(YEAR(B3272),MONTH(B3272),1))</f>
        <v/>
      </c>
      <c r="O3272" s="7">
        <f>IF(COUNTA(A3272:K3272)=0,"",IF(OR(A3272="",B3272=""),"Preencher CPF e entrada",IF(COUNTIFS($A$12:$A$5011,A3272,$B$12:$B$5011,B3272)&gt;1,"CPF + dia duplicado",IF(OR(AND(G3272&lt;&gt;"",G3272&lt;&gt;0,G3272&lt;&gt;1),AND(H3272&lt;&gt;"",H3272&lt;&gt;0,H3272&lt;&gt;1)),"Flags devem ser 0 ou 1",IF(AND(H3272=1,LEN(TRIM(I3272))=0),"Preencher nome do indicante",IF(AND(H3272&lt;&gt;1,I3272&lt;&gt;""),"Nome sem indicação interna",IF(AND(G3272=1,F3272=""),"Fechamento sem conversa",IF(OR(AND(E3272&lt;&gt;"",E3272&lt;B3272),AND(F3272&lt;&gt;"",F3272&lt;B3272)),"Evento anterior à entrada",IF(AND(F3272&lt;&gt;"",E3272=""),"Conversa sem agendamento",IF(OR(E3272&gt;TODAY(),F3272&gt;TODAY()),"Verificar evento futuro","OK"))))))))))</f>
        <v/>
      </c>
    </row>
    <row r="3273" spans="12:15">
      <c r="L3273" s="5">
        <f>IF(OR(A3273="",B3273=""),"",B3273-WEEKDAY(B3273,2)+1)</f>
        <v/>
      </c>
      <c r="M3273" s="5">
        <f>IF(L3273="","",L3273+6)</f>
        <v/>
      </c>
      <c r="N3273" s="6">
        <f>IF(OR(A3273="",B3273=""),"",DATE(YEAR(B3273),MONTH(B3273),1))</f>
        <v/>
      </c>
      <c r="O3273" s="7">
        <f>IF(COUNTA(A3273:K3273)=0,"",IF(OR(A3273="",B3273=""),"Preencher CPF e entrada",IF(COUNTIFS($A$12:$A$5011,A3273,$B$12:$B$5011,B3273)&gt;1,"CPF + dia duplicado",IF(OR(AND(G3273&lt;&gt;"",G3273&lt;&gt;0,G3273&lt;&gt;1),AND(H3273&lt;&gt;"",H3273&lt;&gt;0,H3273&lt;&gt;1)),"Flags devem ser 0 ou 1",IF(AND(H3273=1,LEN(TRIM(I3273))=0),"Preencher nome do indicante",IF(AND(H3273&lt;&gt;1,I3273&lt;&gt;""),"Nome sem indicação interna",IF(AND(G3273=1,F3273=""),"Fechamento sem conversa",IF(OR(AND(E3273&lt;&gt;"",E3273&lt;B3273),AND(F3273&lt;&gt;"",F3273&lt;B3273)),"Evento anterior à entrada",IF(AND(F3273&lt;&gt;"",E3273=""),"Conversa sem agendamento",IF(OR(E3273&gt;TODAY(),F3273&gt;TODAY()),"Verificar evento futuro","OK"))))))))))</f>
        <v/>
      </c>
    </row>
    <row r="3274" spans="12:15">
      <c r="L3274" s="5">
        <f>IF(OR(A3274="",B3274=""),"",B3274-WEEKDAY(B3274,2)+1)</f>
        <v/>
      </c>
      <c r="M3274" s="5">
        <f>IF(L3274="","",L3274+6)</f>
        <v/>
      </c>
      <c r="N3274" s="6">
        <f>IF(OR(A3274="",B3274=""),"",DATE(YEAR(B3274),MONTH(B3274),1))</f>
        <v/>
      </c>
      <c r="O3274" s="7">
        <f>IF(COUNTA(A3274:K3274)=0,"",IF(OR(A3274="",B3274=""),"Preencher CPF e entrada",IF(COUNTIFS($A$12:$A$5011,A3274,$B$12:$B$5011,B3274)&gt;1,"CPF + dia duplicado",IF(OR(AND(G3274&lt;&gt;"",G3274&lt;&gt;0,G3274&lt;&gt;1),AND(H3274&lt;&gt;"",H3274&lt;&gt;0,H3274&lt;&gt;1)),"Flags devem ser 0 ou 1",IF(AND(H3274=1,LEN(TRIM(I3274))=0),"Preencher nome do indicante",IF(AND(H3274&lt;&gt;1,I3274&lt;&gt;""),"Nome sem indicação interna",IF(AND(G3274=1,F3274=""),"Fechamento sem conversa",IF(OR(AND(E3274&lt;&gt;"",E3274&lt;B3274),AND(F3274&lt;&gt;"",F3274&lt;B3274)),"Evento anterior à entrada",IF(AND(F3274&lt;&gt;"",E3274=""),"Conversa sem agendamento",IF(OR(E3274&gt;TODAY(),F3274&gt;TODAY()),"Verificar evento futuro","OK"))))))))))</f>
        <v/>
      </c>
    </row>
    <row r="3275" spans="12:15">
      <c r="L3275" s="5">
        <f>IF(OR(A3275="",B3275=""),"",B3275-WEEKDAY(B3275,2)+1)</f>
        <v/>
      </c>
      <c r="M3275" s="5">
        <f>IF(L3275="","",L3275+6)</f>
        <v/>
      </c>
      <c r="N3275" s="6">
        <f>IF(OR(A3275="",B3275=""),"",DATE(YEAR(B3275),MONTH(B3275),1))</f>
        <v/>
      </c>
      <c r="O3275" s="7">
        <f>IF(COUNTA(A3275:K3275)=0,"",IF(OR(A3275="",B3275=""),"Preencher CPF e entrada",IF(COUNTIFS($A$12:$A$5011,A3275,$B$12:$B$5011,B3275)&gt;1,"CPF + dia duplicado",IF(OR(AND(G3275&lt;&gt;"",G3275&lt;&gt;0,G3275&lt;&gt;1),AND(H3275&lt;&gt;"",H3275&lt;&gt;0,H3275&lt;&gt;1)),"Flags devem ser 0 ou 1",IF(AND(H3275=1,LEN(TRIM(I3275))=0),"Preencher nome do indicante",IF(AND(H3275&lt;&gt;1,I3275&lt;&gt;""),"Nome sem indicação interna",IF(AND(G3275=1,F3275=""),"Fechamento sem conversa",IF(OR(AND(E3275&lt;&gt;"",E3275&lt;B3275),AND(F3275&lt;&gt;"",F3275&lt;B3275)),"Evento anterior à entrada",IF(AND(F3275&lt;&gt;"",E3275=""),"Conversa sem agendamento",IF(OR(E3275&gt;TODAY(),F3275&gt;TODAY()),"Verificar evento futuro","OK"))))))))))</f>
        <v/>
      </c>
    </row>
    <row r="3276" spans="12:15">
      <c r="L3276" s="5">
        <f>IF(OR(A3276="",B3276=""),"",B3276-WEEKDAY(B3276,2)+1)</f>
        <v/>
      </c>
      <c r="M3276" s="5">
        <f>IF(L3276="","",L3276+6)</f>
        <v/>
      </c>
      <c r="N3276" s="6">
        <f>IF(OR(A3276="",B3276=""),"",DATE(YEAR(B3276),MONTH(B3276),1))</f>
        <v/>
      </c>
      <c r="O3276" s="7">
        <f>IF(COUNTA(A3276:K3276)=0,"",IF(OR(A3276="",B3276=""),"Preencher CPF e entrada",IF(COUNTIFS($A$12:$A$5011,A3276,$B$12:$B$5011,B3276)&gt;1,"CPF + dia duplicado",IF(OR(AND(G3276&lt;&gt;"",G3276&lt;&gt;0,G3276&lt;&gt;1),AND(H3276&lt;&gt;"",H3276&lt;&gt;0,H3276&lt;&gt;1)),"Flags devem ser 0 ou 1",IF(AND(H3276=1,LEN(TRIM(I3276))=0),"Preencher nome do indicante",IF(AND(H3276&lt;&gt;1,I3276&lt;&gt;""),"Nome sem indicação interna",IF(AND(G3276=1,F3276=""),"Fechamento sem conversa",IF(OR(AND(E3276&lt;&gt;"",E3276&lt;B3276),AND(F3276&lt;&gt;"",F3276&lt;B3276)),"Evento anterior à entrada",IF(AND(F3276&lt;&gt;"",E3276=""),"Conversa sem agendamento",IF(OR(E3276&gt;TODAY(),F3276&gt;TODAY()),"Verificar evento futuro","OK"))))))))))</f>
        <v/>
      </c>
    </row>
    <row r="3277" spans="12:15">
      <c r="L3277" s="5">
        <f>IF(OR(A3277="",B3277=""),"",B3277-WEEKDAY(B3277,2)+1)</f>
        <v/>
      </c>
      <c r="M3277" s="5">
        <f>IF(L3277="","",L3277+6)</f>
        <v/>
      </c>
      <c r="N3277" s="6">
        <f>IF(OR(A3277="",B3277=""),"",DATE(YEAR(B3277),MONTH(B3277),1))</f>
        <v/>
      </c>
      <c r="O3277" s="7">
        <f>IF(COUNTA(A3277:K3277)=0,"",IF(OR(A3277="",B3277=""),"Preencher CPF e entrada",IF(COUNTIFS($A$12:$A$5011,A3277,$B$12:$B$5011,B3277)&gt;1,"CPF + dia duplicado",IF(OR(AND(G3277&lt;&gt;"",G3277&lt;&gt;0,G3277&lt;&gt;1),AND(H3277&lt;&gt;"",H3277&lt;&gt;0,H3277&lt;&gt;1)),"Flags devem ser 0 ou 1",IF(AND(H3277=1,LEN(TRIM(I3277))=0),"Preencher nome do indicante",IF(AND(H3277&lt;&gt;1,I3277&lt;&gt;""),"Nome sem indicação interna",IF(AND(G3277=1,F3277=""),"Fechamento sem conversa",IF(OR(AND(E3277&lt;&gt;"",E3277&lt;B3277),AND(F3277&lt;&gt;"",F3277&lt;B3277)),"Evento anterior à entrada",IF(AND(F3277&lt;&gt;"",E3277=""),"Conversa sem agendamento",IF(OR(E3277&gt;TODAY(),F3277&gt;TODAY()),"Verificar evento futuro","OK"))))))))))</f>
        <v/>
      </c>
    </row>
    <row r="3278" spans="12:15">
      <c r="L3278" s="5">
        <f>IF(OR(A3278="",B3278=""),"",B3278-WEEKDAY(B3278,2)+1)</f>
        <v/>
      </c>
      <c r="M3278" s="5">
        <f>IF(L3278="","",L3278+6)</f>
        <v/>
      </c>
      <c r="N3278" s="6">
        <f>IF(OR(A3278="",B3278=""),"",DATE(YEAR(B3278),MONTH(B3278),1))</f>
        <v/>
      </c>
      <c r="O3278" s="7">
        <f>IF(COUNTA(A3278:K3278)=0,"",IF(OR(A3278="",B3278=""),"Preencher CPF e entrada",IF(COUNTIFS($A$12:$A$5011,A3278,$B$12:$B$5011,B3278)&gt;1,"CPF + dia duplicado",IF(OR(AND(G3278&lt;&gt;"",G3278&lt;&gt;0,G3278&lt;&gt;1),AND(H3278&lt;&gt;"",H3278&lt;&gt;0,H3278&lt;&gt;1)),"Flags devem ser 0 ou 1",IF(AND(H3278=1,LEN(TRIM(I3278))=0),"Preencher nome do indicante",IF(AND(H3278&lt;&gt;1,I3278&lt;&gt;""),"Nome sem indicação interna",IF(AND(G3278=1,F3278=""),"Fechamento sem conversa",IF(OR(AND(E3278&lt;&gt;"",E3278&lt;B3278),AND(F3278&lt;&gt;"",F3278&lt;B3278)),"Evento anterior à entrada",IF(AND(F3278&lt;&gt;"",E3278=""),"Conversa sem agendamento",IF(OR(E3278&gt;TODAY(),F3278&gt;TODAY()),"Verificar evento futuro","OK"))))))))))</f>
        <v/>
      </c>
    </row>
    <row r="3279" spans="12:15">
      <c r="L3279" s="5">
        <f>IF(OR(A3279="",B3279=""),"",B3279-WEEKDAY(B3279,2)+1)</f>
        <v/>
      </c>
      <c r="M3279" s="5">
        <f>IF(L3279="","",L3279+6)</f>
        <v/>
      </c>
      <c r="N3279" s="6">
        <f>IF(OR(A3279="",B3279=""),"",DATE(YEAR(B3279),MONTH(B3279),1))</f>
        <v/>
      </c>
      <c r="O3279" s="7">
        <f>IF(COUNTA(A3279:K3279)=0,"",IF(OR(A3279="",B3279=""),"Preencher CPF e entrada",IF(COUNTIFS($A$12:$A$5011,A3279,$B$12:$B$5011,B3279)&gt;1,"CPF + dia duplicado",IF(OR(AND(G3279&lt;&gt;"",G3279&lt;&gt;0,G3279&lt;&gt;1),AND(H3279&lt;&gt;"",H3279&lt;&gt;0,H3279&lt;&gt;1)),"Flags devem ser 0 ou 1",IF(AND(H3279=1,LEN(TRIM(I3279))=0),"Preencher nome do indicante",IF(AND(H3279&lt;&gt;1,I3279&lt;&gt;""),"Nome sem indicação interna",IF(AND(G3279=1,F3279=""),"Fechamento sem conversa",IF(OR(AND(E3279&lt;&gt;"",E3279&lt;B3279),AND(F3279&lt;&gt;"",F3279&lt;B3279)),"Evento anterior à entrada",IF(AND(F3279&lt;&gt;"",E3279=""),"Conversa sem agendamento",IF(OR(E3279&gt;TODAY(),F3279&gt;TODAY()),"Verificar evento futuro","OK"))))))))))</f>
        <v/>
      </c>
    </row>
    <row r="3280" spans="12:15">
      <c r="L3280" s="5">
        <f>IF(OR(A3280="",B3280=""),"",B3280-WEEKDAY(B3280,2)+1)</f>
        <v/>
      </c>
      <c r="M3280" s="5">
        <f>IF(L3280="","",L3280+6)</f>
        <v/>
      </c>
      <c r="N3280" s="6">
        <f>IF(OR(A3280="",B3280=""),"",DATE(YEAR(B3280),MONTH(B3280),1))</f>
        <v/>
      </c>
      <c r="O3280" s="7">
        <f>IF(COUNTA(A3280:K3280)=0,"",IF(OR(A3280="",B3280=""),"Preencher CPF e entrada",IF(COUNTIFS($A$12:$A$5011,A3280,$B$12:$B$5011,B3280)&gt;1,"CPF + dia duplicado",IF(OR(AND(G3280&lt;&gt;"",G3280&lt;&gt;0,G3280&lt;&gt;1),AND(H3280&lt;&gt;"",H3280&lt;&gt;0,H3280&lt;&gt;1)),"Flags devem ser 0 ou 1",IF(AND(H3280=1,LEN(TRIM(I3280))=0),"Preencher nome do indicante",IF(AND(H3280&lt;&gt;1,I3280&lt;&gt;""),"Nome sem indicação interna",IF(AND(G3280=1,F3280=""),"Fechamento sem conversa",IF(OR(AND(E3280&lt;&gt;"",E3280&lt;B3280),AND(F3280&lt;&gt;"",F3280&lt;B3280)),"Evento anterior à entrada",IF(AND(F3280&lt;&gt;"",E3280=""),"Conversa sem agendamento",IF(OR(E3280&gt;TODAY(),F3280&gt;TODAY()),"Verificar evento futuro","OK"))))))))))</f>
        <v/>
      </c>
    </row>
    <row r="3281" spans="12:15">
      <c r="L3281" s="5">
        <f>IF(OR(A3281="",B3281=""),"",B3281-WEEKDAY(B3281,2)+1)</f>
        <v/>
      </c>
      <c r="M3281" s="5">
        <f>IF(L3281="","",L3281+6)</f>
        <v/>
      </c>
      <c r="N3281" s="6">
        <f>IF(OR(A3281="",B3281=""),"",DATE(YEAR(B3281),MONTH(B3281),1))</f>
        <v/>
      </c>
      <c r="O3281" s="7">
        <f>IF(COUNTA(A3281:K3281)=0,"",IF(OR(A3281="",B3281=""),"Preencher CPF e entrada",IF(COUNTIFS($A$12:$A$5011,A3281,$B$12:$B$5011,B3281)&gt;1,"CPF + dia duplicado",IF(OR(AND(G3281&lt;&gt;"",G3281&lt;&gt;0,G3281&lt;&gt;1),AND(H3281&lt;&gt;"",H3281&lt;&gt;0,H3281&lt;&gt;1)),"Flags devem ser 0 ou 1",IF(AND(H3281=1,LEN(TRIM(I3281))=0),"Preencher nome do indicante",IF(AND(H3281&lt;&gt;1,I3281&lt;&gt;""),"Nome sem indicação interna",IF(AND(G3281=1,F3281=""),"Fechamento sem conversa",IF(OR(AND(E3281&lt;&gt;"",E3281&lt;B3281),AND(F3281&lt;&gt;"",F3281&lt;B3281)),"Evento anterior à entrada",IF(AND(F3281&lt;&gt;"",E3281=""),"Conversa sem agendamento",IF(OR(E3281&gt;TODAY(),F3281&gt;TODAY()),"Verificar evento futuro","OK"))))))))))</f>
        <v/>
      </c>
    </row>
    <row r="3282" spans="12:15">
      <c r="L3282" s="5">
        <f>IF(OR(A3282="",B3282=""),"",B3282-WEEKDAY(B3282,2)+1)</f>
        <v/>
      </c>
      <c r="M3282" s="5">
        <f>IF(L3282="","",L3282+6)</f>
        <v/>
      </c>
      <c r="N3282" s="6">
        <f>IF(OR(A3282="",B3282=""),"",DATE(YEAR(B3282),MONTH(B3282),1))</f>
        <v/>
      </c>
      <c r="O3282" s="7">
        <f>IF(COUNTA(A3282:K3282)=0,"",IF(OR(A3282="",B3282=""),"Preencher CPF e entrada",IF(COUNTIFS($A$12:$A$5011,A3282,$B$12:$B$5011,B3282)&gt;1,"CPF + dia duplicado",IF(OR(AND(G3282&lt;&gt;"",G3282&lt;&gt;0,G3282&lt;&gt;1),AND(H3282&lt;&gt;"",H3282&lt;&gt;0,H3282&lt;&gt;1)),"Flags devem ser 0 ou 1",IF(AND(H3282=1,LEN(TRIM(I3282))=0),"Preencher nome do indicante",IF(AND(H3282&lt;&gt;1,I3282&lt;&gt;""),"Nome sem indicação interna",IF(AND(G3282=1,F3282=""),"Fechamento sem conversa",IF(OR(AND(E3282&lt;&gt;"",E3282&lt;B3282),AND(F3282&lt;&gt;"",F3282&lt;B3282)),"Evento anterior à entrada",IF(AND(F3282&lt;&gt;"",E3282=""),"Conversa sem agendamento",IF(OR(E3282&gt;TODAY(),F3282&gt;TODAY()),"Verificar evento futuro","OK"))))))))))</f>
        <v/>
      </c>
    </row>
    <row r="3283" spans="12:15">
      <c r="L3283" s="5">
        <f>IF(OR(A3283="",B3283=""),"",B3283-WEEKDAY(B3283,2)+1)</f>
        <v/>
      </c>
      <c r="M3283" s="5">
        <f>IF(L3283="","",L3283+6)</f>
        <v/>
      </c>
      <c r="N3283" s="6">
        <f>IF(OR(A3283="",B3283=""),"",DATE(YEAR(B3283),MONTH(B3283),1))</f>
        <v/>
      </c>
      <c r="O3283" s="7">
        <f>IF(COUNTA(A3283:K3283)=0,"",IF(OR(A3283="",B3283=""),"Preencher CPF e entrada",IF(COUNTIFS($A$12:$A$5011,A3283,$B$12:$B$5011,B3283)&gt;1,"CPF + dia duplicado",IF(OR(AND(G3283&lt;&gt;"",G3283&lt;&gt;0,G3283&lt;&gt;1),AND(H3283&lt;&gt;"",H3283&lt;&gt;0,H3283&lt;&gt;1)),"Flags devem ser 0 ou 1",IF(AND(H3283=1,LEN(TRIM(I3283))=0),"Preencher nome do indicante",IF(AND(H3283&lt;&gt;1,I3283&lt;&gt;""),"Nome sem indicação interna",IF(AND(G3283=1,F3283=""),"Fechamento sem conversa",IF(OR(AND(E3283&lt;&gt;"",E3283&lt;B3283),AND(F3283&lt;&gt;"",F3283&lt;B3283)),"Evento anterior à entrada",IF(AND(F3283&lt;&gt;"",E3283=""),"Conversa sem agendamento",IF(OR(E3283&gt;TODAY(),F3283&gt;TODAY()),"Verificar evento futuro","OK"))))))))))</f>
        <v/>
      </c>
    </row>
    <row r="3284" spans="12:15">
      <c r="L3284" s="5">
        <f>IF(OR(A3284="",B3284=""),"",B3284-WEEKDAY(B3284,2)+1)</f>
        <v/>
      </c>
      <c r="M3284" s="5">
        <f>IF(L3284="","",L3284+6)</f>
        <v/>
      </c>
      <c r="N3284" s="6">
        <f>IF(OR(A3284="",B3284=""),"",DATE(YEAR(B3284),MONTH(B3284),1))</f>
        <v/>
      </c>
      <c r="O3284" s="7">
        <f>IF(COUNTA(A3284:K3284)=0,"",IF(OR(A3284="",B3284=""),"Preencher CPF e entrada",IF(COUNTIFS($A$12:$A$5011,A3284,$B$12:$B$5011,B3284)&gt;1,"CPF + dia duplicado",IF(OR(AND(G3284&lt;&gt;"",G3284&lt;&gt;0,G3284&lt;&gt;1),AND(H3284&lt;&gt;"",H3284&lt;&gt;0,H3284&lt;&gt;1)),"Flags devem ser 0 ou 1",IF(AND(H3284=1,LEN(TRIM(I3284))=0),"Preencher nome do indicante",IF(AND(H3284&lt;&gt;1,I3284&lt;&gt;""),"Nome sem indicação interna",IF(AND(G3284=1,F3284=""),"Fechamento sem conversa",IF(OR(AND(E3284&lt;&gt;"",E3284&lt;B3284),AND(F3284&lt;&gt;"",F3284&lt;B3284)),"Evento anterior à entrada",IF(AND(F3284&lt;&gt;"",E3284=""),"Conversa sem agendamento",IF(OR(E3284&gt;TODAY(),F3284&gt;TODAY()),"Verificar evento futuro","OK"))))))))))</f>
        <v/>
      </c>
    </row>
    <row r="3285" spans="12:15">
      <c r="L3285" s="5">
        <f>IF(OR(A3285="",B3285=""),"",B3285-WEEKDAY(B3285,2)+1)</f>
        <v/>
      </c>
      <c r="M3285" s="5">
        <f>IF(L3285="","",L3285+6)</f>
        <v/>
      </c>
      <c r="N3285" s="6">
        <f>IF(OR(A3285="",B3285=""),"",DATE(YEAR(B3285),MONTH(B3285),1))</f>
        <v/>
      </c>
      <c r="O3285" s="7">
        <f>IF(COUNTA(A3285:K3285)=0,"",IF(OR(A3285="",B3285=""),"Preencher CPF e entrada",IF(COUNTIFS($A$12:$A$5011,A3285,$B$12:$B$5011,B3285)&gt;1,"CPF + dia duplicado",IF(OR(AND(G3285&lt;&gt;"",G3285&lt;&gt;0,G3285&lt;&gt;1),AND(H3285&lt;&gt;"",H3285&lt;&gt;0,H3285&lt;&gt;1)),"Flags devem ser 0 ou 1",IF(AND(H3285=1,LEN(TRIM(I3285))=0),"Preencher nome do indicante",IF(AND(H3285&lt;&gt;1,I3285&lt;&gt;""),"Nome sem indicação interna",IF(AND(G3285=1,F3285=""),"Fechamento sem conversa",IF(OR(AND(E3285&lt;&gt;"",E3285&lt;B3285),AND(F3285&lt;&gt;"",F3285&lt;B3285)),"Evento anterior à entrada",IF(AND(F3285&lt;&gt;"",E3285=""),"Conversa sem agendamento",IF(OR(E3285&gt;TODAY(),F3285&gt;TODAY()),"Verificar evento futuro","OK"))))))))))</f>
        <v/>
      </c>
    </row>
    <row r="3286" spans="12:15">
      <c r="L3286" s="5">
        <f>IF(OR(A3286="",B3286=""),"",B3286-WEEKDAY(B3286,2)+1)</f>
        <v/>
      </c>
      <c r="M3286" s="5">
        <f>IF(L3286="","",L3286+6)</f>
        <v/>
      </c>
      <c r="N3286" s="6">
        <f>IF(OR(A3286="",B3286=""),"",DATE(YEAR(B3286),MONTH(B3286),1))</f>
        <v/>
      </c>
      <c r="O3286" s="7">
        <f>IF(COUNTA(A3286:K3286)=0,"",IF(OR(A3286="",B3286=""),"Preencher CPF e entrada",IF(COUNTIFS($A$12:$A$5011,A3286,$B$12:$B$5011,B3286)&gt;1,"CPF + dia duplicado",IF(OR(AND(G3286&lt;&gt;"",G3286&lt;&gt;0,G3286&lt;&gt;1),AND(H3286&lt;&gt;"",H3286&lt;&gt;0,H3286&lt;&gt;1)),"Flags devem ser 0 ou 1",IF(AND(H3286=1,LEN(TRIM(I3286))=0),"Preencher nome do indicante",IF(AND(H3286&lt;&gt;1,I3286&lt;&gt;""),"Nome sem indicação interna",IF(AND(G3286=1,F3286=""),"Fechamento sem conversa",IF(OR(AND(E3286&lt;&gt;"",E3286&lt;B3286),AND(F3286&lt;&gt;"",F3286&lt;B3286)),"Evento anterior à entrada",IF(AND(F3286&lt;&gt;"",E3286=""),"Conversa sem agendamento",IF(OR(E3286&gt;TODAY(),F3286&gt;TODAY()),"Verificar evento futuro","OK"))))))))))</f>
        <v/>
      </c>
    </row>
    <row r="3287" spans="12:15">
      <c r="L3287" s="5">
        <f>IF(OR(A3287="",B3287=""),"",B3287-WEEKDAY(B3287,2)+1)</f>
        <v/>
      </c>
      <c r="M3287" s="5">
        <f>IF(L3287="","",L3287+6)</f>
        <v/>
      </c>
      <c r="N3287" s="6">
        <f>IF(OR(A3287="",B3287=""),"",DATE(YEAR(B3287),MONTH(B3287),1))</f>
        <v/>
      </c>
      <c r="O3287" s="7">
        <f>IF(COUNTA(A3287:K3287)=0,"",IF(OR(A3287="",B3287=""),"Preencher CPF e entrada",IF(COUNTIFS($A$12:$A$5011,A3287,$B$12:$B$5011,B3287)&gt;1,"CPF + dia duplicado",IF(OR(AND(G3287&lt;&gt;"",G3287&lt;&gt;0,G3287&lt;&gt;1),AND(H3287&lt;&gt;"",H3287&lt;&gt;0,H3287&lt;&gt;1)),"Flags devem ser 0 ou 1",IF(AND(H3287=1,LEN(TRIM(I3287))=0),"Preencher nome do indicante",IF(AND(H3287&lt;&gt;1,I3287&lt;&gt;""),"Nome sem indicação interna",IF(AND(G3287=1,F3287=""),"Fechamento sem conversa",IF(OR(AND(E3287&lt;&gt;"",E3287&lt;B3287),AND(F3287&lt;&gt;"",F3287&lt;B3287)),"Evento anterior à entrada",IF(AND(F3287&lt;&gt;"",E3287=""),"Conversa sem agendamento",IF(OR(E3287&gt;TODAY(),F3287&gt;TODAY()),"Verificar evento futuro","OK"))))))))))</f>
        <v/>
      </c>
    </row>
    <row r="3288" spans="12:15">
      <c r="L3288" s="5">
        <f>IF(OR(A3288="",B3288=""),"",B3288-WEEKDAY(B3288,2)+1)</f>
        <v/>
      </c>
      <c r="M3288" s="5">
        <f>IF(L3288="","",L3288+6)</f>
        <v/>
      </c>
      <c r="N3288" s="6">
        <f>IF(OR(A3288="",B3288=""),"",DATE(YEAR(B3288),MONTH(B3288),1))</f>
        <v/>
      </c>
      <c r="O3288" s="7">
        <f>IF(COUNTA(A3288:K3288)=0,"",IF(OR(A3288="",B3288=""),"Preencher CPF e entrada",IF(COUNTIFS($A$12:$A$5011,A3288,$B$12:$B$5011,B3288)&gt;1,"CPF + dia duplicado",IF(OR(AND(G3288&lt;&gt;"",G3288&lt;&gt;0,G3288&lt;&gt;1),AND(H3288&lt;&gt;"",H3288&lt;&gt;0,H3288&lt;&gt;1)),"Flags devem ser 0 ou 1",IF(AND(H3288=1,LEN(TRIM(I3288))=0),"Preencher nome do indicante",IF(AND(H3288&lt;&gt;1,I3288&lt;&gt;""),"Nome sem indicação interna",IF(AND(G3288=1,F3288=""),"Fechamento sem conversa",IF(OR(AND(E3288&lt;&gt;"",E3288&lt;B3288),AND(F3288&lt;&gt;"",F3288&lt;B3288)),"Evento anterior à entrada",IF(AND(F3288&lt;&gt;"",E3288=""),"Conversa sem agendamento",IF(OR(E3288&gt;TODAY(),F3288&gt;TODAY()),"Verificar evento futuro","OK"))))))))))</f>
        <v/>
      </c>
    </row>
    <row r="3289" spans="12:15">
      <c r="L3289" s="5">
        <f>IF(OR(A3289="",B3289=""),"",B3289-WEEKDAY(B3289,2)+1)</f>
        <v/>
      </c>
      <c r="M3289" s="5">
        <f>IF(L3289="","",L3289+6)</f>
        <v/>
      </c>
      <c r="N3289" s="6">
        <f>IF(OR(A3289="",B3289=""),"",DATE(YEAR(B3289),MONTH(B3289),1))</f>
        <v/>
      </c>
      <c r="O3289" s="7">
        <f>IF(COUNTA(A3289:K3289)=0,"",IF(OR(A3289="",B3289=""),"Preencher CPF e entrada",IF(COUNTIFS($A$12:$A$5011,A3289,$B$12:$B$5011,B3289)&gt;1,"CPF + dia duplicado",IF(OR(AND(G3289&lt;&gt;"",G3289&lt;&gt;0,G3289&lt;&gt;1),AND(H3289&lt;&gt;"",H3289&lt;&gt;0,H3289&lt;&gt;1)),"Flags devem ser 0 ou 1",IF(AND(H3289=1,LEN(TRIM(I3289))=0),"Preencher nome do indicante",IF(AND(H3289&lt;&gt;1,I3289&lt;&gt;""),"Nome sem indicação interna",IF(AND(G3289=1,F3289=""),"Fechamento sem conversa",IF(OR(AND(E3289&lt;&gt;"",E3289&lt;B3289),AND(F3289&lt;&gt;"",F3289&lt;B3289)),"Evento anterior à entrada",IF(AND(F3289&lt;&gt;"",E3289=""),"Conversa sem agendamento",IF(OR(E3289&gt;TODAY(),F3289&gt;TODAY()),"Verificar evento futuro","OK"))))))))))</f>
        <v/>
      </c>
    </row>
    <row r="3290" spans="12:15">
      <c r="L3290" s="5">
        <f>IF(OR(A3290="",B3290=""),"",B3290-WEEKDAY(B3290,2)+1)</f>
        <v/>
      </c>
      <c r="M3290" s="5">
        <f>IF(L3290="","",L3290+6)</f>
        <v/>
      </c>
      <c r="N3290" s="6">
        <f>IF(OR(A3290="",B3290=""),"",DATE(YEAR(B3290),MONTH(B3290),1))</f>
        <v/>
      </c>
      <c r="O3290" s="7">
        <f>IF(COUNTA(A3290:K3290)=0,"",IF(OR(A3290="",B3290=""),"Preencher CPF e entrada",IF(COUNTIFS($A$12:$A$5011,A3290,$B$12:$B$5011,B3290)&gt;1,"CPF + dia duplicado",IF(OR(AND(G3290&lt;&gt;"",G3290&lt;&gt;0,G3290&lt;&gt;1),AND(H3290&lt;&gt;"",H3290&lt;&gt;0,H3290&lt;&gt;1)),"Flags devem ser 0 ou 1",IF(AND(H3290=1,LEN(TRIM(I3290))=0),"Preencher nome do indicante",IF(AND(H3290&lt;&gt;1,I3290&lt;&gt;""),"Nome sem indicação interna",IF(AND(G3290=1,F3290=""),"Fechamento sem conversa",IF(OR(AND(E3290&lt;&gt;"",E3290&lt;B3290),AND(F3290&lt;&gt;"",F3290&lt;B3290)),"Evento anterior à entrada",IF(AND(F3290&lt;&gt;"",E3290=""),"Conversa sem agendamento",IF(OR(E3290&gt;TODAY(),F3290&gt;TODAY()),"Verificar evento futuro","OK"))))))))))</f>
        <v/>
      </c>
    </row>
    <row r="3291" spans="12:15">
      <c r="L3291" s="5">
        <f>IF(OR(A3291="",B3291=""),"",B3291-WEEKDAY(B3291,2)+1)</f>
        <v/>
      </c>
      <c r="M3291" s="5">
        <f>IF(L3291="","",L3291+6)</f>
        <v/>
      </c>
      <c r="N3291" s="6">
        <f>IF(OR(A3291="",B3291=""),"",DATE(YEAR(B3291),MONTH(B3291),1))</f>
        <v/>
      </c>
      <c r="O3291" s="7">
        <f>IF(COUNTA(A3291:K3291)=0,"",IF(OR(A3291="",B3291=""),"Preencher CPF e entrada",IF(COUNTIFS($A$12:$A$5011,A3291,$B$12:$B$5011,B3291)&gt;1,"CPF + dia duplicado",IF(OR(AND(G3291&lt;&gt;"",G3291&lt;&gt;0,G3291&lt;&gt;1),AND(H3291&lt;&gt;"",H3291&lt;&gt;0,H3291&lt;&gt;1)),"Flags devem ser 0 ou 1",IF(AND(H3291=1,LEN(TRIM(I3291))=0),"Preencher nome do indicante",IF(AND(H3291&lt;&gt;1,I3291&lt;&gt;""),"Nome sem indicação interna",IF(AND(G3291=1,F3291=""),"Fechamento sem conversa",IF(OR(AND(E3291&lt;&gt;"",E3291&lt;B3291),AND(F3291&lt;&gt;"",F3291&lt;B3291)),"Evento anterior à entrada",IF(AND(F3291&lt;&gt;"",E3291=""),"Conversa sem agendamento",IF(OR(E3291&gt;TODAY(),F3291&gt;TODAY()),"Verificar evento futuro","OK"))))))))))</f>
        <v/>
      </c>
    </row>
    <row r="3292" spans="12:15">
      <c r="L3292" s="5">
        <f>IF(OR(A3292="",B3292=""),"",B3292-WEEKDAY(B3292,2)+1)</f>
        <v/>
      </c>
      <c r="M3292" s="5">
        <f>IF(L3292="","",L3292+6)</f>
        <v/>
      </c>
      <c r="N3292" s="6">
        <f>IF(OR(A3292="",B3292=""),"",DATE(YEAR(B3292),MONTH(B3292),1))</f>
        <v/>
      </c>
      <c r="O3292" s="7">
        <f>IF(COUNTA(A3292:K3292)=0,"",IF(OR(A3292="",B3292=""),"Preencher CPF e entrada",IF(COUNTIFS($A$12:$A$5011,A3292,$B$12:$B$5011,B3292)&gt;1,"CPF + dia duplicado",IF(OR(AND(G3292&lt;&gt;"",G3292&lt;&gt;0,G3292&lt;&gt;1),AND(H3292&lt;&gt;"",H3292&lt;&gt;0,H3292&lt;&gt;1)),"Flags devem ser 0 ou 1",IF(AND(H3292=1,LEN(TRIM(I3292))=0),"Preencher nome do indicante",IF(AND(H3292&lt;&gt;1,I3292&lt;&gt;""),"Nome sem indicação interna",IF(AND(G3292=1,F3292=""),"Fechamento sem conversa",IF(OR(AND(E3292&lt;&gt;"",E3292&lt;B3292),AND(F3292&lt;&gt;"",F3292&lt;B3292)),"Evento anterior à entrada",IF(AND(F3292&lt;&gt;"",E3292=""),"Conversa sem agendamento",IF(OR(E3292&gt;TODAY(),F3292&gt;TODAY()),"Verificar evento futuro","OK"))))))))))</f>
        <v/>
      </c>
    </row>
    <row r="3293" spans="12:15">
      <c r="L3293" s="5">
        <f>IF(OR(A3293="",B3293=""),"",B3293-WEEKDAY(B3293,2)+1)</f>
        <v/>
      </c>
      <c r="M3293" s="5">
        <f>IF(L3293="","",L3293+6)</f>
        <v/>
      </c>
      <c r="N3293" s="6">
        <f>IF(OR(A3293="",B3293=""),"",DATE(YEAR(B3293),MONTH(B3293),1))</f>
        <v/>
      </c>
      <c r="O3293" s="7">
        <f>IF(COUNTA(A3293:K3293)=0,"",IF(OR(A3293="",B3293=""),"Preencher CPF e entrada",IF(COUNTIFS($A$12:$A$5011,A3293,$B$12:$B$5011,B3293)&gt;1,"CPF + dia duplicado",IF(OR(AND(G3293&lt;&gt;"",G3293&lt;&gt;0,G3293&lt;&gt;1),AND(H3293&lt;&gt;"",H3293&lt;&gt;0,H3293&lt;&gt;1)),"Flags devem ser 0 ou 1",IF(AND(H3293=1,LEN(TRIM(I3293))=0),"Preencher nome do indicante",IF(AND(H3293&lt;&gt;1,I3293&lt;&gt;""),"Nome sem indicação interna",IF(AND(G3293=1,F3293=""),"Fechamento sem conversa",IF(OR(AND(E3293&lt;&gt;"",E3293&lt;B3293),AND(F3293&lt;&gt;"",F3293&lt;B3293)),"Evento anterior à entrada",IF(AND(F3293&lt;&gt;"",E3293=""),"Conversa sem agendamento",IF(OR(E3293&gt;TODAY(),F3293&gt;TODAY()),"Verificar evento futuro","OK"))))))))))</f>
        <v/>
      </c>
    </row>
    <row r="3294" spans="12:15">
      <c r="L3294" s="5">
        <f>IF(OR(A3294="",B3294=""),"",B3294-WEEKDAY(B3294,2)+1)</f>
        <v/>
      </c>
      <c r="M3294" s="5">
        <f>IF(L3294="","",L3294+6)</f>
        <v/>
      </c>
      <c r="N3294" s="6">
        <f>IF(OR(A3294="",B3294=""),"",DATE(YEAR(B3294),MONTH(B3294),1))</f>
        <v/>
      </c>
      <c r="O3294" s="7">
        <f>IF(COUNTA(A3294:K3294)=0,"",IF(OR(A3294="",B3294=""),"Preencher CPF e entrada",IF(COUNTIFS($A$12:$A$5011,A3294,$B$12:$B$5011,B3294)&gt;1,"CPF + dia duplicado",IF(OR(AND(G3294&lt;&gt;"",G3294&lt;&gt;0,G3294&lt;&gt;1),AND(H3294&lt;&gt;"",H3294&lt;&gt;0,H3294&lt;&gt;1)),"Flags devem ser 0 ou 1",IF(AND(H3294=1,LEN(TRIM(I3294))=0),"Preencher nome do indicante",IF(AND(H3294&lt;&gt;1,I3294&lt;&gt;""),"Nome sem indicação interna",IF(AND(G3294=1,F3294=""),"Fechamento sem conversa",IF(OR(AND(E3294&lt;&gt;"",E3294&lt;B3294),AND(F3294&lt;&gt;"",F3294&lt;B3294)),"Evento anterior à entrada",IF(AND(F3294&lt;&gt;"",E3294=""),"Conversa sem agendamento",IF(OR(E3294&gt;TODAY(),F3294&gt;TODAY()),"Verificar evento futuro","OK"))))))))))</f>
        <v/>
      </c>
    </row>
    <row r="3295" spans="12:15">
      <c r="L3295" s="5">
        <f>IF(OR(A3295="",B3295=""),"",B3295-WEEKDAY(B3295,2)+1)</f>
        <v/>
      </c>
      <c r="M3295" s="5">
        <f>IF(L3295="","",L3295+6)</f>
        <v/>
      </c>
      <c r="N3295" s="6">
        <f>IF(OR(A3295="",B3295=""),"",DATE(YEAR(B3295),MONTH(B3295),1))</f>
        <v/>
      </c>
      <c r="O3295" s="7">
        <f>IF(COUNTA(A3295:K3295)=0,"",IF(OR(A3295="",B3295=""),"Preencher CPF e entrada",IF(COUNTIFS($A$12:$A$5011,A3295,$B$12:$B$5011,B3295)&gt;1,"CPF + dia duplicado",IF(OR(AND(G3295&lt;&gt;"",G3295&lt;&gt;0,G3295&lt;&gt;1),AND(H3295&lt;&gt;"",H3295&lt;&gt;0,H3295&lt;&gt;1)),"Flags devem ser 0 ou 1",IF(AND(H3295=1,LEN(TRIM(I3295))=0),"Preencher nome do indicante",IF(AND(H3295&lt;&gt;1,I3295&lt;&gt;""),"Nome sem indicação interna",IF(AND(G3295=1,F3295=""),"Fechamento sem conversa",IF(OR(AND(E3295&lt;&gt;"",E3295&lt;B3295),AND(F3295&lt;&gt;"",F3295&lt;B3295)),"Evento anterior à entrada",IF(AND(F3295&lt;&gt;"",E3295=""),"Conversa sem agendamento",IF(OR(E3295&gt;TODAY(),F3295&gt;TODAY()),"Verificar evento futuro","OK"))))))))))</f>
        <v/>
      </c>
    </row>
    <row r="3296" spans="12:15">
      <c r="L3296" s="5">
        <f>IF(OR(A3296="",B3296=""),"",B3296-WEEKDAY(B3296,2)+1)</f>
        <v/>
      </c>
      <c r="M3296" s="5">
        <f>IF(L3296="","",L3296+6)</f>
        <v/>
      </c>
      <c r="N3296" s="6">
        <f>IF(OR(A3296="",B3296=""),"",DATE(YEAR(B3296),MONTH(B3296),1))</f>
        <v/>
      </c>
      <c r="O3296" s="7">
        <f>IF(COUNTA(A3296:K3296)=0,"",IF(OR(A3296="",B3296=""),"Preencher CPF e entrada",IF(COUNTIFS($A$12:$A$5011,A3296,$B$12:$B$5011,B3296)&gt;1,"CPF + dia duplicado",IF(OR(AND(G3296&lt;&gt;"",G3296&lt;&gt;0,G3296&lt;&gt;1),AND(H3296&lt;&gt;"",H3296&lt;&gt;0,H3296&lt;&gt;1)),"Flags devem ser 0 ou 1",IF(AND(H3296=1,LEN(TRIM(I3296))=0),"Preencher nome do indicante",IF(AND(H3296&lt;&gt;1,I3296&lt;&gt;""),"Nome sem indicação interna",IF(AND(G3296=1,F3296=""),"Fechamento sem conversa",IF(OR(AND(E3296&lt;&gt;"",E3296&lt;B3296),AND(F3296&lt;&gt;"",F3296&lt;B3296)),"Evento anterior à entrada",IF(AND(F3296&lt;&gt;"",E3296=""),"Conversa sem agendamento",IF(OR(E3296&gt;TODAY(),F3296&gt;TODAY()),"Verificar evento futuro","OK"))))))))))</f>
        <v/>
      </c>
    </row>
    <row r="3297" spans="12:15">
      <c r="L3297" s="5">
        <f>IF(OR(A3297="",B3297=""),"",B3297-WEEKDAY(B3297,2)+1)</f>
        <v/>
      </c>
      <c r="M3297" s="5">
        <f>IF(L3297="","",L3297+6)</f>
        <v/>
      </c>
      <c r="N3297" s="6">
        <f>IF(OR(A3297="",B3297=""),"",DATE(YEAR(B3297),MONTH(B3297),1))</f>
        <v/>
      </c>
      <c r="O3297" s="7">
        <f>IF(COUNTA(A3297:K3297)=0,"",IF(OR(A3297="",B3297=""),"Preencher CPF e entrada",IF(COUNTIFS($A$12:$A$5011,A3297,$B$12:$B$5011,B3297)&gt;1,"CPF + dia duplicado",IF(OR(AND(G3297&lt;&gt;"",G3297&lt;&gt;0,G3297&lt;&gt;1),AND(H3297&lt;&gt;"",H3297&lt;&gt;0,H3297&lt;&gt;1)),"Flags devem ser 0 ou 1",IF(AND(H3297=1,LEN(TRIM(I3297))=0),"Preencher nome do indicante",IF(AND(H3297&lt;&gt;1,I3297&lt;&gt;""),"Nome sem indicação interna",IF(AND(G3297=1,F3297=""),"Fechamento sem conversa",IF(OR(AND(E3297&lt;&gt;"",E3297&lt;B3297),AND(F3297&lt;&gt;"",F3297&lt;B3297)),"Evento anterior à entrada",IF(AND(F3297&lt;&gt;"",E3297=""),"Conversa sem agendamento",IF(OR(E3297&gt;TODAY(),F3297&gt;TODAY()),"Verificar evento futuro","OK"))))))))))</f>
        <v/>
      </c>
    </row>
    <row r="3298" spans="12:15">
      <c r="L3298" s="5">
        <f>IF(OR(A3298="",B3298=""),"",B3298-WEEKDAY(B3298,2)+1)</f>
        <v/>
      </c>
      <c r="M3298" s="5">
        <f>IF(L3298="","",L3298+6)</f>
        <v/>
      </c>
      <c r="N3298" s="6">
        <f>IF(OR(A3298="",B3298=""),"",DATE(YEAR(B3298),MONTH(B3298),1))</f>
        <v/>
      </c>
      <c r="O3298" s="7">
        <f>IF(COUNTA(A3298:K3298)=0,"",IF(OR(A3298="",B3298=""),"Preencher CPF e entrada",IF(COUNTIFS($A$12:$A$5011,A3298,$B$12:$B$5011,B3298)&gt;1,"CPF + dia duplicado",IF(OR(AND(G3298&lt;&gt;"",G3298&lt;&gt;0,G3298&lt;&gt;1),AND(H3298&lt;&gt;"",H3298&lt;&gt;0,H3298&lt;&gt;1)),"Flags devem ser 0 ou 1",IF(AND(H3298=1,LEN(TRIM(I3298))=0),"Preencher nome do indicante",IF(AND(H3298&lt;&gt;1,I3298&lt;&gt;""),"Nome sem indicação interna",IF(AND(G3298=1,F3298=""),"Fechamento sem conversa",IF(OR(AND(E3298&lt;&gt;"",E3298&lt;B3298),AND(F3298&lt;&gt;"",F3298&lt;B3298)),"Evento anterior à entrada",IF(AND(F3298&lt;&gt;"",E3298=""),"Conversa sem agendamento",IF(OR(E3298&gt;TODAY(),F3298&gt;TODAY()),"Verificar evento futuro","OK"))))))))))</f>
        <v/>
      </c>
    </row>
    <row r="3299" spans="12:15">
      <c r="L3299" s="5">
        <f>IF(OR(A3299="",B3299=""),"",B3299-WEEKDAY(B3299,2)+1)</f>
        <v/>
      </c>
      <c r="M3299" s="5">
        <f>IF(L3299="","",L3299+6)</f>
        <v/>
      </c>
      <c r="N3299" s="6">
        <f>IF(OR(A3299="",B3299=""),"",DATE(YEAR(B3299),MONTH(B3299),1))</f>
        <v/>
      </c>
      <c r="O3299" s="7">
        <f>IF(COUNTA(A3299:K3299)=0,"",IF(OR(A3299="",B3299=""),"Preencher CPF e entrada",IF(COUNTIFS($A$12:$A$5011,A3299,$B$12:$B$5011,B3299)&gt;1,"CPF + dia duplicado",IF(OR(AND(G3299&lt;&gt;"",G3299&lt;&gt;0,G3299&lt;&gt;1),AND(H3299&lt;&gt;"",H3299&lt;&gt;0,H3299&lt;&gt;1)),"Flags devem ser 0 ou 1",IF(AND(H3299=1,LEN(TRIM(I3299))=0),"Preencher nome do indicante",IF(AND(H3299&lt;&gt;1,I3299&lt;&gt;""),"Nome sem indicação interna",IF(AND(G3299=1,F3299=""),"Fechamento sem conversa",IF(OR(AND(E3299&lt;&gt;"",E3299&lt;B3299),AND(F3299&lt;&gt;"",F3299&lt;B3299)),"Evento anterior à entrada",IF(AND(F3299&lt;&gt;"",E3299=""),"Conversa sem agendamento",IF(OR(E3299&gt;TODAY(),F3299&gt;TODAY()),"Verificar evento futuro","OK"))))))))))</f>
        <v/>
      </c>
    </row>
    <row r="3300" spans="12:15">
      <c r="L3300" s="5">
        <f>IF(OR(A3300="",B3300=""),"",B3300-WEEKDAY(B3300,2)+1)</f>
        <v/>
      </c>
      <c r="M3300" s="5">
        <f>IF(L3300="","",L3300+6)</f>
        <v/>
      </c>
      <c r="N3300" s="6">
        <f>IF(OR(A3300="",B3300=""),"",DATE(YEAR(B3300),MONTH(B3300),1))</f>
        <v/>
      </c>
      <c r="O3300" s="7">
        <f>IF(COUNTA(A3300:K3300)=0,"",IF(OR(A3300="",B3300=""),"Preencher CPF e entrada",IF(COUNTIFS($A$12:$A$5011,A3300,$B$12:$B$5011,B3300)&gt;1,"CPF + dia duplicado",IF(OR(AND(G3300&lt;&gt;"",G3300&lt;&gt;0,G3300&lt;&gt;1),AND(H3300&lt;&gt;"",H3300&lt;&gt;0,H3300&lt;&gt;1)),"Flags devem ser 0 ou 1",IF(AND(H3300=1,LEN(TRIM(I3300))=0),"Preencher nome do indicante",IF(AND(H3300&lt;&gt;1,I3300&lt;&gt;""),"Nome sem indicação interna",IF(AND(G3300=1,F3300=""),"Fechamento sem conversa",IF(OR(AND(E3300&lt;&gt;"",E3300&lt;B3300),AND(F3300&lt;&gt;"",F3300&lt;B3300)),"Evento anterior à entrada",IF(AND(F3300&lt;&gt;"",E3300=""),"Conversa sem agendamento",IF(OR(E3300&gt;TODAY(),F3300&gt;TODAY()),"Verificar evento futuro","OK"))))))))))</f>
        <v/>
      </c>
    </row>
    <row r="3301" spans="12:15">
      <c r="L3301" s="5">
        <f>IF(OR(A3301="",B3301=""),"",B3301-WEEKDAY(B3301,2)+1)</f>
        <v/>
      </c>
      <c r="M3301" s="5">
        <f>IF(L3301="","",L3301+6)</f>
        <v/>
      </c>
      <c r="N3301" s="6">
        <f>IF(OR(A3301="",B3301=""),"",DATE(YEAR(B3301),MONTH(B3301),1))</f>
        <v/>
      </c>
      <c r="O3301" s="7">
        <f>IF(COUNTA(A3301:K3301)=0,"",IF(OR(A3301="",B3301=""),"Preencher CPF e entrada",IF(COUNTIFS($A$12:$A$5011,A3301,$B$12:$B$5011,B3301)&gt;1,"CPF + dia duplicado",IF(OR(AND(G3301&lt;&gt;"",G3301&lt;&gt;0,G3301&lt;&gt;1),AND(H3301&lt;&gt;"",H3301&lt;&gt;0,H3301&lt;&gt;1)),"Flags devem ser 0 ou 1",IF(AND(H3301=1,LEN(TRIM(I3301))=0),"Preencher nome do indicante",IF(AND(H3301&lt;&gt;1,I3301&lt;&gt;""),"Nome sem indicação interna",IF(AND(G3301=1,F3301=""),"Fechamento sem conversa",IF(OR(AND(E3301&lt;&gt;"",E3301&lt;B3301),AND(F3301&lt;&gt;"",F3301&lt;B3301)),"Evento anterior à entrada",IF(AND(F3301&lt;&gt;"",E3301=""),"Conversa sem agendamento",IF(OR(E3301&gt;TODAY(),F3301&gt;TODAY()),"Verificar evento futuro","OK"))))))))))</f>
        <v/>
      </c>
    </row>
    <row r="3302" spans="12:15">
      <c r="L3302" s="5">
        <f>IF(OR(A3302="",B3302=""),"",B3302-WEEKDAY(B3302,2)+1)</f>
        <v/>
      </c>
      <c r="M3302" s="5">
        <f>IF(L3302="","",L3302+6)</f>
        <v/>
      </c>
      <c r="N3302" s="6">
        <f>IF(OR(A3302="",B3302=""),"",DATE(YEAR(B3302),MONTH(B3302),1))</f>
        <v/>
      </c>
      <c r="O3302" s="7">
        <f>IF(COUNTA(A3302:K3302)=0,"",IF(OR(A3302="",B3302=""),"Preencher CPF e entrada",IF(COUNTIFS($A$12:$A$5011,A3302,$B$12:$B$5011,B3302)&gt;1,"CPF + dia duplicado",IF(OR(AND(G3302&lt;&gt;"",G3302&lt;&gt;0,G3302&lt;&gt;1),AND(H3302&lt;&gt;"",H3302&lt;&gt;0,H3302&lt;&gt;1)),"Flags devem ser 0 ou 1",IF(AND(H3302=1,LEN(TRIM(I3302))=0),"Preencher nome do indicante",IF(AND(H3302&lt;&gt;1,I3302&lt;&gt;""),"Nome sem indicação interna",IF(AND(G3302=1,F3302=""),"Fechamento sem conversa",IF(OR(AND(E3302&lt;&gt;"",E3302&lt;B3302),AND(F3302&lt;&gt;"",F3302&lt;B3302)),"Evento anterior à entrada",IF(AND(F3302&lt;&gt;"",E3302=""),"Conversa sem agendamento",IF(OR(E3302&gt;TODAY(),F3302&gt;TODAY()),"Verificar evento futuro","OK"))))))))))</f>
        <v/>
      </c>
    </row>
    <row r="3303" spans="12:15">
      <c r="L3303" s="5">
        <f>IF(OR(A3303="",B3303=""),"",B3303-WEEKDAY(B3303,2)+1)</f>
        <v/>
      </c>
      <c r="M3303" s="5">
        <f>IF(L3303="","",L3303+6)</f>
        <v/>
      </c>
      <c r="N3303" s="6">
        <f>IF(OR(A3303="",B3303=""),"",DATE(YEAR(B3303),MONTH(B3303),1))</f>
        <v/>
      </c>
      <c r="O3303" s="7">
        <f>IF(COUNTA(A3303:K3303)=0,"",IF(OR(A3303="",B3303=""),"Preencher CPF e entrada",IF(COUNTIFS($A$12:$A$5011,A3303,$B$12:$B$5011,B3303)&gt;1,"CPF + dia duplicado",IF(OR(AND(G3303&lt;&gt;"",G3303&lt;&gt;0,G3303&lt;&gt;1),AND(H3303&lt;&gt;"",H3303&lt;&gt;0,H3303&lt;&gt;1)),"Flags devem ser 0 ou 1",IF(AND(H3303=1,LEN(TRIM(I3303))=0),"Preencher nome do indicante",IF(AND(H3303&lt;&gt;1,I3303&lt;&gt;""),"Nome sem indicação interna",IF(AND(G3303=1,F3303=""),"Fechamento sem conversa",IF(OR(AND(E3303&lt;&gt;"",E3303&lt;B3303),AND(F3303&lt;&gt;"",F3303&lt;B3303)),"Evento anterior à entrada",IF(AND(F3303&lt;&gt;"",E3303=""),"Conversa sem agendamento",IF(OR(E3303&gt;TODAY(),F3303&gt;TODAY()),"Verificar evento futuro","OK"))))))))))</f>
        <v/>
      </c>
    </row>
    <row r="3304" spans="12:15">
      <c r="L3304" s="5">
        <f>IF(OR(A3304="",B3304=""),"",B3304-WEEKDAY(B3304,2)+1)</f>
        <v/>
      </c>
      <c r="M3304" s="5">
        <f>IF(L3304="","",L3304+6)</f>
        <v/>
      </c>
      <c r="N3304" s="6">
        <f>IF(OR(A3304="",B3304=""),"",DATE(YEAR(B3304),MONTH(B3304),1))</f>
        <v/>
      </c>
      <c r="O3304" s="7">
        <f>IF(COUNTA(A3304:K3304)=0,"",IF(OR(A3304="",B3304=""),"Preencher CPF e entrada",IF(COUNTIFS($A$12:$A$5011,A3304,$B$12:$B$5011,B3304)&gt;1,"CPF + dia duplicado",IF(OR(AND(G3304&lt;&gt;"",G3304&lt;&gt;0,G3304&lt;&gt;1),AND(H3304&lt;&gt;"",H3304&lt;&gt;0,H3304&lt;&gt;1)),"Flags devem ser 0 ou 1",IF(AND(H3304=1,LEN(TRIM(I3304))=0),"Preencher nome do indicante",IF(AND(H3304&lt;&gt;1,I3304&lt;&gt;""),"Nome sem indicação interna",IF(AND(G3304=1,F3304=""),"Fechamento sem conversa",IF(OR(AND(E3304&lt;&gt;"",E3304&lt;B3304),AND(F3304&lt;&gt;"",F3304&lt;B3304)),"Evento anterior à entrada",IF(AND(F3304&lt;&gt;"",E3304=""),"Conversa sem agendamento",IF(OR(E3304&gt;TODAY(),F3304&gt;TODAY()),"Verificar evento futuro","OK"))))))))))</f>
        <v/>
      </c>
    </row>
    <row r="3305" spans="12:15">
      <c r="L3305" s="5">
        <f>IF(OR(A3305="",B3305=""),"",B3305-WEEKDAY(B3305,2)+1)</f>
        <v/>
      </c>
      <c r="M3305" s="5">
        <f>IF(L3305="","",L3305+6)</f>
        <v/>
      </c>
      <c r="N3305" s="6">
        <f>IF(OR(A3305="",B3305=""),"",DATE(YEAR(B3305),MONTH(B3305),1))</f>
        <v/>
      </c>
      <c r="O3305" s="7">
        <f>IF(COUNTA(A3305:K3305)=0,"",IF(OR(A3305="",B3305=""),"Preencher CPF e entrada",IF(COUNTIFS($A$12:$A$5011,A3305,$B$12:$B$5011,B3305)&gt;1,"CPF + dia duplicado",IF(OR(AND(G3305&lt;&gt;"",G3305&lt;&gt;0,G3305&lt;&gt;1),AND(H3305&lt;&gt;"",H3305&lt;&gt;0,H3305&lt;&gt;1)),"Flags devem ser 0 ou 1",IF(AND(H3305=1,LEN(TRIM(I3305))=0),"Preencher nome do indicante",IF(AND(H3305&lt;&gt;1,I3305&lt;&gt;""),"Nome sem indicação interna",IF(AND(G3305=1,F3305=""),"Fechamento sem conversa",IF(OR(AND(E3305&lt;&gt;"",E3305&lt;B3305),AND(F3305&lt;&gt;"",F3305&lt;B3305)),"Evento anterior à entrada",IF(AND(F3305&lt;&gt;"",E3305=""),"Conversa sem agendamento",IF(OR(E3305&gt;TODAY(),F3305&gt;TODAY()),"Verificar evento futuro","OK"))))))))))</f>
        <v/>
      </c>
    </row>
    <row r="3306" spans="12:15">
      <c r="L3306" s="5">
        <f>IF(OR(A3306="",B3306=""),"",B3306-WEEKDAY(B3306,2)+1)</f>
        <v/>
      </c>
      <c r="M3306" s="5">
        <f>IF(L3306="","",L3306+6)</f>
        <v/>
      </c>
      <c r="N3306" s="6">
        <f>IF(OR(A3306="",B3306=""),"",DATE(YEAR(B3306),MONTH(B3306),1))</f>
        <v/>
      </c>
      <c r="O3306" s="7">
        <f>IF(COUNTA(A3306:K3306)=0,"",IF(OR(A3306="",B3306=""),"Preencher CPF e entrada",IF(COUNTIFS($A$12:$A$5011,A3306,$B$12:$B$5011,B3306)&gt;1,"CPF + dia duplicado",IF(OR(AND(G3306&lt;&gt;"",G3306&lt;&gt;0,G3306&lt;&gt;1),AND(H3306&lt;&gt;"",H3306&lt;&gt;0,H3306&lt;&gt;1)),"Flags devem ser 0 ou 1",IF(AND(H3306=1,LEN(TRIM(I3306))=0),"Preencher nome do indicante",IF(AND(H3306&lt;&gt;1,I3306&lt;&gt;""),"Nome sem indicação interna",IF(AND(G3306=1,F3306=""),"Fechamento sem conversa",IF(OR(AND(E3306&lt;&gt;"",E3306&lt;B3306),AND(F3306&lt;&gt;"",F3306&lt;B3306)),"Evento anterior à entrada",IF(AND(F3306&lt;&gt;"",E3306=""),"Conversa sem agendamento",IF(OR(E3306&gt;TODAY(),F3306&gt;TODAY()),"Verificar evento futuro","OK"))))))))))</f>
        <v/>
      </c>
    </row>
    <row r="3307" spans="12:15">
      <c r="L3307" s="5">
        <f>IF(OR(A3307="",B3307=""),"",B3307-WEEKDAY(B3307,2)+1)</f>
        <v/>
      </c>
      <c r="M3307" s="5">
        <f>IF(L3307="","",L3307+6)</f>
        <v/>
      </c>
      <c r="N3307" s="6">
        <f>IF(OR(A3307="",B3307=""),"",DATE(YEAR(B3307),MONTH(B3307),1))</f>
        <v/>
      </c>
      <c r="O3307" s="7">
        <f>IF(COUNTA(A3307:K3307)=0,"",IF(OR(A3307="",B3307=""),"Preencher CPF e entrada",IF(COUNTIFS($A$12:$A$5011,A3307,$B$12:$B$5011,B3307)&gt;1,"CPF + dia duplicado",IF(OR(AND(G3307&lt;&gt;"",G3307&lt;&gt;0,G3307&lt;&gt;1),AND(H3307&lt;&gt;"",H3307&lt;&gt;0,H3307&lt;&gt;1)),"Flags devem ser 0 ou 1",IF(AND(H3307=1,LEN(TRIM(I3307))=0),"Preencher nome do indicante",IF(AND(H3307&lt;&gt;1,I3307&lt;&gt;""),"Nome sem indicação interna",IF(AND(G3307=1,F3307=""),"Fechamento sem conversa",IF(OR(AND(E3307&lt;&gt;"",E3307&lt;B3307),AND(F3307&lt;&gt;"",F3307&lt;B3307)),"Evento anterior à entrada",IF(AND(F3307&lt;&gt;"",E3307=""),"Conversa sem agendamento",IF(OR(E3307&gt;TODAY(),F3307&gt;TODAY()),"Verificar evento futuro","OK"))))))))))</f>
        <v/>
      </c>
    </row>
    <row r="3308" spans="12:15">
      <c r="L3308" s="5">
        <f>IF(OR(A3308="",B3308=""),"",B3308-WEEKDAY(B3308,2)+1)</f>
        <v/>
      </c>
      <c r="M3308" s="5">
        <f>IF(L3308="","",L3308+6)</f>
        <v/>
      </c>
      <c r="N3308" s="6">
        <f>IF(OR(A3308="",B3308=""),"",DATE(YEAR(B3308),MONTH(B3308),1))</f>
        <v/>
      </c>
      <c r="O3308" s="7">
        <f>IF(COUNTA(A3308:K3308)=0,"",IF(OR(A3308="",B3308=""),"Preencher CPF e entrada",IF(COUNTIFS($A$12:$A$5011,A3308,$B$12:$B$5011,B3308)&gt;1,"CPF + dia duplicado",IF(OR(AND(G3308&lt;&gt;"",G3308&lt;&gt;0,G3308&lt;&gt;1),AND(H3308&lt;&gt;"",H3308&lt;&gt;0,H3308&lt;&gt;1)),"Flags devem ser 0 ou 1",IF(AND(H3308=1,LEN(TRIM(I3308))=0),"Preencher nome do indicante",IF(AND(H3308&lt;&gt;1,I3308&lt;&gt;""),"Nome sem indicação interna",IF(AND(G3308=1,F3308=""),"Fechamento sem conversa",IF(OR(AND(E3308&lt;&gt;"",E3308&lt;B3308),AND(F3308&lt;&gt;"",F3308&lt;B3308)),"Evento anterior à entrada",IF(AND(F3308&lt;&gt;"",E3308=""),"Conversa sem agendamento",IF(OR(E3308&gt;TODAY(),F3308&gt;TODAY()),"Verificar evento futuro","OK"))))))))))</f>
        <v/>
      </c>
    </row>
    <row r="3309" spans="12:15">
      <c r="L3309" s="5">
        <f>IF(OR(A3309="",B3309=""),"",B3309-WEEKDAY(B3309,2)+1)</f>
        <v/>
      </c>
      <c r="M3309" s="5">
        <f>IF(L3309="","",L3309+6)</f>
        <v/>
      </c>
      <c r="N3309" s="6">
        <f>IF(OR(A3309="",B3309=""),"",DATE(YEAR(B3309),MONTH(B3309),1))</f>
        <v/>
      </c>
      <c r="O3309" s="7">
        <f>IF(COUNTA(A3309:K3309)=0,"",IF(OR(A3309="",B3309=""),"Preencher CPF e entrada",IF(COUNTIFS($A$12:$A$5011,A3309,$B$12:$B$5011,B3309)&gt;1,"CPF + dia duplicado",IF(OR(AND(G3309&lt;&gt;"",G3309&lt;&gt;0,G3309&lt;&gt;1),AND(H3309&lt;&gt;"",H3309&lt;&gt;0,H3309&lt;&gt;1)),"Flags devem ser 0 ou 1",IF(AND(H3309=1,LEN(TRIM(I3309))=0),"Preencher nome do indicante",IF(AND(H3309&lt;&gt;1,I3309&lt;&gt;""),"Nome sem indicação interna",IF(AND(G3309=1,F3309=""),"Fechamento sem conversa",IF(OR(AND(E3309&lt;&gt;"",E3309&lt;B3309),AND(F3309&lt;&gt;"",F3309&lt;B3309)),"Evento anterior à entrada",IF(AND(F3309&lt;&gt;"",E3309=""),"Conversa sem agendamento",IF(OR(E3309&gt;TODAY(),F3309&gt;TODAY()),"Verificar evento futuro","OK"))))))))))</f>
        <v/>
      </c>
    </row>
    <row r="3310" spans="12:15">
      <c r="L3310" s="5">
        <f>IF(OR(A3310="",B3310=""),"",B3310-WEEKDAY(B3310,2)+1)</f>
        <v/>
      </c>
      <c r="M3310" s="5">
        <f>IF(L3310="","",L3310+6)</f>
        <v/>
      </c>
      <c r="N3310" s="6">
        <f>IF(OR(A3310="",B3310=""),"",DATE(YEAR(B3310),MONTH(B3310),1))</f>
        <v/>
      </c>
      <c r="O3310" s="7">
        <f>IF(COUNTA(A3310:K3310)=0,"",IF(OR(A3310="",B3310=""),"Preencher CPF e entrada",IF(COUNTIFS($A$12:$A$5011,A3310,$B$12:$B$5011,B3310)&gt;1,"CPF + dia duplicado",IF(OR(AND(G3310&lt;&gt;"",G3310&lt;&gt;0,G3310&lt;&gt;1),AND(H3310&lt;&gt;"",H3310&lt;&gt;0,H3310&lt;&gt;1)),"Flags devem ser 0 ou 1",IF(AND(H3310=1,LEN(TRIM(I3310))=0),"Preencher nome do indicante",IF(AND(H3310&lt;&gt;1,I3310&lt;&gt;""),"Nome sem indicação interna",IF(AND(G3310=1,F3310=""),"Fechamento sem conversa",IF(OR(AND(E3310&lt;&gt;"",E3310&lt;B3310),AND(F3310&lt;&gt;"",F3310&lt;B3310)),"Evento anterior à entrada",IF(AND(F3310&lt;&gt;"",E3310=""),"Conversa sem agendamento",IF(OR(E3310&gt;TODAY(),F3310&gt;TODAY()),"Verificar evento futuro","OK"))))))))))</f>
        <v/>
      </c>
    </row>
    <row r="3311" spans="12:15">
      <c r="L3311" s="5">
        <f>IF(OR(A3311="",B3311=""),"",B3311-WEEKDAY(B3311,2)+1)</f>
        <v/>
      </c>
      <c r="M3311" s="5">
        <f>IF(L3311="","",L3311+6)</f>
        <v/>
      </c>
      <c r="N3311" s="6">
        <f>IF(OR(A3311="",B3311=""),"",DATE(YEAR(B3311),MONTH(B3311),1))</f>
        <v/>
      </c>
      <c r="O3311" s="7">
        <f>IF(COUNTA(A3311:K3311)=0,"",IF(OR(A3311="",B3311=""),"Preencher CPF e entrada",IF(COUNTIFS($A$12:$A$5011,A3311,$B$12:$B$5011,B3311)&gt;1,"CPF + dia duplicado",IF(OR(AND(G3311&lt;&gt;"",G3311&lt;&gt;0,G3311&lt;&gt;1),AND(H3311&lt;&gt;"",H3311&lt;&gt;0,H3311&lt;&gt;1)),"Flags devem ser 0 ou 1",IF(AND(H3311=1,LEN(TRIM(I3311))=0),"Preencher nome do indicante",IF(AND(H3311&lt;&gt;1,I3311&lt;&gt;""),"Nome sem indicação interna",IF(AND(G3311=1,F3311=""),"Fechamento sem conversa",IF(OR(AND(E3311&lt;&gt;"",E3311&lt;B3311),AND(F3311&lt;&gt;"",F3311&lt;B3311)),"Evento anterior à entrada",IF(AND(F3311&lt;&gt;"",E3311=""),"Conversa sem agendamento",IF(OR(E3311&gt;TODAY(),F3311&gt;TODAY()),"Verificar evento futuro","OK"))))))))))</f>
        <v/>
      </c>
    </row>
    <row r="3312" spans="12:15">
      <c r="L3312" s="5">
        <f>IF(OR(A3312="",B3312=""),"",B3312-WEEKDAY(B3312,2)+1)</f>
        <v/>
      </c>
      <c r="M3312" s="5">
        <f>IF(L3312="","",L3312+6)</f>
        <v/>
      </c>
      <c r="N3312" s="6">
        <f>IF(OR(A3312="",B3312=""),"",DATE(YEAR(B3312),MONTH(B3312),1))</f>
        <v/>
      </c>
      <c r="O3312" s="7">
        <f>IF(COUNTA(A3312:K3312)=0,"",IF(OR(A3312="",B3312=""),"Preencher CPF e entrada",IF(COUNTIFS($A$12:$A$5011,A3312,$B$12:$B$5011,B3312)&gt;1,"CPF + dia duplicado",IF(OR(AND(G3312&lt;&gt;"",G3312&lt;&gt;0,G3312&lt;&gt;1),AND(H3312&lt;&gt;"",H3312&lt;&gt;0,H3312&lt;&gt;1)),"Flags devem ser 0 ou 1",IF(AND(H3312=1,LEN(TRIM(I3312))=0),"Preencher nome do indicante",IF(AND(H3312&lt;&gt;1,I3312&lt;&gt;""),"Nome sem indicação interna",IF(AND(G3312=1,F3312=""),"Fechamento sem conversa",IF(OR(AND(E3312&lt;&gt;"",E3312&lt;B3312),AND(F3312&lt;&gt;"",F3312&lt;B3312)),"Evento anterior à entrada",IF(AND(F3312&lt;&gt;"",E3312=""),"Conversa sem agendamento",IF(OR(E3312&gt;TODAY(),F3312&gt;TODAY()),"Verificar evento futuro","OK"))))))))))</f>
        <v/>
      </c>
    </row>
    <row r="3313" spans="12:15">
      <c r="L3313" s="5">
        <f>IF(OR(A3313="",B3313=""),"",B3313-WEEKDAY(B3313,2)+1)</f>
        <v/>
      </c>
      <c r="M3313" s="5">
        <f>IF(L3313="","",L3313+6)</f>
        <v/>
      </c>
      <c r="N3313" s="6">
        <f>IF(OR(A3313="",B3313=""),"",DATE(YEAR(B3313),MONTH(B3313),1))</f>
        <v/>
      </c>
      <c r="O3313" s="7">
        <f>IF(COUNTA(A3313:K3313)=0,"",IF(OR(A3313="",B3313=""),"Preencher CPF e entrada",IF(COUNTIFS($A$12:$A$5011,A3313,$B$12:$B$5011,B3313)&gt;1,"CPF + dia duplicado",IF(OR(AND(G3313&lt;&gt;"",G3313&lt;&gt;0,G3313&lt;&gt;1),AND(H3313&lt;&gt;"",H3313&lt;&gt;0,H3313&lt;&gt;1)),"Flags devem ser 0 ou 1",IF(AND(H3313=1,LEN(TRIM(I3313))=0),"Preencher nome do indicante",IF(AND(H3313&lt;&gt;1,I3313&lt;&gt;""),"Nome sem indicação interna",IF(AND(G3313=1,F3313=""),"Fechamento sem conversa",IF(OR(AND(E3313&lt;&gt;"",E3313&lt;B3313),AND(F3313&lt;&gt;"",F3313&lt;B3313)),"Evento anterior à entrada",IF(AND(F3313&lt;&gt;"",E3313=""),"Conversa sem agendamento",IF(OR(E3313&gt;TODAY(),F3313&gt;TODAY()),"Verificar evento futuro","OK"))))))))))</f>
        <v/>
      </c>
    </row>
    <row r="3314" spans="12:15">
      <c r="L3314" s="5">
        <f>IF(OR(A3314="",B3314=""),"",B3314-WEEKDAY(B3314,2)+1)</f>
        <v/>
      </c>
      <c r="M3314" s="5">
        <f>IF(L3314="","",L3314+6)</f>
        <v/>
      </c>
      <c r="N3314" s="6">
        <f>IF(OR(A3314="",B3314=""),"",DATE(YEAR(B3314),MONTH(B3314),1))</f>
        <v/>
      </c>
      <c r="O3314" s="7">
        <f>IF(COUNTA(A3314:K3314)=0,"",IF(OR(A3314="",B3314=""),"Preencher CPF e entrada",IF(COUNTIFS($A$12:$A$5011,A3314,$B$12:$B$5011,B3314)&gt;1,"CPF + dia duplicado",IF(OR(AND(G3314&lt;&gt;"",G3314&lt;&gt;0,G3314&lt;&gt;1),AND(H3314&lt;&gt;"",H3314&lt;&gt;0,H3314&lt;&gt;1)),"Flags devem ser 0 ou 1",IF(AND(H3314=1,LEN(TRIM(I3314))=0),"Preencher nome do indicante",IF(AND(H3314&lt;&gt;1,I3314&lt;&gt;""),"Nome sem indicação interna",IF(AND(G3314=1,F3314=""),"Fechamento sem conversa",IF(OR(AND(E3314&lt;&gt;"",E3314&lt;B3314),AND(F3314&lt;&gt;"",F3314&lt;B3314)),"Evento anterior à entrada",IF(AND(F3314&lt;&gt;"",E3314=""),"Conversa sem agendamento",IF(OR(E3314&gt;TODAY(),F3314&gt;TODAY()),"Verificar evento futuro","OK"))))))))))</f>
        <v/>
      </c>
    </row>
    <row r="3315" spans="12:15">
      <c r="L3315" s="5">
        <f>IF(OR(A3315="",B3315=""),"",B3315-WEEKDAY(B3315,2)+1)</f>
        <v/>
      </c>
      <c r="M3315" s="5">
        <f>IF(L3315="","",L3315+6)</f>
        <v/>
      </c>
      <c r="N3315" s="6">
        <f>IF(OR(A3315="",B3315=""),"",DATE(YEAR(B3315),MONTH(B3315),1))</f>
        <v/>
      </c>
      <c r="O3315" s="7">
        <f>IF(COUNTA(A3315:K3315)=0,"",IF(OR(A3315="",B3315=""),"Preencher CPF e entrada",IF(COUNTIFS($A$12:$A$5011,A3315,$B$12:$B$5011,B3315)&gt;1,"CPF + dia duplicado",IF(OR(AND(G3315&lt;&gt;"",G3315&lt;&gt;0,G3315&lt;&gt;1),AND(H3315&lt;&gt;"",H3315&lt;&gt;0,H3315&lt;&gt;1)),"Flags devem ser 0 ou 1",IF(AND(H3315=1,LEN(TRIM(I3315))=0),"Preencher nome do indicante",IF(AND(H3315&lt;&gt;1,I3315&lt;&gt;""),"Nome sem indicação interna",IF(AND(G3315=1,F3315=""),"Fechamento sem conversa",IF(OR(AND(E3315&lt;&gt;"",E3315&lt;B3315),AND(F3315&lt;&gt;"",F3315&lt;B3315)),"Evento anterior à entrada",IF(AND(F3315&lt;&gt;"",E3315=""),"Conversa sem agendamento",IF(OR(E3315&gt;TODAY(),F3315&gt;TODAY()),"Verificar evento futuro","OK"))))))))))</f>
        <v/>
      </c>
    </row>
    <row r="3316" spans="12:15">
      <c r="L3316" s="5">
        <f>IF(OR(A3316="",B3316=""),"",B3316-WEEKDAY(B3316,2)+1)</f>
        <v/>
      </c>
      <c r="M3316" s="5">
        <f>IF(L3316="","",L3316+6)</f>
        <v/>
      </c>
      <c r="N3316" s="6">
        <f>IF(OR(A3316="",B3316=""),"",DATE(YEAR(B3316),MONTH(B3316),1))</f>
        <v/>
      </c>
      <c r="O3316" s="7">
        <f>IF(COUNTA(A3316:K3316)=0,"",IF(OR(A3316="",B3316=""),"Preencher CPF e entrada",IF(COUNTIFS($A$12:$A$5011,A3316,$B$12:$B$5011,B3316)&gt;1,"CPF + dia duplicado",IF(OR(AND(G3316&lt;&gt;"",G3316&lt;&gt;0,G3316&lt;&gt;1),AND(H3316&lt;&gt;"",H3316&lt;&gt;0,H3316&lt;&gt;1)),"Flags devem ser 0 ou 1",IF(AND(H3316=1,LEN(TRIM(I3316))=0),"Preencher nome do indicante",IF(AND(H3316&lt;&gt;1,I3316&lt;&gt;""),"Nome sem indicação interna",IF(AND(G3316=1,F3316=""),"Fechamento sem conversa",IF(OR(AND(E3316&lt;&gt;"",E3316&lt;B3316),AND(F3316&lt;&gt;"",F3316&lt;B3316)),"Evento anterior à entrada",IF(AND(F3316&lt;&gt;"",E3316=""),"Conversa sem agendamento",IF(OR(E3316&gt;TODAY(),F3316&gt;TODAY()),"Verificar evento futuro","OK"))))))))))</f>
        <v/>
      </c>
    </row>
    <row r="3317" spans="12:15">
      <c r="L3317" s="5">
        <f>IF(OR(A3317="",B3317=""),"",B3317-WEEKDAY(B3317,2)+1)</f>
        <v/>
      </c>
      <c r="M3317" s="5">
        <f>IF(L3317="","",L3317+6)</f>
        <v/>
      </c>
      <c r="N3317" s="6">
        <f>IF(OR(A3317="",B3317=""),"",DATE(YEAR(B3317),MONTH(B3317),1))</f>
        <v/>
      </c>
      <c r="O3317" s="7">
        <f>IF(COUNTA(A3317:K3317)=0,"",IF(OR(A3317="",B3317=""),"Preencher CPF e entrada",IF(COUNTIFS($A$12:$A$5011,A3317,$B$12:$B$5011,B3317)&gt;1,"CPF + dia duplicado",IF(OR(AND(G3317&lt;&gt;"",G3317&lt;&gt;0,G3317&lt;&gt;1),AND(H3317&lt;&gt;"",H3317&lt;&gt;0,H3317&lt;&gt;1)),"Flags devem ser 0 ou 1",IF(AND(H3317=1,LEN(TRIM(I3317))=0),"Preencher nome do indicante",IF(AND(H3317&lt;&gt;1,I3317&lt;&gt;""),"Nome sem indicação interna",IF(AND(G3317=1,F3317=""),"Fechamento sem conversa",IF(OR(AND(E3317&lt;&gt;"",E3317&lt;B3317),AND(F3317&lt;&gt;"",F3317&lt;B3317)),"Evento anterior à entrada",IF(AND(F3317&lt;&gt;"",E3317=""),"Conversa sem agendamento",IF(OR(E3317&gt;TODAY(),F3317&gt;TODAY()),"Verificar evento futuro","OK"))))))))))</f>
        <v/>
      </c>
    </row>
    <row r="3318" spans="12:15">
      <c r="L3318" s="5">
        <f>IF(OR(A3318="",B3318=""),"",B3318-WEEKDAY(B3318,2)+1)</f>
        <v/>
      </c>
      <c r="M3318" s="5">
        <f>IF(L3318="","",L3318+6)</f>
        <v/>
      </c>
      <c r="N3318" s="6">
        <f>IF(OR(A3318="",B3318=""),"",DATE(YEAR(B3318),MONTH(B3318),1))</f>
        <v/>
      </c>
      <c r="O3318" s="7">
        <f>IF(COUNTA(A3318:K3318)=0,"",IF(OR(A3318="",B3318=""),"Preencher CPF e entrada",IF(COUNTIFS($A$12:$A$5011,A3318,$B$12:$B$5011,B3318)&gt;1,"CPF + dia duplicado",IF(OR(AND(G3318&lt;&gt;"",G3318&lt;&gt;0,G3318&lt;&gt;1),AND(H3318&lt;&gt;"",H3318&lt;&gt;0,H3318&lt;&gt;1)),"Flags devem ser 0 ou 1",IF(AND(H3318=1,LEN(TRIM(I3318))=0),"Preencher nome do indicante",IF(AND(H3318&lt;&gt;1,I3318&lt;&gt;""),"Nome sem indicação interna",IF(AND(G3318=1,F3318=""),"Fechamento sem conversa",IF(OR(AND(E3318&lt;&gt;"",E3318&lt;B3318),AND(F3318&lt;&gt;"",F3318&lt;B3318)),"Evento anterior à entrada",IF(AND(F3318&lt;&gt;"",E3318=""),"Conversa sem agendamento",IF(OR(E3318&gt;TODAY(),F3318&gt;TODAY()),"Verificar evento futuro","OK"))))))))))</f>
        <v/>
      </c>
    </row>
    <row r="3319" spans="12:15">
      <c r="L3319" s="5">
        <f>IF(OR(A3319="",B3319=""),"",B3319-WEEKDAY(B3319,2)+1)</f>
        <v/>
      </c>
      <c r="M3319" s="5">
        <f>IF(L3319="","",L3319+6)</f>
        <v/>
      </c>
      <c r="N3319" s="6">
        <f>IF(OR(A3319="",B3319=""),"",DATE(YEAR(B3319),MONTH(B3319),1))</f>
        <v/>
      </c>
      <c r="O3319" s="7">
        <f>IF(COUNTA(A3319:K3319)=0,"",IF(OR(A3319="",B3319=""),"Preencher CPF e entrada",IF(COUNTIFS($A$12:$A$5011,A3319,$B$12:$B$5011,B3319)&gt;1,"CPF + dia duplicado",IF(OR(AND(G3319&lt;&gt;"",G3319&lt;&gt;0,G3319&lt;&gt;1),AND(H3319&lt;&gt;"",H3319&lt;&gt;0,H3319&lt;&gt;1)),"Flags devem ser 0 ou 1",IF(AND(H3319=1,LEN(TRIM(I3319))=0),"Preencher nome do indicante",IF(AND(H3319&lt;&gt;1,I3319&lt;&gt;""),"Nome sem indicação interna",IF(AND(G3319=1,F3319=""),"Fechamento sem conversa",IF(OR(AND(E3319&lt;&gt;"",E3319&lt;B3319),AND(F3319&lt;&gt;"",F3319&lt;B3319)),"Evento anterior à entrada",IF(AND(F3319&lt;&gt;"",E3319=""),"Conversa sem agendamento",IF(OR(E3319&gt;TODAY(),F3319&gt;TODAY()),"Verificar evento futuro","OK"))))))))))</f>
        <v/>
      </c>
    </row>
    <row r="3320" spans="12:15">
      <c r="L3320" s="5">
        <f>IF(OR(A3320="",B3320=""),"",B3320-WEEKDAY(B3320,2)+1)</f>
        <v/>
      </c>
      <c r="M3320" s="5">
        <f>IF(L3320="","",L3320+6)</f>
        <v/>
      </c>
      <c r="N3320" s="6">
        <f>IF(OR(A3320="",B3320=""),"",DATE(YEAR(B3320),MONTH(B3320),1))</f>
        <v/>
      </c>
      <c r="O3320" s="7">
        <f>IF(COUNTA(A3320:K3320)=0,"",IF(OR(A3320="",B3320=""),"Preencher CPF e entrada",IF(COUNTIFS($A$12:$A$5011,A3320,$B$12:$B$5011,B3320)&gt;1,"CPF + dia duplicado",IF(OR(AND(G3320&lt;&gt;"",G3320&lt;&gt;0,G3320&lt;&gt;1),AND(H3320&lt;&gt;"",H3320&lt;&gt;0,H3320&lt;&gt;1)),"Flags devem ser 0 ou 1",IF(AND(H3320=1,LEN(TRIM(I3320))=0),"Preencher nome do indicante",IF(AND(H3320&lt;&gt;1,I3320&lt;&gt;""),"Nome sem indicação interna",IF(AND(G3320=1,F3320=""),"Fechamento sem conversa",IF(OR(AND(E3320&lt;&gt;"",E3320&lt;B3320),AND(F3320&lt;&gt;"",F3320&lt;B3320)),"Evento anterior à entrada",IF(AND(F3320&lt;&gt;"",E3320=""),"Conversa sem agendamento",IF(OR(E3320&gt;TODAY(),F3320&gt;TODAY()),"Verificar evento futuro","OK"))))))))))</f>
        <v/>
      </c>
    </row>
    <row r="3321" spans="12:15">
      <c r="L3321" s="5">
        <f>IF(OR(A3321="",B3321=""),"",B3321-WEEKDAY(B3321,2)+1)</f>
        <v/>
      </c>
      <c r="M3321" s="5">
        <f>IF(L3321="","",L3321+6)</f>
        <v/>
      </c>
      <c r="N3321" s="6">
        <f>IF(OR(A3321="",B3321=""),"",DATE(YEAR(B3321),MONTH(B3321),1))</f>
        <v/>
      </c>
      <c r="O3321" s="7">
        <f>IF(COUNTA(A3321:K3321)=0,"",IF(OR(A3321="",B3321=""),"Preencher CPF e entrada",IF(COUNTIFS($A$12:$A$5011,A3321,$B$12:$B$5011,B3321)&gt;1,"CPF + dia duplicado",IF(OR(AND(G3321&lt;&gt;"",G3321&lt;&gt;0,G3321&lt;&gt;1),AND(H3321&lt;&gt;"",H3321&lt;&gt;0,H3321&lt;&gt;1)),"Flags devem ser 0 ou 1",IF(AND(H3321=1,LEN(TRIM(I3321))=0),"Preencher nome do indicante",IF(AND(H3321&lt;&gt;1,I3321&lt;&gt;""),"Nome sem indicação interna",IF(AND(G3321=1,F3321=""),"Fechamento sem conversa",IF(OR(AND(E3321&lt;&gt;"",E3321&lt;B3321),AND(F3321&lt;&gt;"",F3321&lt;B3321)),"Evento anterior à entrada",IF(AND(F3321&lt;&gt;"",E3321=""),"Conversa sem agendamento",IF(OR(E3321&gt;TODAY(),F3321&gt;TODAY()),"Verificar evento futuro","OK"))))))))))</f>
        <v/>
      </c>
    </row>
    <row r="3322" spans="12:15">
      <c r="L3322" s="5">
        <f>IF(OR(A3322="",B3322=""),"",B3322-WEEKDAY(B3322,2)+1)</f>
        <v/>
      </c>
      <c r="M3322" s="5">
        <f>IF(L3322="","",L3322+6)</f>
        <v/>
      </c>
      <c r="N3322" s="6">
        <f>IF(OR(A3322="",B3322=""),"",DATE(YEAR(B3322),MONTH(B3322),1))</f>
        <v/>
      </c>
      <c r="O3322" s="7">
        <f>IF(COUNTA(A3322:K3322)=0,"",IF(OR(A3322="",B3322=""),"Preencher CPF e entrada",IF(COUNTIFS($A$12:$A$5011,A3322,$B$12:$B$5011,B3322)&gt;1,"CPF + dia duplicado",IF(OR(AND(G3322&lt;&gt;"",G3322&lt;&gt;0,G3322&lt;&gt;1),AND(H3322&lt;&gt;"",H3322&lt;&gt;0,H3322&lt;&gt;1)),"Flags devem ser 0 ou 1",IF(AND(H3322=1,LEN(TRIM(I3322))=0),"Preencher nome do indicante",IF(AND(H3322&lt;&gt;1,I3322&lt;&gt;""),"Nome sem indicação interna",IF(AND(G3322=1,F3322=""),"Fechamento sem conversa",IF(OR(AND(E3322&lt;&gt;"",E3322&lt;B3322),AND(F3322&lt;&gt;"",F3322&lt;B3322)),"Evento anterior à entrada",IF(AND(F3322&lt;&gt;"",E3322=""),"Conversa sem agendamento",IF(OR(E3322&gt;TODAY(),F3322&gt;TODAY()),"Verificar evento futuro","OK"))))))))))</f>
        <v/>
      </c>
    </row>
    <row r="3323" spans="12:15">
      <c r="L3323" s="5">
        <f>IF(OR(A3323="",B3323=""),"",B3323-WEEKDAY(B3323,2)+1)</f>
        <v/>
      </c>
      <c r="M3323" s="5">
        <f>IF(L3323="","",L3323+6)</f>
        <v/>
      </c>
      <c r="N3323" s="6">
        <f>IF(OR(A3323="",B3323=""),"",DATE(YEAR(B3323),MONTH(B3323),1))</f>
        <v/>
      </c>
      <c r="O3323" s="7">
        <f>IF(COUNTA(A3323:K3323)=0,"",IF(OR(A3323="",B3323=""),"Preencher CPF e entrada",IF(COUNTIFS($A$12:$A$5011,A3323,$B$12:$B$5011,B3323)&gt;1,"CPF + dia duplicado",IF(OR(AND(G3323&lt;&gt;"",G3323&lt;&gt;0,G3323&lt;&gt;1),AND(H3323&lt;&gt;"",H3323&lt;&gt;0,H3323&lt;&gt;1)),"Flags devem ser 0 ou 1",IF(AND(H3323=1,LEN(TRIM(I3323))=0),"Preencher nome do indicante",IF(AND(H3323&lt;&gt;1,I3323&lt;&gt;""),"Nome sem indicação interna",IF(AND(G3323=1,F3323=""),"Fechamento sem conversa",IF(OR(AND(E3323&lt;&gt;"",E3323&lt;B3323),AND(F3323&lt;&gt;"",F3323&lt;B3323)),"Evento anterior à entrada",IF(AND(F3323&lt;&gt;"",E3323=""),"Conversa sem agendamento",IF(OR(E3323&gt;TODAY(),F3323&gt;TODAY()),"Verificar evento futuro","OK"))))))))))</f>
        <v/>
      </c>
    </row>
    <row r="3324" spans="12:15">
      <c r="L3324" s="5">
        <f>IF(OR(A3324="",B3324=""),"",B3324-WEEKDAY(B3324,2)+1)</f>
        <v/>
      </c>
      <c r="M3324" s="5">
        <f>IF(L3324="","",L3324+6)</f>
        <v/>
      </c>
      <c r="N3324" s="6">
        <f>IF(OR(A3324="",B3324=""),"",DATE(YEAR(B3324),MONTH(B3324),1))</f>
        <v/>
      </c>
      <c r="O3324" s="7">
        <f>IF(COUNTA(A3324:K3324)=0,"",IF(OR(A3324="",B3324=""),"Preencher CPF e entrada",IF(COUNTIFS($A$12:$A$5011,A3324,$B$12:$B$5011,B3324)&gt;1,"CPF + dia duplicado",IF(OR(AND(G3324&lt;&gt;"",G3324&lt;&gt;0,G3324&lt;&gt;1),AND(H3324&lt;&gt;"",H3324&lt;&gt;0,H3324&lt;&gt;1)),"Flags devem ser 0 ou 1",IF(AND(H3324=1,LEN(TRIM(I3324))=0),"Preencher nome do indicante",IF(AND(H3324&lt;&gt;1,I3324&lt;&gt;""),"Nome sem indicação interna",IF(AND(G3324=1,F3324=""),"Fechamento sem conversa",IF(OR(AND(E3324&lt;&gt;"",E3324&lt;B3324),AND(F3324&lt;&gt;"",F3324&lt;B3324)),"Evento anterior à entrada",IF(AND(F3324&lt;&gt;"",E3324=""),"Conversa sem agendamento",IF(OR(E3324&gt;TODAY(),F3324&gt;TODAY()),"Verificar evento futuro","OK"))))))))))</f>
        <v/>
      </c>
    </row>
    <row r="3325" spans="12:15">
      <c r="L3325" s="5">
        <f>IF(OR(A3325="",B3325=""),"",B3325-WEEKDAY(B3325,2)+1)</f>
        <v/>
      </c>
      <c r="M3325" s="5">
        <f>IF(L3325="","",L3325+6)</f>
        <v/>
      </c>
      <c r="N3325" s="6">
        <f>IF(OR(A3325="",B3325=""),"",DATE(YEAR(B3325),MONTH(B3325),1))</f>
        <v/>
      </c>
      <c r="O3325" s="7">
        <f>IF(COUNTA(A3325:K3325)=0,"",IF(OR(A3325="",B3325=""),"Preencher CPF e entrada",IF(COUNTIFS($A$12:$A$5011,A3325,$B$12:$B$5011,B3325)&gt;1,"CPF + dia duplicado",IF(OR(AND(G3325&lt;&gt;"",G3325&lt;&gt;0,G3325&lt;&gt;1),AND(H3325&lt;&gt;"",H3325&lt;&gt;0,H3325&lt;&gt;1)),"Flags devem ser 0 ou 1",IF(AND(H3325=1,LEN(TRIM(I3325))=0),"Preencher nome do indicante",IF(AND(H3325&lt;&gt;1,I3325&lt;&gt;""),"Nome sem indicação interna",IF(AND(G3325=1,F3325=""),"Fechamento sem conversa",IF(OR(AND(E3325&lt;&gt;"",E3325&lt;B3325),AND(F3325&lt;&gt;"",F3325&lt;B3325)),"Evento anterior à entrada",IF(AND(F3325&lt;&gt;"",E3325=""),"Conversa sem agendamento",IF(OR(E3325&gt;TODAY(),F3325&gt;TODAY()),"Verificar evento futuro","OK"))))))))))</f>
        <v/>
      </c>
    </row>
    <row r="3326" spans="12:15">
      <c r="L3326" s="5">
        <f>IF(OR(A3326="",B3326=""),"",B3326-WEEKDAY(B3326,2)+1)</f>
        <v/>
      </c>
      <c r="M3326" s="5">
        <f>IF(L3326="","",L3326+6)</f>
        <v/>
      </c>
      <c r="N3326" s="6">
        <f>IF(OR(A3326="",B3326=""),"",DATE(YEAR(B3326),MONTH(B3326),1))</f>
        <v/>
      </c>
      <c r="O3326" s="7">
        <f>IF(COUNTA(A3326:K3326)=0,"",IF(OR(A3326="",B3326=""),"Preencher CPF e entrada",IF(COUNTIFS($A$12:$A$5011,A3326,$B$12:$B$5011,B3326)&gt;1,"CPF + dia duplicado",IF(OR(AND(G3326&lt;&gt;"",G3326&lt;&gt;0,G3326&lt;&gt;1),AND(H3326&lt;&gt;"",H3326&lt;&gt;0,H3326&lt;&gt;1)),"Flags devem ser 0 ou 1",IF(AND(H3326=1,LEN(TRIM(I3326))=0),"Preencher nome do indicante",IF(AND(H3326&lt;&gt;1,I3326&lt;&gt;""),"Nome sem indicação interna",IF(AND(G3326=1,F3326=""),"Fechamento sem conversa",IF(OR(AND(E3326&lt;&gt;"",E3326&lt;B3326),AND(F3326&lt;&gt;"",F3326&lt;B3326)),"Evento anterior à entrada",IF(AND(F3326&lt;&gt;"",E3326=""),"Conversa sem agendamento",IF(OR(E3326&gt;TODAY(),F3326&gt;TODAY()),"Verificar evento futuro","OK"))))))))))</f>
        <v/>
      </c>
    </row>
    <row r="3327" spans="12:15">
      <c r="L3327" s="5">
        <f>IF(OR(A3327="",B3327=""),"",B3327-WEEKDAY(B3327,2)+1)</f>
        <v/>
      </c>
      <c r="M3327" s="5">
        <f>IF(L3327="","",L3327+6)</f>
        <v/>
      </c>
      <c r="N3327" s="6">
        <f>IF(OR(A3327="",B3327=""),"",DATE(YEAR(B3327),MONTH(B3327),1))</f>
        <v/>
      </c>
      <c r="O3327" s="7">
        <f>IF(COUNTA(A3327:K3327)=0,"",IF(OR(A3327="",B3327=""),"Preencher CPF e entrada",IF(COUNTIFS($A$12:$A$5011,A3327,$B$12:$B$5011,B3327)&gt;1,"CPF + dia duplicado",IF(OR(AND(G3327&lt;&gt;"",G3327&lt;&gt;0,G3327&lt;&gt;1),AND(H3327&lt;&gt;"",H3327&lt;&gt;0,H3327&lt;&gt;1)),"Flags devem ser 0 ou 1",IF(AND(H3327=1,LEN(TRIM(I3327))=0),"Preencher nome do indicante",IF(AND(H3327&lt;&gt;1,I3327&lt;&gt;""),"Nome sem indicação interna",IF(AND(G3327=1,F3327=""),"Fechamento sem conversa",IF(OR(AND(E3327&lt;&gt;"",E3327&lt;B3327),AND(F3327&lt;&gt;"",F3327&lt;B3327)),"Evento anterior à entrada",IF(AND(F3327&lt;&gt;"",E3327=""),"Conversa sem agendamento",IF(OR(E3327&gt;TODAY(),F3327&gt;TODAY()),"Verificar evento futuro","OK"))))))))))</f>
        <v/>
      </c>
    </row>
    <row r="3328" spans="12:15">
      <c r="L3328" s="5">
        <f>IF(OR(A3328="",B3328=""),"",B3328-WEEKDAY(B3328,2)+1)</f>
        <v/>
      </c>
      <c r="M3328" s="5">
        <f>IF(L3328="","",L3328+6)</f>
        <v/>
      </c>
      <c r="N3328" s="6">
        <f>IF(OR(A3328="",B3328=""),"",DATE(YEAR(B3328),MONTH(B3328),1))</f>
        <v/>
      </c>
      <c r="O3328" s="7">
        <f>IF(COUNTA(A3328:K3328)=0,"",IF(OR(A3328="",B3328=""),"Preencher CPF e entrada",IF(COUNTIFS($A$12:$A$5011,A3328,$B$12:$B$5011,B3328)&gt;1,"CPF + dia duplicado",IF(OR(AND(G3328&lt;&gt;"",G3328&lt;&gt;0,G3328&lt;&gt;1),AND(H3328&lt;&gt;"",H3328&lt;&gt;0,H3328&lt;&gt;1)),"Flags devem ser 0 ou 1",IF(AND(H3328=1,LEN(TRIM(I3328))=0),"Preencher nome do indicante",IF(AND(H3328&lt;&gt;1,I3328&lt;&gt;""),"Nome sem indicação interna",IF(AND(G3328=1,F3328=""),"Fechamento sem conversa",IF(OR(AND(E3328&lt;&gt;"",E3328&lt;B3328),AND(F3328&lt;&gt;"",F3328&lt;B3328)),"Evento anterior à entrada",IF(AND(F3328&lt;&gt;"",E3328=""),"Conversa sem agendamento",IF(OR(E3328&gt;TODAY(),F3328&gt;TODAY()),"Verificar evento futuro","OK"))))))))))</f>
        <v/>
      </c>
    </row>
    <row r="3329" spans="12:15">
      <c r="L3329" s="5">
        <f>IF(OR(A3329="",B3329=""),"",B3329-WEEKDAY(B3329,2)+1)</f>
        <v/>
      </c>
      <c r="M3329" s="5">
        <f>IF(L3329="","",L3329+6)</f>
        <v/>
      </c>
      <c r="N3329" s="6">
        <f>IF(OR(A3329="",B3329=""),"",DATE(YEAR(B3329),MONTH(B3329),1))</f>
        <v/>
      </c>
      <c r="O3329" s="7">
        <f>IF(COUNTA(A3329:K3329)=0,"",IF(OR(A3329="",B3329=""),"Preencher CPF e entrada",IF(COUNTIFS($A$12:$A$5011,A3329,$B$12:$B$5011,B3329)&gt;1,"CPF + dia duplicado",IF(OR(AND(G3329&lt;&gt;"",G3329&lt;&gt;0,G3329&lt;&gt;1),AND(H3329&lt;&gt;"",H3329&lt;&gt;0,H3329&lt;&gt;1)),"Flags devem ser 0 ou 1",IF(AND(H3329=1,LEN(TRIM(I3329))=0),"Preencher nome do indicante",IF(AND(H3329&lt;&gt;1,I3329&lt;&gt;""),"Nome sem indicação interna",IF(AND(G3329=1,F3329=""),"Fechamento sem conversa",IF(OR(AND(E3329&lt;&gt;"",E3329&lt;B3329),AND(F3329&lt;&gt;"",F3329&lt;B3329)),"Evento anterior à entrada",IF(AND(F3329&lt;&gt;"",E3329=""),"Conversa sem agendamento",IF(OR(E3329&gt;TODAY(),F3329&gt;TODAY()),"Verificar evento futuro","OK"))))))))))</f>
        <v/>
      </c>
    </row>
    <row r="3330" spans="12:15">
      <c r="L3330" s="5">
        <f>IF(OR(A3330="",B3330=""),"",B3330-WEEKDAY(B3330,2)+1)</f>
        <v/>
      </c>
      <c r="M3330" s="5">
        <f>IF(L3330="","",L3330+6)</f>
        <v/>
      </c>
      <c r="N3330" s="6">
        <f>IF(OR(A3330="",B3330=""),"",DATE(YEAR(B3330),MONTH(B3330),1))</f>
        <v/>
      </c>
      <c r="O3330" s="7">
        <f>IF(COUNTA(A3330:K3330)=0,"",IF(OR(A3330="",B3330=""),"Preencher CPF e entrada",IF(COUNTIFS($A$12:$A$5011,A3330,$B$12:$B$5011,B3330)&gt;1,"CPF + dia duplicado",IF(OR(AND(G3330&lt;&gt;"",G3330&lt;&gt;0,G3330&lt;&gt;1),AND(H3330&lt;&gt;"",H3330&lt;&gt;0,H3330&lt;&gt;1)),"Flags devem ser 0 ou 1",IF(AND(H3330=1,LEN(TRIM(I3330))=0),"Preencher nome do indicante",IF(AND(H3330&lt;&gt;1,I3330&lt;&gt;""),"Nome sem indicação interna",IF(AND(G3330=1,F3330=""),"Fechamento sem conversa",IF(OR(AND(E3330&lt;&gt;"",E3330&lt;B3330),AND(F3330&lt;&gt;"",F3330&lt;B3330)),"Evento anterior à entrada",IF(AND(F3330&lt;&gt;"",E3330=""),"Conversa sem agendamento",IF(OR(E3330&gt;TODAY(),F3330&gt;TODAY()),"Verificar evento futuro","OK"))))))))))</f>
        <v/>
      </c>
    </row>
    <row r="3331" spans="12:15">
      <c r="L3331" s="5">
        <f>IF(OR(A3331="",B3331=""),"",B3331-WEEKDAY(B3331,2)+1)</f>
        <v/>
      </c>
      <c r="M3331" s="5">
        <f>IF(L3331="","",L3331+6)</f>
        <v/>
      </c>
      <c r="N3331" s="6">
        <f>IF(OR(A3331="",B3331=""),"",DATE(YEAR(B3331),MONTH(B3331),1))</f>
        <v/>
      </c>
      <c r="O3331" s="7">
        <f>IF(COUNTA(A3331:K3331)=0,"",IF(OR(A3331="",B3331=""),"Preencher CPF e entrada",IF(COUNTIFS($A$12:$A$5011,A3331,$B$12:$B$5011,B3331)&gt;1,"CPF + dia duplicado",IF(OR(AND(G3331&lt;&gt;"",G3331&lt;&gt;0,G3331&lt;&gt;1),AND(H3331&lt;&gt;"",H3331&lt;&gt;0,H3331&lt;&gt;1)),"Flags devem ser 0 ou 1",IF(AND(H3331=1,LEN(TRIM(I3331))=0),"Preencher nome do indicante",IF(AND(H3331&lt;&gt;1,I3331&lt;&gt;""),"Nome sem indicação interna",IF(AND(G3331=1,F3331=""),"Fechamento sem conversa",IF(OR(AND(E3331&lt;&gt;"",E3331&lt;B3331),AND(F3331&lt;&gt;"",F3331&lt;B3331)),"Evento anterior à entrada",IF(AND(F3331&lt;&gt;"",E3331=""),"Conversa sem agendamento",IF(OR(E3331&gt;TODAY(),F3331&gt;TODAY()),"Verificar evento futuro","OK"))))))))))</f>
        <v/>
      </c>
    </row>
    <row r="3332" spans="12:15">
      <c r="L3332" s="5">
        <f>IF(OR(A3332="",B3332=""),"",B3332-WEEKDAY(B3332,2)+1)</f>
        <v/>
      </c>
      <c r="M3332" s="5">
        <f>IF(L3332="","",L3332+6)</f>
        <v/>
      </c>
      <c r="N3332" s="6">
        <f>IF(OR(A3332="",B3332=""),"",DATE(YEAR(B3332),MONTH(B3332),1))</f>
        <v/>
      </c>
      <c r="O3332" s="7">
        <f>IF(COUNTA(A3332:K3332)=0,"",IF(OR(A3332="",B3332=""),"Preencher CPF e entrada",IF(COUNTIFS($A$12:$A$5011,A3332,$B$12:$B$5011,B3332)&gt;1,"CPF + dia duplicado",IF(OR(AND(G3332&lt;&gt;"",G3332&lt;&gt;0,G3332&lt;&gt;1),AND(H3332&lt;&gt;"",H3332&lt;&gt;0,H3332&lt;&gt;1)),"Flags devem ser 0 ou 1",IF(AND(H3332=1,LEN(TRIM(I3332))=0),"Preencher nome do indicante",IF(AND(H3332&lt;&gt;1,I3332&lt;&gt;""),"Nome sem indicação interna",IF(AND(G3332=1,F3332=""),"Fechamento sem conversa",IF(OR(AND(E3332&lt;&gt;"",E3332&lt;B3332),AND(F3332&lt;&gt;"",F3332&lt;B3332)),"Evento anterior à entrada",IF(AND(F3332&lt;&gt;"",E3332=""),"Conversa sem agendamento",IF(OR(E3332&gt;TODAY(),F3332&gt;TODAY()),"Verificar evento futuro","OK"))))))))))</f>
        <v/>
      </c>
    </row>
    <row r="3333" spans="12:15">
      <c r="L3333" s="5">
        <f>IF(OR(A3333="",B3333=""),"",B3333-WEEKDAY(B3333,2)+1)</f>
        <v/>
      </c>
      <c r="M3333" s="5">
        <f>IF(L3333="","",L3333+6)</f>
        <v/>
      </c>
      <c r="N3333" s="6">
        <f>IF(OR(A3333="",B3333=""),"",DATE(YEAR(B3333),MONTH(B3333),1))</f>
        <v/>
      </c>
      <c r="O3333" s="7">
        <f>IF(COUNTA(A3333:K3333)=0,"",IF(OR(A3333="",B3333=""),"Preencher CPF e entrada",IF(COUNTIFS($A$12:$A$5011,A3333,$B$12:$B$5011,B3333)&gt;1,"CPF + dia duplicado",IF(OR(AND(G3333&lt;&gt;"",G3333&lt;&gt;0,G3333&lt;&gt;1),AND(H3333&lt;&gt;"",H3333&lt;&gt;0,H3333&lt;&gt;1)),"Flags devem ser 0 ou 1",IF(AND(H3333=1,LEN(TRIM(I3333))=0),"Preencher nome do indicante",IF(AND(H3333&lt;&gt;1,I3333&lt;&gt;""),"Nome sem indicação interna",IF(AND(G3333=1,F3333=""),"Fechamento sem conversa",IF(OR(AND(E3333&lt;&gt;"",E3333&lt;B3333),AND(F3333&lt;&gt;"",F3333&lt;B3333)),"Evento anterior à entrada",IF(AND(F3333&lt;&gt;"",E3333=""),"Conversa sem agendamento",IF(OR(E3333&gt;TODAY(),F3333&gt;TODAY()),"Verificar evento futuro","OK"))))))))))</f>
        <v/>
      </c>
    </row>
    <row r="3334" spans="12:15">
      <c r="L3334" s="5">
        <f>IF(OR(A3334="",B3334=""),"",B3334-WEEKDAY(B3334,2)+1)</f>
        <v/>
      </c>
      <c r="M3334" s="5">
        <f>IF(L3334="","",L3334+6)</f>
        <v/>
      </c>
      <c r="N3334" s="6">
        <f>IF(OR(A3334="",B3334=""),"",DATE(YEAR(B3334),MONTH(B3334),1))</f>
        <v/>
      </c>
      <c r="O3334" s="7">
        <f>IF(COUNTA(A3334:K3334)=0,"",IF(OR(A3334="",B3334=""),"Preencher CPF e entrada",IF(COUNTIFS($A$12:$A$5011,A3334,$B$12:$B$5011,B3334)&gt;1,"CPF + dia duplicado",IF(OR(AND(G3334&lt;&gt;"",G3334&lt;&gt;0,G3334&lt;&gt;1),AND(H3334&lt;&gt;"",H3334&lt;&gt;0,H3334&lt;&gt;1)),"Flags devem ser 0 ou 1",IF(AND(H3334=1,LEN(TRIM(I3334))=0),"Preencher nome do indicante",IF(AND(H3334&lt;&gt;1,I3334&lt;&gt;""),"Nome sem indicação interna",IF(AND(G3334=1,F3334=""),"Fechamento sem conversa",IF(OR(AND(E3334&lt;&gt;"",E3334&lt;B3334),AND(F3334&lt;&gt;"",F3334&lt;B3334)),"Evento anterior à entrada",IF(AND(F3334&lt;&gt;"",E3334=""),"Conversa sem agendamento",IF(OR(E3334&gt;TODAY(),F3334&gt;TODAY()),"Verificar evento futuro","OK"))))))))))</f>
        <v/>
      </c>
    </row>
    <row r="3335" spans="12:15">
      <c r="L3335" s="5">
        <f>IF(OR(A3335="",B3335=""),"",B3335-WEEKDAY(B3335,2)+1)</f>
        <v/>
      </c>
      <c r="M3335" s="5">
        <f>IF(L3335="","",L3335+6)</f>
        <v/>
      </c>
      <c r="N3335" s="6">
        <f>IF(OR(A3335="",B3335=""),"",DATE(YEAR(B3335),MONTH(B3335),1))</f>
        <v/>
      </c>
      <c r="O3335" s="7">
        <f>IF(COUNTA(A3335:K3335)=0,"",IF(OR(A3335="",B3335=""),"Preencher CPF e entrada",IF(COUNTIFS($A$12:$A$5011,A3335,$B$12:$B$5011,B3335)&gt;1,"CPF + dia duplicado",IF(OR(AND(G3335&lt;&gt;"",G3335&lt;&gt;0,G3335&lt;&gt;1),AND(H3335&lt;&gt;"",H3335&lt;&gt;0,H3335&lt;&gt;1)),"Flags devem ser 0 ou 1",IF(AND(H3335=1,LEN(TRIM(I3335))=0),"Preencher nome do indicante",IF(AND(H3335&lt;&gt;1,I3335&lt;&gt;""),"Nome sem indicação interna",IF(AND(G3335=1,F3335=""),"Fechamento sem conversa",IF(OR(AND(E3335&lt;&gt;"",E3335&lt;B3335),AND(F3335&lt;&gt;"",F3335&lt;B3335)),"Evento anterior à entrada",IF(AND(F3335&lt;&gt;"",E3335=""),"Conversa sem agendamento",IF(OR(E3335&gt;TODAY(),F3335&gt;TODAY()),"Verificar evento futuro","OK"))))))))))</f>
        <v/>
      </c>
    </row>
    <row r="3336" spans="12:15">
      <c r="L3336" s="5">
        <f>IF(OR(A3336="",B3336=""),"",B3336-WEEKDAY(B3336,2)+1)</f>
        <v/>
      </c>
      <c r="M3336" s="5">
        <f>IF(L3336="","",L3336+6)</f>
        <v/>
      </c>
      <c r="N3336" s="6">
        <f>IF(OR(A3336="",B3336=""),"",DATE(YEAR(B3336),MONTH(B3336),1))</f>
        <v/>
      </c>
      <c r="O3336" s="7">
        <f>IF(COUNTA(A3336:K3336)=0,"",IF(OR(A3336="",B3336=""),"Preencher CPF e entrada",IF(COUNTIFS($A$12:$A$5011,A3336,$B$12:$B$5011,B3336)&gt;1,"CPF + dia duplicado",IF(OR(AND(G3336&lt;&gt;"",G3336&lt;&gt;0,G3336&lt;&gt;1),AND(H3336&lt;&gt;"",H3336&lt;&gt;0,H3336&lt;&gt;1)),"Flags devem ser 0 ou 1",IF(AND(H3336=1,LEN(TRIM(I3336))=0),"Preencher nome do indicante",IF(AND(H3336&lt;&gt;1,I3336&lt;&gt;""),"Nome sem indicação interna",IF(AND(G3336=1,F3336=""),"Fechamento sem conversa",IF(OR(AND(E3336&lt;&gt;"",E3336&lt;B3336),AND(F3336&lt;&gt;"",F3336&lt;B3336)),"Evento anterior à entrada",IF(AND(F3336&lt;&gt;"",E3336=""),"Conversa sem agendamento",IF(OR(E3336&gt;TODAY(),F3336&gt;TODAY()),"Verificar evento futuro","OK"))))))))))</f>
        <v/>
      </c>
    </row>
    <row r="3337" spans="12:15">
      <c r="L3337" s="5">
        <f>IF(OR(A3337="",B3337=""),"",B3337-WEEKDAY(B3337,2)+1)</f>
        <v/>
      </c>
      <c r="M3337" s="5">
        <f>IF(L3337="","",L3337+6)</f>
        <v/>
      </c>
      <c r="N3337" s="6">
        <f>IF(OR(A3337="",B3337=""),"",DATE(YEAR(B3337),MONTH(B3337),1))</f>
        <v/>
      </c>
      <c r="O3337" s="7">
        <f>IF(COUNTA(A3337:K3337)=0,"",IF(OR(A3337="",B3337=""),"Preencher CPF e entrada",IF(COUNTIFS($A$12:$A$5011,A3337,$B$12:$B$5011,B3337)&gt;1,"CPF + dia duplicado",IF(OR(AND(G3337&lt;&gt;"",G3337&lt;&gt;0,G3337&lt;&gt;1),AND(H3337&lt;&gt;"",H3337&lt;&gt;0,H3337&lt;&gt;1)),"Flags devem ser 0 ou 1",IF(AND(H3337=1,LEN(TRIM(I3337))=0),"Preencher nome do indicante",IF(AND(H3337&lt;&gt;1,I3337&lt;&gt;""),"Nome sem indicação interna",IF(AND(G3337=1,F3337=""),"Fechamento sem conversa",IF(OR(AND(E3337&lt;&gt;"",E3337&lt;B3337),AND(F3337&lt;&gt;"",F3337&lt;B3337)),"Evento anterior à entrada",IF(AND(F3337&lt;&gt;"",E3337=""),"Conversa sem agendamento",IF(OR(E3337&gt;TODAY(),F3337&gt;TODAY()),"Verificar evento futuro","OK"))))))))))</f>
        <v/>
      </c>
    </row>
    <row r="3338" spans="12:15">
      <c r="L3338" s="5">
        <f>IF(OR(A3338="",B3338=""),"",B3338-WEEKDAY(B3338,2)+1)</f>
        <v/>
      </c>
      <c r="M3338" s="5">
        <f>IF(L3338="","",L3338+6)</f>
        <v/>
      </c>
      <c r="N3338" s="6">
        <f>IF(OR(A3338="",B3338=""),"",DATE(YEAR(B3338),MONTH(B3338),1))</f>
        <v/>
      </c>
      <c r="O3338" s="7">
        <f>IF(COUNTA(A3338:K3338)=0,"",IF(OR(A3338="",B3338=""),"Preencher CPF e entrada",IF(COUNTIFS($A$12:$A$5011,A3338,$B$12:$B$5011,B3338)&gt;1,"CPF + dia duplicado",IF(OR(AND(G3338&lt;&gt;"",G3338&lt;&gt;0,G3338&lt;&gt;1),AND(H3338&lt;&gt;"",H3338&lt;&gt;0,H3338&lt;&gt;1)),"Flags devem ser 0 ou 1",IF(AND(H3338=1,LEN(TRIM(I3338))=0),"Preencher nome do indicante",IF(AND(H3338&lt;&gt;1,I3338&lt;&gt;""),"Nome sem indicação interna",IF(AND(G3338=1,F3338=""),"Fechamento sem conversa",IF(OR(AND(E3338&lt;&gt;"",E3338&lt;B3338),AND(F3338&lt;&gt;"",F3338&lt;B3338)),"Evento anterior à entrada",IF(AND(F3338&lt;&gt;"",E3338=""),"Conversa sem agendamento",IF(OR(E3338&gt;TODAY(),F3338&gt;TODAY()),"Verificar evento futuro","OK"))))))))))</f>
        <v/>
      </c>
    </row>
    <row r="3339" spans="12:15">
      <c r="L3339" s="5">
        <f>IF(OR(A3339="",B3339=""),"",B3339-WEEKDAY(B3339,2)+1)</f>
        <v/>
      </c>
      <c r="M3339" s="5">
        <f>IF(L3339="","",L3339+6)</f>
        <v/>
      </c>
      <c r="N3339" s="6">
        <f>IF(OR(A3339="",B3339=""),"",DATE(YEAR(B3339),MONTH(B3339),1))</f>
        <v/>
      </c>
      <c r="O3339" s="7">
        <f>IF(COUNTA(A3339:K3339)=0,"",IF(OR(A3339="",B3339=""),"Preencher CPF e entrada",IF(COUNTIFS($A$12:$A$5011,A3339,$B$12:$B$5011,B3339)&gt;1,"CPF + dia duplicado",IF(OR(AND(G3339&lt;&gt;"",G3339&lt;&gt;0,G3339&lt;&gt;1),AND(H3339&lt;&gt;"",H3339&lt;&gt;0,H3339&lt;&gt;1)),"Flags devem ser 0 ou 1",IF(AND(H3339=1,LEN(TRIM(I3339))=0),"Preencher nome do indicante",IF(AND(H3339&lt;&gt;1,I3339&lt;&gt;""),"Nome sem indicação interna",IF(AND(G3339=1,F3339=""),"Fechamento sem conversa",IF(OR(AND(E3339&lt;&gt;"",E3339&lt;B3339),AND(F3339&lt;&gt;"",F3339&lt;B3339)),"Evento anterior à entrada",IF(AND(F3339&lt;&gt;"",E3339=""),"Conversa sem agendamento",IF(OR(E3339&gt;TODAY(),F3339&gt;TODAY()),"Verificar evento futuro","OK"))))))))))</f>
        <v/>
      </c>
    </row>
    <row r="3340" spans="12:15">
      <c r="L3340" s="5">
        <f>IF(OR(A3340="",B3340=""),"",B3340-WEEKDAY(B3340,2)+1)</f>
        <v/>
      </c>
      <c r="M3340" s="5">
        <f>IF(L3340="","",L3340+6)</f>
        <v/>
      </c>
      <c r="N3340" s="6">
        <f>IF(OR(A3340="",B3340=""),"",DATE(YEAR(B3340),MONTH(B3340),1))</f>
        <v/>
      </c>
      <c r="O3340" s="7">
        <f>IF(COUNTA(A3340:K3340)=0,"",IF(OR(A3340="",B3340=""),"Preencher CPF e entrada",IF(COUNTIFS($A$12:$A$5011,A3340,$B$12:$B$5011,B3340)&gt;1,"CPF + dia duplicado",IF(OR(AND(G3340&lt;&gt;"",G3340&lt;&gt;0,G3340&lt;&gt;1),AND(H3340&lt;&gt;"",H3340&lt;&gt;0,H3340&lt;&gt;1)),"Flags devem ser 0 ou 1",IF(AND(H3340=1,LEN(TRIM(I3340))=0),"Preencher nome do indicante",IF(AND(H3340&lt;&gt;1,I3340&lt;&gt;""),"Nome sem indicação interna",IF(AND(G3340=1,F3340=""),"Fechamento sem conversa",IF(OR(AND(E3340&lt;&gt;"",E3340&lt;B3340),AND(F3340&lt;&gt;"",F3340&lt;B3340)),"Evento anterior à entrada",IF(AND(F3340&lt;&gt;"",E3340=""),"Conversa sem agendamento",IF(OR(E3340&gt;TODAY(),F3340&gt;TODAY()),"Verificar evento futuro","OK"))))))))))</f>
        <v/>
      </c>
    </row>
    <row r="3341" spans="12:15">
      <c r="L3341" s="5">
        <f>IF(OR(A3341="",B3341=""),"",B3341-WEEKDAY(B3341,2)+1)</f>
        <v/>
      </c>
      <c r="M3341" s="5">
        <f>IF(L3341="","",L3341+6)</f>
        <v/>
      </c>
      <c r="N3341" s="6">
        <f>IF(OR(A3341="",B3341=""),"",DATE(YEAR(B3341),MONTH(B3341),1))</f>
        <v/>
      </c>
      <c r="O3341" s="7">
        <f>IF(COUNTA(A3341:K3341)=0,"",IF(OR(A3341="",B3341=""),"Preencher CPF e entrada",IF(COUNTIFS($A$12:$A$5011,A3341,$B$12:$B$5011,B3341)&gt;1,"CPF + dia duplicado",IF(OR(AND(G3341&lt;&gt;"",G3341&lt;&gt;0,G3341&lt;&gt;1),AND(H3341&lt;&gt;"",H3341&lt;&gt;0,H3341&lt;&gt;1)),"Flags devem ser 0 ou 1",IF(AND(H3341=1,LEN(TRIM(I3341))=0),"Preencher nome do indicante",IF(AND(H3341&lt;&gt;1,I3341&lt;&gt;""),"Nome sem indicação interna",IF(AND(G3341=1,F3341=""),"Fechamento sem conversa",IF(OR(AND(E3341&lt;&gt;"",E3341&lt;B3341),AND(F3341&lt;&gt;"",F3341&lt;B3341)),"Evento anterior à entrada",IF(AND(F3341&lt;&gt;"",E3341=""),"Conversa sem agendamento",IF(OR(E3341&gt;TODAY(),F3341&gt;TODAY()),"Verificar evento futuro","OK"))))))))))</f>
        <v/>
      </c>
    </row>
    <row r="3342" spans="12:15">
      <c r="L3342" s="5">
        <f>IF(OR(A3342="",B3342=""),"",B3342-WEEKDAY(B3342,2)+1)</f>
        <v/>
      </c>
      <c r="M3342" s="5">
        <f>IF(L3342="","",L3342+6)</f>
        <v/>
      </c>
      <c r="N3342" s="6">
        <f>IF(OR(A3342="",B3342=""),"",DATE(YEAR(B3342),MONTH(B3342),1))</f>
        <v/>
      </c>
      <c r="O3342" s="7">
        <f>IF(COUNTA(A3342:K3342)=0,"",IF(OR(A3342="",B3342=""),"Preencher CPF e entrada",IF(COUNTIFS($A$12:$A$5011,A3342,$B$12:$B$5011,B3342)&gt;1,"CPF + dia duplicado",IF(OR(AND(G3342&lt;&gt;"",G3342&lt;&gt;0,G3342&lt;&gt;1),AND(H3342&lt;&gt;"",H3342&lt;&gt;0,H3342&lt;&gt;1)),"Flags devem ser 0 ou 1",IF(AND(H3342=1,LEN(TRIM(I3342))=0),"Preencher nome do indicante",IF(AND(H3342&lt;&gt;1,I3342&lt;&gt;""),"Nome sem indicação interna",IF(AND(G3342=1,F3342=""),"Fechamento sem conversa",IF(OR(AND(E3342&lt;&gt;"",E3342&lt;B3342),AND(F3342&lt;&gt;"",F3342&lt;B3342)),"Evento anterior à entrada",IF(AND(F3342&lt;&gt;"",E3342=""),"Conversa sem agendamento",IF(OR(E3342&gt;TODAY(),F3342&gt;TODAY()),"Verificar evento futuro","OK"))))))))))</f>
        <v/>
      </c>
    </row>
    <row r="3343" spans="12:15">
      <c r="L3343" s="5">
        <f>IF(OR(A3343="",B3343=""),"",B3343-WEEKDAY(B3343,2)+1)</f>
        <v/>
      </c>
      <c r="M3343" s="5">
        <f>IF(L3343="","",L3343+6)</f>
        <v/>
      </c>
      <c r="N3343" s="6">
        <f>IF(OR(A3343="",B3343=""),"",DATE(YEAR(B3343),MONTH(B3343),1))</f>
        <v/>
      </c>
      <c r="O3343" s="7">
        <f>IF(COUNTA(A3343:K3343)=0,"",IF(OR(A3343="",B3343=""),"Preencher CPF e entrada",IF(COUNTIFS($A$12:$A$5011,A3343,$B$12:$B$5011,B3343)&gt;1,"CPF + dia duplicado",IF(OR(AND(G3343&lt;&gt;"",G3343&lt;&gt;0,G3343&lt;&gt;1),AND(H3343&lt;&gt;"",H3343&lt;&gt;0,H3343&lt;&gt;1)),"Flags devem ser 0 ou 1",IF(AND(H3343=1,LEN(TRIM(I3343))=0),"Preencher nome do indicante",IF(AND(H3343&lt;&gt;1,I3343&lt;&gt;""),"Nome sem indicação interna",IF(AND(G3343=1,F3343=""),"Fechamento sem conversa",IF(OR(AND(E3343&lt;&gt;"",E3343&lt;B3343),AND(F3343&lt;&gt;"",F3343&lt;B3343)),"Evento anterior à entrada",IF(AND(F3343&lt;&gt;"",E3343=""),"Conversa sem agendamento",IF(OR(E3343&gt;TODAY(),F3343&gt;TODAY()),"Verificar evento futuro","OK"))))))))))</f>
        <v/>
      </c>
    </row>
    <row r="3344" spans="12:15">
      <c r="L3344" s="5">
        <f>IF(OR(A3344="",B3344=""),"",B3344-WEEKDAY(B3344,2)+1)</f>
        <v/>
      </c>
      <c r="M3344" s="5">
        <f>IF(L3344="","",L3344+6)</f>
        <v/>
      </c>
      <c r="N3344" s="6">
        <f>IF(OR(A3344="",B3344=""),"",DATE(YEAR(B3344),MONTH(B3344),1))</f>
        <v/>
      </c>
      <c r="O3344" s="7">
        <f>IF(COUNTA(A3344:K3344)=0,"",IF(OR(A3344="",B3344=""),"Preencher CPF e entrada",IF(COUNTIFS($A$12:$A$5011,A3344,$B$12:$B$5011,B3344)&gt;1,"CPF + dia duplicado",IF(OR(AND(G3344&lt;&gt;"",G3344&lt;&gt;0,G3344&lt;&gt;1),AND(H3344&lt;&gt;"",H3344&lt;&gt;0,H3344&lt;&gt;1)),"Flags devem ser 0 ou 1",IF(AND(H3344=1,LEN(TRIM(I3344))=0),"Preencher nome do indicante",IF(AND(H3344&lt;&gt;1,I3344&lt;&gt;""),"Nome sem indicação interna",IF(AND(G3344=1,F3344=""),"Fechamento sem conversa",IF(OR(AND(E3344&lt;&gt;"",E3344&lt;B3344),AND(F3344&lt;&gt;"",F3344&lt;B3344)),"Evento anterior à entrada",IF(AND(F3344&lt;&gt;"",E3344=""),"Conversa sem agendamento",IF(OR(E3344&gt;TODAY(),F3344&gt;TODAY()),"Verificar evento futuro","OK"))))))))))</f>
        <v/>
      </c>
    </row>
    <row r="3345" spans="12:15">
      <c r="L3345" s="5">
        <f>IF(OR(A3345="",B3345=""),"",B3345-WEEKDAY(B3345,2)+1)</f>
        <v/>
      </c>
      <c r="M3345" s="5">
        <f>IF(L3345="","",L3345+6)</f>
        <v/>
      </c>
      <c r="N3345" s="6">
        <f>IF(OR(A3345="",B3345=""),"",DATE(YEAR(B3345),MONTH(B3345),1))</f>
        <v/>
      </c>
      <c r="O3345" s="7">
        <f>IF(COUNTA(A3345:K3345)=0,"",IF(OR(A3345="",B3345=""),"Preencher CPF e entrada",IF(COUNTIFS($A$12:$A$5011,A3345,$B$12:$B$5011,B3345)&gt;1,"CPF + dia duplicado",IF(OR(AND(G3345&lt;&gt;"",G3345&lt;&gt;0,G3345&lt;&gt;1),AND(H3345&lt;&gt;"",H3345&lt;&gt;0,H3345&lt;&gt;1)),"Flags devem ser 0 ou 1",IF(AND(H3345=1,LEN(TRIM(I3345))=0),"Preencher nome do indicante",IF(AND(H3345&lt;&gt;1,I3345&lt;&gt;""),"Nome sem indicação interna",IF(AND(G3345=1,F3345=""),"Fechamento sem conversa",IF(OR(AND(E3345&lt;&gt;"",E3345&lt;B3345),AND(F3345&lt;&gt;"",F3345&lt;B3345)),"Evento anterior à entrada",IF(AND(F3345&lt;&gt;"",E3345=""),"Conversa sem agendamento",IF(OR(E3345&gt;TODAY(),F3345&gt;TODAY()),"Verificar evento futuro","OK"))))))))))</f>
        <v/>
      </c>
    </row>
    <row r="3346" spans="12:15">
      <c r="L3346" s="5">
        <f>IF(OR(A3346="",B3346=""),"",B3346-WEEKDAY(B3346,2)+1)</f>
        <v/>
      </c>
      <c r="M3346" s="5">
        <f>IF(L3346="","",L3346+6)</f>
        <v/>
      </c>
      <c r="N3346" s="6">
        <f>IF(OR(A3346="",B3346=""),"",DATE(YEAR(B3346),MONTH(B3346),1))</f>
        <v/>
      </c>
      <c r="O3346" s="7">
        <f>IF(COUNTA(A3346:K3346)=0,"",IF(OR(A3346="",B3346=""),"Preencher CPF e entrada",IF(COUNTIFS($A$12:$A$5011,A3346,$B$12:$B$5011,B3346)&gt;1,"CPF + dia duplicado",IF(OR(AND(G3346&lt;&gt;"",G3346&lt;&gt;0,G3346&lt;&gt;1),AND(H3346&lt;&gt;"",H3346&lt;&gt;0,H3346&lt;&gt;1)),"Flags devem ser 0 ou 1",IF(AND(H3346=1,LEN(TRIM(I3346))=0),"Preencher nome do indicante",IF(AND(H3346&lt;&gt;1,I3346&lt;&gt;""),"Nome sem indicação interna",IF(AND(G3346=1,F3346=""),"Fechamento sem conversa",IF(OR(AND(E3346&lt;&gt;"",E3346&lt;B3346),AND(F3346&lt;&gt;"",F3346&lt;B3346)),"Evento anterior à entrada",IF(AND(F3346&lt;&gt;"",E3346=""),"Conversa sem agendamento",IF(OR(E3346&gt;TODAY(),F3346&gt;TODAY()),"Verificar evento futuro","OK"))))))))))</f>
        <v/>
      </c>
    </row>
    <row r="3347" spans="12:15">
      <c r="L3347" s="5">
        <f>IF(OR(A3347="",B3347=""),"",B3347-WEEKDAY(B3347,2)+1)</f>
        <v/>
      </c>
      <c r="M3347" s="5">
        <f>IF(L3347="","",L3347+6)</f>
        <v/>
      </c>
      <c r="N3347" s="6">
        <f>IF(OR(A3347="",B3347=""),"",DATE(YEAR(B3347),MONTH(B3347),1))</f>
        <v/>
      </c>
      <c r="O3347" s="7">
        <f>IF(COUNTA(A3347:K3347)=0,"",IF(OR(A3347="",B3347=""),"Preencher CPF e entrada",IF(COUNTIFS($A$12:$A$5011,A3347,$B$12:$B$5011,B3347)&gt;1,"CPF + dia duplicado",IF(OR(AND(G3347&lt;&gt;"",G3347&lt;&gt;0,G3347&lt;&gt;1),AND(H3347&lt;&gt;"",H3347&lt;&gt;0,H3347&lt;&gt;1)),"Flags devem ser 0 ou 1",IF(AND(H3347=1,LEN(TRIM(I3347))=0),"Preencher nome do indicante",IF(AND(H3347&lt;&gt;1,I3347&lt;&gt;""),"Nome sem indicação interna",IF(AND(G3347=1,F3347=""),"Fechamento sem conversa",IF(OR(AND(E3347&lt;&gt;"",E3347&lt;B3347),AND(F3347&lt;&gt;"",F3347&lt;B3347)),"Evento anterior à entrada",IF(AND(F3347&lt;&gt;"",E3347=""),"Conversa sem agendamento",IF(OR(E3347&gt;TODAY(),F3347&gt;TODAY()),"Verificar evento futuro","OK"))))))))))</f>
        <v/>
      </c>
    </row>
    <row r="3348" spans="12:15">
      <c r="L3348" s="5">
        <f>IF(OR(A3348="",B3348=""),"",B3348-WEEKDAY(B3348,2)+1)</f>
        <v/>
      </c>
      <c r="M3348" s="5">
        <f>IF(L3348="","",L3348+6)</f>
        <v/>
      </c>
      <c r="N3348" s="6">
        <f>IF(OR(A3348="",B3348=""),"",DATE(YEAR(B3348),MONTH(B3348),1))</f>
        <v/>
      </c>
      <c r="O3348" s="7">
        <f>IF(COUNTA(A3348:K3348)=0,"",IF(OR(A3348="",B3348=""),"Preencher CPF e entrada",IF(COUNTIFS($A$12:$A$5011,A3348,$B$12:$B$5011,B3348)&gt;1,"CPF + dia duplicado",IF(OR(AND(G3348&lt;&gt;"",G3348&lt;&gt;0,G3348&lt;&gt;1),AND(H3348&lt;&gt;"",H3348&lt;&gt;0,H3348&lt;&gt;1)),"Flags devem ser 0 ou 1",IF(AND(H3348=1,LEN(TRIM(I3348))=0),"Preencher nome do indicante",IF(AND(H3348&lt;&gt;1,I3348&lt;&gt;""),"Nome sem indicação interna",IF(AND(G3348=1,F3348=""),"Fechamento sem conversa",IF(OR(AND(E3348&lt;&gt;"",E3348&lt;B3348),AND(F3348&lt;&gt;"",F3348&lt;B3348)),"Evento anterior à entrada",IF(AND(F3348&lt;&gt;"",E3348=""),"Conversa sem agendamento",IF(OR(E3348&gt;TODAY(),F3348&gt;TODAY()),"Verificar evento futuro","OK"))))))))))</f>
        <v/>
      </c>
    </row>
    <row r="3349" spans="12:15">
      <c r="L3349" s="5">
        <f>IF(OR(A3349="",B3349=""),"",B3349-WEEKDAY(B3349,2)+1)</f>
        <v/>
      </c>
      <c r="M3349" s="5">
        <f>IF(L3349="","",L3349+6)</f>
        <v/>
      </c>
      <c r="N3349" s="6">
        <f>IF(OR(A3349="",B3349=""),"",DATE(YEAR(B3349),MONTH(B3349),1))</f>
        <v/>
      </c>
      <c r="O3349" s="7">
        <f>IF(COUNTA(A3349:K3349)=0,"",IF(OR(A3349="",B3349=""),"Preencher CPF e entrada",IF(COUNTIFS($A$12:$A$5011,A3349,$B$12:$B$5011,B3349)&gt;1,"CPF + dia duplicado",IF(OR(AND(G3349&lt;&gt;"",G3349&lt;&gt;0,G3349&lt;&gt;1),AND(H3349&lt;&gt;"",H3349&lt;&gt;0,H3349&lt;&gt;1)),"Flags devem ser 0 ou 1",IF(AND(H3349=1,LEN(TRIM(I3349))=0),"Preencher nome do indicante",IF(AND(H3349&lt;&gt;1,I3349&lt;&gt;""),"Nome sem indicação interna",IF(AND(G3349=1,F3349=""),"Fechamento sem conversa",IF(OR(AND(E3349&lt;&gt;"",E3349&lt;B3349),AND(F3349&lt;&gt;"",F3349&lt;B3349)),"Evento anterior à entrada",IF(AND(F3349&lt;&gt;"",E3349=""),"Conversa sem agendamento",IF(OR(E3349&gt;TODAY(),F3349&gt;TODAY()),"Verificar evento futuro","OK"))))))))))</f>
        <v/>
      </c>
    </row>
    <row r="3350" spans="12:15">
      <c r="L3350" s="5">
        <f>IF(OR(A3350="",B3350=""),"",B3350-WEEKDAY(B3350,2)+1)</f>
        <v/>
      </c>
      <c r="M3350" s="5">
        <f>IF(L3350="","",L3350+6)</f>
        <v/>
      </c>
      <c r="N3350" s="6">
        <f>IF(OR(A3350="",B3350=""),"",DATE(YEAR(B3350),MONTH(B3350),1))</f>
        <v/>
      </c>
      <c r="O3350" s="7">
        <f>IF(COUNTA(A3350:K3350)=0,"",IF(OR(A3350="",B3350=""),"Preencher CPF e entrada",IF(COUNTIFS($A$12:$A$5011,A3350,$B$12:$B$5011,B3350)&gt;1,"CPF + dia duplicado",IF(OR(AND(G3350&lt;&gt;"",G3350&lt;&gt;0,G3350&lt;&gt;1),AND(H3350&lt;&gt;"",H3350&lt;&gt;0,H3350&lt;&gt;1)),"Flags devem ser 0 ou 1",IF(AND(H3350=1,LEN(TRIM(I3350))=0),"Preencher nome do indicante",IF(AND(H3350&lt;&gt;1,I3350&lt;&gt;""),"Nome sem indicação interna",IF(AND(G3350=1,F3350=""),"Fechamento sem conversa",IF(OR(AND(E3350&lt;&gt;"",E3350&lt;B3350),AND(F3350&lt;&gt;"",F3350&lt;B3350)),"Evento anterior à entrada",IF(AND(F3350&lt;&gt;"",E3350=""),"Conversa sem agendamento",IF(OR(E3350&gt;TODAY(),F3350&gt;TODAY()),"Verificar evento futuro","OK"))))))))))</f>
        <v/>
      </c>
    </row>
    <row r="3351" spans="12:15">
      <c r="L3351" s="5">
        <f>IF(OR(A3351="",B3351=""),"",B3351-WEEKDAY(B3351,2)+1)</f>
        <v/>
      </c>
      <c r="M3351" s="5">
        <f>IF(L3351="","",L3351+6)</f>
        <v/>
      </c>
      <c r="N3351" s="6">
        <f>IF(OR(A3351="",B3351=""),"",DATE(YEAR(B3351),MONTH(B3351),1))</f>
        <v/>
      </c>
      <c r="O3351" s="7">
        <f>IF(COUNTA(A3351:K3351)=0,"",IF(OR(A3351="",B3351=""),"Preencher CPF e entrada",IF(COUNTIFS($A$12:$A$5011,A3351,$B$12:$B$5011,B3351)&gt;1,"CPF + dia duplicado",IF(OR(AND(G3351&lt;&gt;"",G3351&lt;&gt;0,G3351&lt;&gt;1),AND(H3351&lt;&gt;"",H3351&lt;&gt;0,H3351&lt;&gt;1)),"Flags devem ser 0 ou 1",IF(AND(H3351=1,LEN(TRIM(I3351))=0),"Preencher nome do indicante",IF(AND(H3351&lt;&gt;1,I3351&lt;&gt;""),"Nome sem indicação interna",IF(AND(G3351=1,F3351=""),"Fechamento sem conversa",IF(OR(AND(E3351&lt;&gt;"",E3351&lt;B3351),AND(F3351&lt;&gt;"",F3351&lt;B3351)),"Evento anterior à entrada",IF(AND(F3351&lt;&gt;"",E3351=""),"Conversa sem agendamento",IF(OR(E3351&gt;TODAY(),F3351&gt;TODAY()),"Verificar evento futuro","OK"))))))))))</f>
        <v/>
      </c>
    </row>
    <row r="3352" spans="12:15">
      <c r="L3352" s="5">
        <f>IF(OR(A3352="",B3352=""),"",B3352-WEEKDAY(B3352,2)+1)</f>
        <v/>
      </c>
      <c r="M3352" s="5">
        <f>IF(L3352="","",L3352+6)</f>
        <v/>
      </c>
      <c r="N3352" s="6">
        <f>IF(OR(A3352="",B3352=""),"",DATE(YEAR(B3352),MONTH(B3352),1))</f>
        <v/>
      </c>
      <c r="O3352" s="7">
        <f>IF(COUNTA(A3352:K3352)=0,"",IF(OR(A3352="",B3352=""),"Preencher CPF e entrada",IF(COUNTIFS($A$12:$A$5011,A3352,$B$12:$B$5011,B3352)&gt;1,"CPF + dia duplicado",IF(OR(AND(G3352&lt;&gt;"",G3352&lt;&gt;0,G3352&lt;&gt;1),AND(H3352&lt;&gt;"",H3352&lt;&gt;0,H3352&lt;&gt;1)),"Flags devem ser 0 ou 1",IF(AND(H3352=1,LEN(TRIM(I3352))=0),"Preencher nome do indicante",IF(AND(H3352&lt;&gt;1,I3352&lt;&gt;""),"Nome sem indicação interna",IF(AND(G3352=1,F3352=""),"Fechamento sem conversa",IF(OR(AND(E3352&lt;&gt;"",E3352&lt;B3352),AND(F3352&lt;&gt;"",F3352&lt;B3352)),"Evento anterior à entrada",IF(AND(F3352&lt;&gt;"",E3352=""),"Conversa sem agendamento",IF(OR(E3352&gt;TODAY(),F3352&gt;TODAY()),"Verificar evento futuro","OK"))))))))))</f>
        <v/>
      </c>
    </row>
    <row r="3353" spans="12:15">
      <c r="L3353" s="5">
        <f>IF(OR(A3353="",B3353=""),"",B3353-WEEKDAY(B3353,2)+1)</f>
        <v/>
      </c>
      <c r="M3353" s="5">
        <f>IF(L3353="","",L3353+6)</f>
        <v/>
      </c>
      <c r="N3353" s="6">
        <f>IF(OR(A3353="",B3353=""),"",DATE(YEAR(B3353),MONTH(B3353),1))</f>
        <v/>
      </c>
      <c r="O3353" s="7">
        <f>IF(COUNTA(A3353:K3353)=0,"",IF(OR(A3353="",B3353=""),"Preencher CPF e entrada",IF(COUNTIFS($A$12:$A$5011,A3353,$B$12:$B$5011,B3353)&gt;1,"CPF + dia duplicado",IF(OR(AND(G3353&lt;&gt;"",G3353&lt;&gt;0,G3353&lt;&gt;1),AND(H3353&lt;&gt;"",H3353&lt;&gt;0,H3353&lt;&gt;1)),"Flags devem ser 0 ou 1",IF(AND(H3353=1,LEN(TRIM(I3353))=0),"Preencher nome do indicante",IF(AND(H3353&lt;&gt;1,I3353&lt;&gt;""),"Nome sem indicação interna",IF(AND(G3353=1,F3353=""),"Fechamento sem conversa",IF(OR(AND(E3353&lt;&gt;"",E3353&lt;B3353),AND(F3353&lt;&gt;"",F3353&lt;B3353)),"Evento anterior à entrada",IF(AND(F3353&lt;&gt;"",E3353=""),"Conversa sem agendamento",IF(OR(E3353&gt;TODAY(),F3353&gt;TODAY()),"Verificar evento futuro","OK"))))))))))</f>
        <v/>
      </c>
    </row>
    <row r="3354" spans="12:15">
      <c r="L3354" s="5">
        <f>IF(OR(A3354="",B3354=""),"",B3354-WEEKDAY(B3354,2)+1)</f>
        <v/>
      </c>
      <c r="M3354" s="5">
        <f>IF(L3354="","",L3354+6)</f>
        <v/>
      </c>
      <c r="N3354" s="6">
        <f>IF(OR(A3354="",B3354=""),"",DATE(YEAR(B3354),MONTH(B3354),1))</f>
        <v/>
      </c>
      <c r="O3354" s="7">
        <f>IF(COUNTA(A3354:K3354)=0,"",IF(OR(A3354="",B3354=""),"Preencher CPF e entrada",IF(COUNTIFS($A$12:$A$5011,A3354,$B$12:$B$5011,B3354)&gt;1,"CPF + dia duplicado",IF(OR(AND(G3354&lt;&gt;"",G3354&lt;&gt;0,G3354&lt;&gt;1),AND(H3354&lt;&gt;"",H3354&lt;&gt;0,H3354&lt;&gt;1)),"Flags devem ser 0 ou 1",IF(AND(H3354=1,LEN(TRIM(I3354))=0),"Preencher nome do indicante",IF(AND(H3354&lt;&gt;1,I3354&lt;&gt;""),"Nome sem indicação interna",IF(AND(G3354=1,F3354=""),"Fechamento sem conversa",IF(OR(AND(E3354&lt;&gt;"",E3354&lt;B3354),AND(F3354&lt;&gt;"",F3354&lt;B3354)),"Evento anterior à entrada",IF(AND(F3354&lt;&gt;"",E3354=""),"Conversa sem agendamento",IF(OR(E3354&gt;TODAY(),F3354&gt;TODAY()),"Verificar evento futuro","OK"))))))))))</f>
        <v/>
      </c>
    </row>
    <row r="3355" spans="12:15">
      <c r="L3355" s="5">
        <f>IF(OR(A3355="",B3355=""),"",B3355-WEEKDAY(B3355,2)+1)</f>
        <v/>
      </c>
      <c r="M3355" s="5">
        <f>IF(L3355="","",L3355+6)</f>
        <v/>
      </c>
      <c r="N3355" s="6">
        <f>IF(OR(A3355="",B3355=""),"",DATE(YEAR(B3355),MONTH(B3355),1))</f>
        <v/>
      </c>
      <c r="O3355" s="7">
        <f>IF(COUNTA(A3355:K3355)=0,"",IF(OR(A3355="",B3355=""),"Preencher CPF e entrada",IF(COUNTIFS($A$12:$A$5011,A3355,$B$12:$B$5011,B3355)&gt;1,"CPF + dia duplicado",IF(OR(AND(G3355&lt;&gt;"",G3355&lt;&gt;0,G3355&lt;&gt;1),AND(H3355&lt;&gt;"",H3355&lt;&gt;0,H3355&lt;&gt;1)),"Flags devem ser 0 ou 1",IF(AND(H3355=1,LEN(TRIM(I3355))=0),"Preencher nome do indicante",IF(AND(H3355&lt;&gt;1,I3355&lt;&gt;""),"Nome sem indicação interna",IF(AND(G3355=1,F3355=""),"Fechamento sem conversa",IF(OR(AND(E3355&lt;&gt;"",E3355&lt;B3355),AND(F3355&lt;&gt;"",F3355&lt;B3355)),"Evento anterior à entrada",IF(AND(F3355&lt;&gt;"",E3355=""),"Conversa sem agendamento",IF(OR(E3355&gt;TODAY(),F3355&gt;TODAY()),"Verificar evento futuro","OK"))))))))))</f>
        <v/>
      </c>
    </row>
    <row r="3356" spans="12:15">
      <c r="L3356" s="5">
        <f>IF(OR(A3356="",B3356=""),"",B3356-WEEKDAY(B3356,2)+1)</f>
        <v/>
      </c>
      <c r="M3356" s="5">
        <f>IF(L3356="","",L3356+6)</f>
        <v/>
      </c>
      <c r="N3356" s="6">
        <f>IF(OR(A3356="",B3356=""),"",DATE(YEAR(B3356),MONTH(B3356),1))</f>
        <v/>
      </c>
      <c r="O3356" s="7">
        <f>IF(COUNTA(A3356:K3356)=0,"",IF(OR(A3356="",B3356=""),"Preencher CPF e entrada",IF(COUNTIFS($A$12:$A$5011,A3356,$B$12:$B$5011,B3356)&gt;1,"CPF + dia duplicado",IF(OR(AND(G3356&lt;&gt;"",G3356&lt;&gt;0,G3356&lt;&gt;1),AND(H3356&lt;&gt;"",H3356&lt;&gt;0,H3356&lt;&gt;1)),"Flags devem ser 0 ou 1",IF(AND(H3356=1,LEN(TRIM(I3356))=0),"Preencher nome do indicante",IF(AND(H3356&lt;&gt;1,I3356&lt;&gt;""),"Nome sem indicação interna",IF(AND(G3356=1,F3356=""),"Fechamento sem conversa",IF(OR(AND(E3356&lt;&gt;"",E3356&lt;B3356),AND(F3356&lt;&gt;"",F3356&lt;B3356)),"Evento anterior à entrada",IF(AND(F3356&lt;&gt;"",E3356=""),"Conversa sem agendamento",IF(OR(E3356&gt;TODAY(),F3356&gt;TODAY()),"Verificar evento futuro","OK"))))))))))</f>
        <v/>
      </c>
    </row>
    <row r="3357" spans="12:15">
      <c r="L3357" s="5">
        <f>IF(OR(A3357="",B3357=""),"",B3357-WEEKDAY(B3357,2)+1)</f>
        <v/>
      </c>
      <c r="M3357" s="5">
        <f>IF(L3357="","",L3357+6)</f>
        <v/>
      </c>
      <c r="N3357" s="6">
        <f>IF(OR(A3357="",B3357=""),"",DATE(YEAR(B3357),MONTH(B3357),1))</f>
        <v/>
      </c>
      <c r="O3357" s="7">
        <f>IF(COUNTA(A3357:K3357)=0,"",IF(OR(A3357="",B3357=""),"Preencher CPF e entrada",IF(COUNTIFS($A$12:$A$5011,A3357,$B$12:$B$5011,B3357)&gt;1,"CPF + dia duplicado",IF(OR(AND(G3357&lt;&gt;"",G3357&lt;&gt;0,G3357&lt;&gt;1),AND(H3357&lt;&gt;"",H3357&lt;&gt;0,H3357&lt;&gt;1)),"Flags devem ser 0 ou 1",IF(AND(H3357=1,LEN(TRIM(I3357))=0),"Preencher nome do indicante",IF(AND(H3357&lt;&gt;1,I3357&lt;&gt;""),"Nome sem indicação interna",IF(AND(G3357=1,F3357=""),"Fechamento sem conversa",IF(OR(AND(E3357&lt;&gt;"",E3357&lt;B3357),AND(F3357&lt;&gt;"",F3357&lt;B3357)),"Evento anterior à entrada",IF(AND(F3357&lt;&gt;"",E3357=""),"Conversa sem agendamento",IF(OR(E3357&gt;TODAY(),F3357&gt;TODAY()),"Verificar evento futuro","OK"))))))))))</f>
        <v/>
      </c>
    </row>
    <row r="3358" spans="12:15">
      <c r="L3358" s="5">
        <f>IF(OR(A3358="",B3358=""),"",B3358-WEEKDAY(B3358,2)+1)</f>
        <v/>
      </c>
      <c r="M3358" s="5">
        <f>IF(L3358="","",L3358+6)</f>
        <v/>
      </c>
      <c r="N3358" s="6">
        <f>IF(OR(A3358="",B3358=""),"",DATE(YEAR(B3358),MONTH(B3358),1))</f>
        <v/>
      </c>
      <c r="O3358" s="7">
        <f>IF(COUNTA(A3358:K3358)=0,"",IF(OR(A3358="",B3358=""),"Preencher CPF e entrada",IF(COUNTIFS($A$12:$A$5011,A3358,$B$12:$B$5011,B3358)&gt;1,"CPF + dia duplicado",IF(OR(AND(G3358&lt;&gt;"",G3358&lt;&gt;0,G3358&lt;&gt;1),AND(H3358&lt;&gt;"",H3358&lt;&gt;0,H3358&lt;&gt;1)),"Flags devem ser 0 ou 1",IF(AND(H3358=1,LEN(TRIM(I3358))=0),"Preencher nome do indicante",IF(AND(H3358&lt;&gt;1,I3358&lt;&gt;""),"Nome sem indicação interna",IF(AND(G3358=1,F3358=""),"Fechamento sem conversa",IF(OR(AND(E3358&lt;&gt;"",E3358&lt;B3358),AND(F3358&lt;&gt;"",F3358&lt;B3358)),"Evento anterior à entrada",IF(AND(F3358&lt;&gt;"",E3358=""),"Conversa sem agendamento",IF(OR(E3358&gt;TODAY(),F3358&gt;TODAY()),"Verificar evento futuro","OK"))))))))))</f>
        <v/>
      </c>
    </row>
    <row r="3359" spans="12:15">
      <c r="L3359" s="5">
        <f>IF(OR(A3359="",B3359=""),"",B3359-WEEKDAY(B3359,2)+1)</f>
        <v/>
      </c>
      <c r="M3359" s="5">
        <f>IF(L3359="","",L3359+6)</f>
        <v/>
      </c>
      <c r="N3359" s="6">
        <f>IF(OR(A3359="",B3359=""),"",DATE(YEAR(B3359),MONTH(B3359),1))</f>
        <v/>
      </c>
      <c r="O3359" s="7">
        <f>IF(COUNTA(A3359:K3359)=0,"",IF(OR(A3359="",B3359=""),"Preencher CPF e entrada",IF(COUNTIFS($A$12:$A$5011,A3359,$B$12:$B$5011,B3359)&gt;1,"CPF + dia duplicado",IF(OR(AND(G3359&lt;&gt;"",G3359&lt;&gt;0,G3359&lt;&gt;1),AND(H3359&lt;&gt;"",H3359&lt;&gt;0,H3359&lt;&gt;1)),"Flags devem ser 0 ou 1",IF(AND(H3359=1,LEN(TRIM(I3359))=0),"Preencher nome do indicante",IF(AND(H3359&lt;&gt;1,I3359&lt;&gt;""),"Nome sem indicação interna",IF(AND(G3359=1,F3359=""),"Fechamento sem conversa",IF(OR(AND(E3359&lt;&gt;"",E3359&lt;B3359),AND(F3359&lt;&gt;"",F3359&lt;B3359)),"Evento anterior à entrada",IF(AND(F3359&lt;&gt;"",E3359=""),"Conversa sem agendamento",IF(OR(E3359&gt;TODAY(),F3359&gt;TODAY()),"Verificar evento futuro","OK"))))))))))</f>
        <v/>
      </c>
    </row>
    <row r="3360" spans="12:15">
      <c r="L3360" s="5">
        <f>IF(OR(A3360="",B3360=""),"",B3360-WEEKDAY(B3360,2)+1)</f>
        <v/>
      </c>
      <c r="M3360" s="5">
        <f>IF(L3360="","",L3360+6)</f>
        <v/>
      </c>
      <c r="N3360" s="6">
        <f>IF(OR(A3360="",B3360=""),"",DATE(YEAR(B3360),MONTH(B3360),1))</f>
        <v/>
      </c>
      <c r="O3360" s="7">
        <f>IF(COUNTA(A3360:K3360)=0,"",IF(OR(A3360="",B3360=""),"Preencher CPF e entrada",IF(COUNTIFS($A$12:$A$5011,A3360,$B$12:$B$5011,B3360)&gt;1,"CPF + dia duplicado",IF(OR(AND(G3360&lt;&gt;"",G3360&lt;&gt;0,G3360&lt;&gt;1),AND(H3360&lt;&gt;"",H3360&lt;&gt;0,H3360&lt;&gt;1)),"Flags devem ser 0 ou 1",IF(AND(H3360=1,LEN(TRIM(I3360))=0),"Preencher nome do indicante",IF(AND(H3360&lt;&gt;1,I3360&lt;&gt;""),"Nome sem indicação interna",IF(AND(G3360=1,F3360=""),"Fechamento sem conversa",IF(OR(AND(E3360&lt;&gt;"",E3360&lt;B3360),AND(F3360&lt;&gt;"",F3360&lt;B3360)),"Evento anterior à entrada",IF(AND(F3360&lt;&gt;"",E3360=""),"Conversa sem agendamento",IF(OR(E3360&gt;TODAY(),F3360&gt;TODAY()),"Verificar evento futuro","OK"))))))))))</f>
        <v/>
      </c>
    </row>
    <row r="3361" spans="12:15">
      <c r="L3361" s="5">
        <f>IF(OR(A3361="",B3361=""),"",B3361-WEEKDAY(B3361,2)+1)</f>
        <v/>
      </c>
      <c r="M3361" s="5">
        <f>IF(L3361="","",L3361+6)</f>
        <v/>
      </c>
      <c r="N3361" s="6">
        <f>IF(OR(A3361="",B3361=""),"",DATE(YEAR(B3361),MONTH(B3361),1))</f>
        <v/>
      </c>
      <c r="O3361" s="7">
        <f>IF(COUNTA(A3361:K3361)=0,"",IF(OR(A3361="",B3361=""),"Preencher CPF e entrada",IF(COUNTIFS($A$12:$A$5011,A3361,$B$12:$B$5011,B3361)&gt;1,"CPF + dia duplicado",IF(OR(AND(G3361&lt;&gt;"",G3361&lt;&gt;0,G3361&lt;&gt;1),AND(H3361&lt;&gt;"",H3361&lt;&gt;0,H3361&lt;&gt;1)),"Flags devem ser 0 ou 1",IF(AND(H3361=1,LEN(TRIM(I3361))=0),"Preencher nome do indicante",IF(AND(H3361&lt;&gt;1,I3361&lt;&gt;""),"Nome sem indicação interna",IF(AND(G3361=1,F3361=""),"Fechamento sem conversa",IF(OR(AND(E3361&lt;&gt;"",E3361&lt;B3361),AND(F3361&lt;&gt;"",F3361&lt;B3361)),"Evento anterior à entrada",IF(AND(F3361&lt;&gt;"",E3361=""),"Conversa sem agendamento",IF(OR(E3361&gt;TODAY(),F3361&gt;TODAY()),"Verificar evento futuro","OK"))))))))))</f>
        <v/>
      </c>
    </row>
    <row r="3362" spans="12:15">
      <c r="L3362" s="5">
        <f>IF(OR(A3362="",B3362=""),"",B3362-WEEKDAY(B3362,2)+1)</f>
        <v/>
      </c>
      <c r="M3362" s="5">
        <f>IF(L3362="","",L3362+6)</f>
        <v/>
      </c>
      <c r="N3362" s="6">
        <f>IF(OR(A3362="",B3362=""),"",DATE(YEAR(B3362),MONTH(B3362),1))</f>
        <v/>
      </c>
      <c r="O3362" s="7">
        <f>IF(COUNTA(A3362:K3362)=0,"",IF(OR(A3362="",B3362=""),"Preencher CPF e entrada",IF(COUNTIFS($A$12:$A$5011,A3362,$B$12:$B$5011,B3362)&gt;1,"CPF + dia duplicado",IF(OR(AND(G3362&lt;&gt;"",G3362&lt;&gt;0,G3362&lt;&gt;1),AND(H3362&lt;&gt;"",H3362&lt;&gt;0,H3362&lt;&gt;1)),"Flags devem ser 0 ou 1",IF(AND(H3362=1,LEN(TRIM(I3362))=0),"Preencher nome do indicante",IF(AND(H3362&lt;&gt;1,I3362&lt;&gt;""),"Nome sem indicação interna",IF(AND(G3362=1,F3362=""),"Fechamento sem conversa",IF(OR(AND(E3362&lt;&gt;"",E3362&lt;B3362),AND(F3362&lt;&gt;"",F3362&lt;B3362)),"Evento anterior à entrada",IF(AND(F3362&lt;&gt;"",E3362=""),"Conversa sem agendamento",IF(OR(E3362&gt;TODAY(),F3362&gt;TODAY()),"Verificar evento futuro","OK"))))))))))</f>
        <v/>
      </c>
    </row>
    <row r="3363" spans="12:15">
      <c r="L3363" s="5">
        <f>IF(OR(A3363="",B3363=""),"",B3363-WEEKDAY(B3363,2)+1)</f>
        <v/>
      </c>
      <c r="M3363" s="5">
        <f>IF(L3363="","",L3363+6)</f>
        <v/>
      </c>
      <c r="N3363" s="6">
        <f>IF(OR(A3363="",B3363=""),"",DATE(YEAR(B3363),MONTH(B3363),1))</f>
        <v/>
      </c>
      <c r="O3363" s="7">
        <f>IF(COUNTA(A3363:K3363)=0,"",IF(OR(A3363="",B3363=""),"Preencher CPF e entrada",IF(COUNTIFS($A$12:$A$5011,A3363,$B$12:$B$5011,B3363)&gt;1,"CPF + dia duplicado",IF(OR(AND(G3363&lt;&gt;"",G3363&lt;&gt;0,G3363&lt;&gt;1),AND(H3363&lt;&gt;"",H3363&lt;&gt;0,H3363&lt;&gt;1)),"Flags devem ser 0 ou 1",IF(AND(H3363=1,LEN(TRIM(I3363))=0),"Preencher nome do indicante",IF(AND(H3363&lt;&gt;1,I3363&lt;&gt;""),"Nome sem indicação interna",IF(AND(G3363=1,F3363=""),"Fechamento sem conversa",IF(OR(AND(E3363&lt;&gt;"",E3363&lt;B3363),AND(F3363&lt;&gt;"",F3363&lt;B3363)),"Evento anterior à entrada",IF(AND(F3363&lt;&gt;"",E3363=""),"Conversa sem agendamento",IF(OR(E3363&gt;TODAY(),F3363&gt;TODAY()),"Verificar evento futuro","OK"))))))))))</f>
        <v/>
      </c>
    </row>
    <row r="3364" spans="12:15">
      <c r="L3364" s="5">
        <f>IF(OR(A3364="",B3364=""),"",B3364-WEEKDAY(B3364,2)+1)</f>
        <v/>
      </c>
      <c r="M3364" s="5">
        <f>IF(L3364="","",L3364+6)</f>
        <v/>
      </c>
      <c r="N3364" s="6">
        <f>IF(OR(A3364="",B3364=""),"",DATE(YEAR(B3364),MONTH(B3364),1))</f>
        <v/>
      </c>
      <c r="O3364" s="7">
        <f>IF(COUNTA(A3364:K3364)=0,"",IF(OR(A3364="",B3364=""),"Preencher CPF e entrada",IF(COUNTIFS($A$12:$A$5011,A3364,$B$12:$B$5011,B3364)&gt;1,"CPF + dia duplicado",IF(OR(AND(G3364&lt;&gt;"",G3364&lt;&gt;0,G3364&lt;&gt;1),AND(H3364&lt;&gt;"",H3364&lt;&gt;0,H3364&lt;&gt;1)),"Flags devem ser 0 ou 1",IF(AND(H3364=1,LEN(TRIM(I3364))=0),"Preencher nome do indicante",IF(AND(H3364&lt;&gt;1,I3364&lt;&gt;""),"Nome sem indicação interna",IF(AND(G3364=1,F3364=""),"Fechamento sem conversa",IF(OR(AND(E3364&lt;&gt;"",E3364&lt;B3364),AND(F3364&lt;&gt;"",F3364&lt;B3364)),"Evento anterior à entrada",IF(AND(F3364&lt;&gt;"",E3364=""),"Conversa sem agendamento",IF(OR(E3364&gt;TODAY(),F3364&gt;TODAY()),"Verificar evento futuro","OK"))))))))))</f>
        <v/>
      </c>
    </row>
    <row r="3365" spans="12:15">
      <c r="L3365" s="5">
        <f>IF(OR(A3365="",B3365=""),"",B3365-WEEKDAY(B3365,2)+1)</f>
        <v/>
      </c>
      <c r="M3365" s="5">
        <f>IF(L3365="","",L3365+6)</f>
        <v/>
      </c>
      <c r="N3365" s="6">
        <f>IF(OR(A3365="",B3365=""),"",DATE(YEAR(B3365),MONTH(B3365),1))</f>
        <v/>
      </c>
      <c r="O3365" s="7">
        <f>IF(COUNTA(A3365:K3365)=0,"",IF(OR(A3365="",B3365=""),"Preencher CPF e entrada",IF(COUNTIFS($A$12:$A$5011,A3365,$B$12:$B$5011,B3365)&gt;1,"CPF + dia duplicado",IF(OR(AND(G3365&lt;&gt;"",G3365&lt;&gt;0,G3365&lt;&gt;1),AND(H3365&lt;&gt;"",H3365&lt;&gt;0,H3365&lt;&gt;1)),"Flags devem ser 0 ou 1",IF(AND(H3365=1,LEN(TRIM(I3365))=0),"Preencher nome do indicante",IF(AND(H3365&lt;&gt;1,I3365&lt;&gt;""),"Nome sem indicação interna",IF(AND(G3365=1,F3365=""),"Fechamento sem conversa",IF(OR(AND(E3365&lt;&gt;"",E3365&lt;B3365),AND(F3365&lt;&gt;"",F3365&lt;B3365)),"Evento anterior à entrada",IF(AND(F3365&lt;&gt;"",E3365=""),"Conversa sem agendamento",IF(OR(E3365&gt;TODAY(),F3365&gt;TODAY()),"Verificar evento futuro","OK"))))))))))</f>
        <v/>
      </c>
    </row>
    <row r="3366" spans="12:15">
      <c r="L3366" s="5">
        <f>IF(OR(A3366="",B3366=""),"",B3366-WEEKDAY(B3366,2)+1)</f>
        <v/>
      </c>
      <c r="M3366" s="5">
        <f>IF(L3366="","",L3366+6)</f>
        <v/>
      </c>
      <c r="N3366" s="6">
        <f>IF(OR(A3366="",B3366=""),"",DATE(YEAR(B3366),MONTH(B3366),1))</f>
        <v/>
      </c>
      <c r="O3366" s="7">
        <f>IF(COUNTA(A3366:K3366)=0,"",IF(OR(A3366="",B3366=""),"Preencher CPF e entrada",IF(COUNTIFS($A$12:$A$5011,A3366,$B$12:$B$5011,B3366)&gt;1,"CPF + dia duplicado",IF(OR(AND(G3366&lt;&gt;"",G3366&lt;&gt;0,G3366&lt;&gt;1),AND(H3366&lt;&gt;"",H3366&lt;&gt;0,H3366&lt;&gt;1)),"Flags devem ser 0 ou 1",IF(AND(H3366=1,LEN(TRIM(I3366))=0),"Preencher nome do indicante",IF(AND(H3366&lt;&gt;1,I3366&lt;&gt;""),"Nome sem indicação interna",IF(AND(G3366=1,F3366=""),"Fechamento sem conversa",IF(OR(AND(E3366&lt;&gt;"",E3366&lt;B3366),AND(F3366&lt;&gt;"",F3366&lt;B3366)),"Evento anterior à entrada",IF(AND(F3366&lt;&gt;"",E3366=""),"Conversa sem agendamento",IF(OR(E3366&gt;TODAY(),F3366&gt;TODAY()),"Verificar evento futuro","OK"))))))))))</f>
        <v/>
      </c>
    </row>
    <row r="3367" spans="12:15">
      <c r="L3367" s="5">
        <f>IF(OR(A3367="",B3367=""),"",B3367-WEEKDAY(B3367,2)+1)</f>
        <v/>
      </c>
      <c r="M3367" s="5">
        <f>IF(L3367="","",L3367+6)</f>
        <v/>
      </c>
      <c r="N3367" s="6">
        <f>IF(OR(A3367="",B3367=""),"",DATE(YEAR(B3367),MONTH(B3367),1))</f>
        <v/>
      </c>
      <c r="O3367" s="7">
        <f>IF(COUNTA(A3367:K3367)=0,"",IF(OR(A3367="",B3367=""),"Preencher CPF e entrada",IF(COUNTIFS($A$12:$A$5011,A3367,$B$12:$B$5011,B3367)&gt;1,"CPF + dia duplicado",IF(OR(AND(G3367&lt;&gt;"",G3367&lt;&gt;0,G3367&lt;&gt;1),AND(H3367&lt;&gt;"",H3367&lt;&gt;0,H3367&lt;&gt;1)),"Flags devem ser 0 ou 1",IF(AND(H3367=1,LEN(TRIM(I3367))=0),"Preencher nome do indicante",IF(AND(H3367&lt;&gt;1,I3367&lt;&gt;""),"Nome sem indicação interna",IF(AND(G3367=1,F3367=""),"Fechamento sem conversa",IF(OR(AND(E3367&lt;&gt;"",E3367&lt;B3367),AND(F3367&lt;&gt;"",F3367&lt;B3367)),"Evento anterior à entrada",IF(AND(F3367&lt;&gt;"",E3367=""),"Conversa sem agendamento",IF(OR(E3367&gt;TODAY(),F3367&gt;TODAY()),"Verificar evento futuro","OK"))))))))))</f>
        <v/>
      </c>
    </row>
    <row r="3368" spans="12:15">
      <c r="L3368" s="5">
        <f>IF(OR(A3368="",B3368=""),"",B3368-WEEKDAY(B3368,2)+1)</f>
        <v/>
      </c>
      <c r="M3368" s="5">
        <f>IF(L3368="","",L3368+6)</f>
        <v/>
      </c>
      <c r="N3368" s="6">
        <f>IF(OR(A3368="",B3368=""),"",DATE(YEAR(B3368),MONTH(B3368),1))</f>
        <v/>
      </c>
      <c r="O3368" s="7">
        <f>IF(COUNTA(A3368:K3368)=0,"",IF(OR(A3368="",B3368=""),"Preencher CPF e entrada",IF(COUNTIFS($A$12:$A$5011,A3368,$B$12:$B$5011,B3368)&gt;1,"CPF + dia duplicado",IF(OR(AND(G3368&lt;&gt;"",G3368&lt;&gt;0,G3368&lt;&gt;1),AND(H3368&lt;&gt;"",H3368&lt;&gt;0,H3368&lt;&gt;1)),"Flags devem ser 0 ou 1",IF(AND(H3368=1,LEN(TRIM(I3368))=0),"Preencher nome do indicante",IF(AND(H3368&lt;&gt;1,I3368&lt;&gt;""),"Nome sem indicação interna",IF(AND(G3368=1,F3368=""),"Fechamento sem conversa",IF(OR(AND(E3368&lt;&gt;"",E3368&lt;B3368),AND(F3368&lt;&gt;"",F3368&lt;B3368)),"Evento anterior à entrada",IF(AND(F3368&lt;&gt;"",E3368=""),"Conversa sem agendamento",IF(OR(E3368&gt;TODAY(),F3368&gt;TODAY()),"Verificar evento futuro","OK"))))))))))</f>
        <v/>
      </c>
    </row>
    <row r="3369" spans="12:15">
      <c r="L3369" s="5">
        <f>IF(OR(A3369="",B3369=""),"",B3369-WEEKDAY(B3369,2)+1)</f>
        <v/>
      </c>
      <c r="M3369" s="5">
        <f>IF(L3369="","",L3369+6)</f>
        <v/>
      </c>
      <c r="N3369" s="6">
        <f>IF(OR(A3369="",B3369=""),"",DATE(YEAR(B3369),MONTH(B3369),1))</f>
        <v/>
      </c>
      <c r="O3369" s="7">
        <f>IF(COUNTA(A3369:K3369)=0,"",IF(OR(A3369="",B3369=""),"Preencher CPF e entrada",IF(COUNTIFS($A$12:$A$5011,A3369,$B$12:$B$5011,B3369)&gt;1,"CPF + dia duplicado",IF(OR(AND(G3369&lt;&gt;"",G3369&lt;&gt;0,G3369&lt;&gt;1),AND(H3369&lt;&gt;"",H3369&lt;&gt;0,H3369&lt;&gt;1)),"Flags devem ser 0 ou 1",IF(AND(H3369=1,LEN(TRIM(I3369))=0),"Preencher nome do indicante",IF(AND(H3369&lt;&gt;1,I3369&lt;&gt;""),"Nome sem indicação interna",IF(AND(G3369=1,F3369=""),"Fechamento sem conversa",IF(OR(AND(E3369&lt;&gt;"",E3369&lt;B3369),AND(F3369&lt;&gt;"",F3369&lt;B3369)),"Evento anterior à entrada",IF(AND(F3369&lt;&gt;"",E3369=""),"Conversa sem agendamento",IF(OR(E3369&gt;TODAY(),F3369&gt;TODAY()),"Verificar evento futuro","OK"))))))))))</f>
        <v/>
      </c>
    </row>
    <row r="3370" spans="12:15">
      <c r="L3370" s="5">
        <f>IF(OR(A3370="",B3370=""),"",B3370-WEEKDAY(B3370,2)+1)</f>
        <v/>
      </c>
      <c r="M3370" s="5">
        <f>IF(L3370="","",L3370+6)</f>
        <v/>
      </c>
      <c r="N3370" s="6">
        <f>IF(OR(A3370="",B3370=""),"",DATE(YEAR(B3370),MONTH(B3370),1))</f>
        <v/>
      </c>
      <c r="O3370" s="7">
        <f>IF(COUNTA(A3370:K3370)=0,"",IF(OR(A3370="",B3370=""),"Preencher CPF e entrada",IF(COUNTIFS($A$12:$A$5011,A3370,$B$12:$B$5011,B3370)&gt;1,"CPF + dia duplicado",IF(OR(AND(G3370&lt;&gt;"",G3370&lt;&gt;0,G3370&lt;&gt;1),AND(H3370&lt;&gt;"",H3370&lt;&gt;0,H3370&lt;&gt;1)),"Flags devem ser 0 ou 1",IF(AND(H3370=1,LEN(TRIM(I3370))=0),"Preencher nome do indicante",IF(AND(H3370&lt;&gt;1,I3370&lt;&gt;""),"Nome sem indicação interna",IF(AND(G3370=1,F3370=""),"Fechamento sem conversa",IF(OR(AND(E3370&lt;&gt;"",E3370&lt;B3370),AND(F3370&lt;&gt;"",F3370&lt;B3370)),"Evento anterior à entrada",IF(AND(F3370&lt;&gt;"",E3370=""),"Conversa sem agendamento",IF(OR(E3370&gt;TODAY(),F3370&gt;TODAY()),"Verificar evento futuro","OK"))))))))))</f>
        <v/>
      </c>
    </row>
    <row r="3371" spans="12:15">
      <c r="L3371" s="5">
        <f>IF(OR(A3371="",B3371=""),"",B3371-WEEKDAY(B3371,2)+1)</f>
        <v/>
      </c>
      <c r="M3371" s="5">
        <f>IF(L3371="","",L3371+6)</f>
        <v/>
      </c>
      <c r="N3371" s="6">
        <f>IF(OR(A3371="",B3371=""),"",DATE(YEAR(B3371),MONTH(B3371),1))</f>
        <v/>
      </c>
      <c r="O3371" s="7">
        <f>IF(COUNTA(A3371:K3371)=0,"",IF(OR(A3371="",B3371=""),"Preencher CPF e entrada",IF(COUNTIFS($A$12:$A$5011,A3371,$B$12:$B$5011,B3371)&gt;1,"CPF + dia duplicado",IF(OR(AND(G3371&lt;&gt;"",G3371&lt;&gt;0,G3371&lt;&gt;1),AND(H3371&lt;&gt;"",H3371&lt;&gt;0,H3371&lt;&gt;1)),"Flags devem ser 0 ou 1",IF(AND(H3371=1,LEN(TRIM(I3371))=0),"Preencher nome do indicante",IF(AND(H3371&lt;&gt;1,I3371&lt;&gt;""),"Nome sem indicação interna",IF(AND(G3371=1,F3371=""),"Fechamento sem conversa",IF(OR(AND(E3371&lt;&gt;"",E3371&lt;B3371),AND(F3371&lt;&gt;"",F3371&lt;B3371)),"Evento anterior à entrada",IF(AND(F3371&lt;&gt;"",E3371=""),"Conversa sem agendamento",IF(OR(E3371&gt;TODAY(),F3371&gt;TODAY()),"Verificar evento futuro","OK"))))))))))</f>
        <v/>
      </c>
    </row>
    <row r="3372" spans="12:15">
      <c r="L3372" s="5">
        <f>IF(OR(A3372="",B3372=""),"",B3372-WEEKDAY(B3372,2)+1)</f>
        <v/>
      </c>
      <c r="M3372" s="5">
        <f>IF(L3372="","",L3372+6)</f>
        <v/>
      </c>
      <c r="N3372" s="6">
        <f>IF(OR(A3372="",B3372=""),"",DATE(YEAR(B3372),MONTH(B3372),1))</f>
        <v/>
      </c>
      <c r="O3372" s="7">
        <f>IF(COUNTA(A3372:K3372)=0,"",IF(OR(A3372="",B3372=""),"Preencher CPF e entrada",IF(COUNTIFS($A$12:$A$5011,A3372,$B$12:$B$5011,B3372)&gt;1,"CPF + dia duplicado",IF(OR(AND(G3372&lt;&gt;"",G3372&lt;&gt;0,G3372&lt;&gt;1),AND(H3372&lt;&gt;"",H3372&lt;&gt;0,H3372&lt;&gt;1)),"Flags devem ser 0 ou 1",IF(AND(H3372=1,LEN(TRIM(I3372))=0),"Preencher nome do indicante",IF(AND(H3372&lt;&gt;1,I3372&lt;&gt;""),"Nome sem indicação interna",IF(AND(G3372=1,F3372=""),"Fechamento sem conversa",IF(OR(AND(E3372&lt;&gt;"",E3372&lt;B3372),AND(F3372&lt;&gt;"",F3372&lt;B3372)),"Evento anterior à entrada",IF(AND(F3372&lt;&gt;"",E3372=""),"Conversa sem agendamento",IF(OR(E3372&gt;TODAY(),F3372&gt;TODAY()),"Verificar evento futuro","OK"))))))))))</f>
        <v/>
      </c>
    </row>
    <row r="3373" spans="12:15">
      <c r="L3373" s="5">
        <f>IF(OR(A3373="",B3373=""),"",B3373-WEEKDAY(B3373,2)+1)</f>
        <v/>
      </c>
      <c r="M3373" s="5">
        <f>IF(L3373="","",L3373+6)</f>
        <v/>
      </c>
      <c r="N3373" s="6">
        <f>IF(OR(A3373="",B3373=""),"",DATE(YEAR(B3373),MONTH(B3373),1))</f>
        <v/>
      </c>
      <c r="O3373" s="7">
        <f>IF(COUNTA(A3373:K3373)=0,"",IF(OR(A3373="",B3373=""),"Preencher CPF e entrada",IF(COUNTIFS($A$12:$A$5011,A3373,$B$12:$B$5011,B3373)&gt;1,"CPF + dia duplicado",IF(OR(AND(G3373&lt;&gt;"",G3373&lt;&gt;0,G3373&lt;&gt;1),AND(H3373&lt;&gt;"",H3373&lt;&gt;0,H3373&lt;&gt;1)),"Flags devem ser 0 ou 1",IF(AND(H3373=1,LEN(TRIM(I3373))=0),"Preencher nome do indicante",IF(AND(H3373&lt;&gt;1,I3373&lt;&gt;""),"Nome sem indicação interna",IF(AND(G3373=1,F3373=""),"Fechamento sem conversa",IF(OR(AND(E3373&lt;&gt;"",E3373&lt;B3373),AND(F3373&lt;&gt;"",F3373&lt;B3373)),"Evento anterior à entrada",IF(AND(F3373&lt;&gt;"",E3373=""),"Conversa sem agendamento",IF(OR(E3373&gt;TODAY(),F3373&gt;TODAY()),"Verificar evento futuro","OK"))))))))))</f>
        <v/>
      </c>
    </row>
    <row r="3374" spans="12:15">
      <c r="L3374" s="5">
        <f>IF(OR(A3374="",B3374=""),"",B3374-WEEKDAY(B3374,2)+1)</f>
        <v/>
      </c>
      <c r="M3374" s="5">
        <f>IF(L3374="","",L3374+6)</f>
        <v/>
      </c>
      <c r="N3374" s="6">
        <f>IF(OR(A3374="",B3374=""),"",DATE(YEAR(B3374),MONTH(B3374),1))</f>
        <v/>
      </c>
      <c r="O3374" s="7">
        <f>IF(COUNTA(A3374:K3374)=0,"",IF(OR(A3374="",B3374=""),"Preencher CPF e entrada",IF(COUNTIFS($A$12:$A$5011,A3374,$B$12:$B$5011,B3374)&gt;1,"CPF + dia duplicado",IF(OR(AND(G3374&lt;&gt;"",G3374&lt;&gt;0,G3374&lt;&gt;1),AND(H3374&lt;&gt;"",H3374&lt;&gt;0,H3374&lt;&gt;1)),"Flags devem ser 0 ou 1",IF(AND(H3374=1,LEN(TRIM(I3374))=0),"Preencher nome do indicante",IF(AND(H3374&lt;&gt;1,I3374&lt;&gt;""),"Nome sem indicação interna",IF(AND(G3374=1,F3374=""),"Fechamento sem conversa",IF(OR(AND(E3374&lt;&gt;"",E3374&lt;B3374),AND(F3374&lt;&gt;"",F3374&lt;B3374)),"Evento anterior à entrada",IF(AND(F3374&lt;&gt;"",E3374=""),"Conversa sem agendamento",IF(OR(E3374&gt;TODAY(),F3374&gt;TODAY()),"Verificar evento futuro","OK"))))))))))</f>
        <v/>
      </c>
    </row>
    <row r="3375" spans="12:15">
      <c r="L3375" s="5">
        <f>IF(OR(A3375="",B3375=""),"",B3375-WEEKDAY(B3375,2)+1)</f>
        <v/>
      </c>
      <c r="M3375" s="5">
        <f>IF(L3375="","",L3375+6)</f>
        <v/>
      </c>
      <c r="N3375" s="6">
        <f>IF(OR(A3375="",B3375=""),"",DATE(YEAR(B3375),MONTH(B3375),1))</f>
        <v/>
      </c>
      <c r="O3375" s="7">
        <f>IF(COUNTA(A3375:K3375)=0,"",IF(OR(A3375="",B3375=""),"Preencher CPF e entrada",IF(COUNTIFS($A$12:$A$5011,A3375,$B$12:$B$5011,B3375)&gt;1,"CPF + dia duplicado",IF(OR(AND(G3375&lt;&gt;"",G3375&lt;&gt;0,G3375&lt;&gt;1),AND(H3375&lt;&gt;"",H3375&lt;&gt;0,H3375&lt;&gt;1)),"Flags devem ser 0 ou 1",IF(AND(H3375=1,LEN(TRIM(I3375))=0),"Preencher nome do indicante",IF(AND(H3375&lt;&gt;1,I3375&lt;&gt;""),"Nome sem indicação interna",IF(AND(G3375=1,F3375=""),"Fechamento sem conversa",IF(OR(AND(E3375&lt;&gt;"",E3375&lt;B3375),AND(F3375&lt;&gt;"",F3375&lt;B3375)),"Evento anterior à entrada",IF(AND(F3375&lt;&gt;"",E3375=""),"Conversa sem agendamento",IF(OR(E3375&gt;TODAY(),F3375&gt;TODAY()),"Verificar evento futuro","OK"))))))))))</f>
        <v/>
      </c>
    </row>
    <row r="3376" spans="12:15">
      <c r="L3376" s="5">
        <f>IF(OR(A3376="",B3376=""),"",B3376-WEEKDAY(B3376,2)+1)</f>
        <v/>
      </c>
      <c r="M3376" s="5">
        <f>IF(L3376="","",L3376+6)</f>
        <v/>
      </c>
      <c r="N3376" s="6">
        <f>IF(OR(A3376="",B3376=""),"",DATE(YEAR(B3376),MONTH(B3376),1))</f>
        <v/>
      </c>
      <c r="O3376" s="7">
        <f>IF(COUNTA(A3376:K3376)=0,"",IF(OR(A3376="",B3376=""),"Preencher CPF e entrada",IF(COUNTIFS($A$12:$A$5011,A3376,$B$12:$B$5011,B3376)&gt;1,"CPF + dia duplicado",IF(OR(AND(G3376&lt;&gt;"",G3376&lt;&gt;0,G3376&lt;&gt;1),AND(H3376&lt;&gt;"",H3376&lt;&gt;0,H3376&lt;&gt;1)),"Flags devem ser 0 ou 1",IF(AND(H3376=1,LEN(TRIM(I3376))=0),"Preencher nome do indicante",IF(AND(H3376&lt;&gt;1,I3376&lt;&gt;""),"Nome sem indicação interna",IF(AND(G3376=1,F3376=""),"Fechamento sem conversa",IF(OR(AND(E3376&lt;&gt;"",E3376&lt;B3376),AND(F3376&lt;&gt;"",F3376&lt;B3376)),"Evento anterior à entrada",IF(AND(F3376&lt;&gt;"",E3376=""),"Conversa sem agendamento",IF(OR(E3376&gt;TODAY(),F3376&gt;TODAY()),"Verificar evento futuro","OK"))))))))))</f>
        <v/>
      </c>
    </row>
    <row r="3377" spans="12:15">
      <c r="L3377" s="5">
        <f>IF(OR(A3377="",B3377=""),"",B3377-WEEKDAY(B3377,2)+1)</f>
        <v/>
      </c>
      <c r="M3377" s="5">
        <f>IF(L3377="","",L3377+6)</f>
        <v/>
      </c>
      <c r="N3377" s="6">
        <f>IF(OR(A3377="",B3377=""),"",DATE(YEAR(B3377),MONTH(B3377),1))</f>
        <v/>
      </c>
      <c r="O3377" s="7">
        <f>IF(COUNTA(A3377:K3377)=0,"",IF(OR(A3377="",B3377=""),"Preencher CPF e entrada",IF(COUNTIFS($A$12:$A$5011,A3377,$B$12:$B$5011,B3377)&gt;1,"CPF + dia duplicado",IF(OR(AND(G3377&lt;&gt;"",G3377&lt;&gt;0,G3377&lt;&gt;1),AND(H3377&lt;&gt;"",H3377&lt;&gt;0,H3377&lt;&gt;1)),"Flags devem ser 0 ou 1",IF(AND(H3377=1,LEN(TRIM(I3377))=0),"Preencher nome do indicante",IF(AND(H3377&lt;&gt;1,I3377&lt;&gt;""),"Nome sem indicação interna",IF(AND(G3377=1,F3377=""),"Fechamento sem conversa",IF(OR(AND(E3377&lt;&gt;"",E3377&lt;B3377),AND(F3377&lt;&gt;"",F3377&lt;B3377)),"Evento anterior à entrada",IF(AND(F3377&lt;&gt;"",E3377=""),"Conversa sem agendamento",IF(OR(E3377&gt;TODAY(),F3377&gt;TODAY()),"Verificar evento futuro","OK"))))))))))</f>
        <v/>
      </c>
    </row>
    <row r="3378" spans="12:15">
      <c r="L3378" s="5">
        <f>IF(OR(A3378="",B3378=""),"",B3378-WEEKDAY(B3378,2)+1)</f>
        <v/>
      </c>
      <c r="M3378" s="5">
        <f>IF(L3378="","",L3378+6)</f>
        <v/>
      </c>
      <c r="N3378" s="6">
        <f>IF(OR(A3378="",B3378=""),"",DATE(YEAR(B3378),MONTH(B3378),1))</f>
        <v/>
      </c>
      <c r="O3378" s="7">
        <f>IF(COUNTA(A3378:K3378)=0,"",IF(OR(A3378="",B3378=""),"Preencher CPF e entrada",IF(COUNTIFS($A$12:$A$5011,A3378,$B$12:$B$5011,B3378)&gt;1,"CPF + dia duplicado",IF(OR(AND(G3378&lt;&gt;"",G3378&lt;&gt;0,G3378&lt;&gt;1),AND(H3378&lt;&gt;"",H3378&lt;&gt;0,H3378&lt;&gt;1)),"Flags devem ser 0 ou 1",IF(AND(H3378=1,LEN(TRIM(I3378))=0),"Preencher nome do indicante",IF(AND(H3378&lt;&gt;1,I3378&lt;&gt;""),"Nome sem indicação interna",IF(AND(G3378=1,F3378=""),"Fechamento sem conversa",IF(OR(AND(E3378&lt;&gt;"",E3378&lt;B3378),AND(F3378&lt;&gt;"",F3378&lt;B3378)),"Evento anterior à entrada",IF(AND(F3378&lt;&gt;"",E3378=""),"Conversa sem agendamento",IF(OR(E3378&gt;TODAY(),F3378&gt;TODAY()),"Verificar evento futuro","OK"))))))))))</f>
        <v/>
      </c>
    </row>
    <row r="3379" spans="12:15">
      <c r="L3379" s="5">
        <f>IF(OR(A3379="",B3379=""),"",B3379-WEEKDAY(B3379,2)+1)</f>
        <v/>
      </c>
      <c r="M3379" s="5">
        <f>IF(L3379="","",L3379+6)</f>
        <v/>
      </c>
      <c r="N3379" s="6">
        <f>IF(OR(A3379="",B3379=""),"",DATE(YEAR(B3379),MONTH(B3379),1))</f>
        <v/>
      </c>
      <c r="O3379" s="7">
        <f>IF(COUNTA(A3379:K3379)=0,"",IF(OR(A3379="",B3379=""),"Preencher CPF e entrada",IF(COUNTIFS($A$12:$A$5011,A3379,$B$12:$B$5011,B3379)&gt;1,"CPF + dia duplicado",IF(OR(AND(G3379&lt;&gt;"",G3379&lt;&gt;0,G3379&lt;&gt;1),AND(H3379&lt;&gt;"",H3379&lt;&gt;0,H3379&lt;&gt;1)),"Flags devem ser 0 ou 1",IF(AND(H3379=1,LEN(TRIM(I3379))=0),"Preencher nome do indicante",IF(AND(H3379&lt;&gt;1,I3379&lt;&gt;""),"Nome sem indicação interna",IF(AND(G3379=1,F3379=""),"Fechamento sem conversa",IF(OR(AND(E3379&lt;&gt;"",E3379&lt;B3379),AND(F3379&lt;&gt;"",F3379&lt;B3379)),"Evento anterior à entrada",IF(AND(F3379&lt;&gt;"",E3379=""),"Conversa sem agendamento",IF(OR(E3379&gt;TODAY(),F3379&gt;TODAY()),"Verificar evento futuro","OK"))))))))))</f>
        <v/>
      </c>
    </row>
    <row r="3380" spans="12:15">
      <c r="L3380" s="5">
        <f>IF(OR(A3380="",B3380=""),"",B3380-WEEKDAY(B3380,2)+1)</f>
        <v/>
      </c>
      <c r="M3380" s="5">
        <f>IF(L3380="","",L3380+6)</f>
        <v/>
      </c>
      <c r="N3380" s="6">
        <f>IF(OR(A3380="",B3380=""),"",DATE(YEAR(B3380),MONTH(B3380),1))</f>
        <v/>
      </c>
      <c r="O3380" s="7">
        <f>IF(COUNTA(A3380:K3380)=0,"",IF(OR(A3380="",B3380=""),"Preencher CPF e entrada",IF(COUNTIFS($A$12:$A$5011,A3380,$B$12:$B$5011,B3380)&gt;1,"CPF + dia duplicado",IF(OR(AND(G3380&lt;&gt;"",G3380&lt;&gt;0,G3380&lt;&gt;1),AND(H3380&lt;&gt;"",H3380&lt;&gt;0,H3380&lt;&gt;1)),"Flags devem ser 0 ou 1",IF(AND(H3380=1,LEN(TRIM(I3380))=0),"Preencher nome do indicante",IF(AND(H3380&lt;&gt;1,I3380&lt;&gt;""),"Nome sem indicação interna",IF(AND(G3380=1,F3380=""),"Fechamento sem conversa",IF(OR(AND(E3380&lt;&gt;"",E3380&lt;B3380),AND(F3380&lt;&gt;"",F3380&lt;B3380)),"Evento anterior à entrada",IF(AND(F3380&lt;&gt;"",E3380=""),"Conversa sem agendamento",IF(OR(E3380&gt;TODAY(),F3380&gt;TODAY()),"Verificar evento futuro","OK"))))))))))</f>
        <v/>
      </c>
    </row>
    <row r="3381" spans="12:15">
      <c r="L3381" s="5">
        <f>IF(OR(A3381="",B3381=""),"",B3381-WEEKDAY(B3381,2)+1)</f>
        <v/>
      </c>
      <c r="M3381" s="5">
        <f>IF(L3381="","",L3381+6)</f>
        <v/>
      </c>
      <c r="N3381" s="6">
        <f>IF(OR(A3381="",B3381=""),"",DATE(YEAR(B3381),MONTH(B3381),1))</f>
        <v/>
      </c>
      <c r="O3381" s="7">
        <f>IF(COUNTA(A3381:K3381)=0,"",IF(OR(A3381="",B3381=""),"Preencher CPF e entrada",IF(COUNTIFS($A$12:$A$5011,A3381,$B$12:$B$5011,B3381)&gt;1,"CPF + dia duplicado",IF(OR(AND(G3381&lt;&gt;"",G3381&lt;&gt;0,G3381&lt;&gt;1),AND(H3381&lt;&gt;"",H3381&lt;&gt;0,H3381&lt;&gt;1)),"Flags devem ser 0 ou 1",IF(AND(H3381=1,LEN(TRIM(I3381))=0),"Preencher nome do indicante",IF(AND(H3381&lt;&gt;1,I3381&lt;&gt;""),"Nome sem indicação interna",IF(AND(G3381=1,F3381=""),"Fechamento sem conversa",IF(OR(AND(E3381&lt;&gt;"",E3381&lt;B3381),AND(F3381&lt;&gt;"",F3381&lt;B3381)),"Evento anterior à entrada",IF(AND(F3381&lt;&gt;"",E3381=""),"Conversa sem agendamento",IF(OR(E3381&gt;TODAY(),F3381&gt;TODAY()),"Verificar evento futuro","OK"))))))))))</f>
        <v/>
      </c>
    </row>
    <row r="3382" spans="12:15">
      <c r="L3382" s="5">
        <f>IF(OR(A3382="",B3382=""),"",B3382-WEEKDAY(B3382,2)+1)</f>
        <v/>
      </c>
      <c r="M3382" s="5">
        <f>IF(L3382="","",L3382+6)</f>
        <v/>
      </c>
      <c r="N3382" s="6">
        <f>IF(OR(A3382="",B3382=""),"",DATE(YEAR(B3382),MONTH(B3382),1))</f>
        <v/>
      </c>
      <c r="O3382" s="7">
        <f>IF(COUNTA(A3382:K3382)=0,"",IF(OR(A3382="",B3382=""),"Preencher CPF e entrada",IF(COUNTIFS($A$12:$A$5011,A3382,$B$12:$B$5011,B3382)&gt;1,"CPF + dia duplicado",IF(OR(AND(G3382&lt;&gt;"",G3382&lt;&gt;0,G3382&lt;&gt;1),AND(H3382&lt;&gt;"",H3382&lt;&gt;0,H3382&lt;&gt;1)),"Flags devem ser 0 ou 1",IF(AND(H3382=1,LEN(TRIM(I3382))=0),"Preencher nome do indicante",IF(AND(H3382&lt;&gt;1,I3382&lt;&gt;""),"Nome sem indicação interna",IF(AND(G3382=1,F3382=""),"Fechamento sem conversa",IF(OR(AND(E3382&lt;&gt;"",E3382&lt;B3382),AND(F3382&lt;&gt;"",F3382&lt;B3382)),"Evento anterior à entrada",IF(AND(F3382&lt;&gt;"",E3382=""),"Conversa sem agendamento",IF(OR(E3382&gt;TODAY(),F3382&gt;TODAY()),"Verificar evento futuro","OK"))))))))))</f>
        <v/>
      </c>
    </row>
    <row r="3383" spans="12:15">
      <c r="L3383" s="5">
        <f>IF(OR(A3383="",B3383=""),"",B3383-WEEKDAY(B3383,2)+1)</f>
        <v/>
      </c>
      <c r="M3383" s="5">
        <f>IF(L3383="","",L3383+6)</f>
        <v/>
      </c>
      <c r="N3383" s="6">
        <f>IF(OR(A3383="",B3383=""),"",DATE(YEAR(B3383),MONTH(B3383),1))</f>
        <v/>
      </c>
      <c r="O3383" s="7">
        <f>IF(COUNTA(A3383:K3383)=0,"",IF(OR(A3383="",B3383=""),"Preencher CPF e entrada",IF(COUNTIFS($A$12:$A$5011,A3383,$B$12:$B$5011,B3383)&gt;1,"CPF + dia duplicado",IF(OR(AND(G3383&lt;&gt;"",G3383&lt;&gt;0,G3383&lt;&gt;1),AND(H3383&lt;&gt;"",H3383&lt;&gt;0,H3383&lt;&gt;1)),"Flags devem ser 0 ou 1",IF(AND(H3383=1,LEN(TRIM(I3383))=0),"Preencher nome do indicante",IF(AND(H3383&lt;&gt;1,I3383&lt;&gt;""),"Nome sem indicação interna",IF(AND(G3383=1,F3383=""),"Fechamento sem conversa",IF(OR(AND(E3383&lt;&gt;"",E3383&lt;B3383),AND(F3383&lt;&gt;"",F3383&lt;B3383)),"Evento anterior à entrada",IF(AND(F3383&lt;&gt;"",E3383=""),"Conversa sem agendamento",IF(OR(E3383&gt;TODAY(),F3383&gt;TODAY()),"Verificar evento futuro","OK"))))))))))</f>
        <v/>
      </c>
    </row>
    <row r="3384" spans="12:15">
      <c r="L3384" s="5">
        <f>IF(OR(A3384="",B3384=""),"",B3384-WEEKDAY(B3384,2)+1)</f>
        <v/>
      </c>
      <c r="M3384" s="5">
        <f>IF(L3384="","",L3384+6)</f>
        <v/>
      </c>
      <c r="N3384" s="6">
        <f>IF(OR(A3384="",B3384=""),"",DATE(YEAR(B3384),MONTH(B3384),1))</f>
        <v/>
      </c>
      <c r="O3384" s="7">
        <f>IF(COUNTA(A3384:K3384)=0,"",IF(OR(A3384="",B3384=""),"Preencher CPF e entrada",IF(COUNTIFS($A$12:$A$5011,A3384,$B$12:$B$5011,B3384)&gt;1,"CPF + dia duplicado",IF(OR(AND(G3384&lt;&gt;"",G3384&lt;&gt;0,G3384&lt;&gt;1),AND(H3384&lt;&gt;"",H3384&lt;&gt;0,H3384&lt;&gt;1)),"Flags devem ser 0 ou 1",IF(AND(H3384=1,LEN(TRIM(I3384))=0),"Preencher nome do indicante",IF(AND(H3384&lt;&gt;1,I3384&lt;&gt;""),"Nome sem indicação interna",IF(AND(G3384=1,F3384=""),"Fechamento sem conversa",IF(OR(AND(E3384&lt;&gt;"",E3384&lt;B3384),AND(F3384&lt;&gt;"",F3384&lt;B3384)),"Evento anterior à entrada",IF(AND(F3384&lt;&gt;"",E3384=""),"Conversa sem agendamento",IF(OR(E3384&gt;TODAY(),F3384&gt;TODAY()),"Verificar evento futuro","OK"))))))))))</f>
        <v/>
      </c>
    </row>
    <row r="3385" spans="12:15">
      <c r="L3385" s="5">
        <f>IF(OR(A3385="",B3385=""),"",B3385-WEEKDAY(B3385,2)+1)</f>
        <v/>
      </c>
      <c r="M3385" s="5">
        <f>IF(L3385="","",L3385+6)</f>
        <v/>
      </c>
      <c r="N3385" s="6">
        <f>IF(OR(A3385="",B3385=""),"",DATE(YEAR(B3385),MONTH(B3385),1))</f>
        <v/>
      </c>
      <c r="O3385" s="7">
        <f>IF(COUNTA(A3385:K3385)=0,"",IF(OR(A3385="",B3385=""),"Preencher CPF e entrada",IF(COUNTIFS($A$12:$A$5011,A3385,$B$12:$B$5011,B3385)&gt;1,"CPF + dia duplicado",IF(OR(AND(G3385&lt;&gt;"",G3385&lt;&gt;0,G3385&lt;&gt;1),AND(H3385&lt;&gt;"",H3385&lt;&gt;0,H3385&lt;&gt;1)),"Flags devem ser 0 ou 1",IF(AND(H3385=1,LEN(TRIM(I3385))=0),"Preencher nome do indicante",IF(AND(H3385&lt;&gt;1,I3385&lt;&gt;""),"Nome sem indicação interna",IF(AND(G3385=1,F3385=""),"Fechamento sem conversa",IF(OR(AND(E3385&lt;&gt;"",E3385&lt;B3385),AND(F3385&lt;&gt;"",F3385&lt;B3385)),"Evento anterior à entrada",IF(AND(F3385&lt;&gt;"",E3385=""),"Conversa sem agendamento",IF(OR(E3385&gt;TODAY(),F3385&gt;TODAY()),"Verificar evento futuro","OK"))))))))))</f>
        <v/>
      </c>
    </row>
    <row r="3386" spans="12:15">
      <c r="L3386" s="5">
        <f>IF(OR(A3386="",B3386=""),"",B3386-WEEKDAY(B3386,2)+1)</f>
        <v/>
      </c>
      <c r="M3386" s="5">
        <f>IF(L3386="","",L3386+6)</f>
        <v/>
      </c>
      <c r="N3386" s="6">
        <f>IF(OR(A3386="",B3386=""),"",DATE(YEAR(B3386),MONTH(B3386),1))</f>
        <v/>
      </c>
      <c r="O3386" s="7">
        <f>IF(COUNTA(A3386:K3386)=0,"",IF(OR(A3386="",B3386=""),"Preencher CPF e entrada",IF(COUNTIFS($A$12:$A$5011,A3386,$B$12:$B$5011,B3386)&gt;1,"CPF + dia duplicado",IF(OR(AND(G3386&lt;&gt;"",G3386&lt;&gt;0,G3386&lt;&gt;1),AND(H3386&lt;&gt;"",H3386&lt;&gt;0,H3386&lt;&gt;1)),"Flags devem ser 0 ou 1",IF(AND(H3386=1,LEN(TRIM(I3386))=0),"Preencher nome do indicante",IF(AND(H3386&lt;&gt;1,I3386&lt;&gt;""),"Nome sem indicação interna",IF(AND(G3386=1,F3386=""),"Fechamento sem conversa",IF(OR(AND(E3386&lt;&gt;"",E3386&lt;B3386),AND(F3386&lt;&gt;"",F3386&lt;B3386)),"Evento anterior à entrada",IF(AND(F3386&lt;&gt;"",E3386=""),"Conversa sem agendamento",IF(OR(E3386&gt;TODAY(),F3386&gt;TODAY()),"Verificar evento futuro","OK"))))))))))</f>
        <v/>
      </c>
    </row>
    <row r="3387" spans="12:15">
      <c r="L3387" s="5">
        <f>IF(OR(A3387="",B3387=""),"",B3387-WEEKDAY(B3387,2)+1)</f>
        <v/>
      </c>
      <c r="M3387" s="5">
        <f>IF(L3387="","",L3387+6)</f>
        <v/>
      </c>
      <c r="N3387" s="6">
        <f>IF(OR(A3387="",B3387=""),"",DATE(YEAR(B3387),MONTH(B3387),1))</f>
        <v/>
      </c>
      <c r="O3387" s="7">
        <f>IF(COUNTA(A3387:K3387)=0,"",IF(OR(A3387="",B3387=""),"Preencher CPF e entrada",IF(COUNTIFS($A$12:$A$5011,A3387,$B$12:$B$5011,B3387)&gt;1,"CPF + dia duplicado",IF(OR(AND(G3387&lt;&gt;"",G3387&lt;&gt;0,G3387&lt;&gt;1),AND(H3387&lt;&gt;"",H3387&lt;&gt;0,H3387&lt;&gt;1)),"Flags devem ser 0 ou 1",IF(AND(H3387=1,LEN(TRIM(I3387))=0),"Preencher nome do indicante",IF(AND(H3387&lt;&gt;1,I3387&lt;&gt;""),"Nome sem indicação interna",IF(AND(G3387=1,F3387=""),"Fechamento sem conversa",IF(OR(AND(E3387&lt;&gt;"",E3387&lt;B3387),AND(F3387&lt;&gt;"",F3387&lt;B3387)),"Evento anterior à entrada",IF(AND(F3387&lt;&gt;"",E3387=""),"Conversa sem agendamento",IF(OR(E3387&gt;TODAY(),F3387&gt;TODAY()),"Verificar evento futuro","OK"))))))))))</f>
        <v/>
      </c>
    </row>
    <row r="3388" spans="12:15">
      <c r="L3388" s="5">
        <f>IF(OR(A3388="",B3388=""),"",B3388-WEEKDAY(B3388,2)+1)</f>
        <v/>
      </c>
      <c r="M3388" s="5">
        <f>IF(L3388="","",L3388+6)</f>
        <v/>
      </c>
      <c r="N3388" s="6">
        <f>IF(OR(A3388="",B3388=""),"",DATE(YEAR(B3388),MONTH(B3388),1))</f>
        <v/>
      </c>
      <c r="O3388" s="7">
        <f>IF(COUNTA(A3388:K3388)=0,"",IF(OR(A3388="",B3388=""),"Preencher CPF e entrada",IF(COUNTIFS($A$12:$A$5011,A3388,$B$12:$B$5011,B3388)&gt;1,"CPF + dia duplicado",IF(OR(AND(G3388&lt;&gt;"",G3388&lt;&gt;0,G3388&lt;&gt;1),AND(H3388&lt;&gt;"",H3388&lt;&gt;0,H3388&lt;&gt;1)),"Flags devem ser 0 ou 1",IF(AND(H3388=1,LEN(TRIM(I3388))=0),"Preencher nome do indicante",IF(AND(H3388&lt;&gt;1,I3388&lt;&gt;""),"Nome sem indicação interna",IF(AND(G3388=1,F3388=""),"Fechamento sem conversa",IF(OR(AND(E3388&lt;&gt;"",E3388&lt;B3388),AND(F3388&lt;&gt;"",F3388&lt;B3388)),"Evento anterior à entrada",IF(AND(F3388&lt;&gt;"",E3388=""),"Conversa sem agendamento",IF(OR(E3388&gt;TODAY(),F3388&gt;TODAY()),"Verificar evento futuro","OK"))))))))))</f>
        <v/>
      </c>
    </row>
    <row r="3389" spans="12:15">
      <c r="L3389" s="5">
        <f>IF(OR(A3389="",B3389=""),"",B3389-WEEKDAY(B3389,2)+1)</f>
        <v/>
      </c>
      <c r="M3389" s="5">
        <f>IF(L3389="","",L3389+6)</f>
        <v/>
      </c>
      <c r="N3389" s="6">
        <f>IF(OR(A3389="",B3389=""),"",DATE(YEAR(B3389),MONTH(B3389),1))</f>
        <v/>
      </c>
      <c r="O3389" s="7">
        <f>IF(COUNTA(A3389:K3389)=0,"",IF(OR(A3389="",B3389=""),"Preencher CPF e entrada",IF(COUNTIFS($A$12:$A$5011,A3389,$B$12:$B$5011,B3389)&gt;1,"CPF + dia duplicado",IF(OR(AND(G3389&lt;&gt;"",G3389&lt;&gt;0,G3389&lt;&gt;1),AND(H3389&lt;&gt;"",H3389&lt;&gt;0,H3389&lt;&gt;1)),"Flags devem ser 0 ou 1",IF(AND(H3389=1,LEN(TRIM(I3389))=0),"Preencher nome do indicante",IF(AND(H3389&lt;&gt;1,I3389&lt;&gt;""),"Nome sem indicação interna",IF(AND(G3389=1,F3389=""),"Fechamento sem conversa",IF(OR(AND(E3389&lt;&gt;"",E3389&lt;B3389),AND(F3389&lt;&gt;"",F3389&lt;B3389)),"Evento anterior à entrada",IF(AND(F3389&lt;&gt;"",E3389=""),"Conversa sem agendamento",IF(OR(E3389&gt;TODAY(),F3389&gt;TODAY()),"Verificar evento futuro","OK"))))))))))</f>
        <v/>
      </c>
    </row>
    <row r="3390" spans="12:15">
      <c r="L3390" s="5">
        <f>IF(OR(A3390="",B3390=""),"",B3390-WEEKDAY(B3390,2)+1)</f>
        <v/>
      </c>
      <c r="M3390" s="5">
        <f>IF(L3390="","",L3390+6)</f>
        <v/>
      </c>
      <c r="N3390" s="6">
        <f>IF(OR(A3390="",B3390=""),"",DATE(YEAR(B3390),MONTH(B3390),1))</f>
        <v/>
      </c>
      <c r="O3390" s="7">
        <f>IF(COUNTA(A3390:K3390)=0,"",IF(OR(A3390="",B3390=""),"Preencher CPF e entrada",IF(COUNTIFS($A$12:$A$5011,A3390,$B$12:$B$5011,B3390)&gt;1,"CPF + dia duplicado",IF(OR(AND(G3390&lt;&gt;"",G3390&lt;&gt;0,G3390&lt;&gt;1),AND(H3390&lt;&gt;"",H3390&lt;&gt;0,H3390&lt;&gt;1)),"Flags devem ser 0 ou 1",IF(AND(H3390=1,LEN(TRIM(I3390))=0),"Preencher nome do indicante",IF(AND(H3390&lt;&gt;1,I3390&lt;&gt;""),"Nome sem indicação interna",IF(AND(G3390=1,F3390=""),"Fechamento sem conversa",IF(OR(AND(E3390&lt;&gt;"",E3390&lt;B3390),AND(F3390&lt;&gt;"",F3390&lt;B3390)),"Evento anterior à entrada",IF(AND(F3390&lt;&gt;"",E3390=""),"Conversa sem agendamento",IF(OR(E3390&gt;TODAY(),F3390&gt;TODAY()),"Verificar evento futuro","OK"))))))))))</f>
        <v/>
      </c>
    </row>
    <row r="3391" spans="12:15">
      <c r="L3391" s="5">
        <f>IF(OR(A3391="",B3391=""),"",B3391-WEEKDAY(B3391,2)+1)</f>
        <v/>
      </c>
      <c r="M3391" s="5">
        <f>IF(L3391="","",L3391+6)</f>
        <v/>
      </c>
      <c r="N3391" s="6">
        <f>IF(OR(A3391="",B3391=""),"",DATE(YEAR(B3391),MONTH(B3391),1))</f>
        <v/>
      </c>
      <c r="O3391" s="7">
        <f>IF(COUNTA(A3391:K3391)=0,"",IF(OR(A3391="",B3391=""),"Preencher CPF e entrada",IF(COUNTIFS($A$12:$A$5011,A3391,$B$12:$B$5011,B3391)&gt;1,"CPF + dia duplicado",IF(OR(AND(G3391&lt;&gt;"",G3391&lt;&gt;0,G3391&lt;&gt;1),AND(H3391&lt;&gt;"",H3391&lt;&gt;0,H3391&lt;&gt;1)),"Flags devem ser 0 ou 1",IF(AND(H3391=1,LEN(TRIM(I3391))=0),"Preencher nome do indicante",IF(AND(H3391&lt;&gt;1,I3391&lt;&gt;""),"Nome sem indicação interna",IF(AND(G3391=1,F3391=""),"Fechamento sem conversa",IF(OR(AND(E3391&lt;&gt;"",E3391&lt;B3391),AND(F3391&lt;&gt;"",F3391&lt;B3391)),"Evento anterior à entrada",IF(AND(F3391&lt;&gt;"",E3391=""),"Conversa sem agendamento",IF(OR(E3391&gt;TODAY(),F3391&gt;TODAY()),"Verificar evento futuro","OK"))))))))))</f>
        <v/>
      </c>
    </row>
    <row r="3392" spans="12:15">
      <c r="L3392" s="5">
        <f>IF(OR(A3392="",B3392=""),"",B3392-WEEKDAY(B3392,2)+1)</f>
        <v/>
      </c>
      <c r="M3392" s="5">
        <f>IF(L3392="","",L3392+6)</f>
        <v/>
      </c>
      <c r="N3392" s="6">
        <f>IF(OR(A3392="",B3392=""),"",DATE(YEAR(B3392),MONTH(B3392),1))</f>
        <v/>
      </c>
      <c r="O3392" s="7">
        <f>IF(COUNTA(A3392:K3392)=0,"",IF(OR(A3392="",B3392=""),"Preencher CPF e entrada",IF(COUNTIFS($A$12:$A$5011,A3392,$B$12:$B$5011,B3392)&gt;1,"CPF + dia duplicado",IF(OR(AND(G3392&lt;&gt;"",G3392&lt;&gt;0,G3392&lt;&gt;1),AND(H3392&lt;&gt;"",H3392&lt;&gt;0,H3392&lt;&gt;1)),"Flags devem ser 0 ou 1",IF(AND(H3392=1,LEN(TRIM(I3392))=0),"Preencher nome do indicante",IF(AND(H3392&lt;&gt;1,I3392&lt;&gt;""),"Nome sem indicação interna",IF(AND(G3392=1,F3392=""),"Fechamento sem conversa",IF(OR(AND(E3392&lt;&gt;"",E3392&lt;B3392),AND(F3392&lt;&gt;"",F3392&lt;B3392)),"Evento anterior à entrada",IF(AND(F3392&lt;&gt;"",E3392=""),"Conversa sem agendamento",IF(OR(E3392&gt;TODAY(),F3392&gt;TODAY()),"Verificar evento futuro","OK"))))))))))</f>
        <v/>
      </c>
    </row>
    <row r="3393" spans="12:15">
      <c r="L3393" s="5">
        <f>IF(OR(A3393="",B3393=""),"",B3393-WEEKDAY(B3393,2)+1)</f>
        <v/>
      </c>
      <c r="M3393" s="5">
        <f>IF(L3393="","",L3393+6)</f>
        <v/>
      </c>
      <c r="N3393" s="6">
        <f>IF(OR(A3393="",B3393=""),"",DATE(YEAR(B3393),MONTH(B3393),1))</f>
        <v/>
      </c>
      <c r="O3393" s="7">
        <f>IF(COUNTA(A3393:K3393)=0,"",IF(OR(A3393="",B3393=""),"Preencher CPF e entrada",IF(COUNTIFS($A$12:$A$5011,A3393,$B$12:$B$5011,B3393)&gt;1,"CPF + dia duplicado",IF(OR(AND(G3393&lt;&gt;"",G3393&lt;&gt;0,G3393&lt;&gt;1),AND(H3393&lt;&gt;"",H3393&lt;&gt;0,H3393&lt;&gt;1)),"Flags devem ser 0 ou 1",IF(AND(H3393=1,LEN(TRIM(I3393))=0),"Preencher nome do indicante",IF(AND(H3393&lt;&gt;1,I3393&lt;&gt;""),"Nome sem indicação interna",IF(AND(G3393=1,F3393=""),"Fechamento sem conversa",IF(OR(AND(E3393&lt;&gt;"",E3393&lt;B3393),AND(F3393&lt;&gt;"",F3393&lt;B3393)),"Evento anterior à entrada",IF(AND(F3393&lt;&gt;"",E3393=""),"Conversa sem agendamento",IF(OR(E3393&gt;TODAY(),F3393&gt;TODAY()),"Verificar evento futuro","OK"))))))))))</f>
        <v/>
      </c>
    </row>
    <row r="3394" spans="12:15">
      <c r="L3394" s="5">
        <f>IF(OR(A3394="",B3394=""),"",B3394-WEEKDAY(B3394,2)+1)</f>
        <v/>
      </c>
      <c r="M3394" s="5">
        <f>IF(L3394="","",L3394+6)</f>
        <v/>
      </c>
      <c r="N3394" s="6">
        <f>IF(OR(A3394="",B3394=""),"",DATE(YEAR(B3394),MONTH(B3394),1))</f>
        <v/>
      </c>
      <c r="O3394" s="7">
        <f>IF(COUNTA(A3394:K3394)=0,"",IF(OR(A3394="",B3394=""),"Preencher CPF e entrada",IF(COUNTIFS($A$12:$A$5011,A3394,$B$12:$B$5011,B3394)&gt;1,"CPF + dia duplicado",IF(OR(AND(G3394&lt;&gt;"",G3394&lt;&gt;0,G3394&lt;&gt;1),AND(H3394&lt;&gt;"",H3394&lt;&gt;0,H3394&lt;&gt;1)),"Flags devem ser 0 ou 1",IF(AND(H3394=1,LEN(TRIM(I3394))=0),"Preencher nome do indicante",IF(AND(H3394&lt;&gt;1,I3394&lt;&gt;""),"Nome sem indicação interna",IF(AND(G3394=1,F3394=""),"Fechamento sem conversa",IF(OR(AND(E3394&lt;&gt;"",E3394&lt;B3394),AND(F3394&lt;&gt;"",F3394&lt;B3394)),"Evento anterior à entrada",IF(AND(F3394&lt;&gt;"",E3394=""),"Conversa sem agendamento",IF(OR(E3394&gt;TODAY(),F3394&gt;TODAY()),"Verificar evento futuro","OK"))))))))))</f>
        <v/>
      </c>
    </row>
    <row r="3395" spans="12:15">
      <c r="L3395" s="5">
        <f>IF(OR(A3395="",B3395=""),"",B3395-WEEKDAY(B3395,2)+1)</f>
        <v/>
      </c>
      <c r="M3395" s="5">
        <f>IF(L3395="","",L3395+6)</f>
        <v/>
      </c>
      <c r="N3395" s="6">
        <f>IF(OR(A3395="",B3395=""),"",DATE(YEAR(B3395),MONTH(B3395),1))</f>
        <v/>
      </c>
      <c r="O3395" s="7">
        <f>IF(COUNTA(A3395:K3395)=0,"",IF(OR(A3395="",B3395=""),"Preencher CPF e entrada",IF(COUNTIFS($A$12:$A$5011,A3395,$B$12:$B$5011,B3395)&gt;1,"CPF + dia duplicado",IF(OR(AND(G3395&lt;&gt;"",G3395&lt;&gt;0,G3395&lt;&gt;1),AND(H3395&lt;&gt;"",H3395&lt;&gt;0,H3395&lt;&gt;1)),"Flags devem ser 0 ou 1",IF(AND(H3395=1,LEN(TRIM(I3395))=0),"Preencher nome do indicante",IF(AND(H3395&lt;&gt;1,I3395&lt;&gt;""),"Nome sem indicação interna",IF(AND(G3395=1,F3395=""),"Fechamento sem conversa",IF(OR(AND(E3395&lt;&gt;"",E3395&lt;B3395),AND(F3395&lt;&gt;"",F3395&lt;B3395)),"Evento anterior à entrada",IF(AND(F3395&lt;&gt;"",E3395=""),"Conversa sem agendamento",IF(OR(E3395&gt;TODAY(),F3395&gt;TODAY()),"Verificar evento futuro","OK"))))))))))</f>
        <v/>
      </c>
    </row>
    <row r="3396" spans="12:15">
      <c r="L3396" s="5">
        <f>IF(OR(A3396="",B3396=""),"",B3396-WEEKDAY(B3396,2)+1)</f>
        <v/>
      </c>
      <c r="M3396" s="5">
        <f>IF(L3396="","",L3396+6)</f>
        <v/>
      </c>
      <c r="N3396" s="6">
        <f>IF(OR(A3396="",B3396=""),"",DATE(YEAR(B3396),MONTH(B3396),1))</f>
        <v/>
      </c>
      <c r="O3396" s="7">
        <f>IF(COUNTA(A3396:K3396)=0,"",IF(OR(A3396="",B3396=""),"Preencher CPF e entrada",IF(COUNTIFS($A$12:$A$5011,A3396,$B$12:$B$5011,B3396)&gt;1,"CPF + dia duplicado",IF(OR(AND(G3396&lt;&gt;"",G3396&lt;&gt;0,G3396&lt;&gt;1),AND(H3396&lt;&gt;"",H3396&lt;&gt;0,H3396&lt;&gt;1)),"Flags devem ser 0 ou 1",IF(AND(H3396=1,LEN(TRIM(I3396))=0),"Preencher nome do indicante",IF(AND(H3396&lt;&gt;1,I3396&lt;&gt;""),"Nome sem indicação interna",IF(AND(G3396=1,F3396=""),"Fechamento sem conversa",IF(OR(AND(E3396&lt;&gt;"",E3396&lt;B3396),AND(F3396&lt;&gt;"",F3396&lt;B3396)),"Evento anterior à entrada",IF(AND(F3396&lt;&gt;"",E3396=""),"Conversa sem agendamento",IF(OR(E3396&gt;TODAY(),F3396&gt;TODAY()),"Verificar evento futuro","OK"))))))))))</f>
        <v/>
      </c>
    </row>
    <row r="3397" spans="12:15">
      <c r="L3397" s="5">
        <f>IF(OR(A3397="",B3397=""),"",B3397-WEEKDAY(B3397,2)+1)</f>
        <v/>
      </c>
      <c r="M3397" s="5">
        <f>IF(L3397="","",L3397+6)</f>
        <v/>
      </c>
      <c r="N3397" s="6">
        <f>IF(OR(A3397="",B3397=""),"",DATE(YEAR(B3397),MONTH(B3397),1))</f>
        <v/>
      </c>
      <c r="O3397" s="7">
        <f>IF(COUNTA(A3397:K3397)=0,"",IF(OR(A3397="",B3397=""),"Preencher CPF e entrada",IF(COUNTIFS($A$12:$A$5011,A3397,$B$12:$B$5011,B3397)&gt;1,"CPF + dia duplicado",IF(OR(AND(G3397&lt;&gt;"",G3397&lt;&gt;0,G3397&lt;&gt;1),AND(H3397&lt;&gt;"",H3397&lt;&gt;0,H3397&lt;&gt;1)),"Flags devem ser 0 ou 1",IF(AND(H3397=1,LEN(TRIM(I3397))=0),"Preencher nome do indicante",IF(AND(H3397&lt;&gt;1,I3397&lt;&gt;""),"Nome sem indicação interna",IF(AND(G3397=1,F3397=""),"Fechamento sem conversa",IF(OR(AND(E3397&lt;&gt;"",E3397&lt;B3397),AND(F3397&lt;&gt;"",F3397&lt;B3397)),"Evento anterior à entrada",IF(AND(F3397&lt;&gt;"",E3397=""),"Conversa sem agendamento",IF(OR(E3397&gt;TODAY(),F3397&gt;TODAY()),"Verificar evento futuro","OK"))))))))))</f>
        <v/>
      </c>
    </row>
    <row r="3398" spans="12:15">
      <c r="L3398" s="5">
        <f>IF(OR(A3398="",B3398=""),"",B3398-WEEKDAY(B3398,2)+1)</f>
        <v/>
      </c>
      <c r="M3398" s="5">
        <f>IF(L3398="","",L3398+6)</f>
        <v/>
      </c>
      <c r="N3398" s="6">
        <f>IF(OR(A3398="",B3398=""),"",DATE(YEAR(B3398),MONTH(B3398),1))</f>
        <v/>
      </c>
      <c r="O3398" s="7">
        <f>IF(COUNTA(A3398:K3398)=0,"",IF(OR(A3398="",B3398=""),"Preencher CPF e entrada",IF(COUNTIFS($A$12:$A$5011,A3398,$B$12:$B$5011,B3398)&gt;1,"CPF + dia duplicado",IF(OR(AND(G3398&lt;&gt;"",G3398&lt;&gt;0,G3398&lt;&gt;1),AND(H3398&lt;&gt;"",H3398&lt;&gt;0,H3398&lt;&gt;1)),"Flags devem ser 0 ou 1",IF(AND(H3398=1,LEN(TRIM(I3398))=0),"Preencher nome do indicante",IF(AND(H3398&lt;&gt;1,I3398&lt;&gt;""),"Nome sem indicação interna",IF(AND(G3398=1,F3398=""),"Fechamento sem conversa",IF(OR(AND(E3398&lt;&gt;"",E3398&lt;B3398),AND(F3398&lt;&gt;"",F3398&lt;B3398)),"Evento anterior à entrada",IF(AND(F3398&lt;&gt;"",E3398=""),"Conversa sem agendamento",IF(OR(E3398&gt;TODAY(),F3398&gt;TODAY()),"Verificar evento futuro","OK"))))))))))</f>
        <v/>
      </c>
    </row>
    <row r="3399" spans="12:15">
      <c r="L3399" s="5">
        <f>IF(OR(A3399="",B3399=""),"",B3399-WEEKDAY(B3399,2)+1)</f>
        <v/>
      </c>
      <c r="M3399" s="5">
        <f>IF(L3399="","",L3399+6)</f>
        <v/>
      </c>
      <c r="N3399" s="6">
        <f>IF(OR(A3399="",B3399=""),"",DATE(YEAR(B3399),MONTH(B3399),1))</f>
        <v/>
      </c>
      <c r="O3399" s="7">
        <f>IF(COUNTA(A3399:K3399)=0,"",IF(OR(A3399="",B3399=""),"Preencher CPF e entrada",IF(COUNTIFS($A$12:$A$5011,A3399,$B$12:$B$5011,B3399)&gt;1,"CPF + dia duplicado",IF(OR(AND(G3399&lt;&gt;"",G3399&lt;&gt;0,G3399&lt;&gt;1),AND(H3399&lt;&gt;"",H3399&lt;&gt;0,H3399&lt;&gt;1)),"Flags devem ser 0 ou 1",IF(AND(H3399=1,LEN(TRIM(I3399))=0),"Preencher nome do indicante",IF(AND(H3399&lt;&gt;1,I3399&lt;&gt;""),"Nome sem indicação interna",IF(AND(G3399=1,F3399=""),"Fechamento sem conversa",IF(OR(AND(E3399&lt;&gt;"",E3399&lt;B3399),AND(F3399&lt;&gt;"",F3399&lt;B3399)),"Evento anterior à entrada",IF(AND(F3399&lt;&gt;"",E3399=""),"Conversa sem agendamento",IF(OR(E3399&gt;TODAY(),F3399&gt;TODAY()),"Verificar evento futuro","OK"))))))))))</f>
        <v/>
      </c>
    </row>
    <row r="3400" spans="12:15">
      <c r="L3400" s="5">
        <f>IF(OR(A3400="",B3400=""),"",B3400-WEEKDAY(B3400,2)+1)</f>
        <v/>
      </c>
      <c r="M3400" s="5">
        <f>IF(L3400="","",L3400+6)</f>
        <v/>
      </c>
      <c r="N3400" s="6">
        <f>IF(OR(A3400="",B3400=""),"",DATE(YEAR(B3400),MONTH(B3400),1))</f>
        <v/>
      </c>
      <c r="O3400" s="7">
        <f>IF(COUNTA(A3400:K3400)=0,"",IF(OR(A3400="",B3400=""),"Preencher CPF e entrada",IF(COUNTIFS($A$12:$A$5011,A3400,$B$12:$B$5011,B3400)&gt;1,"CPF + dia duplicado",IF(OR(AND(G3400&lt;&gt;"",G3400&lt;&gt;0,G3400&lt;&gt;1),AND(H3400&lt;&gt;"",H3400&lt;&gt;0,H3400&lt;&gt;1)),"Flags devem ser 0 ou 1",IF(AND(H3400=1,LEN(TRIM(I3400))=0),"Preencher nome do indicante",IF(AND(H3400&lt;&gt;1,I3400&lt;&gt;""),"Nome sem indicação interna",IF(AND(G3400=1,F3400=""),"Fechamento sem conversa",IF(OR(AND(E3400&lt;&gt;"",E3400&lt;B3400),AND(F3400&lt;&gt;"",F3400&lt;B3400)),"Evento anterior à entrada",IF(AND(F3400&lt;&gt;"",E3400=""),"Conversa sem agendamento",IF(OR(E3400&gt;TODAY(),F3400&gt;TODAY()),"Verificar evento futuro","OK"))))))))))</f>
        <v/>
      </c>
    </row>
    <row r="3401" spans="12:15">
      <c r="L3401" s="5">
        <f>IF(OR(A3401="",B3401=""),"",B3401-WEEKDAY(B3401,2)+1)</f>
        <v/>
      </c>
      <c r="M3401" s="5">
        <f>IF(L3401="","",L3401+6)</f>
        <v/>
      </c>
      <c r="N3401" s="6">
        <f>IF(OR(A3401="",B3401=""),"",DATE(YEAR(B3401),MONTH(B3401),1))</f>
        <v/>
      </c>
      <c r="O3401" s="7">
        <f>IF(COUNTA(A3401:K3401)=0,"",IF(OR(A3401="",B3401=""),"Preencher CPF e entrada",IF(COUNTIFS($A$12:$A$5011,A3401,$B$12:$B$5011,B3401)&gt;1,"CPF + dia duplicado",IF(OR(AND(G3401&lt;&gt;"",G3401&lt;&gt;0,G3401&lt;&gt;1),AND(H3401&lt;&gt;"",H3401&lt;&gt;0,H3401&lt;&gt;1)),"Flags devem ser 0 ou 1",IF(AND(H3401=1,LEN(TRIM(I3401))=0),"Preencher nome do indicante",IF(AND(H3401&lt;&gt;1,I3401&lt;&gt;""),"Nome sem indicação interna",IF(AND(G3401=1,F3401=""),"Fechamento sem conversa",IF(OR(AND(E3401&lt;&gt;"",E3401&lt;B3401),AND(F3401&lt;&gt;"",F3401&lt;B3401)),"Evento anterior à entrada",IF(AND(F3401&lt;&gt;"",E3401=""),"Conversa sem agendamento",IF(OR(E3401&gt;TODAY(),F3401&gt;TODAY()),"Verificar evento futuro","OK"))))))))))</f>
        <v/>
      </c>
    </row>
    <row r="3402" spans="12:15">
      <c r="L3402" s="5">
        <f>IF(OR(A3402="",B3402=""),"",B3402-WEEKDAY(B3402,2)+1)</f>
        <v/>
      </c>
      <c r="M3402" s="5">
        <f>IF(L3402="","",L3402+6)</f>
        <v/>
      </c>
      <c r="N3402" s="6">
        <f>IF(OR(A3402="",B3402=""),"",DATE(YEAR(B3402),MONTH(B3402),1))</f>
        <v/>
      </c>
      <c r="O3402" s="7">
        <f>IF(COUNTA(A3402:K3402)=0,"",IF(OR(A3402="",B3402=""),"Preencher CPF e entrada",IF(COUNTIFS($A$12:$A$5011,A3402,$B$12:$B$5011,B3402)&gt;1,"CPF + dia duplicado",IF(OR(AND(G3402&lt;&gt;"",G3402&lt;&gt;0,G3402&lt;&gt;1),AND(H3402&lt;&gt;"",H3402&lt;&gt;0,H3402&lt;&gt;1)),"Flags devem ser 0 ou 1",IF(AND(H3402=1,LEN(TRIM(I3402))=0),"Preencher nome do indicante",IF(AND(H3402&lt;&gt;1,I3402&lt;&gt;""),"Nome sem indicação interna",IF(AND(G3402=1,F3402=""),"Fechamento sem conversa",IF(OR(AND(E3402&lt;&gt;"",E3402&lt;B3402),AND(F3402&lt;&gt;"",F3402&lt;B3402)),"Evento anterior à entrada",IF(AND(F3402&lt;&gt;"",E3402=""),"Conversa sem agendamento",IF(OR(E3402&gt;TODAY(),F3402&gt;TODAY()),"Verificar evento futuro","OK"))))))))))</f>
        <v/>
      </c>
    </row>
    <row r="3403" spans="12:15">
      <c r="L3403" s="5">
        <f>IF(OR(A3403="",B3403=""),"",B3403-WEEKDAY(B3403,2)+1)</f>
        <v/>
      </c>
      <c r="M3403" s="5">
        <f>IF(L3403="","",L3403+6)</f>
        <v/>
      </c>
      <c r="N3403" s="6">
        <f>IF(OR(A3403="",B3403=""),"",DATE(YEAR(B3403),MONTH(B3403),1))</f>
        <v/>
      </c>
      <c r="O3403" s="7">
        <f>IF(COUNTA(A3403:K3403)=0,"",IF(OR(A3403="",B3403=""),"Preencher CPF e entrada",IF(COUNTIFS($A$12:$A$5011,A3403,$B$12:$B$5011,B3403)&gt;1,"CPF + dia duplicado",IF(OR(AND(G3403&lt;&gt;"",G3403&lt;&gt;0,G3403&lt;&gt;1),AND(H3403&lt;&gt;"",H3403&lt;&gt;0,H3403&lt;&gt;1)),"Flags devem ser 0 ou 1",IF(AND(H3403=1,LEN(TRIM(I3403))=0),"Preencher nome do indicante",IF(AND(H3403&lt;&gt;1,I3403&lt;&gt;""),"Nome sem indicação interna",IF(AND(G3403=1,F3403=""),"Fechamento sem conversa",IF(OR(AND(E3403&lt;&gt;"",E3403&lt;B3403),AND(F3403&lt;&gt;"",F3403&lt;B3403)),"Evento anterior à entrada",IF(AND(F3403&lt;&gt;"",E3403=""),"Conversa sem agendamento",IF(OR(E3403&gt;TODAY(),F3403&gt;TODAY()),"Verificar evento futuro","OK"))))))))))</f>
        <v/>
      </c>
    </row>
    <row r="3404" spans="12:15">
      <c r="L3404" s="5">
        <f>IF(OR(A3404="",B3404=""),"",B3404-WEEKDAY(B3404,2)+1)</f>
        <v/>
      </c>
      <c r="M3404" s="5">
        <f>IF(L3404="","",L3404+6)</f>
        <v/>
      </c>
      <c r="N3404" s="6">
        <f>IF(OR(A3404="",B3404=""),"",DATE(YEAR(B3404),MONTH(B3404),1))</f>
        <v/>
      </c>
      <c r="O3404" s="7">
        <f>IF(COUNTA(A3404:K3404)=0,"",IF(OR(A3404="",B3404=""),"Preencher CPF e entrada",IF(COUNTIFS($A$12:$A$5011,A3404,$B$12:$B$5011,B3404)&gt;1,"CPF + dia duplicado",IF(OR(AND(G3404&lt;&gt;"",G3404&lt;&gt;0,G3404&lt;&gt;1),AND(H3404&lt;&gt;"",H3404&lt;&gt;0,H3404&lt;&gt;1)),"Flags devem ser 0 ou 1",IF(AND(H3404=1,LEN(TRIM(I3404))=0),"Preencher nome do indicante",IF(AND(H3404&lt;&gt;1,I3404&lt;&gt;""),"Nome sem indicação interna",IF(AND(G3404=1,F3404=""),"Fechamento sem conversa",IF(OR(AND(E3404&lt;&gt;"",E3404&lt;B3404),AND(F3404&lt;&gt;"",F3404&lt;B3404)),"Evento anterior à entrada",IF(AND(F3404&lt;&gt;"",E3404=""),"Conversa sem agendamento",IF(OR(E3404&gt;TODAY(),F3404&gt;TODAY()),"Verificar evento futuro","OK"))))))))))</f>
        <v/>
      </c>
    </row>
    <row r="3405" spans="12:15">
      <c r="L3405" s="5">
        <f>IF(OR(A3405="",B3405=""),"",B3405-WEEKDAY(B3405,2)+1)</f>
        <v/>
      </c>
      <c r="M3405" s="5">
        <f>IF(L3405="","",L3405+6)</f>
        <v/>
      </c>
      <c r="N3405" s="6">
        <f>IF(OR(A3405="",B3405=""),"",DATE(YEAR(B3405),MONTH(B3405),1))</f>
        <v/>
      </c>
      <c r="O3405" s="7">
        <f>IF(COUNTA(A3405:K3405)=0,"",IF(OR(A3405="",B3405=""),"Preencher CPF e entrada",IF(COUNTIFS($A$12:$A$5011,A3405,$B$12:$B$5011,B3405)&gt;1,"CPF + dia duplicado",IF(OR(AND(G3405&lt;&gt;"",G3405&lt;&gt;0,G3405&lt;&gt;1),AND(H3405&lt;&gt;"",H3405&lt;&gt;0,H3405&lt;&gt;1)),"Flags devem ser 0 ou 1",IF(AND(H3405=1,LEN(TRIM(I3405))=0),"Preencher nome do indicante",IF(AND(H3405&lt;&gt;1,I3405&lt;&gt;""),"Nome sem indicação interna",IF(AND(G3405=1,F3405=""),"Fechamento sem conversa",IF(OR(AND(E3405&lt;&gt;"",E3405&lt;B3405),AND(F3405&lt;&gt;"",F3405&lt;B3405)),"Evento anterior à entrada",IF(AND(F3405&lt;&gt;"",E3405=""),"Conversa sem agendamento",IF(OR(E3405&gt;TODAY(),F3405&gt;TODAY()),"Verificar evento futuro","OK"))))))))))</f>
        <v/>
      </c>
    </row>
    <row r="3406" spans="12:15">
      <c r="L3406" s="5">
        <f>IF(OR(A3406="",B3406=""),"",B3406-WEEKDAY(B3406,2)+1)</f>
        <v/>
      </c>
      <c r="M3406" s="5">
        <f>IF(L3406="","",L3406+6)</f>
        <v/>
      </c>
      <c r="N3406" s="6">
        <f>IF(OR(A3406="",B3406=""),"",DATE(YEAR(B3406),MONTH(B3406),1))</f>
        <v/>
      </c>
      <c r="O3406" s="7">
        <f>IF(COUNTA(A3406:K3406)=0,"",IF(OR(A3406="",B3406=""),"Preencher CPF e entrada",IF(COUNTIFS($A$12:$A$5011,A3406,$B$12:$B$5011,B3406)&gt;1,"CPF + dia duplicado",IF(OR(AND(G3406&lt;&gt;"",G3406&lt;&gt;0,G3406&lt;&gt;1),AND(H3406&lt;&gt;"",H3406&lt;&gt;0,H3406&lt;&gt;1)),"Flags devem ser 0 ou 1",IF(AND(H3406=1,LEN(TRIM(I3406))=0),"Preencher nome do indicante",IF(AND(H3406&lt;&gt;1,I3406&lt;&gt;""),"Nome sem indicação interna",IF(AND(G3406=1,F3406=""),"Fechamento sem conversa",IF(OR(AND(E3406&lt;&gt;"",E3406&lt;B3406),AND(F3406&lt;&gt;"",F3406&lt;B3406)),"Evento anterior à entrada",IF(AND(F3406&lt;&gt;"",E3406=""),"Conversa sem agendamento",IF(OR(E3406&gt;TODAY(),F3406&gt;TODAY()),"Verificar evento futuro","OK"))))))))))</f>
        <v/>
      </c>
    </row>
    <row r="3407" spans="12:15">
      <c r="L3407" s="5">
        <f>IF(OR(A3407="",B3407=""),"",B3407-WEEKDAY(B3407,2)+1)</f>
        <v/>
      </c>
      <c r="M3407" s="5">
        <f>IF(L3407="","",L3407+6)</f>
        <v/>
      </c>
      <c r="N3407" s="6">
        <f>IF(OR(A3407="",B3407=""),"",DATE(YEAR(B3407),MONTH(B3407),1))</f>
        <v/>
      </c>
      <c r="O3407" s="7">
        <f>IF(COUNTA(A3407:K3407)=0,"",IF(OR(A3407="",B3407=""),"Preencher CPF e entrada",IF(COUNTIFS($A$12:$A$5011,A3407,$B$12:$B$5011,B3407)&gt;1,"CPF + dia duplicado",IF(OR(AND(G3407&lt;&gt;"",G3407&lt;&gt;0,G3407&lt;&gt;1),AND(H3407&lt;&gt;"",H3407&lt;&gt;0,H3407&lt;&gt;1)),"Flags devem ser 0 ou 1",IF(AND(H3407=1,LEN(TRIM(I3407))=0),"Preencher nome do indicante",IF(AND(H3407&lt;&gt;1,I3407&lt;&gt;""),"Nome sem indicação interna",IF(AND(G3407=1,F3407=""),"Fechamento sem conversa",IF(OR(AND(E3407&lt;&gt;"",E3407&lt;B3407),AND(F3407&lt;&gt;"",F3407&lt;B3407)),"Evento anterior à entrada",IF(AND(F3407&lt;&gt;"",E3407=""),"Conversa sem agendamento",IF(OR(E3407&gt;TODAY(),F3407&gt;TODAY()),"Verificar evento futuro","OK"))))))))))</f>
        <v/>
      </c>
    </row>
    <row r="3408" spans="12:15">
      <c r="L3408" s="5">
        <f>IF(OR(A3408="",B3408=""),"",B3408-WEEKDAY(B3408,2)+1)</f>
        <v/>
      </c>
      <c r="M3408" s="5">
        <f>IF(L3408="","",L3408+6)</f>
        <v/>
      </c>
      <c r="N3408" s="6">
        <f>IF(OR(A3408="",B3408=""),"",DATE(YEAR(B3408),MONTH(B3408),1))</f>
        <v/>
      </c>
      <c r="O3408" s="7">
        <f>IF(COUNTA(A3408:K3408)=0,"",IF(OR(A3408="",B3408=""),"Preencher CPF e entrada",IF(COUNTIFS($A$12:$A$5011,A3408,$B$12:$B$5011,B3408)&gt;1,"CPF + dia duplicado",IF(OR(AND(G3408&lt;&gt;"",G3408&lt;&gt;0,G3408&lt;&gt;1),AND(H3408&lt;&gt;"",H3408&lt;&gt;0,H3408&lt;&gt;1)),"Flags devem ser 0 ou 1",IF(AND(H3408=1,LEN(TRIM(I3408))=0),"Preencher nome do indicante",IF(AND(H3408&lt;&gt;1,I3408&lt;&gt;""),"Nome sem indicação interna",IF(AND(G3408=1,F3408=""),"Fechamento sem conversa",IF(OR(AND(E3408&lt;&gt;"",E3408&lt;B3408),AND(F3408&lt;&gt;"",F3408&lt;B3408)),"Evento anterior à entrada",IF(AND(F3408&lt;&gt;"",E3408=""),"Conversa sem agendamento",IF(OR(E3408&gt;TODAY(),F3408&gt;TODAY()),"Verificar evento futuro","OK"))))))))))</f>
        <v/>
      </c>
    </row>
    <row r="3409" spans="12:15">
      <c r="L3409" s="5">
        <f>IF(OR(A3409="",B3409=""),"",B3409-WEEKDAY(B3409,2)+1)</f>
        <v/>
      </c>
      <c r="M3409" s="5">
        <f>IF(L3409="","",L3409+6)</f>
        <v/>
      </c>
      <c r="N3409" s="6">
        <f>IF(OR(A3409="",B3409=""),"",DATE(YEAR(B3409),MONTH(B3409),1))</f>
        <v/>
      </c>
      <c r="O3409" s="7">
        <f>IF(COUNTA(A3409:K3409)=0,"",IF(OR(A3409="",B3409=""),"Preencher CPF e entrada",IF(COUNTIFS($A$12:$A$5011,A3409,$B$12:$B$5011,B3409)&gt;1,"CPF + dia duplicado",IF(OR(AND(G3409&lt;&gt;"",G3409&lt;&gt;0,G3409&lt;&gt;1),AND(H3409&lt;&gt;"",H3409&lt;&gt;0,H3409&lt;&gt;1)),"Flags devem ser 0 ou 1",IF(AND(H3409=1,LEN(TRIM(I3409))=0),"Preencher nome do indicante",IF(AND(H3409&lt;&gt;1,I3409&lt;&gt;""),"Nome sem indicação interna",IF(AND(G3409=1,F3409=""),"Fechamento sem conversa",IF(OR(AND(E3409&lt;&gt;"",E3409&lt;B3409),AND(F3409&lt;&gt;"",F3409&lt;B3409)),"Evento anterior à entrada",IF(AND(F3409&lt;&gt;"",E3409=""),"Conversa sem agendamento",IF(OR(E3409&gt;TODAY(),F3409&gt;TODAY()),"Verificar evento futuro","OK"))))))))))</f>
        <v/>
      </c>
    </row>
    <row r="3410" spans="12:15">
      <c r="L3410" s="5">
        <f>IF(OR(A3410="",B3410=""),"",B3410-WEEKDAY(B3410,2)+1)</f>
        <v/>
      </c>
      <c r="M3410" s="5">
        <f>IF(L3410="","",L3410+6)</f>
        <v/>
      </c>
      <c r="N3410" s="6">
        <f>IF(OR(A3410="",B3410=""),"",DATE(YEAR(B3410),MONTH(B3410),1))</f>
        <v/>
      </c>
      <c r="O3410" s="7">
        <f>IF(COUNTA(A3410:K3410)=0,"",IF(OR(A3410="",B3410=""),"Preencher CPF e entrada",IF(COUNTIFS($A$12:$A$5011,A3410,$B$12:$B$5011,B3410)&gt;1,"CPF + dia duplicado",IF(OR(AND(G3410&lt;&gt;"",G3410&lt;&gt;0,G3410&lt;&gt;1),AND(H3410&lt;&gt;"",H3410&lt;&gt;0,H3410&lt;&gt;1)),"Flags devem ser 0 ou 1",IF(AND(H3410=1,LEN(TRIM(I3410))=0),"Preencher nome do indicante",IF(AND(H3410&lt;&gt;1,I3410&lt;&gt;""),"Nome sem indicação interna",IF(AND(G3410=1,F3410=""),"Fechamento sem conversa",IF(OR(AND(E3410&lt;&gt;"",E3410&lt;B3410),AND(F3410&lt;&gt;"",F3410&lt;B3410)),"Evento anterior à entrada",IF(AND(F3410&lt;&gt;"",E3410=""),"Conversa sem agendamento",IF(OR(E3410&gt;TODAY(),F3410&gt;TODAY()),"Verificar evento futuro","OK"))))))))))</f>
        <v/>
      </c>
    </row>
    <row r="3411" spans="12:15">
      <c r="L3411" s="5">
        <f>IF(OR(A3411="",B3411=""),"",B3411-WEEKDAY(B3411,2)+1)</f>
        <v/>
      </c>
      <c r="M3411" s="5">
        <f>IF(L3411="","",L3411+6)</f>
        <v/>
      </c>
      <c r="N3411" s="6">
        <f>IF(OR(A3411="",B3411=""),"",DATE(YEAR(B3411),MONTH(B3411),1))</f>
        <v/>
      </c>
      <c r="O3411" s="7">
        <f>IF(COUNTA(A3411:K3411)=0,"",IF(OR(A3411="",B3411=""),"Preencher CPF e entrada",IF(COUNTIFS($A$12:$A$5011,A3411,$B$12:$B$5011,B3411)&gt;1,"CPF + dia duplicado",IF(OR(AND(G3411&lt;&gt;"",G3411&lt;&gt;0,G3411&lt;&gt;1),AND(H3411&lt;&gt;"",H3411&lt;&gt;0,H3411&lt;&gt;1)),"Flags devem ser 0 ou 1",IF(AND(H3411=1,LEN(TRIM(I3411))=0),"Preencher nome do indicante",IF(AND(H3411&lt;&gt;1,I3411&lt;&gt;""),"Nome sem indicação interna",IF(AND(G3411=1,F3411=""),"Fechamento sem conversa",IF(OR(AND(E3411&lt;&gt;"",E3411&lt;B3411),AND(F3411&lt;&gt;"",F3411&lt;B3411)),"Evento anterior à entrada",IF(AND(F3411&lt;&gt;"",E3411=""),"Conversa sem agendamento",IF(OR(E3411&gt;TODAY(),F3411&gt;TODAY()),"Verificar evento futuro","OK"))))))))))</f>
        <v/>
      </c>
    </row>
    <row r="3412" spans="12:15">
      <c r="L3412" s="5">
        <f>IF(OR(A3412="",B3412=""),"",B3412-WEEKDAY(B3412,2)+1)</f>
        <v/>
      </c>
      <c r="M3412" s="5">
        <f>IF(L3412="","",L3412+6)</f>
        <v/>
      </c>
      <c r="N3412" s="6">
        <f>IF(OR(A3412="",B3412=""),"",DATE(YEAR(B3412),MONTH(B3412),1))</f>
        <v/>
      </c>
      <c r="O3412" s="7">
        <f>IF(COUNTA(A3412:K3412)=0,"",IF(OR(A3412="",B3412=""),"Preencher CPF e entrada",IF(COUNTIFS($A$12:$A$5011,A3412,$B$12:$B$5011,B3412)&gt;1,"CPF + dia duplicado",IF(OR(AND(G3412&lt;&gt;"",G3412&lt;&gt;0,G3412&lt;&gt;1),AND(H3412&lt;&gt;"",H3412&lt;&gt;0,H3412&lt;&gt;1)),"Flags devem ser 0 ou 1",IF(AND(H3412=1,LEN(TRIM(I3412))=0),"Preencher nome do indicante",IF(AND(H3412&lt;&gt;1,I3412&lt;&gt;""),"Nome sem indicação interna",IF(AND(G3412=1,F3412=""),"Fechamento sem conversa",IF(OR(AND(E3412&lt;&gt;"",E3412&lt;B3412),AND(F3412&lt;&gt;"",F3412&lt;B3412)),"Evento anterior à entrada",IF(AND(F3412&lt;&gt;"",E3412=""),"Conversa sem agendamento",IF(OR(E3412&gt;TODAY(),F3412&gt;TODAY()),"Verificar evento futuro","OK"))))))))))</f>
        <v/>
      </c>
    </row>
    <row r="3413" spans="12:15">
      <c r="L3413" s="5">
        <f>IF(OR(A3413="",B3413=""),"",B3413-WEEKDAY(B3413,2)+1)</f>
        <v/>
      </c>
      <c r="M3413" s="5">
        <f>IF(L3413="","",L3413+6)</f>
        <v/>
      </c>
      <c r="N3413" s="6">
        <f>IF(OR(A3413="",B3413=""),"",DATE(YEAR(B3413),MONTH(B3413),1))</f>
        <v/>
      </c>
      <c r="O3413" s="7">
        <f>IF(COUNTA(A3413:K3413)=0,"",IF(OR(A3413="",B3413=""),"Preencher CPF e entrada",IF(COUNTIFS($A$12:$A$5011,A3413,$B$12:$B$5011,B3413)&gt;1,"CPF + dia duplicado",IF(OR(AND(G3413&lt;&gt;"",G3413&lt;&gt;0,G3413&lt;&gt;1),AND(H3413&lt;&gt;"",H3413&lt;&gt;0,H3413&lt;&gt;1)),"Flags devem ser 0 ou 1",IF(AND(H3413=1,LEN(TRIM(I3413))=0),"Preencher nome do indicante",IF(AND(H3413&lt;&gt;1,I3413&lt;&gt;""),"Nome sem indicação interna",IF(AND(G3413=1,F3413=""),"Fechamento sem conversa",IF(OR(AND(E3413&lt;&gt;"",E3413&lt;B3413),AND(F3413&lt;&gt;"",F3413&lt;B3413)),"Evento anterior à entrada",IF(AND(F3413&lt;&gt;"",E3413=""),"Conversa sem agendamento",IF(OR(E3413&gt;TODAY(),F3413&gt;TODAY()),"Verificar evento futuro","OK"))))))))))</f>
        <v/>
      </c>
    </row>
    <row r="3414" spans="12:15">
      <c r="L3414" s="5">
        <f>IF(OR(A3414="",B3414=""),"",B3414-WEEKDAY(B3414,2)+1)</f>
        <v/>
      </c>
      <c r="M3414" s="5">
        <f>IF(L3414="","",L3414+6)</f>
        <v/>
      </c>
      <c r="N3414" s="6">
        <f>IF(OR(A3414="",B3414=""),"",DATE(YEAR(B3414),MONTH(B3414),1))</f>
        <v/>
      </c>
      <c r="O3414" s="7">
        <f>IF(COUNTA(A3414:K3414)=0,"",IF(OR(A3414="",B3414=""),"Preencher CPF e entrada",IF(COUNTIFS($A$12:$A$5011,A3414,$B$12:$B$5011,B3414)&gt;1,"CPF + dia duplicado",IF(OR(AND(G3414&lt;&gt;"",G3414&lt;&gt;0,G3414&lt;&gt;1),AND(H3414&lt;&gt;"",H3414&lt;&gt;0,H3414&lt;&gt;1)),"Flags devem ser 0 ou 1",IF(AND(H3414=1,LEN(TRIM(I3414))=0),"Preencher nome do indicante",IF(AND(H3414&lt;&gt;1,I3414&lt;&gt;""),"Nome sem indicação interna",IF(AND(G3414=1,F3414=""),"Fechamento sem conversa",IF(OR(AND(E3414&lt;&gt;"",E3414&lt;B3414),AND(F3414&lt;&gt;"",F3414&lt;B3414)),"Evento anterior à entrada",IF(AND(F3414&lt;&gt;"",E3414=""),"Conversa sem agendamento",IF(OR(E3414&gt;TODAY(),F3414&gt;TODAY()),"Verificar evento futuro","OK"))))))))))</f>
        <v/>
      </c>
    </row>
    <row r="3415" spans="12:15">
      <c r="L3415" s="5">
        <f>IF(OR(A3415="",B3415=""),"",B3415-WEEKDAY(B3415,2)+1)</f>
        <v/>
      </c>
      <c r="M3415" s="5">
        <f>IF(L3415="","",L3415+6)</f>
        <v/>
      </c>
      <c r="N3415" s="6">
        <f>IF(OR(A3415="",B3415=""),"",DATE(YEAR(B3415),MONTH(B3415),1))</f>
        <v/>
      </c>
      <c r="O3415" s="7">
        <f>IF(COUNTA(A3415:K3415)=0,"",IF(OR(A3415="",B3415=""),"Preencher CPF e entrada",IF(COUNTIFS($A$12:$A$5011,A3415,$B$12:$B$5011,B3415)&gt;1,"CPF + dia duplicado",IF(OR(AND(G3415&lt;&gt;"",G3415&lt;&gt;0,G3415&lt;&gt;1),AND(H3415&lt;&gt;"",H3415&lt;&gt;0,H3415&lt;&gt;1)),"Flags devem ser 0 ou 1",IF(AND(H3415=1,LEN(TRIM(I3415))=0),"Preencher nome do indicante",IF(AND(H3415&lt;&gt;1,I3415&lt;&gt;""),"Nome sem indicação interna",IF(AND(G3415=1,F3415=""),"Fechamento sem conversa",IF(OR(AND(E3415&lt;&gt;"",E3415&lt;B3415),AND(F3415&lt;&gt;"",F3415&lt;B3415)),"Evento anterior à entrada",IF(AND(F3415&lt;&gt;"",E3415=""),"Conversa sem agendamento",IF(OR(E3415&gt;TODAY(),F3415&gt;TODAY()),"Verificar evento futuro","OK"))))))))))</f>
        <v/>
      </c>
    </row>
    <row r="3416" spans="12:15">
      <c r="L3416" s="5">
        <f>IF(OR(A3416="",B3416=""),"",B3416-WEEKDAY(B3416,2)+1)</f>
        <v/>
      </c>
      <c r="M3416" s="5">
        <f>IF(L3416="","",L3416+6)</f>
        <v/>
      </c>
      <c r="N3416" s="6">
        <f>IF(OR(A3416="",B3416=""),"",DATE(YEAR(B3416),MONTH(B3416),1))</f>
        <v/>
      </c>
      <c r="O3416" s="7">
        <f>IF(COUNTA(A3416:K3416)=0,"",IF(OR(A3416="",B3416=""),"Preencher CPF e entrada",IF(COUNTIFS($A$12:$A$5011,A3416,$B$12:$B$5011,B3416)&gt;1,"CPF + dia duplicado",IF(OR(AND(G3416&lt;&gt;"",G3416&lt;&gt;0,G3416&lt;&gt;1),AND(H3416&lt;&gt;"",H3416&lt;&gt;0,H3416&lt;&gt;1)),"Flags devem ser 0 ou 1",IF(AND(H3416=1,LEN(TRIM(I3416))=0),"Preencher nome do indicante",IF(AND(H3416&lt;&gt;1,I3416&lt;&gt;""),"Nome sem indicação interna",IF(AND(G3416=1,F3416=""),"Fechamento sem conversa",IF(OR(AND(E3416&lt;&gt;"",E3416&lt;B3416),AND(F3416&lt;&gt;"",F3416&lt;B3416)),"Evento anterior à entrada",IF(AND(F3416&lt;&gt;"",E3416=""),"Conversa sem agendamento",IF(OR(E3416&gt;TODAY(),F3416&gt;TODAY()),"Verificar evento futuro","OK"))))))))))</f>
        <v/>
      </c>
    </row>
    <row r="3417" spans="12:15">
      <c r="L3417" s="5">
        <f>IF(OR(A3417="",B3417=""),"",B3417-WEEKDAY(B3417,2)+1)</f>
        <v/>
      </c>
      <c r="M3417" s="5">
        <f>IF(L3417="","",L3417+6)</f>
        <v/>
      </c>
      <c r="N3417" s="6">
        <f>IF(OR(A3417="",B3417=""),"",DATE(YEAR(B3417),MONTH(B3417),1))</f>
        <v/>
      </c>
      <c r="O3417" s="7">
        <f>IF(COUNTA(A3417:K3417)=0,"",IF(OR(A3417="",B3417=""),"Preencher CPF e entrada",IF(COUNTIFS($A$12:$A$5011,A3417,$B$12:$B$5011,B3417)&gt;1,"CPF + dia duplicado",IF(OR(AND(G3417&lt;&gt;"",G3417&lt;&gt;0,G3417&lt;&gt;1),AND(H3417&lt;&gt;"",H3417&lt;&gt;0,H3417&lt;&gt;1)),"Flags devem ser 0 ou 1",IF(AND(H3417=1,LEN(TRIM(I3417))=0),"Preencher nome do indicante",IF(AND(H3417&lt;&gt;1,I3417&lt;&gt;""),"Nome sem indicação interna",IF(AND(G3417=1,F3417=""),"Fechamento sem conversa",IF(OR(AND(E3417&lt;&gt;"",E3417&lt;B3417),AND(F3417&lt;&gt;"",F3417&lt;B3417)),"Evento anterior à entrada",IF(AND(F3417&lt;&gt;"",E3417=""),"Conversa sem agendamento",IF(OR(E3417&gt;TODAY(),F3417&gt;TODAY()),"Verificar evento futuro","OK"))))))))))</f>
        <v/>
      </c>
    </row>
    <row r="3418" spans="12:15">
      <c r="L3418" s="5">
        <f>IF(OR(A3418="",B3418=""),"",B3418-WEEKDAY(B3418,2)+1)</f>
        <v/>
      </c>
      <c r="M3418" s="5">
        <f>IF(L3418="","",L3418+6)</f>
        <v/>
      </c>
      <c r="N3418" s="6">
        <f>IF(OR(A3418="",B3418=""),"",DATE(YEAR(B3418),MONTH(B3418),1))</f>
        <v/>
      </c>
      <c r="O3418" s="7">
        <f>IF(COUNTA(A3418:K3418)=0,"",IF(OR(A3418="",B3418=""),"Preencher CPF e entrada",IF(COUNTIFS($A$12:$A$5011,A3418,$B$12:$B$5011,B3418)&gt;1,"CPF + dia duplicado",IF(OR(AND(G3418&lt;&gt;"",G3418&lt;&gt;0,G3418&lt;&gt;1),AND(H3418&lt;&gt;"",H3418&lt;&gt;0,H3418&lt;&gt;1)),"Flags devem ser 0 ou 1",IF(AND(H3418=1,LEN(TRIM(I3418))=0),"Preencher nome do indicante",IF(AND(H3418&lt;&gt;1,I3418&lt;&gt;""),"Nome sem indicação interna",IF(AND(G3418=1,F3418=""),"Fechamento sem conversa",IF(OR(AND(E3418&lt;&gt;"",E3418&lt;B3418),AND(F3418&lt;&gt;"",F3418&lt;B3418)),"Evento anterior à entrada",IF(AND(F3418&lt;&gt;"",E3418=""),"Conversa sem agendamento",IF(OR(E3418&gt;TODAY(),F3418&gt;TODAY()),"Verificar evento futuro","OK"))))))))))</f>
        <v/>
      </c>
    </row>
    <row r="3419" spans="12:15">
      <c r="L3419" s="5">
        <f>IF(OR(A3419="",B3419=""),"",B3419-WEEKDAY(B3419,2)+1)</f>
        <v/>
      </c>
      <c r="M3419" s="5">
        <f>IF(L3419="","",L3419+6)</f>
        <v/>
      </c>
      <c r="N3419" s="6">
        <f>IF(OR(A3419="",B3419=""),"",DATE(YEAR(B3419),MONTH(B3419),1))</f>
        <v/>
      </c>
      <c r="O3419" s="7">
        <f>IF(COUNTA(A3419:K3419)=0,"",IF(OR(A3419="",B3419=""),"Preencher CPF e entrada",IF(COUNTIFS($A$12:$A$5011,A3419,$B$12:$B$5011,B3419)&gt;1,"CPF + dia duplicado",IF(OR(AND(G3419&lt;&gt;"",G3419&lt;&gt;0,G3419&lt;&gt;1),AND(H3419&lt;&gt;"",H3419&lt;&gt;0,H3419&lt;&gt;1)),"Flags devem ser 0 ou 1",IF(AND(H3419=1,LEN(TRIM(I3419))=0),"Preencher nome do indicante",IF(AND(H3419&lt;&gt;1,I3419&lt;&gt;""),"Nome sem indicação interna",IF(AND(G3419=1,F3419=""),"Fechamento sem conversa",IF(OR(AND(E3419&lt;&gt;"",E3419&lt;B3419),AND(F3419&lt;&gt;"",F3419&lt;B3419)),"Evento anterior à entrada",IF(AND(F3419&lt;&gt;"",E3419=""),"Conversa sem agendamento",IF(OR(E3419&gt;TODAY(),F3419&gt;TODAY()),"Verificar evento futuro","OK"))))))))))</f>
        <v/>
      </c>
    </row>
    <row r="3420" spans="12:15">
      <c r="L3420" s="5">
        <f>IF(OR(A3420="",B3420=""),"",B3420-WEEKDAY(B3420,2)+1)</f>
        <v/>
      </c>
      <c r="M3420" s="5">
        <f>IF(L3420="","",L3420+6)</f>
        <v/>
      </c>
      <c r="N3420" s="6">
        <f>IF(OR(A3420="",B3420=""),"",DATE(YEAR(B3420),MONTH(B3420),1))</f>
        <v/>
      </c>
      <c r="O3420" s="7">
        <f>IF(COUNTA(A3420:K3420)=0,"",IF(OR(A3420="",B3420=""),"Preencher CPF e entrada",IF(COUNTIFS($A$12:$A$5011,A3420,$B$12:$B$5011,B3420)&gt;1,"CPF + dia duplicado",IF(OR(AND(G3420&lt;&gt;"",G3420&lt;&gt;0,G3420&lt;&gt;1),AND(H3420&lt;&gt;"",H3420&lt;&gt;0,H3420&lt;&gt;1)),"Flags devem ser 0 ou 1",IF(AND(H3420=1,LEN(TRIM(I3420))=0),"Preencher nome do indicante",IF(AND(H3420&lt;&gt;1,I3420&lt;&gt;""),"Nome sem indicação interna",IF(AND(G3420=1,F3420=""),"Fechamento sem conversa",IF(OR(AND(E3420&lt;&gt;"",E3420&lt;B3420),AND(F3420&lt;&gt;"",F3420&lt;B3420)),"Evento anterior à entrada",IF(AND(F3420&lt;&gt;"",E3420=""),"Conversa sem agendamento",IF(OR(E3420&gt;TODAY(),F3420&gt;TODAY()),"Verificar evento futuro","OK"))))))))))</f>
        <v/>
      </c>
    </row>
    <row r="3421" spans="12:15">
      <c r="L3421" s="5">
        <f>IF(OR(A3421="",B3421=""),"",B3421-WEEKDAY(B3421,2)+1)</f>
        <v/>
      </c>
      <c r="M3421" s="5">
        <f>IF(L3421="","",L3421+6)</f>
        <v/>
      </c>
      <c r="N3421" s="6">
        <f>IF(OR(A3421="",B3421=""),"",DATE(YEAR(B3421),MONTH(B3421),1))</f>
        <v/>
      </c>
      <c r="O3421" s="7">
        <f>IF(COUNTA(A3421:K3421)=0,"",IF(OR(A3421="",B3421=""),"Preencher CPF e entrada",IF(COUNTIFS($A$12:$A$5011,A3421,$B$12:$B$5011,B3421)&gt;1,"CPF + dia duplicado",IF(OR(AND(G3421&lt;&gt;"",G3421&lt;&gt;0,G3421&lt;&gt;1),AND(H3421&lt;&gt;"",H3421&lt;&gt;0,H3421&lt;&gt;1)),"Flags devem ser 0 ou 1",IF(AND(H3421=1,LEN(TRIM(I3421))=0),"Preencher nome do indicante",IF(AND(H3421&lt;&gt;1,I3421&lt;&gt;""),"Nome sem indicação interna",IF(AND(G3421=1,F3421=""),"Fechamento sem conversa",IF(OR(AND(E3421&lt;&gt;"",E3421&lt;B3421),AND(F3421&lt;&gt;"",F3421&lt;B3421)),"Evento anterior à entrada",IF(AND(F3421&lt;&gt;"",E3421=""),"Conversa sem agendamento",IF(OR(E3421&gt;TODAY(),F3421&gt;TODAY()),"Verificar evento futuro","OK"))))))))))</f>
        <v/>
      </c>
    </row>
    <row r="3422" spans="12:15">
      <c r="L3422" s="5">
        <f>IF(OR(A3422="",B3422=""),"",B3422-WEEKDAY(B3422,2)+1)</f>
        <v/>
      </c>
      <c r="M3422" s="5">
        <f>IF(L3422="","",L3422+6)</f>
        <v/>
      </c>
      <c r="N3422" s="6">
        <f>IF(OR(A3422="",B3422=""),"",DATE(YEAR(B3422),MONTH(B3422),1))</f>
        <v/>
      </c>
      <c r="O3422" s="7">
        <f>IF(COUNTA(A3422:K3422)=0,"",IF(OR(A3422="",B3422=""),"Preencher CPF e entrada",IF(COUNTIFS($A$12:$A$5011,A3422,$B$12:$B$5011,B3422)&gt;1,"CPF + dia duplicado",IF(OR(AND(G3422&lt;&gt;"",G3422&lt;&gt;0,G3422&lt;&gt;1),AND(H3422&lt;&gt;"",H3422&lt;&gt;0,H3422&lt;&gt;1)),"Flags devem ser 0 ou 1",IF(AND(H3422=1,LEN(TRIM(I3422))=0),"Preencher nome do indicante",IF(AND(H3422&lt;&gt;1,I3422&lt;&gt;""),"Nome sem indicação interna",IF(AND(G3422=1,F3422=""),"Fechamento sem conversa",IF(OR(AND(E3422&lt;&gt;"",E3422&lt;B3422),AND(F3422&lt;&gt;"",F3422&lt;B3422)),"Evento anterior à entrada",IF(AND(F3422&lt;&gt;"",E3422=""),"Conversa sem agendamento",IF(OR(E3422&gt;TODAY(),F3422&gt;TODAY()),"Verificar evento futuro","OK"))))))))))</f>
        <v/>
      </c>
    </row>
    <row r="3423" spans="12:15">
      <c r="L3423" s="5">
        <f>IF(OR(A3423="",B3423=""),"",B3423-WEEKDAY(B3423,2)+1)</f>
        <v/>
      </c>
      <c r="M3423" s="5">
        <f>IF(L3423="","",L3423+6)</f>
        <v/>
      </c>
      <c r="N3423" s="6">
        <f>IF(OR(A3423="",B3423=""),"",DATE(YEAR(B3423),MONTH(B3423),1))</f>
        <v/>
      </c>
      <c r="O3423" s="7">
        <f>IF(COUNTA(A3423:K3423)=0,"",IF(OR(A3423="",B3423=""),"Preencher CPF e entrada",IF(COUNTIFS($A$12:$A$5011,A3423,$B$12:$B$5011,B3423)&gt;1,"CPF + dia duplicado",IF(OR(AND(G3423&lt;&gt;"",G3423&lt;&gt;0,G3423&lt;&gt;1),AND(H3423&lt;&gt;"",H3423&lt;&gt;0,H3423&lt;&gt;1)),"Flags devem ser 0 ou 1",IF(AND(H3423=1,LEN(TRIM(I3423))=0),"Preencher nome do indicante",IF(AND(H3423&lt;&gt;1,I3423&lt;&gt;""),"Nome sem indicação interna",IF(AND(G3423=1,F3423=""),"Fechamento sem conversa",IF(OR(AND(E3423&lt;&gt;"",E3423&lt;B3423),AND(F3423&lt;&gt;"",F3423&lt;B3423)),"Evento anterior à entrada",IF(AND(F3423&lt;&gt;"",E3423=""),"Conversa sem agendamento",IF(OR(E3423&gt;TODAY(),F3423&gt;TODAY()),"Verificar evento futuro","OK"))))))))))</f>
        <v/>
      </c>
    </row>
    <row r="3424" spans="12:15">
      <c r="L3424" s="5">
        <f>IF(OR(A3424="",B3424=""),"",B3424-WEEKDAY(B3424,2)+1)</f>
        <v/>
      </c>
      <c r="M3424" s="5">
        <f>IF(L3424="","",L3424+6)</f>
        <v/>
      </c>
      <c r="N3424" s="6">
        <f>IF(OR(A3424="",B3424=""),"",DATE(YEAR(B3424),MONTH(B3424),1))</f>
        <v/>
      </c>
      <c r="O3424" s="7">
        <f>IF(COUNTA(A3424:K3424)=0,"",IF(OR(A3424="",B3424=""),"Preencher CPF e entrada",IF(COUNTIFS($A$12:$A$5011,A3424,$B$12:$B$5011,B3424)&gt;1,"CPF + dia duplicado",IF(OR(AND(G3424&lt;&gt;"",G3424&lt;&gt;0,G3424&lt;&gt;1),AND(H3424&lt;&gt;"",H3424&lt;&gt;0,H3424&lt;&gt;1)),"Flags devem ser 0 ou 1",IF(AND(H3424=1,LEN(TRIM(I3424))=0),"Preencher nome do indicante",IF(AND(H3424&lt;&gt;1,I3424&lt;&gt;""),"Nome sem indicação interna",IF(AND(G3424=1,F3424=""),"Fechamento sem conversa",IF(OR(AND(E3424&lt;&gt;"",E3424&lt;B3424),AND(F3424&lt;&gt;"",F3424&lt;B3424)),"Evento anterior à entrada",IF(AND(F3424&lt;&gt;"",E3424=""),"Conversa sem agendamento",IF(OR(E3424&gt;TODAY(),F3424&gt;TODAY()),"Verificar evento futuro","OK"))))))))))</f>
        <v/>
      </c>
    </row>
    <row r="3425" spans="12:15">
      <c r="L3425" s="5">
        <f>IF(OR(A3425="",B3425=""),"",B3425-WEEKDAY(B3425,2)+1)</f>
        <v/>
      </c>
      <c r="M3425" s="5">
        <f>IF(L3425="","",L3425+6)</f>
        <v/>
      </c>
      <c r="N3425" s="6">
        <f>IF(OR(A3425="",B3425=""),"",DATE(YEAR(B3425),MONTH(B3425),1))</f>
        <v/>
      </c>
      <c r="O3425" s="7">
        <f>IF(COUNTA(A3425:K3425)=0,"",IF(OR(A3425="",B3425=""),"Preencher CPF e entrada",IF(COUNTIFS($A$12:$A$5011,A3425,$B$12:$B$5011,B3425)&gt;1,"CPF + dia duplicado",IF(OR(AND(G3425&lt;&gt;"",G3425&lt;&gt;0,G3425&lt;&gt;1),AND(H3425&lt;&gt;"",H3425&lt;&gt;0,H3425&lt;&gt;1)),"Flags devem ser 0 ou 1",IF(AND(H3425=1,LEN(TRIM(I3425))=0),"Preencher nome do indicante",IF(AND(H3425&lt;&gt;1,I3425&lt;&gt;""),"Nome sem indicação interna",IF(AND(G3425=1,F3425=""),"Fechamento sem conversa",IF(OR(AND(E3425&lt;&gt;"",E3425&lt;B3425),AND(F3425&lt;&gt;"",F3425&lt;B3425)),"Evento anterior à entrada",IF(AND(F3425&lt;&gt;"",E3425=""),"Conversa sem agendamento",IF(OR(E3425&gt;TODAY(),F3425&gt;TODAY()),"Verificar evento futuro","OK"))))))))))</f>
        <v/>
      </c>
    </row>
    <row r="3426" spans="12:15">
      <c r="L3426" s="5">
        <f>IF(OR(A3426="",B3426=""),"",B3426-WEEKDAY(B3426,2)+1)</f>
        <v/>
      </c>
      <c r="M3426" s="5">
        <f>IF(L3426="","",L3426+6)</f>
        <v/>
      </c>
      <c r="N3426" s="6">
        <f>IF(OR(A3426="",B3426=""),"",DATE(YEAR(B3426),MONTH(B3426),1))</f>
        <v/>
      </c>
      <c r="O3426" s="7">
        <f>IF(COUNTA(A3426:K3426)=0,"",IF(OR(A3426="",B3426=""),"Preencher CPF e entrada",IF(COUNTIFS($A$12:$A$5011,A3426,$B$12:$B$5011,B3426)&gt;1,"CPF + dia duplicado",IF(OR(AND(G3426&lt;&gt;"",G3426&lt;&gt;0,G3426&lt;&gt;1),AND(H3426&lt;&gt;"",H3426&lt;&gt;0,H3426&lt;&gt;1)),"Flags devem ser 0 ou 1",IF(AND(H3426=1,LEN(TRIM(I3426))=0),"Preencher nome do indicante",IF(AND(H3426&lt;&gt;1,I3426&lt;&gt;""),"Nome sem indicação interna",IF(AND(G3426=1,F3426=""),"Fechamento sem conversa",IF(OR(AND(E3426&lt;&gt;"",E3426&lt;B3426),AND(F3426&lt;&gt;"",F3426&lt;B3426)),"Evento anterior à entrada",IF(AND(F3426&lt;&gt;"",E3426=""),"Conversa sem agendamento",IF(OR(E3426&gt;TODAY(),F3426&gt;TODAY()),"Verificar evento futuro","OK"))))))))))</f>
        <v/>
      </c>
    </row>
    <row r="3427" spans="12:15">
      <c r="L3427" s="5">
        <f>IF(OR(A3427="",B3427=""),"",B3427-WEEKDAY(B3427,2)+1)</f>
        <v/>
      </c>
      <c r="M3427" s="5">
        <f>IF(L3427="","",L3427+6)</f>
        <v/>
      </c>
      <c r="N3427" s="6">
        <f>IF(OR(A3427="",B3427=""),"",DATE(YEAR(B3427),MONTH(B3427),1))</f>
        <v/>
      </c>
      <c r="O3427" s="7">
        <f>IF(COUNTA(A3427:K3427)=0,"",IF(OR(A3427="",B3427=""),"Preencher CPF e entrada",IF(COUNTIFS($A$12:$A$5011,A3427,$B$12:$B$5011,B3427)&gt;1,"CPF + dia duplicado",IF(OR(AND(G3427&lt;&gt;"",G3427&lt;&gt;0,G3427&lt;&gt;1),AND(H3427&lt;&gt;"",H3427&lt;&gt;0,H3427&lt;&gt;1)),"Flags devem ser 0 ou 1",IF(AND(H3427=1,LEN(TRIM(I3427))=0),"Preencher nome do indicante",IF(AND(H3427&lt;&gt;1,I3427&lt;&gt;""),"Nome sem indicação interna",IF(AND(G3427=1,F3427=""),"Fechamento sem conversa",IF(OR(AND(E3427&lt;&gt;"",E3427&lt;B3427),AND(F3427&lt;&gt;"",F3427&lt;B3427)),"Evento anterior à entrada",IF(AND(F3427&lt;&gt;"",E3427=""),"Conversa sem agendamento",IF(OR(E3427&gt;TODAY(),F3427&gt;TODAY()),"Verificar evento futuro","OK"))))))))))</f>
        <v/>
      </c>
    </row>
    <row r="3428" spans="12:15">
      <c r="L3428" s="5">
        <f>IF(OR(A3428="",B3428=""),"",B3428-WEEKDAY(B3428,2)+1)</f>
        <v/>
      </c>
      <c r="M3428" s="5">
        <f>IF(L3428="","",L3428+6)</f>
        <v/>
      </c>
      <c r="N3428" s="6">
        <f>IF(OR(A3428="",B3428=""),"",DATE(YEAR(B3428),MONTH(B3428),1))</f>
        <v/>
      </c>
      <c r="O3428" s="7">
        <f>IF(COUNTA(A3428:K3428)=0,"",IF(OR(A3428="",B3428=""),"Preencher CPF e entrada",IF(COUNTIFS($A$12:$A$5011,A3428,$B$12:$B$5011,B3428)&gt;1,"CPF + dia duplicado",IF(OR(AND(G3428&lt;&gt;"",G3428&lt;&gt;0,G3428&lt;&gt;1),AND(H3428&lt;&gt;"",H3428&lt;&gt;0,H3428&lt;&gt;1)),"Flags devem ser 0 ou 1",IF(AND(H3428=1,LEN(TRIM(I3428))=0),"Preencher nome do indicante",IF(AND(H3428&lt;&gt;1,I3428&lt;&gt;""),"Nome sem indicação interna",IF(AND(G3428=1,F3428=""),"Fechamento sem conversa",IF(OR(AND(E3428&lt;&gt;"",E3428&lt;B3428),AND(F3428&lt;&gt;"",F3428&lt;B3428)),"Evento anterior à entrada",IF(AND(F3428&lt;&gt;"",E3428=""),"Conversa sem agendamento",IF(OR(E3428&gt;TODAY(),F3428&gt;TODAY()),"Verificar evento futuro","OK"))))))))))</f>
        <v/>
      </c>
    </row>
    <row r="3429" spans="12:15">
      <c r="L3429" s="5">
        <f>IF(OR(A3429="",B3429=""),"",B3429-WEEKDAY(B3429,2)+1)</f>
        <v/>
      </c>
      <c r="M3429" s="5">
        <f>IF(L3429="","",L3429+6)</f>
        <v/>
      </c>
      <c r="N3429" s="6">
        <f>IF(OR(A3429="",B3429=""),"",DATE(YEAR(B3429),MONTH(B3429),1))</f>
        <v/>
      </c>
      <c r="O3429" s="7">
        <f>IF(COUNTA(A3429:K3429)=0,"",IF(OR(A3429="",B3429=""),"Preencher CPF e entrada",IF(COUNTIFS($A$12:$A$5011,A3429,$B$12:$B$5011,B3429)&gt;1,"CPF + dia duplicado",IF(OR(AND(G3429&lt;&gt;"",G3429&lt;&gt;0,G3429&lt;&gt;1),AND(H3429&lt;&gt;"",H3429&lt;&gt;0,H3429&lt;&gt;1)),"Flags devem ser 0 ou 1",IF(AND(H3429=1,LEN(TRIM(I3429))=0),"Preencher nome do indicante",IF(AND(H3429&lt;&gt;1,I3429&lt;&gt;""),"Nome sem indicação interna",IF(AND(G3429=1,F3429=""),"Fechamento sem conversa",IF(OR(AND(E3429&lt;&gt;"",E3429&lt;B3429),AND(F3429&lt;&gt;"",F3429&lt;B3429)),"Evento anterior à entrada",IF(AND(F3429&lt;&gt;"",E3429=""),"Conversa sem agendamento",IF(OR(E3429&gt;TODAY(),F3429&gt;TODAY()),"Verificar evento futuro","OK"))))))))))</f>
        <v/>
      </c>
    </row>
    <row r="3430" spans="12:15">
      <c r="L3430" s="5">
        <f>IF(OR(A3430="",B3430=""),"",B3430-WEEKDAY(B3430,2)+1)</f>
        <v/>
      </c>
      <c r="M3430" s="5">
        <f>IF(L3430="","",L3430+6)</f>
        <v/>
      </c>
      <c r="N3430" s="6">
        <f>IF(OR(A3430="",B3430=""),"",DATE(YEAR(B3430),MONTH(B3430),1))</f>
        <v/>
      </c>
      <c r="O3430" s="7">
        <f>IF(COUNTA(A3430:K3430)=0,"",IF(OR(A3430="",B3430=""),"Preencher CPF e entrada",IF(COUNTIFS($A$12:$A$5011,A3430,$B$12:$B$5011,B3430)&gt;1,"CPF + dia duplicado",IF(OR(AND(G3430&lt;&gt;"",G3430&lt;&gt;0,G3430&lt;&gt;1),AND(H3430&lt;&gt;"",H3430&lt;&gt;0,H3430&lt;&gt;1)),"Flags devem ser 0 ou 1",IF(AND(H3430=1,LEN(TRIM(I3430))=0),"Preencher nome do indicante",IF(AND(H3430&lt;&gt;1,I3430&lt;&gt;""),"Nome sem indicação interna",IF(AND(G3430=1,F3430=""),"Fechamento sem conversa",IF(OR(AND(E3430&lt;&gt;"",E3430&lt;B3430),AND(F3430&lt;&gt;"",F3430&lt;B3430)),"Evento anterior à entrada",IF(AND(F3430&lt;&gt;"",E3430=""),"Conversa sem agendamento",IF(OR(E3430&gt;TODAY(),F3430&gt;TODAY()),"Verificar evento futuro","OK"))))))))))</f>
        <v/>
      </c>
    </row>
    <row r="3431" spans="12:15">
      <c r="L3431" s="5">
        <f>IF(OR(A3431="",B3431=""),"",B3431-WEEKDAY(B3431,2)+1)</f>
        <v/>
      </c>
      <c r="M3431" s="5">
        <f>IF(L3431="","",L3431+6)</f>
        <v/>
      </c>
      <c r="N3431" s="6">
        <f>IF(OR(A3431="",B3431=""),"",DATE(YEAR(B3431),MONTH(B3431),1))</f>
        <v/>
      </c>
      <c r="O3431" s="7">
        <f>IF(COUNTA(A3431:K3431)=0,"",IF(OR(A3431="",B3431=""),"Preencher CPF e entrada",IF(COUNTIFS($A$12:$A$5011,A3431,$B$12:$B$5011,B3431)&gt;1,"CPF + dia duplicado",IF(OR(AND(G3431&lt;&gt;"",G3431&lt;&gt;0,G3431&lt;&gt;1),AND(H3431&lt;&gt;"",H3431&lt;&gt;0,H3431&lt;&gt;1)),"Flags devem ser 0 ou 1",IF(AND(H3431=1,LEN(TRIM(I3431))=0),"Preencher nome do indicante",IF(AND(H3431&lt;&gt;1,I3431&lt;&gt;""),"Nome sem indicação interna",IF(AND(G3431=1,F3431=""),"Fechamento sem conversa",IF(OR(AND(E3431&lt;&gt;"",E3431&lt;B3431),AND(F3431&lt;&gt;"",F3431&lt;B3431)),"Evento anterior à entrada",IF(AND(F3431&lt;&gt;"",E3431=""),"Conversa sem agendamento",IF(OR(E3431&gt;TODAY(),F3431&gt;TODAY()),"Verificar evento futuro","OK"))))))))))</f>
        <v/>
      </c>
    </row>
    <row r="3432" spans="12:15">
      <c r="L3432" s="5">
        <f>IF(OR(A3432="",B3432=""),"",B3432-WEEKDAY(B3432,2)+1)</f>
        <v/>
      </c>
      <c r="M3432" s="5">
        <f>IF(L3432="","",L3432+6)</f>
        <v/>
      </c>
      <c r="N3432" s="6">
        <f>IF(OR(A3432="",B3432=""),"",DATE(YEAR(B3432),MONTH(B3432),1))</f>
        <v/>
      </c>
      <c r="O3432" s="7">
        <f>IF(COUNTA(A3432:K3432)=0,"",IF(OR(A3432="",B3432=""),"Preencher CPF e entrada",IF(COUNTIFS($A$12:$A$5011,A3432,$B$12:$B$5011,B3432)&gt;1,"CPF + dia duplicado",IF(OR(AND(G3432&lt;&gt;"",G3432&lt;&gt;0,G3432&lt;&gt;1),AND(H3432&lt;&gt;"",H3432&lt;&gt;0,H3432&lt;&gt;1)),"Flags devem ser 0 ou 1",IF(AND(H3432=1,LEN(TRIM(I3432))=0),"Preencher nome do indicante",IF(AND(H3432&lt;&gt;1,I3432&lt;&gt;""),"Nome sem indicação interna",IF(AND(G3432=1,F3432=""),"Fechamento sem conversa",IF(OR(AND(E3432&lt;&gt;"",E3432&lt;B3432),AND(F3432&lt;&gt;"",F3432&lt;B3432)),"Evento anterior à entrada",IF(AND(F3432&lt;&gt;"",E3432=""),"Conversa sem agendamento",IF(OR(E3432&gt;TODAY(),F3432&gt;TODAY()),"Verificar evento futuro","OK"))))))))))</f>
        <v/>
      </c>
    </row>
    <row r="3433" spans="12:15">
      <c r="L3433" s="5">
        <f>IF(OR(A3433="",B3433=""),"",B3433-WEEKDAY(B3433,2)+1)</f>
        <v/>
      </c>
      <c r="M3433" s="5">
        <f>IF(L3433="","",L3433+6)</f>
        <v/>
      </c>
      <c r="N3433" s="6">
        <f>IF(OR(A3433="",B3433=""),"",DATE(YEAR(B3433),MONTH(B3433),1))</f>
        <v/>
      </c>
      <c r="O3433" s="7">
        <f>IF(COUNTA(A3433:K3433)=0,"",IF(OR(A3433="",B3433=""),"Preencher CPF e entrada",IF(COUNTIFS($A$12:$A$5011,A3433,$B$12:$B$5011,B3433)&gt;1,"CPF + dia duplicado",IF(OR(AND(G3433&lt;&gt;"",G3433&lt;&gt;0,G3433&lt;&gt;1),AND(H3433&lt;&gt;"",H3433&lt;&gt;0,H3433&lt;&gt;1)),"Flags devem ser 0 ou 1",IF(AND(H3433=1,LEN(TRIM(I3433))=0),"Preencher nome do indicante",IF(AND(H3433&lt;&gt;1,I3433&lt;&gt;""),"Nome sem indicação interna",IF(AND(G3433=1,F3433=""),"Fechamento sem conversa",IF(OR(AND(E3433&lt;&gt;"",E3433&lt;B3433),AND(F3433&lt;&gt;"",F3433&lt;B3433)),"Evento anterior à entrada",IF(AND(F3433&lt;&gt;"",E3433=""),"Conversa sem agendamento",IF(OR(E3433&gt;TODAY(),F3433&gt;TODAY()),"Verificar evento futuro","OK"))))))))))</f>
        <v/>
      </c>
    </row>
    <row r="3434" spans="12:15">
      <c r="L3434" s="5">
        <f>IF(OR(A3434="",B3434=""),"",B3434-WEEKDAY(B3434,2)+1)</f>
        <v/>
      </c>
      <c r="M3434" s="5">
        <f>IF(L3434="","",L3434+6)</f>
        <v/>
      </c>
      <c r="N3434" s="6">
        <f>IF(OR(A3434="",B3434=""),"",DATE(YEAR(B3434),MONTH(B3434),1))</f>
        <v/>
      </c>
      <c r="O3434" s="7">
        <f>IF(COUNTA(A3434:K3434)=0,"",IF(OR(A3434="",B3434=""),"Preencher CPF e entrada",IF(COUNTIFS($A$12:$A$5011,A3434,$B$12:$B$5011,B3434)&gt;1,"CPF + dia duplicado",IF(OR(AND(G3434&lt;&gt;"",G3434&lt;&gt;0,G3434&lt;&gt;1),AND(H3434&lt;&gt;"",H3434&lt;&gt;0,H3434&lt;&gt;1)),"Flags devem ser 0 ou 1",IF(AND(H3434=1,LEN(TRIM(I3434))=0),"Preencher nome do indicante",IF(AND(H3434&lt;&gt;1,I3434&lt;&gt;""),"Nome sem indicação interna",IF(AND(G3434=1,F3434=""),"Fechamento sem conversa",IF(OR(AND(E3434&lt;&gt;"",E3434&lt;B3434),AND(F3434&lt;&gt;"",F3434&lt;B3434)),"Evento anterior à entrada",IF(AND(F3434&lt;&gt;"",E3434=""),"Conversa sem agendamento",IF(OR(E3434&gt;TODAY(),F3434&gt;TODAY()),"Verificar evento futuro","OK"))))))))))</f>
        <v/>
      </c>
    </row>
    <row r="3435" spans="12:15">
      <c r="L3435" s="5">
        <f>IF(OR(A3435="",B3435=""),"",B3435-WEEKDAY(B3435,2)+1)</f>
        <v/>
      </c>
      <c r="M3435" s="5">
        <f>IF(L3435="","",L3435+6)</f>
        <v/>
      </c>
      <c r="N3435" s="6">
        <f>IF(OR(A3435="",B3435=""),"",DATE(YEAR(B3435),MONTH(B3435),1))</f>
        <v/>
      </c>
      <c r="O3435" s="7">
        <f>IF(COUNTA(A3435:K3435)=0,"",IF(OR(A3435="",B3435=""),"Preencher CPF e entrada",IF(COUNTIFS($A$12:$A$5011,A3435,$B$12:$B$5011,B3435)&gt;1,"CPF + dia duplicado",IF(OR(AND(G3435&lt;&gt;"",G3435&lt;&gt;0,G3435&lt;&gt;1),AND(H3435&lt;&gt;"",H3435&lt;&gt;0,H3435&lt;&gt;1)),"Flags devem ser 0 ou 1",IF(AND(H3435=1,LEN(TRIM(I3435))=0),"Preencher nome do indicante",IF(AND(H3435&lt;&gt;1,I3435&lt;&gt;""),"Nome sem indicação interna",IF(AND(G3435=1,F3435=""),"Fechamento sem conversa",IF(OR(AND(E3435&lt;&gt;"",E3435&lt;B3435),AND(F3435&lt;&gt;"",F3435&lt;B3435)),"Evento anterior à entrada",IF(AND(F3435&lt;&gt;"",E3435=""),"Conversa sem agendamento",IF(OR(E3435&gt;TODAY(),F3435&gt;TODAY()),"Verificar evento futuro","OK"))))))))))</f>
        <v/>
      </c>
    </row>
    <row r="3436" spans="12:15">
      <c r="L3436" s="5">
        <f>IF(OR(A3436="",B3436=""),"",B3436-WEEKDAY(B3436,2)+1)</f>
        <v/>
      </c>
      <c r="M3436" s="5">
        <f>IF(L3436="","",L3436+6)</f>
        <v/>
      </c>
      <c r="N3436" s="6">
        <f>IF(OR(A3436="",B3436=""),"",DATE(YEAR(B3436),MONTH(B3436),1))</f>
        <v/>
      </c>
      <c r="O3436" s="7">
        <f>IF(COUNTA(A3436:K3436)=0,"",IF(OR(A3436="",B3436=""),"Preencher CPF e entrada",IF(COUNTIFS($A$12:$A$5011,A3436,$B$12:$B$5011,B3436)&gt;1,"CPF + dia duplicado",IF(OR(AND(G3436&lt;&gt;"",G3436&lt;&gt;0,G3436&lt;&gt;1),AND(H3436&lt;&gt;"",H3436&lt;&gt;0,H3436&lt;&gt;1)),"Flags devem ser 0 ou 1",IF(AND(H3436=1,LEN(TRIM(I3436))=0),"Preencher nome do indicante",IF(AND(H3436&lt;&gt;1,I3436&lt;&gt;""),"Nome sem indicação interna",IF(AND(G3436=1,F3436=""),"Fechamento sem conversa",IF(OR(AND(E3436&lt;&gt;"",E3436&lt;B3436),AND(F3436&lt;&gt;"",F3436&lt;B3436)),"Evento anterior à entrada",IF(AND(F3436&lt;&gt;"",E3436=""),"Conversa sem agendamento",IF(OR(E3436&gt;TODAY(),F3436&gt;TODAY()),"Verificar evento futuro","OK"))))))))))</f>
        <v/>
      </c>
    </row>
    <row r="3437" spans="12:15">
      <c r="L3437" s="5">
        <f>IF(OR(A3437="",B3437=""),"",B3437-WEEKDAY(B3437,2)+1)</f>
        <v/>
      </c>
      <c r="M3437" s="5">
        <f>IF(L3437="","",L3437+6)</f>
        <v/>
      </c>
      <c r="N3437" s="6">
        <f>IF(OR(A3437="",B3437=""),"",DATE(YEAR(B3437),MONTH(B3437),1))</f>
        <v/>
      </c>
      <c r="O3437" s="7">
        <f>IF(COUNTA(A3437:K3437)=0,"",IF(OR(A3437="",B3437=""),"Preencher CPF e entrada",IF(COUNTIFS($A$12:$A$5011,A3437,$B$12:$B$5011,B3437)&gt;1,"CPF + dia duplicado",IF(OR(AND(G3437&lt;&gt;"",G3437&lt;&gt;0,G3437&lt;&gt;1),AND(H3437&lt;&gt;"",H3437&lt;&gt;0,H3437&lt;&gt;1)),"Flags devem ser 0 ou 1",IF(AND(H3437=1,LEN(TRIM(I3437))=0),"Preencher nome do indicante",IF(AND(H3437&lt;&gt;1,I3437&lt;&gt;""),"Nome sem indicação interna",IF(AND(G3437=1,F3437=""),"Fechamento sem conversa",IF(OR(AND(E3437&lt;&gt;"",E3437&lt;B3437),AND(F3437&lt;&gt;"",F3437&lt;B3437)),"Evento anterior à entrada",IF(AND(F3437&lt;&gt;"",E3437=""),"Conversa sem agendamento",IF(OR(E3437&gt;TODAY(),F3437&gt;TODAY()),"Verificar evento futuro","OK"))))))))))</f>
        <v/>
      </c>
    </row>
    <row r="3438" spans="12:15">
      <c r="L3438" s="5">
        <f>IF(OR(A3438="",B3438=""),"",B3438-WEEKDAY(B3438,2)+1)</f>
        <v/>
      </c>
      <c r="M3438" s="5">
        <f>IF(L3438="","",L3438+6)</f>
        <v/>
      </c>
      <c r="N3438" s="6">
        <f>IF(OR(A3438="",B3438=""),"",DATE(YEAR(B3438),MONTH(B3438),1))</f>
        <v/>
      </c>
      <c r="O3438" s="7">
        <f>IF(COUNTA(A3438:K3438)=0,"",IF(OR(A3438="",B3438=""),"Preencher CPF e entrada",IF(COUNTIFS($A$12:$A$5011,A3438,$B$12:$B$5011,B3438)&gt;1,"CPF + dia duplicado",IF(OR(AND(G3438&lt;&gt;"",G3438&lt;&gt;0,G3438&lt;&gt;1),AND(H3438&lt;&gt;"",H3438&lt;&gt;0,H3438&lt;&gt;1)),"Flags devem ser 0 ou 1",IF(AND(H3438=1,LEN(TRIM(I3438))=0),"Preencher nome do indicante",IF(AND(H3438&lt;&gt;1,I3438&lt;&gt;""),"Nome sem indicação interna",IF(AND(G3438=1,F3438=""),"Fechamento sem conversa",IF(OR(AND(E3438&lt;&gt;"",E3438&lt;B3438),AND(F3438&lt;&gt;"",F3438&lt;B3438)),"Evento anterior à entrada",IF(AND(F3438&lt;&gt;"",E3438=""),"Conversa sem agendamento",IF(OR(E3438&gt;TODAY(),F3438&gt;TODAY()),"Verificar evento futuro","OK"))))))))))</f>
        <v/>
      </c>
    </row>
    <row r="3439" spans="12:15">
      <c r="L3439" s="5">
        <f>IF(OR(A3439="",B3439=""),"",B3439-WEEKDAY(B3439,2)+1)</f>
        <v/>
      </c>
      <c r="M3439" s="5">
        <f>IF(L3439="","",L3439+6)</f>
        <v/>
      </c>
      <c r="N3439" s="6">
        <f>IF(OR(A3439="",B3439=""),"",DATE(YEAR(B3439),MONTH(B3439),1))</f>
        <v/>
      </c>
      <c r="O3439" s="7">
        <f>IF(COUNTA(A3439:K3439)=0,"",IF(OR(A3439="",B3439=""),"Preencher CPF e entrada",IF(COUNTIFS($A$12:$A$5011,A3439,$B$12:$B$5011,B3439)&gt;1,"CPF + dia duplicado",IF(OR(AND(G3439&lt;&gt;"",G3439&lt;&gt;0,G3439&lt;&gt;1),AND(H3439&lt;&gt;"",H3439&lt;&gt;0,H3439&lt;&gt;1)),"Flags devem ser 0 ou 1",IF(AND(H3439=1,LEN(TRIM(I3439))=0),"Preencher nome do indicante",IF(AND(H3439&lt;&gt;1,I3439&lt;&gt;""),"Nome sem indicação interna",IF(AND(G3439=1,F3439=""),"Fechamento sem conversa",IF(OR(AND(E3439&lt;&gt;"",E3439&lt;B3439),AND(F3439&lt;&gt;"",F3439&lt;B3439)),"Evento anterior à entrada",IF(AND(F3439&lt;&gt;"",E3439=""),"Conversa sem agendamento",IF(OR(E3439&gt;TODAY(),F3439&gt;TODAY()),"Verificar evento futuro","OK"))))))))))</f>
        <v/>
      </c>
    </row>
    <row r="3440" spans="12:15">
      <c r="L3440" s="5">
        <f>IF(OR(A3440="",B3440=""),"",B3440-WEEKDAY(B3440,2)+1)</f>
        <v/>
      </c>
      <c r="M3440" s="5">
        <f>IF(L3440="","",L3440+6)</f>
        <v/>
      </c>
      <c r="N3440" s="6">
        <f>IF(OR(A3440="",B3440=""),"",DATE(YEAR(B3440),MONTH(B3440),1))</f>
        <v/>
      </c>
      <c r="O3440" s="7">
        <f>IF(COUNTA(A3440:K3440)=0,"",IF(OR(A3440="",B3440=""),"Preencher CPF e entrada",IF(COUNTIFS($A$12:$A$5011,A3440,$B$12:$B$5011,B3440)&gt;1,"CPF + dia duplicado",IF(OR(AND(G3440&lt;&gt;"",G3440&lt;&gt;0,G3440&lt;&gt;1),AND(H3440&lt;&gt;"",H3440&lt;&gt;0,H3440&lt;&gt;1)),"Flags devem ser 0 ou 1",IF(AND(H3440=1,LEN(TRIM(I3440))=0),"Preencher nome do indicante",IF(AND(H3440&lt;&gt;1,I3440&lt;&gt;""),"Nome sem indicação interna",IF(AND(G3440=1,F3440=""),"Fechamento sem conversa",IF(OR(AND(E3440&lt;&gt;"",E3440&lt;B3440),AND(F3440&lt;&gt;"",F3440&lt;B3440)),"Evento anterior à entrada",IF(AND(F3440&lt;&gt;"",E3440=""),"Conversa sem agendamento",IF(OR(E3440&gt;TODAY(),F3440&gt;TODAY()),"Verificar evento futuro","OK"))))))))))</f>
        <v/>
      </c>
    </row>
    <row r="3441" spans="12:15">
      <c r="L3441" s="5">
        <f>IF(OR(A3441="",B3441=""),"",B3441-WEEKDAY(B3441,2)+1)</f>
        <v/>
      </c>
      <c r="M3441" s="5">
        <f>IF(L3441="","",L3441+6)</f>
        <v/>
      </c>
      <c r="N3441" s="6">
        <f>IF(OR(A3441="",B3441=""),"",DATE(YEAR(B3441),MONTH(B3441),1))</f>
        <v/>
      </c>
      <c r="O3441" s="7">
        <f>IF(COUNTA(A3441:K3441)=0,"",IF(OR(A3441="",B3441=""),"Preencher CPF e entrada",IF(COUNTIFS($A$12:$A$5011,A3441,$B$12:$B$5011,B3441)&gt;1,"CPF + dia duplicado",IF(OR(AND(G3441&lt;&gt;"",G3441&lt;&gt;0,G3441&lt;&gt;1),AND(H3441&lt;&gt;"",H3441&lt;&gt;0,H3441&lt;&gt;1)),"Flags devem ser 0 ou 1",IF(AND(H3441=1,LEN(TRIM(I3441))=0),"Preencher nome do indicante",IF(AND(H3441&lt;&gt;1,I3441&lt;&gt;""),"Nome sem indicação interna",IF(AND(G3441=1,F3441=""),"Fechamento sem conversa",IF(OR(AND(E3441&lt;&gt;"",E3441&lt;B3441),AND(F3441&lt;&gt;"",F3441&lt;B3441)),"Evento anterior à entrada",IF(AND(F3441&lt;&gt;"",E3441=""),"Conversa sem agendamento",IF(OR(E3441&gt;TODAY(),F3441&gt;TODAY()),"Verificar evento futuro","OK"))))))))))</f>
        <v/>
      </c>
    </row>
    <row r="3442" spans="12:15">
      <c r="L3442" s="5">
        <f>IF(OR(A3442="",B3442=""),"",B3442-WEEKDAY(B3442,2)+1)</f>
        <v/>
      </c>
      <c r="M3442" s="5">
        <f>IF(L3442="","",L3442+6)</f>
        <v/>
      </c>
      <c r="N3442" s="6">
        <f>IF(OR(A3442="",B3442=""),"",DATE(YEAR(B3442),MONTH(B3442),1))</f>
        <v/>
      </c>
      <c r="O3442" s="7">
        <f>IF(COUNTA(A3442:K3442)=0,"",IF(OR(A3442="",B3442=""),"Preencher CPF e entrada",IF(COUNTIFS($A$12:$A$5011,A3442,$B$12:$B$5011,B3442)&gt;1,"CPF + dia duplicado",IF(OR(AND(G3442&lt;&gt;"",G3442&lt;&gt;0,G3442&lt;&gt;1),AND(H3442&lt;&gt;"",H3442&lt;&gt;0,H3442&lt;&gt;1)),"Flags devem ser 0 ou 1",IF(AND(H3442=1,LEN(TRIM(I3442))=0),"Preencher nome do indicante",IF(AND(H3442&lt;&gt;1,I3442&lt;&gt;""),"Nome sem indicação interna",IF(AND(G3442=1,F3442=""),"Fechamento sem conversa",IF(OR(AND(E3442&lt;&gt;"",E3442&lt;B3442),AND(F3442&lt;&gt;"",F3442&lt;B3442)),"Evento anterior à entrada",IF(AND(F3442&lt;&gt;"",E3442=""),"Conversa sem agendamento",IF(OR(E3442&gt;TODAY(),F3442&gt;TODAY()),"Verificar evento futuro","OK"))))))))))</f>
        <v/>
      </c>
    </row>
    <row r="3443" spans="12:15">
      <c r="L3443" s="5">
        <f>IF(OR(A3443="",B3443=""),"",B3443-WEEKDAY(B3443,2)+1)</f>
        <v/>
      </c>
      <c r="M3443" s="5">
        <f>IF(L3443="","",L3443+6)</f>
        <v/>
      </c>
      <c r="N3443" s="6">
        <f>IF(OR(A3443="",B3443=""),"",DATE(YEAR(B3443),MONTH(B3443),1))</f>
        <v/>
      </c>
      <c r="O3443" s="7">
        <f>IF(COUNTA(A3443:K3443)=0,"",IF(OR(A3443="",B3443=""),"Preencher CPF e entrada",IF(COUNTIFS($A$12:$A$5011,A3443,$B$12:$B$5011,B3443)&gt;1,"CPF + dia duplicado",IF(OR(AND(G3443&lt;&gt;"",G3443&lt;&gt;0,G3443&lt;&gt;1),AND(H3443&lt;&gt;"",H3443&lt;&gt;0,H3443&lt;&gt;1)),"Flags devem ser 0 ou 1",IF(AND(H3443=1,LEN(TRIM(I3443))=0),"Preencher nome do indicante",IF(AND(H3443&lt;&gt;1,I3443&lt;&gt;""),"Nome sem indicação interna",IF(AND(G3443=1,F3443=""),"Fechamento sem conversa",IF(OR(AND(E3443&lt;&gt;"",E3443&lt;B3443),AND(F3443&lt;&gt;"",F3443&lt;B3443)),"Evento anterior à entrada",IF(AND(F3443&lt;&gt;"",E3443=""),"Conversa sem agendamento",IF(OR(E3443&gt;TODAY(),F3443&gt;TODAY()),"Verificar evento futuro","OK"))))))))))</f>
        <v/>
      </c>
    </row>
    <row r="3444" spans="12:15">
      <c r="L3444" s="5">
        <f>IF(OR(A3444="",B3444=""),"",B3444-WEEKDAY(B3444,2)+1)</f>
        <v/>
      </c>
      <c r="M3444" s="5">
        <f>IF(L3444="","",L3444+6)</f>
        <v/>
      </c>
      <c r="N3444" s="6">
        <f>IF(OR(A3444="",B3444=""),"",DATE(YEAR(B3444),MONTH(B3444),1))</f>
        <v/>
      </c>
      <c r="O3444" s="7">
        <f>IF(COUNTA(A3444:K3444)=0,"",IF(OR(A3444="",B3444=""),"Preencher CPF e entrada",IF(COUNTIFS($A$12:$A$5011,A3444,$B$12:$B$5011,B3444)&gt;1,"CPF + dia duplicado",IF(OR(AND(G3444&lt;&gt;"",G3444&lt;&gt;0,G3444&lt;&gt;1),AND(H3444&lt;&gt;"",H3444&lt;&gt;0,H3444&lt;&gt;1)),"Flags devem ser 0 ou 1",IF(AND(H3444=1,LEN(TRIM(I3444))=0),"Preencher nome do indicante",IF(AND(H3444&lt;&gt;1,I3444&lt;&gt;""),"Nome sem indicação interna",IF(AND(G3444=1,F3444=""),"Fechamento sem conversa",IF(OR(AND(E3444&lt;&gt;"",E3444&lt;B3444),AND(F3444&lt;&gt;"",F3444&lt;B3444)),"Evento anterior à entrada",IF(AND(F3444&lt;&gt;"",E3444=""),"Conversa sem agendamento",IF(OR(E3444&gt;TODAY(),F3444&gt;TODAY()),"Verificar evento futuro","OK"))))))))))</f>
        <v/>
      </c>
    </row>
    <row r="3445" spans="12:15">
      <c r="L3445" s="5">
        <f>IF(OR(A3445="",B3445=""),"",B3445-WEEKDAY(B3445,2)+1)</f>
        <v/>
      </c>
      <c r="M3445" s="5">
        <f>IF(L3445="","",L3445+6)</f>
        <v/>
      </c>
      <c r="N3445" s="6">
        <f>IF(OR(A3445="",B3445=""),"",DATE(YEAR(B3445),MONTH(B3445),1))</f>
        <v/>
      </c>
      <c r="O3445" s="7">
        <f>IF(COUNTA(A3445:K3445)=0,"",IF(OR(A3445="",B3445=""),"Preencher CPF e entrada",IF(COUNTIFS($A$12:$A$5011,A3445,$B$12:$B$5011,B3445)&gt;1,"CPF + dia duplicado",IF(OR(AND(G3445&lt;&gt;"",G3445&lt;&gt;0,G3445&lt;&gt;1),AND(H3445&lt;&gt;"",H3445&lt;&gt;0,H3445&lt;&gt;1)),"Flags devem ser 0 ou 1",IF(AND(H3445=1,LEN(TRIM(I3445))=0),"Preencher nome do indicante",IF(AND(H3445&lt;&gt;1,I3445&lt;&gt;""),"Nome sem indicação interna",IF(AND(G3445=1,F3445=""),"Fechamento sem conversa",IF(OR(AND(E3445&lt;&gt;"",E3445&lt;B3445),AND(F3445&lt;&gt;"",F3445&lt;B3445)),"Evento anterior à entrada",IF(AND(F3445&lt;&gt;"",E3445=""),"Conversa sem agendamento",IF(OR(E3445&gt;TODAY(),F3445&gt;TODAY()),"Verificar evento futuro","OK"))))))))))</f>
        <v/>
      </c>
    </row>
    <row r="3446" spans="12:15">
      <c r="L3446" s="5">
        <f>IF(OR(A3446="",B3446=""),"",B3446-WEEKDAY(B3446,2)+1)</f>
        <v/>
      </c>
      <c r="M3446" s="5">
        <f>IF(L3446="","",L3446+6)</f>
        <v/>
      </c>
      <c r="N3446" s="6">
        <f>IF(OR(A3446="",B3446=""),"",DATE(YEAR(B3446),MONTH(B3446),1))</f>
        <v/>
      </c>
      <c r="O3446" s="7">
        <f>IF(COUNTA(A3446:K3446)=0,"",IF(OR(A3446="",B3446=""),"Preencher CPF e entrada",IF(COUNTIFS($A$12:$A$5011,A3446,$B$12:$B$5011,B3446)&gt;1,"CPF + dia duplicado",IF(OR(AND(G3446&lt;&gt;"",G3446&lt;&gt;0,G3446&lt;&gt;1),AND(H3446&lt;&gt;"",H3446&lt;&gt;0,H3446&lt;&gt;1)),"Flags devem ser 0 ou 1",IF(AND(H3446=1,LEN(TRIM(I3446))=0),"Preencher nome do indicante",IF(AND(H3446&lt;&gt;1,I3446&lt;&gt;""),"Nome sem indicação interna",IF(AND(G3446=1,F3446=""),"Fechamento sem conversa",IF(OR(AND(E3446&lt;&gt;"",E3446&lt;B3446),AND(F3446&lt;&gt;"",F3446&lt;B3446)),"Evento anterior à entrada",IF(AND(F3446&lt;&gt;"",E3446=""),"Conversa sem agendamento",IF(OR(E3446&gt;TODAY(),F3446&gt;TODAY()),"Verificar evento futuro","OK"))))))))))</f>
        <v/>
      </c>
    </row>
    <row r="3447" spans="12:15">
      <c r="L3447" s="5">
        <f>IF(OR(A3447="",B3447=""),"",B3447-WEEKDAY(B3447,2)+1)</f>
        <v/>
      </c>
      <c r="M3447" s="5">
        <f>IF(L3447="","",L3447+6)</f>
        <v/>
      </c>
      <c r="N3447" s="6">
        <f>IF(OR(A3447="",B3447=""),"",DATE(YEAR(B3447),MONTH(B3447),1))</f>
        <v/>
      </c>
      <c r="O3447" s="7">
        <f>IF(COUNTA(A3447:K3447)=0,"",IF(OR(A3447="",B3447=""),"Preencher CPF e entrada",IF(COUNTIFS($A$12:$A$5011,A3447,$B$12:$B$5011,B3447)&gt;1,"CPF + dia duplicado",IF(OR(AND(G3447&lt;&gt;"",G3447&lt;&gt;0,G3447&lt;&gt;1),AND(H3447&lt;&gt;"",H3447&lt;&gt;0,H3447&lt;&gt;1)),"Flags devem ser 0 ou 1",IF(AND(H3447=1,LEN(TRIM(I3447))=0),"Preencher nome do indicante",IF(AND(H3447&lt;&gt;1,I3447&lt;&gt;""),"Nome sem indicação interna",IF(AND(G3447=1,F3447=""),"Fechamento sem conversa",IF(OR(AND(E3447&lt;&gt;"",E3447&lt;B3447),AND(F3447&lt;&gt;"",F3447&lt;B3447)),"Evento anterior à entrada",IF(AND(F3447&lt;&gt;"",E3447=""),"Conversa sem agendamento",IF(OR(E3447&gt;TODAY(),F3447&gt;TODAY()),"Verificar evento futuro","OK"))))))))))</f>
        <v/>
      </c>
    </row>
    <row r="3448" spans="12:15">
      <c r="L3448" s="5">
        <f>IF(OR(A3448="",B3448=""),"",B3448-WEEKDAY(B3448,2)+1)</f>
        <v/>
      </c>
      <c r="M3448" s="5">
        <f>IF(L3448="","",L3448+6)</f>
        <v/>
      </c>
      <c r="N3448" s="6">
        <f>IF(OR(A3448="",B3448=""),"",DATE(YEAR(B3448),MONTH(B3448),1))</f>
        <v/>
      </c>
      <c r="O3448" s="7">
        <f>IF(COUNTA(A3448:K3448)=0,"",IF(OR(A3448="",B3448=""),"Preencher CPF e entrada",IF(COUNTIFS($A$12:$A$5011,A3448,$B$12:$B$5011,B3448)&gt;1,"CPF + dia duplicado",IF(OR(AND(G3448&lt;&gt;"",G3448&lt;&gt;0,G3448&lt;&gt;1),AND(H3448&lt;&gt;"",H3448&lt;&gt;0,H3448&lt;&gt;1)),"Flags devem ser 0 ou 1",IF(AND(H3448=1,LEN(TRIM(I3448))=0),"Preencher nome do indicante",IF(AND(H3448&lt;&gt;1,I3448&lt;&gt;""),"Nome sem indicação interna",IF(AND(G3448=1,F3448=""),"Fechamento sem conversa",IF(OR(AND(E3448&lt;&gt;"",E3448&lt;B3448),AND(F3448&lt;&gt;"",F3448&lt;B3448)),"Evento anterior à entrada",IF(AND(F3448&lt;&gt;"",E3448=""),"Conversa sem agendamento",IF(OR(E3448&gt;TODAY(),F3448&gt;TODAY()),"Verificar evento futuro","OK"))))))))))</f>
        <v/>
      </c>
    </row>
    <row r="3449" spans="12:15">
      <c r="L3449" s="5">
        <f>IF(OR(A3449="",B3449=""),"",B3449-WEEKDAY(B3449,2)+1)</f>
        <v/>
      </c>
      <c r="M3449" s="5">
        <f>IF(L3449="","",L3449+6)</f>
        <v/>
      </c>
      <c r="N3449" s="6">
        <f>IF(OR(A3449="",B3449=""),"",DATE(YEAR(B3449),MONTH(B3449),1))</f>
        <v/>
      </c>
      <c r="O3449" s="7">
        <f>IF(COUNTA(A3449:K3449)=0,"",IF(OR(A3449="",B3449=""),"Preencher CPF e entrada",IF(COUNTIFS($A$12:$A$5011,A3449,$B$12:$B$5011,B3449)&gt;1,"CPF + dia duplicado",IF(OR(AND(G3449&lt;&gt;"",G3449&lt;&gt;0,G3449&lt;&gt;1),AND(H3449&lt;&gt;"",H3449&lt;&gt;0,H3449&lt;&gt;1)),"Flags devem ser 0 ou 1",IF(AND(H3449=1,LEN(TRIM(I3449))=0),"Preencher nome do indicante",IF(AND(H3449&lt;&gt;1,I3449&lt;&gt;""),"Nome sem indicação interna",IF(AND(G3449=1,F3449=""),"Fechamento sem conversa",IF(OR(AND(E3449&lt;&gt;"",E3449&lt;B3449),AND(F3449&lt;&gt;"",F3449&lt;B3449)),"Evento anterior à entrada",IF(AND(F3449&lt;&gt;"",E3449=""),"Conversa sem agendamento",IF(OR(E3449&gt;TODAY(),F3449&gt;TODAY()),"Verificar evento futuro","OK"))))))))))</f>
        <v/>
      </c>
    </row>
    <row r="3450" spans="12:15">
      <c r="L3450" s="5">
        <f>IF(OR(A3450="",B3450=""),"",B3450-WEEKDAY(B3450,2)+1)</f>
        <v/>
      </c>
      <c r="M3450" s="5">
        <f>IF(L3450="","",L3450+6)</f>
        <v/>
      </c>
      <c r="N3450" s="6">
        <f>IF(OR(A3450="",B3450=""),"",DATE(YEAR(B3450),MONTH(B3450),1))</f>
        <v/>
      </c>
      <c r="O3450" s="7">
        <f>IF(COUNTA(A3450:K3450)=0,"",IF(OR(A3450="",B3450=""),"Preencher CPF e entrada",IF(COUNTIFS($A$12:$A$5011,A3450,$B$12:$B$5011,B3450)&gt;1,"CPF + dia duplicado",IF(OR(AND(G3450&lt;&gt;"",G3450&lt;&gt;0,G3450&lt;&gt;1),AND(H3450&lt;&gt;"",H3450&lt;&gt;0,H3450&lt;&gt;1)),"Flags devem ser 0 ou 1",IF(AND(H3450=1,LEN(TRIM(I3450))=0),"Preencher nome do indicante",IF(AND(H3450&lt;&gt;1,I3450&lt;&gt;""),"Nome sem indicação interna",IF(AND(G3450=1,F3450=""),"Fechamento sem conversa",IF(OR(AND(E3450&lt;&gt;"",E3450&lt;B3450),AND(F3450&lt;&gt;"",F3450&lt;B3450)),"Evento anterior à entrada",IF(AND(F3450&lt;&gt;"",E3450=""),"Conversa sem agendamento",IF(OR(E3450&gt;TODAY(),F3450&gt;TODAY()),"Verificar evento futuro","OK"))))))))))</f>
        <v/>
      </c>
    </row>
    <row r="3451" spans="12:15">
      <c r="L3451" s="5">
        <f>IF(OR(A3451="",B3451=""),"",B3451-WEEKDAY(B3451,2)+1)</f>
        <v/>
      </c>
      <c r="M3451" s="5">
        <f>IF(L3451="","",L3451+6)</f>
        <v/>
      </c>
      <c r="N3451" s="6">
        <f>IF(OR(A3451="",B3451=""),"",DATE(YEAR(B3451),MONTH(B3451),1))</f>
        <v/>
      </c>
      <c r="O3451" s="7">
        <f>IF(COUNTA(A3451:K3451)=0,"",IF(OR(A3451="",B3451=""),"Preencher CPF e entrada",IF(COUNTIFS($A$12:$A$5011,A3451,$B$12:$B$5011,B3451)&gt;1,"CPF + dia duplicado",IF(OR(AND(G3451&lt;&gt;"",G3451&lt;&gt;0,G3451&lt;&gt;1),AND(H3451&lt;&gt;"",H3451&lt;&gt;0,H3451&lt;&gt;1)),"Flags devem ser 0 ou 1",IF(AND(H3451=1,LEN(TRIM(I3451))=0),"Preencher nome do indicante",IF(AND(H3451&lt;&gt;1,I3451&lt;&gt;""),"Nome sem indicação interna",IF(AND(G3451=1,F3451=""),"Fechamento sem conversa",IF(OR(AND(E3451&lt;&gt;"",E3451&lt;B3451),AND(F3451&lt;&gt;"",F3451&lt;B3451)),"Evento anterior à entrada",IF(AND(F3451&lt;&gt;"",E3451=""),"Conversa sem agendamento",IF(OR(E3451&gt;TODAY(),F3451&gt;TODAY()),"Verificar evento futuro","OK"))))))))))</f>
        <v/>
      </c>
    </row>
    <row r="3452" spans="12:15">
      <c r="L3452" s="5">
        <f>IF(OR(A3452="",B3452=""),"",B3452-WEEKDAY(B3452,2)+1)</f>
        <v/>
      </c>
      <c r="M3452" s="5">
        <f>IF(L3452="","",L3452+6)</f>
        <v/>
      </c>
      <c r="N3452" s="6">
        <f>IF(OR(A3452="",B3452=""),"",DATE(YEAR(B3452),MONTH(B3452),1))</f>
        <v/>
      </c>
      <c r="O3452" s="7">
        <f>IF(COUNTA(A3452:K3452)=0,"",IF(OR(A3452="",B3452=""),"Preencher CPF e entrada",IF(COUNTIFS($A$12:$A$5011,A3452,$B$12:$B$5011,B3452)&gt;1,"CPF + dia duplicado",IF(OR(AND(G3452&lt;&gt;"",G3452&lt;&gt;0,G3452&lt;&gt;1),AND(H3452&lt;&gt;"",H3452&lt;&gt;0,H3452&lt;&gt;1)),"Flags devem ser 0 ou 1",IF(AND(H3452=1,LEN(TRIM(I3452))=0),"Preencher nome do indicante",IF(AND(H3452&lt;&gt;1,I3452&lt;&gt;""),"Nome sem indicação interna",IF(AND(G3452=1,F3452=""),"Fechamento sem conversa",IF(OR(AND(E3452&lt;&gt;"",E3452&lt;B3452),AND(F3452&lt;&gt;"",F3452&lt;B3452)),"Evento anterior à entrada",IF(AND(F3452&lt;&gt;"",E3452=""),"Conversa sem agendamento",IF(OR(E3452&gt;TODAY(),F3452&gt;TODAY()),"Verificar evento futuro","OK"))))))))))</f>
        <v/>
      </c>
    </row>
    <row r="3453" spans="12:15">
      <c r="L3453" s="5">
        <f>IF(OR(A3453="",B3453=""),"",B3453-WEEKDAY(B3453,2)+1)</f>
        <v/>
      </c>
      <c r="M3453" s="5">
        <f>IF(L3453="","",L3453+6)</f>
        <v/>
      </c>
      <c r="N3453" s="6">
        <f>IF(OR(A3453="",B3453=""),"",DATE(YEAR(B3453),MONTH(B3453),1))</f>
        <v/>
      </c>
      <c r="O3453" s="7">
        <f>IF(COUNTA(A3453:K3453)=0,"",IF(OR(A3453="",B3453=""),"Preencher CPF e entrada",IF(COUNTIFS($A$12:$A$5011,A3453,$B$12:$B$5011,B3453)&gt;1,"CPF + dia duplicado",IF(OR(AND(G3453&lt;&gt;"",G3453&lt;&gt;0,G3453&lt;&gt;1),AND(H3453&lt;&gt;"",H3453&lt;&gt;0,H3453&lt;&gt;1)),"Flags devem ser 0 ou 1",IF(AND(H3453=1,LEN(TRIM(I3453))=0),"Preencher nome do indicante",IF(AND(H3453&lt;&gt;1,I3453&lt;&gt;""),"Nome sem indicação interna",IF(AND(G3453=1,F3453=""),"Fechamento sem conversa",IF(OR(AND(E3453&lt;&gt;"",E3453&lt;B3453),AND(F3453&lt;&gt;"",F3453&lt;B3453)),"Evento anterior à entrada",IF(AND(F3453&lt;&gt;"",E3453=""),"Conversa sem agendamento",IF(OR(E3453&gt;TODAY(),F3453&gt;TODAY()),"Verificar evento futuro","OK"))))))))))</f>
        <v/>
      </c>
    </row>
    <row r="3454" spans="12:15">
      <c r="L3454" s="5">
        <f>IF(OR(A3454="",B3454=""),"",B3454-WEEKDAY(B3454,2)+1)</f>
        <v/>
      </c>
      <c r="M3454" s="5">
        <f>IF(L3454="","",L3454+6)</f>
        <v/>
      </c>
      <c r="N3454" s="6">
        <f>IF(OR(A3454="",B3454=""),"",DATE(YEAR(B3454),MONTH(B3454),1))</f>
        <v/>
      </c>
      <c r="O3454" s="7">
        <f>IF(COUNTA(A3454:K3454)=0,"",IF(OR(A3454="",B3454=""),"Preencher CPF e entrada",IF(COUNTIFS($A$12:$A$5011,A3454,$B$12:$B$5011,B3454)&gt;1,"CPF + dia duplicado",IF(OR(AND(G3454&lt;&gt;"",G3454&lt;&gt;0,G3454&lt;&gt;1),AND(H3454&lt;&gt;"",H3454&lt;&gt;0,H3454&lt;&gt;1)),"Flags devem ser 0 ou 1",IF(AND(H3454=1,LEN(TRIM(I3454))=0),"Preencher nome do indicante",IF(AND(H3454&lt;&gt;1,I3454&lt;&gt;""),"Nome sem indicação interna",IF(AND(G3454=1,F3454=""),"Fechamento sem conversa",IF(OR(AND(E3454&lt;&gt;"",E3454&lt;B3454),AND(F3454&lt;&gt;"",F3454&lt;B3454)),"Evento anterior à entrada",IF(AND(F3454&lt;&gt;"",E3454=""),"Conversa sem agendamento",IF(OR(E3454&gt;TODAY(),F3454&gt;TODAY()),"Verificar evento futuro","OK"))))))))))</f>
        <v/>
      </c>
    </row>
    <row r="3455" spans="12:15">
      <c r="L3455" s="5">
        <f>IF(OR(A3455="",B3455=""),"",B3455-WEEKDAY(B3455,2)+1)</f>
        <v/>
      </c>
      <c r="M3455" s="5">
        <f>IF(L3455="","",L3455+6)</f>
        <v/>
      </c>
      <c r="N3455" s="6">
        <f>IF(OR(A3455="",B3455=""),"",DATE(YEAR(B3455),MONTH(B3455),1))</f>
        <v/>
      </c>
      <c r="O3455" s="7">
        <f>IF(COUNTA(A3455:K3455)=0,"",IF(OR(A3455="",B3455=""),"Preencher CPF e entrada",IF(COUNTIFS($A$12:$A$5011,A3455,$B$12:$B$5011,B3455)&gt;1,"CPF + dia duplicado",IF(OR(AND(G3455&lt;&gt;"",G3455&lt;&gt;0,G3455&lt;&gt;1),AND(H3455&lt;&gt;"",H3455&lt;&gt;0,H3455&lt;&gt;1)),"Flags devem ser 0 ou 1",IF(AND(H3455=1,LEN(TRIM(I3455))=0),"Preencher nome do indicante",IF(AND(H3455&lt;&gt;1,I3455&lt;&gt;""),"Nome sem indicação interna",IF(AND(G3455=1,F3455=""),"Fechamento sem conversa",IF(OR(AND(E3455&lt;&gt;"",E3455&lt;B3455),AND(F3455&lt;&gt;"",F3455&lt;B3455)),"Evento anterior à entrada",IF(AND(F3455&lt;&gt;"",E3455=""),"Conversa sem agendamento",IF(OR(E3455&gt;TODAY(),F3455&gt;TODAY()),"Verificar evento futuro","OK"))))))))))</f>
        <v/>
      </c>
    </row>
    <row r="3456" spans="12:15">
      <c r="L3456" s="5">
        <f>IF(OR(A3456="",B3456=""),"",B3456-WEEKDAY(B3456,2)+1)</f>
        <v/>
      </c>
      <c r="M3456" s="5">
        <f>IF(L3456="","",L3456+6)</f>
        <v/>
      </c>
      <c r="N3456" s="6">
        <f>IF(OR(A3456="",B3456=""),"",DATE(YEAR(B3456),MONTH(B3456),1))</f>
        <v/>
      </c>
      <c r="O3456" s="7">
        <f>IF(COUNTA(A3456:K3456)=0,"",IF(OR(A3456="",B3456=""),"Preencher CPF e entrada",IF(COUNTIFS($A$12:$A$5011,A3456,$B$12:$B$5011,B3456)&gt;1,"CPF + dia duplicado",IF(OR(AND(G3456&lt;&gt;"",G3456&lt;&gt;0,G3456&lt;&gt;1),AND(H3456&lt;&gt;"",H3456&lt;&gt;0,H3456&lt;&gt;1)),"Flags devem ser 0 ou 1",IF(AND(H3456=1,LEN(TRIM(I3456))=0),"Preencher nome do indicante",IF(AND(H3456&lt;&gt;1,I3456&lt;&gt;""),"Nome sem indicação interna",IF(AND(G3456=1,F3456=""),"Fechamento sem conversa",IF(OR(AND(E3456&lt;&gt;"",E3456&lt;B3456),AND(F3456&lt;&gt;"",F3456&lt;B3456)),"Evento anterior à entrada",IF(AND(F3456&lt;&gt;"",E3456=""),"Conversa sem agendamento",IF(OR(E3456&gt;TODAY(),F3456&gt;TODAY()),"Verificar evento futuro","OK"))))))))))</f>
        <v/>
      </c>
    </row>
    <row r="3457" spans="12:15">
      <c r="L3457" s="5">
        <f>IF(OR(A3457="",B3457=""),"",B3457-WEEKDAY(B3457,2)+1)</f>
        <v/>
      </c>
      <c r="M3457" s="5">
        <f>IF(L3457="","",L3457+6)</f>
        <v/>
      </c>
      <c r="N3457" s="6">
        <f>IF(OR(A3457="",B3457=""),"",DATE(YEAR(B3457),MONTH(B3457),1))</f>
        <v/>
      </c>
      <c r="O3457" s="7">
        <f>IF(COUNTA(A3457:K3457)=0,"",IF(OR(A3457="",B3457=""),"Preencher CPF e entrada",IF(COUNTIFS($A$12:$A$5011,A3457,$B$12:$B$5011,B3457)&gt;1,"CPF + dia duplicado",IF(OR(AND(G3457&lt;&gt;"",G3457&lt;&gt;0,G3457&lt;&gt;1),AND(H3457&lt;&gt;"",H3457&lt;&gt;0,H3457&lt;&gt;1)),"Flags devem ser 0 ou 1",IF(AND(H3457=1,LEN(TRIM(I3457))=0),"Preencher nome do indicante",IF(AND(H3457&lt;&gt;1,I3457&lt;&gt;""),"Nome sem indicação interna",IF(AND(G3457=1,F3457=""),"Fechamento sem conversa",IF(OR(AND(E3457&lt;&gt;"",E3457&lt;B3457),AND(F3457&lt;&gt;"",F3457&lt;B3457)),"Evento anterior à entrada",IF(AND(F3457&lt;&gt;"",E3457=""),"Conversa sem agendamento",IF(OR(E3457&gt;TODAY(),F3457&gt;TODAY()),"Verificar evento futuro","OK"))))))))))</f>
        <v/>
      </c>
    </row>
    <row r="3458" spans="12:15">
      <c r="L3458" s="5">
        <f>IF(OR(A3458="",B3458=""),"",B3458-WEEKDAY(B3458,2)+1)</f>
        <v/>
      </c>
      <c r="M3458" s="5">
        <f>IF(L3458="","",L3458+6)</f>
        <v/>
      </c>
      <c r="N3458" s="6">
        <f>IF(OR(A3458="",B3458=""),"",DATE(YEAR(B3458),MONTH(B3458),1))</f>
        <v/>
      </c>
      <c r="O3458" s="7">
        <f>IF(COUNTA(A3458:K3458)=0,"",IF(OR(A3458="",B3458=""),"Preencher CPF e entrada",IF(COUNTIFS($A$12:$A$5011,A3458,$B$12:$B$5011,B3458)&gt;1,"CPF + dia duplicado",IF(OR(AND(G3458&lt;&gt;"",G3458&lt;&gt;0,G3458&lt;&gt;1),AND(H3458&lt;&gt;"",H3458&lt;&gt;0,H3458&lt;&gt;1)),"Flags devem ser 0 ou 1",IF(AND(H3458=1,LEN(TRIM(I3458))=0),"Preencher nome do indicante",IF(AND(H3458&lt;&gt;1,I3458&lt;&gt;""),"Nome sem indicação interna",IF(AND(G3458=1,F3458=""),"Fechamento sem conversa",IF(OR(AND(E3458&lt;&gt;"",E3458&lt;B3458),AND(F3458&lt;&gt;"",F3458&lt;B3458)),"Evento anterior à entrada",IF(AND(F3458&lt;&gt;"",E3458=""),"Conversa sem agendamento",IF(OR(E3458&gt;TODAY(),F3458&gt;TODAY()),"Verificar evento futuro","OK"))))))))))</f>
        <v/>
      </c>
    </row>
    <row r="3459" spans="12:15">
      <c r="L3459" s="5">
        <f>IF(OR(A3459="",B3459=""),"",B3459-WEEKDAY(B3459,2)+1)</f>
        <v/>
      </c>
      <c r="M3459" s="5">
        <f>IF(L3459="","",L3459+6)</f>
        <v/>
      </c>
      <c r="N3459" s="6">
        <f>IF(OR(A3459="",B3459=""),"",DATE(YEAR(B3459),MONTH(B3459),1))</f>
        <v/>
      </c>
      <c r="O3459" s="7">
        <f>IF(COUNTA(A3459:K3459)=0,"",IF(OR(A3459="",B3459=""),"Preencher CPF e entrada",IF(COUNTIFS($A$12:$A$5011,A3459,$B$12:$B$5011,B3459)&gt;1,"CPF + dia duplicado",IF(OR(AND(G3459&lt;&gt;"",G3459&lt;&gt;0,G3459&lt;&gt;1),AND(H3459&lt;&gt;"",H3459&lt;&gt;0,H3459&lt;&gt;1)),"Flags devem ser 0 ou 1",IF(AND(H3459=1,LEN(TRIM(I3459))=0),"Preencher nome do indicante",IF(AND(H3459&lt;&gt;1,I3459&lt;&gt;""),"Nome sem indicação interna",IF(AND(G3459=1,F3459=""),"Fechamento sem conversa",IF(OR(AND(E3459&lt;&gt;"",E3459&lt;B3459),AND(F3459&lt;&gt;"",F3459&lt;B3459)),"Evento anterior à entrada",IF(AND(F3459&lt;&gt;"",E3459=""),"Conversa sem agendamento",IF(OR(E3459&gt;TODAY(),F3459&gt;TODAY()),"Verificar evento futuro","OK"))))))))))</f>
        <v/>
      </c>
    </row>
    <row r="3460" spans="12:15">
      <c r="L3460" s="5">
        <f>IF(OR(A3460="",B3460=""),"",B3460-WEEKDAY(B3460,2)+1)</f>
        <v/>
      </c>
      <c r="M3460" s="5">
        <f>IF(L3460="","",L3460+6)</f>
        <v/>
      </c>
      <c r="N3460" s="6">
        <f>IF(OR(A3460="",B3460=""),"",DATE(YEAR(B3460),MONTH(B3460),1))</f>
        <v/>
      </c>
      <c r="O3460" s="7">
        <f>IF(COUNTA(A3460:K3460)=0,"",IF(OR(A3460="",B3460=""),"Preencher CPF e entrada",IF(COUNTIFS($A$12:$A$5011,A3460,$B$12:$B$5011,B3460)&gt;1,"CPF + dia duplicado",IF(OR(AND(G3460&lt;&gt;"",G3460&lt;&gt;0,G3460&lt;&gt;1),AND(H3460&lt;&gt;"",H3460&lt;&gt;0,H3460&lt;&gt;1)),"Flags devem ser 0 ou 1",IF(AND(H3460=1,LEN(TRIM(I3460))=0),"Preencher nome do indicante",IF(AND(H3460&lt;&gt;1,I3460&lt;&gt;""),"Nome sem indicação interna",IF(AND(G3460=1,F3460=""),"Fechamento sem conversa",IF(OR(AND(E3460&lt;&gt;"",E3460&lt;B3460),AND(F3460&lt;&gt;"",F3460&lt;B3460)),"Evento anterior à entrada",IF(AND(F3460&lt;&gt;"",E3460=""),"Conversa sem agendamento",IF(OR(E3460&gt;TODAY(),F3460&gt;TODAY()),"Verificar evento futuro","OK"))))))))))</f>
        <v/>
      </c>
    </row>
    <row r="3461" spans="12:15">
      <c r="L3461" s="5">
        <f>IF(OR(A3461="",B3461=""),"",B3461-WEEKDAY(B3461,2)+1)</f>
        <v/>
      </c>
      <c r="M3461" s="5">
        <f>IF(L3461="","",L3461+6)</f>
        <v/>
      </c>
      <c r="N3461" s="6">
        <f>IF(OR(A3461="",B3461=""),"",DATE(YEAR(B3461),MONTH(B3461),1))</f>
        <v/>
      </c>
      <c r="O3461" s="7">
        <f>IF(COUNTA(A3461:K3461)=0,"",IF(OR(A3461="",B3461=""),"Preencher CPF e entrada",IF(COUNTIFS($A$12:$A$5011,A3461,$B$12:$B$5011,B3461)&gt;1,"CPF + dia duplicado",IF(OR(AND(G3461&lt;&gt;"",G3461&lt;&gt;0,G3461&lt;&gt;1),AND(H3461&lt;&gt;"",H3461&lt;&gt;0,H3461&lt;&gt;1)),"Flags devem ser 0 ou 1",IF(AND(H3461=1,LEN(TRIM(I3461))=0),"Preencher nome do indicante",IF(AND(H3461&lt;&gt;1,I3461&lt;&gt;""),"Nome sem indicação interna",IF(AND(G3461=1,F3461=""),"Fechamento sem conversa",IF(OR(AND(E3461&lt;&gt;"",E3461&lt;B3461),AND(F3461&lt;&gt;"",F3461&lt;B3461)),"Evento anterior à entrada",IF(AND(F3461&lt;&gt;"",E3461=""),"Conversa sem agendamento",IF(OR(E3461&gt;TODAY(),F3461&gt;TODAY()),"Verificar evento futuro","OK"))))))))))</f>
        <v/>
      </c>
    </row>
    <row r="3462" spans="12:15">
      <c r="L3462" s="5">
        <f>IF(OR(A3462="",B3462=""),"",B3462-WEEKDAY(B3462,2)+1)</f>
        <v/>
      </c>
      <c r="M3462" s="5">
        <f>IF(L3462="","",L3462+6)</f>
        <v/>
      </c>
      <c r="N3462" s="6">
        <f>IF(OR(A3462="",B3462=""),"",DATE(YEAR(B3462),MONTH(B3462),1))</f>
        <v/>
      </c>
      <c r="O3462" s="7">
        <f>IF(COUNTA(A3462:K3462)=0,"",IF(OR(A3462="",B3462=""),"Preencher CPF e entrada",IF(COUNTIFS($A$12:$A$5011,A3462,$B$12:$B$5011,B3462)&gt;1,"CPF + dia duplicado",IF(OR(AND(G3462&lt;&gt;"",G3462&lt;&gt;0,G3462&lt;&gt;1),AND(H3462&lt;&gt;"",H3462&lt;&gt;0,H3462&lt;&gt;1)),"Flags devem ser 0 ou 1",IF(AND(H3462=1,LEN(TRIM(I3462))=0),"Preencher nome do indicante",IF(AND(H3462&lt;&gt;1,I3462&lt;&gt;""),"Nome sem indicação interna",IF(AND(G3462=1,F3462=""),"Fechamento sem conversa",IF(OR(AND(E3462&lt;&gt;"",E3462&lt;B3462),AND(F3462&lt;&gt;"",F3462&lt;B3462)),"Evento anterior à entrada",IF(AND(F3462&lt;&gt;"",E3462=""),"Conversa sem agendamento",IF(OR(E3462&gt;TODAY(),F3462&gt;TODAY()),"Verificar evento futuro","OK"))))))))))</f>
        <v/>
      </c>
    </row>
    <row r="3463" spans="12:15">
      <c r="L3463" s="5">
        <f>IF(OR(A3463="",B3463=""),"",B3463-WEEKDAY(B3463,2)+1)</f>
        <v/>
      </c>
      <c r="M3463" s="5">
        <f>IF(L3463="","",L3463+6)</f>
        <v/>
      </c>
      <c r="N3463" s="6">
        <f>IF(OR(A3463="",B3463=""),"",DATE(YEAR(B3463),MONTH(B3463),1))</f>
        <v/>
      </c>
      <c r="O3463" s="7">
        <f>IF(COUNTA(A3463:K3463)=0,"",IF(OR(A3463="",B3463=""),"Preencher CPF e entrada",IF(COUNTIFS($A$12:$A$5011,A3463,$B$12:$B$5011,B3463)&gt;1,"CPF + dia duplicado",IF(OR(AND(G3463&lt;&gt;"",G3463&lt;&gt;0,G3463&lt;&gt;1),AND(H3463&lt;&gt;"",H3463&lt;&gt;0,H3463&lt;&gt;1)),"Flags devem ser 0 ou 1",IF(AND(H3463=1,LEN(TRIM(I3463))=0),"Preencher nome do indicante",IF(AND(H3463&lt;&gt;1,I3463&lt;&gt;""),"Nome sem indicação interna",IF(AND(G3463=1,F3463=""),"Fechamento sem conversa",IF(OR(AND(E3463&lt;&gt;"",E3463&lt;B3463),AND(F3463&lt;&gt;"",F3463&lt;B3463)),"Evento anterior à entrada",IF(AND(F3463&lt;&gt;"",E3463=""),"Conversa sem agendamento",IF(OR(E3463&gt;TODAY(),F3463&gt;TODAY()),"Verificar evento futuro","OK"))))))))))</f>
        <v/>
      </c>
    </row>
    <row r="3464" spans="12:15">
      <c r="L3464" s="5">
        <f>IF(OR(A3464="",B3464=""),"",B3464-WEEKDAY(B3464,2)+1)</f>
        <v/>
      </c>
      <c r="M3464" s="5">
        <f>IF(L3464="","",L3464+6)</f>
        <v/>
      </c>
      <c r="N3464" s="6">
        <f>IF(OR(A3464="",B3464=""),"",DATE(YEAR(B3464),MONTH(B3464),1))</f>
        <v/>
      </c>
      <c r="O3464" s="7">
        <f>IF(COUNTA(A3464:K3464)=0,"",IF(OR(A3464="",B3464=""),"Preencher CPF e entrada",IF(COUNTIFS($A$12:$A$5011,A3464,$B$12:$B$5011,B3464)&gt;1,"CPF + dia duplicado",IF(OR(AND(G3464&lt;&gt;"",G3464&lt;&gt;0,G3464&lt;&gt;1),AND(H3464&lt;&gt;"",H3464&lt;&gt;0,H3464&lt;&gt;1)),"Flags devem ser 0 ou 1",IF(AND(H3464=1,LEN(TRIM(I3464))=0),"Preencher nome do indicante",IF(AND(H3464&lt;&gt;1,I3464&lt;&gt;""),"Nome sem indicação interna",IF(AND(G3464=1,F3464=""),"Fechamento sem conversa",IF(OR(AND(E3464&lt;&gt;"",E3464&lt;B3464),AND(F3464&lt;&gt;"",F3464&lt;B3464)),"Evento anterior à entrada",IF(AND(F3464&lt;&gt;"",E3464=""),"Conversa sem agendamento",IF(OR(E3464&gt;TODAY(),F3464&gt;TODAY()),"Verificar evento futuro","OK"))))))))))</f>
        <v/>
      </c>
    </row>
    <row r="3465" spans="12:15">
      <c r="L3465" s="5">
        <f>IF(OR(A3465="",B3465=""),"",B3465-WEEKDAY(B3465,2)+1)</f>
        <v/>
      </c>
      <c r="M3465" s="5">
        <f>IF(L3465="","",L3465+6)</f>
        <v/>
      </c>
      <c r="N3465" s="6">
        <f>IF(OR(A3465="",B3465=""),"",DATE(YEAR(B3465),MONTH(B3465),1))</f>
        <v/>
      </c>
      <c r="O3465" s="7">
        <f>IF(COUNTA(A3465:K3465)=0,"",IF(OR(A3465="",B3465=""),"Preencher CPF e entrada",IF(COUNTIFS($A$12:$A$5011,A3465,$B$12:$B$5011,B3465)&gt;1,"CPF + dia duplicado",IF(OR(AND(G3465&lt;&gt;"",G3465&lt;&gt;0,G3465&lt;&gt;1),AND(H3465&lt;&gt;"",H3465&lt;&gt;0,H3465&lt;&gt;1)),"Flags devem ser 0 ou 1",IF(AND(H3465=1,LEN(TRIM(I3465))=0),"Preencher nome do indicante",IF(AND(H3465&lt;&gt;1,I3465&lt;&gt;""),"Nome sem indicação interna",IF(AND(G3465=1,F3465=""),"Fechamento sem conversa",IF(OR(AND(E3465&lt;&gt;"",E3465&lt;B3465),AND(F3465&lt;&gt;"",F3465&lt;B3465)),"Evento anterior à entrada",IF(AND(F3465&lt;&gt;"",E3465=""),"Conversa sem agendamento",IF(OR(E3465&gt;TODAY(),F3465&gt;TODAY()),"Verificar evento futuro","OK"))))))))))</f>
        <v/>
      </c>
    </row>
    <row r="3466" spans="12:15">
      <c r="L3466" s="5">
        <f>IF(OR(A3466="",B3466=""),"",B3466-WEEKDAY(B3466,2)+1)</f>
        <v/>
      </c>
      <c r="M3466" s="5">
        <f>IF(L3466="","",L3466+6)</f>
        <v/>
      </c>
      <c r="N3466" s="6">
        <f>IF(OR(A3466="",B3466=""),"",DATE(YEAR(B3466),MONTH(B3466),1))</f>
        <v/>
      </c>
      <c r="O3466" s="7">
        <f>IF(COUNTA(A3466:K3466)=0,"",IF(OR(A3466="",B3466=""),"Preencher CPF e entrada",IF(COUNTIFS($A$12:$A$5011,A3466,$B$12:$B$5011,B3466)&gt;1,"CPF + dia duplicado",IF(OR(AND(G3466&lt;&gt;"",G3466&lt;&gt;0,G3466&lt;&gt;1),AND(H3466&lt;&gt;"",H3466&lt;&gt;0,H3466&lt;&gt;1)),"Flags devem ser 0 ou 1",IF(AND(H3466=1,LEN(TRIM(I3466))=0),"Preencher nome do indicante",IF(AND(H3466&lt;&gt;1,I3466&lt;&gt;""),"Nome sem indicação interna",IF(AND(G3466=1,F3466=""),"Fechamento sem conversa",IF(OR(AND(E3466&lt;&gt;"",E3466&lt;B3466),AND(F3466&lt;&gt;"",F3466&lt;B3466)),"Evento anterior à entrada",IF(AND(F3466&lt;&gt;"",E3466=""),"Conversa sem agendamento",IF(OR(E3466&gt;TODAY(),F3466&gt;TODAY()),"Verificar evento futuro","OK"))))))))))</f>
        <v/>
      </c>
    </row>
    <row r="3467" spans="12:15">
      <c r="L3467" s="5">
        <f>IF(OR(A3467="",B3467=""),"",B3467-WEEKDAY(B3467,2)+1)</f>
        <v/>
      </c>
      <c r="M3467" s="5">
        <f>IF(L3467="","",L3467+6)</f>
        <v/>
      </c>
      <c r="N3467" s="6">
        <f>IF(OR(A3467="",B3467=""),"",DATE(YEAR(B3467),MONTH(B3467),1))</f>
        <v/>
      </c>
      <c r="O3467" s="7">
        <f>IF(COUNTA(A3467:K3467)=0,"",IF(OR(A3467="",B3467=""),"Preencher CPF e entrada",IF(COUNTIFS($A$12:$A$5011,A3467,$B$12:$B$5011,B3467)&gt;1,"CPF + dia duplicado",IF(OR(AND(G3467&lt;&gt;"",G3467&lt;&gt;0,G3467&lt;&gt;1),AND(H3467&lt;&gt;"",H3467&lt;&gt;0,H3467&lt;&gt;1)),"Flags devem ser 0 ou 1",IF(AND(H3467=1,LEN(TRIM(I3467))=0),"Preencher nome do indicante",IF(AND(H3467&lt;&gt;1,I3467&lt;&gt;""),"Nome sem indicação interna",IF(AND(G3467=1,F3467=""),"Fechamento sem conversa",IF(OR(AND(E3467&lt;&gt;"",E3467&lt;B3467),AND(F3467&lt;&gt;"",F3467&lt;B3467)),"Evento anterior à entrada",IF(AND(F3467&lt;&gt;"",E3467=""),"Conversa sem agendamento",IF(OR(E3467&gt;TODAY(),F3467&gt;TODAY()),"Verificar evento futuro","OK"))))))))))</f>
        <v/>
      </c>
    </row>
    <row r="3468" spans="12:15">
      <c r="L3468" s="5">
        <f>IF(OR(A3468="",B3468=""),"",B3468-WEEKDAY(B3468,2)+1)</f>
        <v/>
      </c>
      <c r="M3468" s="5">
        <f>IF(L3468="","",L3468+6)</f>
        <v/>
      </c>
      <c r="N3468" s="6">
        <f>IF(OR(A3468="",B3468=""),"",DATE(YEAR(B3468),MONTH(B3468),1))</f>
        <v/>
      </c>
      <c r="O3468" s="7">
        <f>IF(COUNTA(A3468:K3468)=0,"",IF(OR(A3468="",B3468=""),"Preencher CPF e entrada",IF(COUNTIFS($A$12:$A$5011,A3468,$B$12:$B$5011,B3468)&gt;1,"CPF + dia duplicado",IF(OR(AND(G3468&lt;&gt;"",G3468&lt;&gt;0,G3468&lt;&gt;1),AND(H3468&lt;&gt;"",H3468&lt;&gt;0,H3468&lt;&gt;1)),"Flags devem ser 0 ou 1",IF(AND(H3468=1,LEN(TRIM(I3468))=0),"Preencher nome do indicante",IF(AND(H3468&lt;&gt;1,I3468&lt;&gt;""),"Nome sem indicação interna",IF(AND(G3468=1,F3468=""),"Fechamento sem conversa",IF(OR(AND(E3468&lt;&gt;"",E3468&lt;B3468),AND(F3468&lt;&gt;"",F3468&lt;B3468)),"Evento anterior à entrada",IF(AND(F3468&lt;&gt;"",E3468=""),"Conversa sem agendamento",IF(OR(E3468&gt;TODAY(),F3468&gt;TODAY()),"Verificar evento futuro","OK"))))))))))</f>
        <v/>
      </c>
    </row>
    <row r="3469" spans="12:15">
      <c r="L3469" s="5">
        <f>IF(OR(A3469="",B3469=""),"",B3469-WEEKDAY(B3469,2)+1)</f>
        <v/>
      </c>
      <c r="M3469" s="5">
        <f>IF(L3469="","",L3469+6)</f>
        <v/>
      </c>
      <c r="N3469" s="6">
        <f>IF(OR(A3469="",B3469=""),"",DATE(YEAR(B3469),MONTH(B3469),1))</f>
        <v/>
      </c>
      <c r="O3469" s="7">
        <f>IF(COUNTA(A3469:K3469)=0,"",IF(OR(A3469="",B3469=""),"Preencher CPF e entrada",IF(COUNTIFS($A$12:$A$5011,A3469,$B$12:$B$5011,B3469)&gt;1,"CPF + dia duplicado",IF(OR(AND(G3469&lt;&gt;"",G3469&lt;&gt;0,G3469&lt;&gt;1),AND(H3469&lt;&gt;"",H3469&lt;&gt;0,H3469&lt;&gt;1)),"Flags devem ser 0 ou 1",IF(AND(H3469=1,LEN(TRIM(I3469))=0),"Preencher nome do indicante",IF(AND(H3469&lt;&gt;1,I3469&lt;&gt;""),"Nome sem indicação interna",IF(AND(G3469=1,F3469=""),"Fechamento sem conversa",IF(OR(AND(E3469&lt;&gt;"",E3469&lt;B3469),AND(F3469&lt;&gt;"",F3469&lt;B3469)),"Evento anterior à entrada",IF(AND(F3469&lt;&gt;"",E3469=""),"Conversa sem agendamento",IF(OR(E3469&gt;TODAY(),F3469&gt;TODAY()),"Verificar evento futuro","OK"))))))))))</f>
        <v/>
      </c>
    </row>
    <row r="3470" spans="12:15">
      <c r="L3470" s="5">
        <f>IF(OR(A3470="",B3470=""),"",B3470-WEEKDAY(B3470,2)+1)</f>
        <v/>
      </c>
      <c r="M3470" s="5">
        <f>IF(L3470="","",L3470+6)</f>
        <v/>
      </c>
      <c r="N3470" s="6">
        <f>IF(OR(A3470="",B3470=""),"",DATE(YEAR(B3470),MONTH(B3470),1))</f>
        <v/>
      </c>
      <c r="O3470" s="7">
        <f>IF(COUNTA(A3470:K3470)=0,"",IF(OR(A3470="",B3470=""),"Preencher CPF e entrada",IF(COUNTIFS($A$12:$A$5011,A3470,$B$12:$B$5011,B3470)&gt;1,"CPF + dia duplicado",IF(OR(AND(G3470&lt;&gt;"",G3470&lt;&gt;0,G3470&lt;&gt;1),AND(H3470&lt;&gt;"",H3470&lt;&gt;0,H3470&lt;&gt;1)),"Flags devem ser 0 ou 1",IF(AND(H3470=1,LEN(TRIM(I3470))=0),"Preencher nome do indicante",IF(AND(H3470&lt;&gt;1,I3470&lt;&gt;""),"Nome sem indicação interna",IF(AND(G3470=1,F3470=""),"Fechamento sem conversa",IF(OR(AND(E3470&lt;&gt;"",E3470&lt;B3470),AND(F3470&lt;&gt;"",F3470&lt;B3470)),"Evento anterior à entrada",IF(AND(F3470&lt;&gt;"",E3470=""),"Conversa sem agendamento",IF(OR(E3470&gt;TODAY(),F3470&gt;TODAY()),"Verificar evento futuro","OK"))))))))))</f>
        <v/>
      </c>
    </row>
    <row r="3471" spans="12:15">
      <c r="L3471" s="5">
        <f>IF(OR(A3471="",B3471=""),"",B3471-WEEKDAY(B3471,2)+1)</f>
        <v/>
      </c>
      <c r="M3471" s="5">
        <f>IF(L3471="","",L3471+6)</f>
        <v/>
      </c>
      <c r="N3471" s="6">
        <f>IF(OR(A3471="",B3471=""),"",DATE(YEAR(B3471),MONTH(B3471),1))</f>
        <v/>
      </c>
      <c r="O3471" s="7">
        <f>IF(COUNTA(A3471:K3471)=0,"",IF(OR(A3471="",B3471=""),"Preencher CPF e entrada",IF(COUNTIFS($A$12:$A$5011,A3471,$B$12:$B$5011,B3471)&gt;1,"CPF + dia duplicado",IF(OR(AND(G3471&lt;&gt;"",G3471&lt;&gt;0,G3471&lt;&gt;1),AND(H3471&lt;&gt;"",H3471&lt;&gt;0,H3471&lt;&gt;1)),"Flags devem ser 0 ou 1",IF(AND(H3471=1,LEN(TRIM(I3471))=0),"Preencher nome do indicante",IF(AND(H3471&lt;&gt;1,I3471&lt;&gt;""),"Nome sem indicação interna",IF(AND(G3471=1,F3471=""),"Fechamento sem conversa",IF(OR(AND(E3471&lt;&gt;"",E3471&lt;B3471),AND(F3471&lt;&gt;"",F3471&lt;B3471)),"Evento anterior à entrada",IF(AND(F3471&lt;&gt;"",E3471=""),"Conversa sem agendamento",IF(OR(E3471&gt;TODAY(),F3471&gt;TODAY()),"Verificar evento futuro","OK"))))))))))</f>
        <v/>
      </c>
    </row>
    <row r="3472" spans="12:15">
      <c r="L3472" s="5">
        <f>IF(OR(A3472="",B3472=""),"",B3472-WEEKDAY(B3472,2)+1)</f>
        <v/>
      </c>
      <c r="M3472" s="5">
        <f>IF(L3472="","",L3472+6)</f>
        <v/>
      </c>
      <c r="N3472" s="6">
        <f>IF(OR(A3472="",B3472=""),"",DATE(YEAR(B3472),MONTH(B3472),1))</f>
        <v/>
      </c>
      <c r="O3472" s="7">
        <f>IF(COUNTA(A3472:K3472)=0,"",IF(OR(A3472="",B3472=""),"Preencher CPF e entrada",IF(COUNTIFS($A$12:$A$5011,A3472,$B$12:$B$5011,B3472)&gt;1,"CPF + dia duplicado",IF(OR(AND(G3472&lt;&gt;"",G3472&lt;&gt;0,G3472&lt;&gt;1),AND(H3472&lt;&gt;"",H3472&lt;&gt;0,H3472&lt;&gt;1)),"Flags devem ser 0 ou 1",IF(AND(H3472=1,LEN(TRIM(I3472))=0),"Preencher nome do indicante",IF(AND(H3472&lt;&gt;1,I3472&lt;&gt;""),"Nome sem indicação interna",IF(AND(G3472=1,F3472=""),"Fechamento sem conversa",IF(OR(AND(E3472&lt;&gt;"",E3472&lt;B3472),AND(F3472&lt;&gt;"",F3472&lt;B3472)),"Evento anterior à entrada",IF(AND(F3472&lt;&gt;"",E3472=""),"Conversa sem agendamento",IF(OR(E3472&gt;TODAY(),F3472&gt;TODAY()),"Verificar evento futuro","OK"))))))))))</f>
        <v/>
      </c>
    </row>
    <row r="3473" spans="12:15">
      <c r="L3473" s="5">
        <f>IF(OR(A3473="",B3473=""),"",B3473-WEEKDAY(B3473,2)+1)</f>
        <v/>
      </c>
      <c r="M3473" s="5">
        <f>IF(L3473="","",L3473+6)</f>
        <v/>
      </c>
      <c r="N3473" s="6">
        <f>IF(OR(A3473="",B3473=""),"",DATE(YEAR(B3473),MONTH(B3473),1))</f>
        <v/>
      </c>
      <c r="O3473" s="7">
        <f>IF(COUNTA(A3473:K3473)=0,"",IF(OR(A3473="",B3473=""),"Preencher CPF e entrada",IF(COUNTIFS($A$12:$A$5011,A3473,$B$12:$B$5011,B3473)&gt;1,"CPF + dia duplicado",IF(OR(AND(G3473&lt;&gt;"",G3473&lt;&gt;0,G3473&lt;&gt;1),AND(H3473&lt;&gt;"",H3473&lt;&gt;0,H3473&lt;&gt;1)),"Flags devem ser 0 ou 1",IF(AND(H3473=1,LEN(TRIM(I3473))=0),"Preencher nome do indicante",IF(AND(H3473&lt;&gt;1,I3473&lt;&gt;""),"Nome sem indicação interna",IF(AND(G3473=1,F3473=""),"Fechamento sem conversa",IF(OR(AND(E3473&lt;&gt;"",E3473&lt;B3473),AND(F3473&lt;&gt;"",F3473&lt;B3473)),"Evento anterior à entrada",IF(AND(F3473&lt;&gt;"",E3473=""),"Conversa sem agendamento",IF(OR(E3473&gt;TODAY(),F3473&gt;TODAY()),"Verificar evento futuro","OK"))))))))))</f>
        <v/>
      </c>
    </row>
    <row r="3474" spans="12:15">
      <c r="L3474" s="5">
        <f>IF(OR(A3474="",B3474=""),"",B3474-WEEKDAY(B3474,2)+1)</f>
        <v/>
      </c>
      <c r="M3474" s="5">
        <f>IF(L3474="","",L3474+6)</f>
        <v/>
      </c>
      <c r="N3474" s="6">
        <f>IF(OR(A3474="",B3474=""),"",DATE(YEAR(B3474),MONTH(B3474),1))</f>
        <v/>
      </c>
      <c r="O3474" s="7">
        <f>IF(COUNTA(A3474:K3474)=0,"",IF(OR(A3474="",B3474=""),"Preencher CPF e entrada",IF(COUNTIFS($A$12:$A$5011,A3474,$B$12:$B$5011,B3474)&gt;1,"CPF + dia duplicado",IF(OR(AND(G3474&lt;&gt;"",G3474&lt;&gt;0,G3474&lt;&gt;1),AND(H3474&lt;&gt;"",H3474&lt;&gt;0,H3474&lt;&gt;1)),"Flags devem ser 0 ou 1",IF(AND(H3474=1,LEN(TRIM(I3474))=0),"Preencher nome do indicante",IF(AND(H3474&lt;&gt;1,I3474&lt;&gt;""),"Nome sem indicação interna",IF(AND(G3474=1,F3474=""),"Fechamento sem conversa",IF(OR(AND(E3474&lt;&gt;"",E3474&lt;B3474),AND(F3474&lt;&gt;"",F3474&lt;B3474)),"Evento anterior à entrada",IF(AND(F3474&lt;&gt;"",E3474=""),"Conversa sem agendamento",IF(OR(E3474&gt;TODAY(),F3474&gt;TODAY()),"Verificar evento futuro","OK"))))))))))</f>
        <v/>
      </c>
    </row>
    <row r="3475" spans="12:15">
      <c r="L3475" s="5">
        <f>IF(OR(A3475="",B3475=""),"",B3475-WEEKDAY(B3475,2)+1)</f>
        <v/>
      </c>
      <c r="M3475" s="5">
        <f>IF(L3475="","",L3475+6)</f>
        <v/>
      </c>
      <c r="N3475" s="6">
        <f>IF(OR(A3475="",B3475=""),"",DATE(YEAR(B3475),MONTH(B3475),1))</f>
        <v/>
      </c>
      <c r="O3475" s="7">
        <f>IF(COUNTA(A3475:K3475)=0,"",IF(OR(A3475="",B3475=""),"Preencher CPF e entrada",IF(COUNTIFS($A$12:$A$5011,A3475,$B$12:$B$5011,B3475)&gt;1,"CPF + dia duplicado",IF(OR(AND(G3475&lt;&gt;"",G3475&lt;&gt;0,G3475&lt;&gt;1),AND(H3475&lt;&gt;"",H3475&lt;&gt;0,H3475&lt;&gt;1)),"Flags devem ser 0 ou 1",IF(AND(H3475=1,LEN(TRIM(I3475))=0),"Preencher nome do indicante",IF(AND(H3475&lt;&gt;1,I3475&lt;&gt;""),"Nome sem indicação interna",IF(AND(G3475=1,F3475=""),"Fechamento sem conversa",IF(OR(AND(E3475&lt;&gt;"",E3475&lt;B3475),AND(F3475&lt;&gt;"",F3475&lt;B3475)),"Evento anterior à entrada",IF(AND(F3475&lt;&gt;"",E3475=""),"Conversa sem agendamento",IF(OR(E3475&gt;TODAY(),F3475&gt;TODAY()),"Verificar evento futuro","OK"))))))))))</f>
        <v/>
      </c>
    </row>
    <row r="3476" spans="12:15">
      <c r="L3476" s="5">
        <f>IF(OR(A3476="",B3476=""),"",B3476-WEEKDAY(B3476,2)+1)</f>
        <v/>
      </c>
      <c r="M3476" s="5">
        <f>IF(L3476="","",L3476+6)</f>
        <v/>
      </c>
      <c r="N3476" s="6">
        <f>IF(OR(A3476="",B3476=""),"",DATE(YEAR(B3476),MONTH(B3476),1))</f>
        <v/>
      </c>
      <c r="O3476" s="7">
        <f>IF(COUNTA(A3476:K3476)=0,"",IF(OR(A3476="",B3476=""),"Preencher CPF e entrada",IF(COUNTIFS($A$12:$A$5011,A3476,$B$12:$B$5011,B3476)&gt;1,"CPF + dia duplicado",IF(OR(AND(G3476&lt;&gt;"",G3476&lt;&gt;0,G3476&lt;&gt;1),AND(H3476&lt;&gt;"",H3476&lt;&gt;0,H3476&lt;&gt;1)),"Flags devem ser 0 ou 1",IF(AND(H3476=1,LEN(TRIM(I3476))=0),"Preencher nome do indicante",IF(AND(H3476&lt;&gt;1,I3476&lt;&gt;""),"Nome sem indicação interna",IF(AND(G3476=1,F3476=""),"Fechamento sem conversa",IF(OR(AND(E3476&lt;&gt;"",E3476&lt;B3476),AND(F3476&lt;&gt;"",F3476&lt;B3476)),"Evento anterior à entrada",IF(AND(F3476&lt;&gt;"",E3476=""),"Conversa sem agendamento",IF(OR(E3476&gt;TODAY(),F3476&gt;TODAY()),"Verificar evento futuro","OK"))))))))))</f>
        <v/>
      </c>
    </row>
    <row r="3477" spans="12:15">
      <c r="L3477" s="5">
        <f>IF(OR(A3477="",B3477=""),"",B3477-WEEKDAY(B3477,2)+1)</f>
        <v/>
      </c>
      <c r="M3477" s="5">
        <f>IF(L3477="","",L3477+6)</f>
        <v/>
      </c>
      <c r="N3477" s="6">
        <f>IF(OR(A3477="",B3477=""),"",DATE(YEAR(B3477),MONTH(B3477),1))</f>
        <v/>
      </c>
      <c r="O3477" s="7">
        <f>IF(COUNTA(A3477:K3477)=0,"",IF(OR(A3477="",B3477=""),"Preencher CPF e entrada",IF(COUNTIFS($A$12:$A$5011,A3477,$B$12:$B$5011,B3477)&gt;1,"CPF + dia duplicado",IF(OR(AND(G3477&lt;&gt;"",G3477&lt;&gt;0,G3477&lt;&gt;1),AND(H3477&lt;&gt;"",H3477&lt;&gt;0,H3477&lt;&gt;1)),"Flags devem ser 0 ou 1",IF(AND(H3477=1,LEN(TRIM(I3477))=0),"Preencher nome do indicante",IF(AND(H3477&lt;&gt;1,I3477&lt;&gt;""),"Nome sem indicação interna",IF(AND(G3477=1,F3477=""),"Fechamento sem conversa",IF(OR(AND(E3477&lt;&gt;"",E3477&lt;B3477),AND(F3477&lt;&gt;"",F3477&lt;B3477)),"Evento anterior à entrada",IF(AND(F3477&lt;&gt;"",E3477=""),"Conversa sem agendamento",IF(OR(E3477&gt;TODAY(),F3477&gt;TODAY()),"Verificar evento futuro","OK"))))))))))</f>
        <v/>
      </c>
    </row>
    <row r="3478" spans="12:15">
      <c r="L3478" s="5">
        <f>IF(OR(A3478="",B3478=""),"",B3478-WEEKDAY(B3478,2)+1)</f>
        <v/>
      </c>
      <c r="M3478" s="5">
        <f>IF(L3478="","",L3478+6)</f>
        <v/>
      </c>
      <c r="N3478" s="6">
        <f>IF(OR(A3478="",B3478=""),"",DATE(YEAR(B3478),MONTH(B3478),1))</f>
        <v/>
      </c>
      <c r="O3478" s="7">
        <f>IF(COUNTA(A3478:K3478)=0,"",IF(OR(A3478="",B3478=""),"Preencher CPF e entrada",IF(COUNTIFS($A$12:$A$5011,A3478,$B$12:$B$5011,B3478)&gt;1,"CPF + dia duplicado",IF(OR(AND(G3478&lt;&gt;"",G3478&lt;&gt;0,G3478&lt;&gt;1),AND(H3478&lt;&gt;"",H3478&lt;&gt;0,H3478&lt;&gt;1)),"Flags devem ser 0 ou 1",IF(AND(H3478=1,LEN(TRIM(I3478))=0),"Preencher nome do indicante",IF(AND(H3478&lt;&gt;1,I3478&lt;&gt;""),"Nome sem indicação interna",IF(AND(G3478=1,F3478=""),"Fechamento sem conversa",IF(OR(AND(E3478&lt;&gt;"",E3478&lt;B3478),AND(F3478&lt;&gt;"",F3478&lt;B3478)),"Evento anterior à entrada",IF(AND(F3478&lt;&gt;"",E3478=""),"Conversa sem agendamento",IF(OR(E3478&gt;TODAY(),F3478&gt;TODAY()),"Verificar evento futuro","OK"))))))))))</f>
        <v/>
      </c>
    </row>
    <row r="3479" spans="12:15">
      <c r="L3479" s="5">
        <f>IF(OR(A3479="",B3479=""),"",B3479-WEEKDAY(B3479,2)+1)</f>
        <v/>
      </c>
      <c r="M3479" s="5">
        <f>IF(L3479="","",L3479+6)</f>
        <v/>
      </c>
      <c r="N3479" s="6">
        <f>IF(OR(A3479="",B3479=""),"",DATE(YEAR(B3479),MONTH(B3479),1))</f>
        <v/>
      </c>
      <c r="O3479" s="7">
        <f>IF(COUNTA(A3479:K3479)=0,"",IF(OR(A3479="",B3479=""),"Preencher CPF e entrada",IF(COUNTIFS($A$12:$A$5011,A3479,$B$12:$B$5011,B3479)&gt;1,"CPF + dia duplicado",IF(OR(AND(G3479&lt;&gt;"",G3479&lt;&gt;0,G3479&lt;&gt;1),AND(H3479&lt;&gt;"",H3479&lt;&gt;0,H3479&lt;&gt;1)),"Flags devem ser 0 ou 1",IF(AND(H3479=1,LEN(TRIM(I3479))=0),"Preencher nome do indicante",IF(AND(H3479&lt;&gt;1,I3479&lt;&gt;""),"Nome sem indicação interna",IF(AND(G3479=1,F3479=""),"Fechamento sem conversa",IF(OR(AND(E3479&lt;&gt;"",E3479&lt;B3479),AND(F3479&lt;&gt;"",F3479&lt;B3479)),"Evento anterior à entrada",IF(AND(F3479&lt;&gt;"",E3479=""),"Conversa sem agendamento",IF(OR(E3479&gt;TODAY(),F3479&gt;TODAY()),"Verificar evento futuro","OK"))))))))))</f>
        <v/>
      </c>
    </row>
    <row r="3480" spans="12:15">
      <c r="L3480" s="5">
        <f>IF(OR(A3480="",B3480=""),"",B3480-WEEKDAY(B3480,2)+1)</f>
        <v/>
      </c>
      <c r="M3480" s="5">
        <f>IF(L3480="","",L3480+6)</f>
        <v/>
      </c>
      <c r="N3480" s="6">
        <f>IF(OR(A3480="",B3480=""),"",DATE(YEAR(B3480),MONTH(B3480),1))</f>
        <v/>
      </c>
      <c r="O3480" s="7">
        <f>IF(COUNTA(A3480:K3480)=0,"",IF(OR(A3480="",B3480=""),"Preencher CPF e entrada",IF(COUNTIFS($A$12:$A$5011,A3480,$B$12:$B$5011,B3480)&gt;1,"CPF + dia duplicado",IF(OR(AND(G3480&lt;&gt;"",G3480&lt;&gt;0,G3480&lt;&gt;1),AND(H3480&lt;&gt;"",H3480&lt;&gt;0,H3480&lt;&gt;1)),"Flags devem ser 0 ou 1",IF(AND(H3480=1,LEN(TRIM(I3480))=0),"Preencher nome do indicante",IF(AND(H3480&lt;&gt;1,I3480&lt;&gt;""),"Nome sem indicação interna",IF(AND(G3480=1,F3480=""),"Fechamento sem conversa",IF(OR(AND(E3480&lt;&gt;"",E3480&lt;B3480),AND(F3480&lt;&gt;"",F3480&lt;B3480)),"Evento anterior à entrada",IF(AND(F3480&lt;&gt;"",E3480=""),"Conversa sem agendamento",IF(OR(E3480&gt;TODAY(),F3480&gt;TODAY()),"Verificar evento futuro","OK"))))))))))</f>
        <v/>
      </c>
    </row>
    <row r="3481" spans="12:15">
      <c r="L3481" s="5">
        <f>IF(OR(A3481="",B3481=""),"",B3481-WEEKDAY(B3481,2)+1)</f>
        <v/>
      </c>
      <c r="M3481" s="5">
        <f>IF(L3481="","",L3481+6)</f>
        <v/>
      </c>
      <c r="N3481" s="6">
        <f>IF(OR(A3481="",B3481=""),"",DATE(YEAR(B3481),MONTH(B3481),1))</f>
        <v/>
      </c>
      <c r="O3481" s="7">
        <f>IF(COUNTA(A3481:K3481)=0,"",IF(OR(A3481="",B3481=""),"Preencher CPF e entrada",IF(COUNTIFS($A$12:$A$5011,A3481,$B$12:$B$5011,B3481)&gt;1,"CPF + dia duplicado",IF(OR(AND(G3481&lt;&gt;"",G3481&lt;&gt;0,G3481&lt;&gt;1),AND(H3481&lt;&gt;"",H3481&lt;&gt;0,H3481&lt;&gt;1)),"Flags devem ser 0 ou 1",IF(AND(H3481=1,LEN(TRIM(I3481))=0),"Preencher nome do indicante",IF(AND(H3481&lt;&gt;1,I3481&lt;&gt;""),"Nome sem indicação interna",IF(AND(G3481=1,F3481=""),"Fechamento sem conversa",IF(OR(AND(E3481&lt;&gt;"",E3481&lt;B3481),AND(F3481&lt;&gt;"",F3481&lt;B3481)),"Evento anterior à entrada",IF(AND(F3481&lt;&gt;"",E3481=""),"Conversa sem agendamento",IF(OR(E3481&gt;TODAY(),F3481&gt;TODAY()),"Verificar evento futuro","OK"))))))))))</f>
        <v/>
      </c>
    </row>
    <row r="3482" spans="12:15">
      <c r="L3482" s="5">
        <f>IF(OR(A3482="",B3482=""),"",B3482-WEEKDAY(B3482,2)+1)</f>
        <v/>
      </c>
      <c r="M3482" s="5">
        <f>IF(L3482="","",L3482+6)</f>
        <v/>
      </c>
      <c r="N3482" s="6">
        <f>IF(OR(A3482="",B3482=""),"",DATE(YEAR(B3482),MONTH(B3482),1))</f>
        <v/>
      </c>
      <c r="O3482" s="7">
        <f>IF(COUNTA(A3482:K3482)=0,"",IF(OR(A3482="",B3482=""),"Preencher CPF e entrada",IF(COUNTIFS($A$12:$A$5011,A3482,$B$12:$B$5011,B3482)&gt;1,"CPF + dia duplicado",IF(OR(AND(G3482&lt;&gt;"",G3482&lt;&gt;0,G3482&lt;&gt;1),AND(H3482&lt;&gt;"",H3482&lt;&gt;0,H3482&lt;&gt;1)),"Flags devem ser 0 ou 1",IF(AND(H3482=1,LEN(TRIM(I3482))=0),"Preencher nome do indicante",IF(AND(H3482&lt;&gt;1,I3482&lt;&gt;""),"Nome sem indicação interna",IF(AND(G3482=1,F3482=""),"Fechamento sem conversa",IF(OR(AND(E3482&lt;&gt;"",E3482&lt;B3482),AND(F3482&lt;&gt;"",F3482&lt;B3482)),"Evento anterior à entrada",IF(AND(F3482&lt;&gt;"",E3482=""),"Conversa sem agendamento",IF(OR(E3482&gt;TODAY(),F3482&gt;TODAY()),"Verificar evento futuro","OK"))))))))))</f>
        <v/>
      </c>
    </row>
    <row r="3483" spans="12:15">
      <c r="L3483" s="5">
        <f>IF(OR(A3483="",B3483=""),"",B3483-WEEKDAY(B3483,2)+1)</f>
        <v/>
      </c>
      <c r="M3483" s="5">
        <f>IF(L3483="","",L3483+6)</f>
        <v/>
      </c>
      <c r="N3483" s="6">
        <f>IF(OR(A3483="",B3483=""),"",DATE(YEAR(B3483),MONTH(B3483),1))</f>
        <v/>
      </c>
      <c r="O3483" s="7">
        <f>IF(COUNTA(A3483:K3483)=0,"",IF(OR(A3483="",B3483=""),"Preencher CPF e entrada",IF(COUNTIFS($A$12:$A$5011,A3483,$B$12:$B$5011,B3483)&gt;1,"CPF + dia duplicado",IF(OR(AND(G3483&lt;&gt;"",G3483&lt;&gt;0,G3483&lt;&gt;1),AND(H3483&lt;&gt;"",H3483&lt;&gt;0,H3483&lt;&gt;1)),"Flags devem ser 0 ou 1",IF(AND(H3483=1,LEN(TRIM(I3483))=0),"Preencher nome do indicante",IF(AND(H3483&lt;&gt;1,I3483&lt;&gt;""),"Nome sem indicação interna",IF(AND(G3483=1,F3483=""),"Fechamento sem conversa",IF(OR(AND(E3483&lt;&gt;"",E3483&lt;B3483),AND(F3483&lt;&gt;"",F3483&lt;B3483)),"Evento anterior à entrada",IF(AND(F3483&lt;&gt;"",E3483=""),"Conversa sem agendamento",IF(OR(E3483&gt;TODAY(),F3483&gt;TODAY()),"Verificar evento futuro","OK"))))))))))</f>
        <v/>
      </c>
    </row>
    <row r="3484" spans="12:15">
      <c r="L3484" s="5">
        <f>IF(OR(A3484="",B3484=""),"",B3484-WEEKDAY(B3484,2)+1)</f>
        <v/>
      </c>
      <c r="M3484" s="5">
        <f>IF(L3484="","",L3484+6)</f>
        <v/>
      </c>
      <c r="N3484" s="6">
        <f>IF(OR(A3484="",B3484=""),"",DATE(YEAR(B3484),MONTH(B3484),1))</f>
        <v/>
      </c>
      <c r="O3484" s="7">
        <f>IF(COUNTA(A3484:K3484)=0,"",IF(OR(A3484="",B3484=""),"Preencher CPF e entrada",IF(COUNTIFS($A$12:$A$5011,A3484,$B$12:$B$5011,B3484)&gt;1,"CPF + dia duplicado",IF(OR(AND(G3484&lt;&gt;"",G3484&lt;&gt;0,G3484&lt;&gt;1),AND(H3484&lt;&gt;"",H3484&lt;&gt;0,H3484&lt;&gt;1)),"Flags devem ser 0 ou 1",IF(AND(H3484=1,LEN(TRIM(I3484))=0),"Preencher nome do indicante",IF(AND(H3484&lt;&gt;1,I3484&lt;&gt;""),"Nome sem indicação interna",IF(AND(G3484=1,F3484=""),"Fechamento sem conversa",IF(OR(AND(E3484&lt;&gt;"",E3484&lt;B3484),AND(F3484&lt;&gt;"",F3484&lt;B3484)),"Evento anterior à entrada",IF(AND(F3484&lt;&gt;"",E3484=""),"Conversa sem agendamento",IF(OR(E3484&gt;TODAY(),F3484&gt;TODAY()),"Verificar evento futuro","OK"))))))))))</f>
        <v/>
      </c>
    </row>
    <row r="3485" spans="12:15">
      <c r="L3485" s="5">
        <f>IF(OR(A3485="",B3485=""),"",B3485-WEEKDAY(B3485,2)+1)</f>
        <v/>
      </c>
      <c r="M3485" s="5">
        <f>IF(L3485="","",L3485+6)</f>
        <v/>
      </c>
      <c r="N3485" s="6">
        <f>IF(OR(A3485="",B3485=""),"",DATE(YEAR(B3485),MONTH(B3485),1))</f>
        <v/>
      </c>
      <c r="O3485" s="7">
        <f>IF(COUNTA(A3485:K3485)=0,"",IF(OR(A3485="",B3485=""),"Preencher CPF e entrada",IF(COUNTIFS($A$12:$A$5011,A3485,$B$12:$B$5011,B3485)&gt;1,"CPF + dia duplicado",IF(OR(AND(G3485&lt;&gt;"",G3485&lt;&gt;0,G3485&lt;&gt;1),AND(H3485&lt;&gt;"",H3485&lt;&gt;0,H3485&lt;&gt;1)),"Flags devem ser 0 ou 1",IF(AND(H3485=1,LEN(TRIM(I3485))=0),"Preencher nome do indicante",IF(AND(H3485&lt;&gt;1,I3485&lt;&gt;""),"Nome sem indicação interna",IF(AND(G3485=1,F3485=""),"Fechamento sem conversa",IF(OR(AND(E3485&lt;&gt;"",E3485&lt;B3485),AND(F3485&lt;&gt;"",F3485&lt;B3485)),"Evento anterior à entrada",IF(AND(F3485&lt;&gt;"",E3485=""),"Conversa sem agendamento",IF(OR(E3485&gt;TODAY(),F3485&gt;TODAY()),"Verificar evento futuro","OK"))))))))))</f>
        <v/>
      </c>
    </row>
    <row r="3486" spans="12:15">
      <c r="L3486" s="5">
        <f>IF(OR(A3486="",B3486=""),"",B3486-WEEKDAY(B3486,2)+1)</f>
        <v/>
      </c>
      <c r="M3486" s="5">
        <f>IF(L3486="","",L3486+6)</f>
        <v/>
      </c>
      <c r="N3486" s="6">
        <f>IF(OR(A3486="",B3486=""),"",DATE(YEAR(B3486),MONTH(B3486),1))</f>
        <v/>
      </c>
      <c r="O3486" s="7">
        <f>IF(COUNTA(A3486:K3486)=0,"",IF(OR(A3486="",B3486=""),"Preencher CPF e entrada",IF(COUNTIFS($A$12:$A$5011,A3486,$B$12:$B$5011,B3486)&gt;1,"CPF + dia duplicado",IF(OR(AND(G3486&lt;&gt;"",G3486&lt;&gt;0,G3486&lt;&gt;1),AND(H3486&lt;&gt;"",H3486&lt;&gt;0,H3486&lt;&gt;1)),"Flags devem ser 0 ou 1",IF(AND(H3486=1,LEN(TRIM(I3486))=0),"Preencher nome do indicante",IF(AND(H3486&lt;&gt;1,I3486&lt;&gt;""),"Nome sem indicação interna",IF(AND(G3486=1,F3486=""),"Fechamento sem conversa",IF(OR(AND(E3486&lt;&gt;"",E3486&lt;B3486),AND(F3486&lt;&gt;"",F3486&lt;B3486)),"Evento anterior à entrada",IF(AND(F3486&lt;&gt;"",E3486=""),"Conversa sem agendamento",IF(OR(E3486&gt;TODAY(),F3486&gt;TODAY()),"Verificar evento futuro","OK"))))))))))</f>
        <v/>
      </c>
    </row>
    <row r="3487" spans="12:15">
      <c r="L3487" s="5">
        <f>IF(OR(A3487="",B3487=""),"",B3487-WEEKDAY(B3487,2)+1)</f>
        <v/>
      </c>
      <c r="M3487" s="5">
        <f>IF(L3487="","",L3487+6)</f>
        <v/>
      </c>
      <c r="N3487" s="6">
        <f>IF(OR(A3487="",B3487=""),"",DATE(YEAR(B3487),MONTH(B3487),1))</f>
        <v/>
      </c>
      <c r="O3487" s="7">
        <f>IF(COUNTA(A3487:K3487)=0,"",IF(OR(A3487="",B3487=""),"Preencher CPF e entrada",IF(COUNTIFS($A$12:$A$5011,A3487,$B$12:$B$5011,B3487)&gt;1,"CPF + dia duplicado",IF(OR(AND(G3487&lt;&gt;"",G3487&lt;&gt;0,G3487&lt;&gt;1),AND(H3487&lt;&gt;"",H3487&lt;&gt;0,H3487&lt;&gt;1)),"Flags devem ser 0 ou 1",IF(AND(H3487=1,LEN(TRIM(I3487))=0),"Preencher nome do indicante",IF(AND(H3487&lt;&gt;1,I3487&lt;&gt;""),"Nome sem indicação interna",IF(AND(G3487=1,F3487=""),"Fechamento sem conversa",IF(OR(AND(E3487&lt;&gt;"",E3487&lt;B3487),AND(F3487&lt;&gt;"",F3487&lt;B3487)),"Evento anterior à entrada",IF(AND(F3487&lt;&gt;"",E3487=""),"Conversa sem agendamento",IF(OR(E3487&gt;TODAY(),F3487&gt;TODAY()),"Verificar evento futuro","OK"))))))))))</f>
        <v/>
      </c>
    </row>
    <row r="3488" spans="12:15">
      <c r="L3488" s="5">
        <f>IF(OR(A3488="",B3488=""),"",B3488-WEEKDAY(B3488,2)+1)</f>
        <v/>
      </c>
      <c r="M3488" s="5">
        <f>IF(L3488="","",L3488+6)</f>
        <v/>
      </c>
      <c r="N3488" s="6">
        <f>IF(OR(A3488="",B3488=""),"",DATE(YEAR(B3488),MONTH(B3488),1))</f>
        <v/>
      </c>
      <c r="O3488" s="7">
        <f>IF(COUNTA(A3488:K3488)=0,"",IF(OR(A3488="",B3488=""),"Preencher CPF e entrada",IF(COUNTIFS($A$12:$A$5011,A3488,$B$12:$B$5011,B3488)&gt;1,"CPF + dia duplicado",IF(OR(AND(G3488&lt;&gt;"",G3488&lt;&gt;0,G3488&lt;&gt;1),AND(H3488&lt;&gt;"",H3488&lt;&gt;0,H3488&lt;&gt;1)),"Flags devem ser 0 ou 1",IF(AND(H3488=1,LEN(TRIM(I3488))=0),"Preencher nome do indicante",IF(AND(H3488&lt;&gt;1,I3488&lt;&gt;""),"Nome sem indicação interna",IF(AND(G3488=1,F3488=""),"Fechamento sem conversa",IF(OR(AND(E3488&lt;&gt;"",E3488&lt;B3488),AND(F3488&lt;&gt;"",F3488&lt;B3488)),"Evento anterior à entrada",IF(AND(F3488&lt;&gt;"",E3488=""),"Conversa sem agendamento",IF(OR(E3488&gt;TODAY(),F3488&gt;TODAY()),"Verificar evento futuro","OK"))))))))))</f>
        <v/>
      </c>
    </row>
    <row r="3489" spans="12:15">
      <c r="L3489" s="5">
        <f>IF(OR(A3489="",B3489=""),"",B3489-WEEKDAY(B3489,2)+1)</f>
        <v/>
      </c>
      <c r="M3489" s="5">
        <f>IF(L3489="","",L3489+6)</f>
        <v/>
      </c>
      <c r="N3489" s="6">
        <f>IF(OR(A3489="",B3489=""),"",DATE(YEAR(B3489),MONTH(B3489),1))</f>
        <v/>
      </c>
      <c r="O3489" s="7">
        <f>IF(COUNTA(A3489:K3489)=0,"",IF(OR(A3489="",B3489=""),"Preencher CPF e entrada",IF(COUNTIFS($A$12:$A$5011,A3489,$B$12:$B$5011,B3489)&gt;1,"CPF + dia duplicado",IF(OR(AND(G3489&lt;&gt;"",G3489&lt;&gt;0,G3489&lt;&gt;1),AND(H3489&lt;&gt;"",H3489&lt;&gt;0,H3489&lt;&gt;1)),"Flags devem ser 0 ou 1",IF(AND(H3489=1,LEN(TRIM(I3489))=0),"Preencher nome do indicante",IF(AND(H3489&lt;&gt;1,I3489&lt;&gt;""),"Nome sem indicação interna",IF(AND(G3489=1,F3489=""),"Fechamento sem conversa",IF(OR(AND(E3489&lt;&gt;"",E3489&lt;B3489),AND(F3489&lt;&gt;"",F3489&lt;B3489)),"Evento anterior à entrada",IF(AND(F3489&lt;&gt;"",E3489=""),"Conversa sem agendamento",IF(OR(E3489&gt;TODAY(),F3489&gt;TODAY()),"Verificar evento futuro","OK"))))))))))</f>
        <v/>
      </c>
    </row>
    <row r="3490" spans="12:15">
      <c r="L3490" s="5">
        <f>IF(OR(A3490="",B3490=""),"",B3490-WEEKDAY(B3490,2)+1)</f>
        <v/>
      </c>
      <c r="M3490" s="5">
        <f>IF(L3490="","",L3490+6)</f>
        <v/>
      </c>
      <c r="N3490" s="6">
        <f>IF(OR(A3490="",B3490=""),"",DATE(YEAR(B3490),MONTH(B3490),1))</f>
        <v/>
      </c>
      <c r="O3490" s="7">
        <f>IF(COUNTA(A3490:K3490)=0,"",IF(OR(A3490="",B3490=""),"Preencher CPF e entrada",IF(COUNTIFS($A$12:$A$5011,A3490,$B$12:$B$5011,B3490)&gt;1,"CPF + dia duplicado",IF(OR(AND(G3490&lt;&gt;"",G3490&lt;&gt;0,G3490&lt;&gt;1),AND(H3490&lt;&gt;"",H3490&lt;&gt;0,H3490&lt;&gt;1)),"Flags devem ser 0 ou 1",IF(AND(H3490=1,LEN(TRIM(I3490))=0),"Preencher nome do indicante",IF(AND(H3490&lt;&gt;1,I3490&lt;&gt;""),"Nome sem indicação interna",IF(AND(G3490=1,F3490=""),"Fechamento sem conversa",IF(OR(AND(E3490&lt;&gt;"",E3490&lt;B3490),AND(F3490&lt;&gt;"",F3490&lt;B3490)),"Evento anterior à entrada",IF(AND(F3490&lt;&gt;"",E3490=""),"Conversa sem agendamento",IF(OR(E3490&gt;TODAY(),F3490&gt;TODAY()),"Verificar evento futuro","OK"))))))))))</f>
        <v/>
      </c>
    </row>
    <row r="3491" spans="12:15">
      <c r="L3491" s="5">
        <f>IF(OR(A3491="",B3491=""),"",B3491-WEEKDAY(B3491,2)+1)</f>
        <v/>
      </c>
      <c r="M3491" s="5">
        <f>IF(L3491="","",L3491+6)</f>
        <v/>
      </c>
      <c r="N3491" s="6">
        <f>IF(OR(A3491="",B3491=""),"",DATE(YEAR(B3491),MONTH(B3491),1))</f>
        <v/>
      </c>
      <c r="O3491" s="7">
        <f>IF(COUNTA(A3491:K3491)=0,"",IF(OR(A3491="",B3491=""),"Preencher CPF e entrada",IF(COUNTIFS($A$12:$A$5011,A3491,$B$12:$B$5011,B3491)&gt;1,"CPF + dia duplicado",IF(OR(AND(G3491&lt;&gt;"",G3491&lt;&gt;0,G3491&lt;&gt;1),AND(H3491&lt;&gt;"",H3491&lt;&gt;0,H3491&lt;&gt;1)),"Flags devem ser 0 ou 1",IF(AND(H3491=1,LEN(TRIM(I3491))=0),"Preencher nome do indicante",IF(AND(H3491&lt;&gt;1,I3491&lt;&gt;""),"Nome sem indicação interna",IF(AND(G3491=1,F3491=""),"Fechamento sem conversa",IF(OR(AND(E3491&lt;&gt;"",E3491&lt;B3491),AND(F3491&lt;&gt;"",F3491&lt;B3491)),"Evento anterior à entrada",IF(AND(F3491&lt;&gt;"",E3491=""),"Conversa sem agendamento",IF(OR(E3491&gt;TODAY(),F3491&gt;TODAY()),"Verificar evento futuro","OK"))))))))))</f>
        <v/>
      </c>
    </row>
    <row r="3492" spans="12:15">
      <c r="L3492" s="5">
        <f>IF(OR(A3492="",B3492=""),"",B3492-WEEKDAY(B3492,2)+1)</f>
        <v/>
      </c>
      <c r="M3492" s="5">
        <f>IF(L3492="","",L3492+6)</f>
        <v/>
      </c>
      <c r="N3492" s="6">
        <f>IF(OR(A3492="",B3492=""),"",DATE(YEAR(B3492),MONTH(B3492),1))</f>
        <v/>
      </c>
      <c r="O3492" s="7">
        <f>IF(COUNTA(A3492:K3492)=0,"",IF(OR(A3492="",B3492=""),"Preencher CPF e entrada",IF(COUNTIFS($A$12:$A$5011,A3492,$B$12:$B$5011,B3492)&gt;1,"CPF + dia duplicado",IF(OR(AND(G3492&lt;&gt;"",G3492&lt;&gt;0,G3492&lt;&gt;1),AND(H3492&lt;&gt;"",H3492&lt;&gt;0,H3492&lt;&gt;1)),"Flags devem ser 0 ou 1",IF(AND(H3492=1,LEN(TRIM(I3492))=0),"Preencher nome do indicante",IF(AND(H3492&lt;&gt;1,I3492&lt;&gt;""),"Nome sem indicação interna",IF(AND(G3492=1,F3492=""),"Fechamento sem conversa",IF(OR(AND(E3492&lt;&gt;"",E3492&lt;B3492),AND(F3492&lt;&gt;"",F3492&lt;B3492)),"Evento anterior à entrada",IF(AND(F3492&lt;&gt;"",E3492=""),"Conversa sem agendamento",IF(OR(E3492&gt;TODAY(),F3492&gt;TODAY()),"Verificar evento futuro","OK"))))))))))</f>
        <v/>
      </c>
    </row>
    <row r="3493" spans="12:15">
      <c r="L3493" s="5">
        <f>IF(OR(A3493="",B3493=""),"",B3493-WEEKDAY(B3493,2)+1)</f>
        <v/>
      </c>
      <c r="M3493" s="5">
        <f>IF(L3493="","",L3493+6)</f>
        <v/>
      </c>
      <c r="N3493" s="6">
        <f>IF(OR(A3493="",B3493=""),"",DATE(YEAR(B3493),MONTH(B3493),1))</f>
        <v/>
      </c>
      <c r="O3493" s="7">
        <f>IF(COUNTA(A3493:K3493)=0,"",IF(OR(A3493="",B3493=""),"Preencher CPF e entrada",IF(COUNTIFS($A$12:$A$5011,A3493,$B$12:$B$5011,B3493)&gt;1,"CPF + dia duplicado",IF(OR(AND(G3493&lt;&gt;"",G3493&lt;&gt;0,G3493&lt;&gt;1),AND(H3493&lt;&gt;"",H3493&lt;&gt;0,H3493&lt;&gt;1)),"Flags devem ser 0 ou 1",IF(AND(H3493=1,LEN(TRIM(I3493))=0),"Preencher nome do indicante",IF(AND(H3493&lt;&gt;1,I3493&lt;&gt;""),"Nome sem indicação interna",IF(AND(G3493=1,F3493=""),"Fechamento sem conversa",IF(OR(AND(E3493&lt;&gt;"",E3493&lt;B3493),AND(F3493&lt;&gt;"",F3493&lt;B3493)),"Evento anterior à entrada",IF(AND(F3493&lt;&gt;"",E3493=""),"Conversa sem agendamento",IF(OR(E3493&gt;TODAY(),F3493&gt;TODAY()),"Verificar evento futuro","OK"))))))))))</f>
        <v/>
      </c>
    </row>
    <row r="3494" spans="12:15">
      <c r="L3494" s="5">
        <f>IF(OR(A3494="",B3494=""),"",B3494-WEEKDAY(B3494,2)+1)</f>
        <v/>
      </c>
      <c r="M3494" s="5">
        <f>IF(L3494="","",L3494+6)</f>
        <v/>
      </c>
      <c r="N3494" s="6">
        <f>IF(OR(A3494="",B3494=""),"",DATE(YEAR(B3494),MONTH(B3494),1))</f>
        <v/>
      </c>
      <c r="O3494" s="7">
        <f>IF(COUNTA(A3494:K3494)=0,"",IF(OR(A3494="",B3494=""),"Preencher CPF e entrada",IF(COUNTIFS($A$12:$A$5011,A3494,$B$12:$B$5011,B3494)&gt;1,"CPF + dia duplicado",IF(OR(AND(G3494&lt;&gt;"",G3494&lt;&gt;0,G3494&lt;&gt;1),AND(H3494&lt;&gt;"",H3494&lt;&gt;0,H3494&lt;&gt;1)),"Flags devem ser 0 ou 1",IF(AND(H3494=1,LEN(TRIM(I3494))=0),"Preencher nome do indicante",IF(AND(H3494&lt;&gt;1,I3494&lt;&gt;""),"Nome sem indicação interna",IF(AND(G3494=1,F3494=""),"Fechamento sem conversa",IF(OR(AND(E3494&lt;&gt;"",E3494&lt;B3494),AND(F3494&lt;&gt;"",F3494&lt;B3494)),"Evento anterior à entrada",IF(AND(F3494&lt;&gt;"",E3494=""),"Conversa sem agendamento",IF(OR(E3494&gt;TODAY(),F3494&gt;TODAY()),"Verificar evento futuro","OK"))))))))))</f>
        <v/>
      </c>
    </row>
    <row r="3495" spans="12:15">
      <c r="L3495" s="5">
        <f>IF(OR(A3495="",B3495=""),"",B3495-WEEKDAY(B3495,2)+1)</f>
        <v/>
      </c>
      <c r="M3495" s="5">
        <f>IF(L3495="","",L3495+6)</f>
        <v/>
      </c>
      <c r="N3495" s="6">
        <f>IF(OR(A3495="",B3495=""),"",DATE(YEAR(B3495),MONTH(B3495),1))</f>
        <v/>
      </c>
      <c r="O3495" s="7">
        <f>IF(COUNTA(A3495:K3495)=0,"",IF(OR(A3495="",B3495=""),"Preencher CPF e entrada",IF(COUNTIFS($A$12:$A$5011,A3495,$B$12:$B$5011,B3495)&gt;1,"CPF + dia duplicado",IF(OR(AND(G3495&lt;&gt;"",G3495&lt;&gt;0,G3495&lt;&gt;1),AND(H3495&lt;&gt;"",H3495&lt;&gt;0,H3495&lt;&gt;1)),"Flags devem ser 0 ou 1",IF(AND(H3495=1,LEN(TRIM(I3495))=0),"Preencher nome do indicante",IF(AND(H3495&lt;&gt;1,I3495&lt;&gt;""),"Nome sem indicação interna",IF(AND(G3495=1,F3495=""),"Fechamento sem conversa",IF(OR(AND(E3495&lt;&gt;"",E3495&lt;B3495),AND(F3495&lt;&gt;"",F3495&lt;B3495)),"Evento anterior à entrada",IF(AND(F3495&lt;&gt;"",E3495=""),"Conversa sem agendamento",IF(OR(E3495&gt;TODAY(),F3495&gt;TODAY()),"Verificar evento futuro","OK"))))))))))</f>
        <v/>
      </c>
    </row>
    <row r="3496" spans="12:15">
      <c r="L3496" s="5">
        <f>IF(OR(A3496="",B3496=""),"",B3496-WEEKDAY(B3496,2)+1)</f>
        <v/>
      </c>
      <c r="M3496" s="5">
        <f>IF(L3496="","",L3496+6)</f>
        <v/>
      </c>
      <c r="N3496" s="6">
        <f>IF(OR(A3496="",B3496=""),"",DATE(YEAR(B3496),MONTH(B3496),1))</f>
        <v/>
      </c>
      <c r="O3496" s="7">
        <f>IF(COUNTA(A3496:K3496)=0,"",IF(OR(A3496="",B3496=""),"Preencher CPF e entrada",IF(COUNTIFS($A$12:$A$5011,A3496,$B$12:$B$5011,B3496)&gt;1,"CPF + dia duplicado",IF(OR(AND(G3496&lt;&gt;"",G3496&lt;&gt;0,G3496&lt;&gt;1),AND(H3496&lt;&gt;"",H3496&lt;&gt;0,H3496&lt;&gt;1)),"Flags devem ser 0 ou 1",IF(AND(H3496=1,LEN(TRIM(I3496))=0),"Preencher nome do indicante",IF(AND(H3496&lt;&gt;1,I3496&lt;&gt;""),"Nome sem indicação interna",IF(AND(G3496=1,F3496=""),"Fechamento sem conversa",IF(OR(AND(E3496&lt;&gt;"",E3496&lt;B3496),AND(F3496&lt;&gt;"",F3496&lt;B3496)),"Evento anterior à entrada",IF(AND(F3496&lt;&gt;"",E3496=""),"Conversa sem agendamento",IF(OR(E3496&gt;TODAY(),F3496&gt;TODAY()),"Verificar evento futuro","OK"))))))))))</f>
        <v/>
      </c>
    </row>
    <row r="3497" spans="12:15">
      <c r="L3497" s="5">
        <f>IF(OR(A3497="",B3497=""),"",B3497-WEEKDAY(B3497,2)+1)</f>
        <v/>
      </c>
      <c r="M3497" s="5">
        <f>IF(L3497="","",L3497+6)</f>
        <v/>
      </c>
      <c r="N3497" s="6">
        <f>IF(OR(A3497="",B3497=""),"",DATE(YEAR(B3497),MONTH(B3497),1))</f>
        <v/>
      </c>
      <c r="O3497" s="7">
        <f>IF(COUNTA(A3497:K3497)=0,"",IF(OR(A3497="",B3497=""),"Preencher CPF e entrada",IF(COUNTIFS($A$12:$A$5011,A3497,$B$12:$B$5011,B3497)&gt;1,"CPF + dia duplicado",IF(OR(AND(G3497&lt;&gt;"",G3497&lt;&gt;0,G3497&lt;&gt;1),AND(H3497&lt;&gt;"",H3497&lt;&gt;0,H3497&lt;&gt;1)),"Flags devem ser 0 ou 1",IF(AND(H3497=1,LEN(TRIM(I3497))=0),"Preencher nome do indicante",IF(AND(H3497&lt;&gt;1,I3497&lt;&gt;""),"Nome sem indicação interna",IF(AND(G3497=1,F3497=""),"Fechamento sem conversa",IF(OR(AND(E3497&lt;&gt;"",E3497&lt;B3497),AND(F3497&lt;&gt;"",F3497&lt;B3497)),"Evento anterior à entrada",IF(AND(F3497&lt;&gt;"",E3497=""),"Conversa sem agendamento",IF(OR(E3497&gt;TODAY(),F3497&gt;TODAY()),"Verificar evento futuro","OK"))))))))))</f>
        <v/>
      </c>
    </row>
    <row r="3498" spans="12:15">
      <c r="L3498" s="5">
        <f>IF(OR(A3498="",B3498=""),"",B3498-WEEKDAY(B3498,2)+1)</f>
        <v/>
      </c>
      <c r="M3498" s="5">
        <f>IF(L3498="","",L3498+6)</f>
        <v/>
      </c>
      <c r="N3498" s="6">
        <f>IF(OR(A3498="",B3498=""),"",DATE(YEAR(B3498),MONTH(B3498),1))</f>
        <v/>
      </c>
      <c r="O3498" s="7">
        <f>IF(COUNTA(A3498:K3498)=0,"",IF(OR(A3498="",B3498=""),"Preencher CPF e entrada",IF(COUNTIFS($A$12:$A$5011,A3498,$B$12:$B$5011,B3498)&gt;1,"CPF + dia duplicado",IF(OR(AND(G3498&lt;&gt;"",G3498&lt;&gt;0,G3498&lt;&gt;1),AND(H3498&lt;&gt;"",H3498&lt;&gt;0,H3498&lt;&gt;1)),"Flags devem ser 0 ou 1",IF(AND(H3498=1,LEN(TRIM(I3498))=0),"Preencher nome do indicante",IF(AND(H3498&lt;&gt;1,I3498&lt;&gt;""),"Nome sem indicação interna",IF(AND(G3498=1,F3498=""),"Fechamento sem conversa",IF(OR(AND(E3498&lt;&gt;"",E3498&lt;B3498),AND(F3498&lt;&gt;"",F3498&lt;B3498)),"Evento anterior à entrada",IF(AND(F3498&lt;&gt;"",E3498=""),"Conversa sem agendamento",IF(OR(E3498&gt;TODAY(),F3498&gt;TODAY()),"Verificar evento futuro","OK"))))))))))</f>
        <v/>
      </c>
    </row>
    <row r="3499" spans="12:15">
      <c r="L3499" s="5">
        <f>IF(OR(A3499="",B3499=""),"",B3499-WEEKDAY(B3499,2)+1)</f>
        <v/>
      </c>
      <c r="M3499" s="5">
        <f>IF(L3499="","",L3499+6)</f>
        <v/>
      </c>
      <c r="N3499" s="6">
        <f>IF(OR(A3499="",B3499=""),"",DATE(YEAR(B3499),MONTH(B3499),1))</f>
        <v/>
      </c>
      <c r="O3499" s="7">
        <f>IF(COUNTA(A3499:K3499)=0,"",IF(OR(A3499="",B3499=""),"Preencher CPF e entrada",IF(COUNTIFS($A$12:$A$5011,A3499,$B$12:$B$5011,B3499)&gt;1,"CPF + dia duplicado",IF(OR(AND(G3499&lt;&gt;"",G3499&lt;&gt;0,G3499&lt;&gt;1),AND(H3499&lt;&gt;"",H3499&lt;&gt;0,H3499&lt;&gt;1)),"Flags devem ser 0 ou 1",IF(AND(H3499=1,LEN(TRIM(I3499))=0),"Preencher nome do indicante",IF(AND(H3499&lt;&gt;1,I3499&lt;&gt;""),"Nome sem indicação interna",IF(AND(G3499=1,F3499=""),"Fechamento sem conversa",IF(OR(AND(E3499&lt;&gt;"",E3499&lt;B3499),AND(F3499&lt;&gt;"",F3499&lt;B3499)),"Evento anterior à entrada",IF(AND(F3499&lt;&gt;"",E3499=""),"Conversa sem agendamento",IF(OR(E3499&gt;TODAY(),F3499&gt;TODAY()),"Verificar evento futuro","OK"))))))))))</f>
        <v/>
      </c>
    </row>
    <row r="3500" spans="12:15">
      <c r="L3500" s="5">
        <f>IF(OR(A3500="",B3500=""),"",B3500-WEEKDAY(B3500,2)+1)</f>
        <v/>
      </c>
      <c r="M3500" s="5">
        <f>IF(L3500="","",L3500+6)</f>
        <v/>
      </c>
      <c r="N3500" s="6">
        <f>IF(OR(A3500="",B3500=""),"",DATE(YEAR(B3500),MONTH(B3500),1))</f>
        <v/>
      </c>
      <c r="O3500" s="7">
        <f>IF(COUNTA(A3500:K3500)=0,"",IF(OR(A3500="",B3500=""),"Preencher CPF e entrada",IF(COUNTIFS($A$12:$A$5011,A3500,$B$12:$B$5011,B3500)&gt;1,"CPF + dia duplicado",IF(OR(AND(G3500&lt;&gt;"",G3500&lt;&gt;0,G3500&lt;&gt;1),AND(H3500&lt;&gt;"",H3500&lt;&gt;0,H3500&lt;&gt;1)),"Flags devem ser 0 ou 1",IF(AND(H3500=1,LEN(TRIM(I3500))=0),"Preencher nome do indicante",IF(AND(H3500&lt;&gt;1,I3500&lt;&gt;""),"Nome sem indicação interna",IF(AND(G3500=1,F3500=""),"Fechamento sem conversa",IF(OR(AND(E3500&lt;&gt;"",E3500&lt;B3500),AND(F3500&lt;&gt;"",F3500&lt;B3500)),"Evento anterior à entrada",IF(AND(F3500&lt;&gt;"",E3500=""),"Conversa sem agendamento",IF(OR(E3500&gt;TODAY(),F3500&gt;TODAY()),"Verificar evento futuro","OK"))))))))))</f>
        <v/>
      </c>
    </row>
    <row r="3501" spans="12:15">
      <c r="L3501" s="5">
        <f>IF(OR(A3501="",B3501=""),"",B3501-WEEKDAY(B3501,2)+1)</f>
        <v/>
      </c>
      <c r="M3501" s="5">
        <f>IF(L3501="","",L3501+6)</f>
        <v/>
      </c>
      <c r="N3501" s="6">
        <f>IF(OR(A3501="",B3501=""),"",DATE(YEAR(B3501),MONTH(B3501),1))</f>
        <v/>
      </c>
      <c r="O3501" s="7">
        <f>IF(COUNTA(A3501:K3501)=0,"",IF(OR(A3501="",B3501=""),"Preencher CPF e entrada",IF(COUNTIFS($A$12:$A$5011,A3501,$B$12:$B$5011,B3501)&gt;1,"CPF + dia duplicado",IF(OR(AND(G3501&lt;&gt;"",G3501&lt;&gt;0,G3501&lt;&gt;1),AND(H3501&lt;&gt;"",H3501&lt;&gt;0,H3501&lt;&gt;1)),"Flags devem ser 0 ou 1",IF(AND(H3501=1,LEN(TRIM(I3501))=0),"Preencher nome do indicante",IF(AND(H3501&lt;&gt;1,I3501&lt;&gt;""),"Nome sem indicação interna",IF(AND(G3501=1,F3501=""),"Fechamento sem conversa",IF(OR(AND(E3501&lt;&gt;"",E3501&lt;B3501),AND(F3501&lt;&gt;"",F3501&lt;B3501)),"Evento anterior à entrada",IF(AND(F3501&lt;&gt;"",E3501=""),"Conversa sem agendamento",IF(OR(E3501&gt;TODAY(),F3501&gt;TODAY()),"Verificar evento futuro","OK"))))))))))</f>
        <v/>
      </c>
    </row>
    <row r="3502" spans="12:15">
      <c r="L3502" s="5">
        <f>IF(OR(A3502="",B3502=""),"",B3502-WEEKDAY(B3502,2)+1)</f>
        <v/>
      </c>
      <c r="M3502" s="5">
        <f>IF(L3502="","",L3502+6)</f>
        <v/>
      </c>
      <c r="N3502" s="6">
        <f>IF(OR(A3502="",B3502=""),"",DATE(YEAR(B3502),MONTH(B3502),1))</f>
        <v/>
      </c>
      <c r="O3502" s="7">
        <f>IF(COUNTA(A3502:K3502)=0,"",IF(OR(A3502="",B3502=""),"Preencher CPF e entrada",IF(COUNTIFS($A$12:$A$5011,A3502,$B$12:$B$5011,B3502)&gt;1,"CPF + dia duplicado",IF(OR(AND(G3502&lt;&gt;"",G3502&lt;&gt;0,G3502&lt;&gt;1),AND(H3502&lt;&gt;"",H3502&lt;&gt;0,H3502&lt;&gt;1)),"Flags devem ser 0 ou 1",IF(AND(H3502=1,LEN(TRIM(I3502))=0),"Preencher nome do indicante",IF(AND(H3502&lt;&gt;1,I3502&lt;&gt;""),"Nome sem indicação interna",IF(AND(G3502=1,F3502=""),"Fechamento sem conversa",IF(OR(AND(E3502&lt;&gt;"",E3502&lt;B3502),AND(F3502&lt;&gt;"",F3502&lt;B3502)),"Evento anterior à entrada",IF(AND(F3502&lt;&gt;"",E3502=""),"Conversa sem agendamento",IF(OR(E3502&gt;TODAY(),F3502&gt;TODAY()),"Verificar evento futuro","OK"))))))))))</f>
        <v/>
      </c>
    </row>
    <row r="3503" spans="12:15">
      <c r="L3503" s="5">
        <f>IF(OR(A3503="",B3503=""),"",B3503-WEEKDAY(B3503,2)+1)</f>
        <v/>
      </c>
      <c r="M3503" s="5">
        <f>IF(L3503="","",L3503+6)</f>
        <v/>
      </c>
      <c r="N3503" s="6">
        <f>IF(OR(A3503="",B3503=""),"",DATE(YEAR(B3503),MONTH(B3503),1))</f>
        <v/>
      </c>
      <c r="O3503" s="7">
        <f>IF(COUNTA(A3503:K3503)=0,"",IF(OR(A3503="",B3503=""),"Preencher CPF e entrada",IF(COUNTIFS($A$12:$A$5011,A3503,$B$12:$B$5011,B3503)&gt;1,"CPF + dia duplicado",IF(OR(AND(G3503&lt;&gt;"",G3503&lt;&gt;0,G3503&lt;&gt;1),AND(H3503&lt;&gt;"",H3503&lt;&gt;0,H3503&lt;&gt;1)),"Flags devem ser 0 ou 1",IF(AND(H3503=1,LEN(TRIM(I3503))=0),"Preencher nome do indicante",IF(AND(H3503&lt;&gt;1,I3503&lt;&gt;""),"Nome sem indicação interna",IF(AND(G3503=1,F3503=""),"Fechamento sem conversa",IF(OR(AND(E3503&lt;&gt;"",E3503&lt;B3503),AND(F3503&lt;&gt;"",F3503&lt;B3503)),"Evento anterior à entrada",IF(AND(F3503&lt;&gt;"",E3503=""),"Conversa sem agendamento",IF(OR(E3503&gt;TODAY(),F3503&gt;TODAY()),"Verificar evento futuro","OK"))))))))))</f>
        <v/>
      </c>
    </row>
    <row r="3504" spans="12:15">
      <c r="L3504" s="5">
        <f>IF(OR(A3504="",B3504=""),"",B3504-WEEKDAY(B3504,2)+1)</f>
        <v/>
      </c>
      <c r="M3504" s="5">
        <f>IF(L3504="","",L3504+6)</f>
        <v/>
      </c>
      <c r="N3504" s="6">
        <f>IF(OR(A3504="",B3504=""),"",DATE(YEAR(B3504),MONTH(B3504),1))</f>
        <v/>
      </c>
      <c r="O3504" s="7">
        <f>IF(COUNTA(A3504:K3504)=0,"",IF(OR(A3504="",B3504=""),"Preencher CPF e entrada",IF(COUNTIFS($A$12:$A$5011,A3504,$B$12:$B$5011,B3504)&gt;1,"CPF + dia duplicado",IF(OR(AND(G3504&lt;&gt;"",G3504&lt;&gt;0,G3504&lt;&gt;1),AND(H3504&lt;&gt;"",H3504&lt;&gt;0,H3504&lt;&gt;1)),"Flags devem ser 0 ou 1",IF(AND(H3504=1,LEN(TRIM(I3504))=0),"Preencher nome do indicante",IF(AND(H3504&lt;&gt;1,I3504&lt;&gt;""),"Nome sem indicação interna",IF(AND(G3504=1,F3504=""),"Fechamento sem conversa",IF(OR(AND(E3504&lt;&gt;"",E3504&lt;B3504),AND(F3504&lt;&gt;"",F3504&lt;B3504)),"Evento anterior à entrada",IF(AND(F3504&lt;&gt;"",E3504=""),"Conversa sem agendamento",IF(OR(E3504&gt;TODAY(),F3504&gt;TODAY()),"Verificar evento futuro","OK"))))))))))</f>
        <v/>
      </c>
    </row>
    <row r="3505" spans="12:15">
      <c r="L3505" s="5">
        <f>IF(OR(A3505="",B3505=""),"",B3505-WEEKDAY(B3505,2)+1)</f>
        <v/>
      </c>
      <c r="M3505" s="5">
        <f>IF(L3505="","",L3505+6)</f>
        <v/>
      </c>
      <c r="N3505" s="6">
        <f>IF(OR(A3505="",B3505=""),"",DATE(YEAR(B3505),MONTH(B3505),1))</f>
        <v/>
      </c>
      <c r="O3505" s="7">
        <f>IF(COUNTA(A3505:K3505)=0,"",IF(OR(A3505="",B3505=""),"Preencher CPF e entrada",IF(COUNTIFS($A$12:$A$5011,A3505,$B$12:$B$5011,B3505)&gt;1,"CPF + dia duplicado",IF(OR(AND(G3505&lt;&gt;"",G3505&lt;&gt;0,G3505&lt;&gt;1),AND(H3505&lt;&gt;"",H3505&lt;&gt;0,H3505&lt;&gt;1)),"Flags devem ser 0 ou 1",IF(AND(H3505=1,LEN(TRIM(I3505))=0),"Preencher nome do indicante",IF(AND(H3505&lt;&gt;1,I3505&lt;&gt;""),"Nome sem indicação interna",IF(AND(G3505=1,F3505=""),"Fechamento sem conversa",IF(OR(AND(E3505&lt;&gt;"",E3505&lt;B3505),AND(F3505&lt;&gt;"",F3505&lt;B3505)),"Evento anterior à entrada",IF(AND(F3505&lt;&gt;"",E3505=""),"Conversa sem agendamento",IF(OR(E3505&gt;TODAY(),F3505&gt;TODAY()),"Verificar evento futuro","OK"))))))))))</f>
        <v/>
      </c>
    </row>
    <row r="3506" spans="12:15">
      <c r="L3506" s="5">
        <f>IF(OR(A3506="",B3506=""),"",B3506-WEEKDAY(B3506,2)+1)</f>
        <v/>
      </c>
      <c r="M3506" s="5">
        <f>IF(L3506="","",L3506+6)</f>
        <v/>
      </c>
      <c r="N3506" s="6">
        <f>IF(OR(A3506="",B3506=""),"",DATE(YEAR(B3506),MONTH(B3506),1))</f>
        <v/>
      </c>
      <c r="O3506" s="7">
        <f>IF(COUNTA(A3506:K3506)=0,"",IF(OR(A3506="",B3506=""),"Preencher CPF e entrada",IF(COUNTIFS($A$12:$A$5011,A3506,$B$12:$B$5011,B3506)&gt;1,"CPF + dia duplicado",IF(OR(AND(G3506&lt;&gt;"",G3506&lt;&gt;0,G3506&lt;&gt;1),AND(H3506&lt;&gt;"",H3506&lt;&gt;0,H3506&lt;&gt;1)),"Flags devem ser 0 ou 1",IF(AND(H3506=1,LEN(TRIM(I3506))=0),"Preencher nome do indicante",IF(AND(H3506&lt;&gt;1,I3506&lt;&gt;""),"Nome sem indicação interna",IF(AND(G3506=1,F3506=""),"Fechamento sem conversa",IF(OR(AND(E3506&lt;&gt;"",E3506&lt;B3506),AND(F3506&lt;&gt;"",F3506&lt;B3506)),"Evento anterior à entrada",IF(AND(F3506&lt;&gt;"",E3506=""),"Conversa sem agendamento",IF(OR(E3506&gt;TODAY(),F3506&gt;TODAY()),"Verificar evento futuro","OK"))))))))))</f>
        <v/>
      </c>
    </row>
    <row r="3507" spans="12:15">
      <c r="L3507" s="5">
        <f>IF(OR(A3507="",B3507=""),"",B3507-WEEKDAY(B3507,2)+1)</f>
        <v/>
      </c>
      <c r="M3507" s="5">
        <f>IF(L3507="","",L3507+6)</f>
        <v/>
      </c>
      <c r="N3507" s="6">
        <f>IF(OR(A3507="",B3507=""),"",DATE(YEAR(B3507),MONTH(B3507),1))</f>
        <v/>
      </c>
      <c r="O3507" s="7">
        <f>IF(COUNTA(A3507:K3507)=0,"",IF(OR(A3507="",B3507=""),"Preencher CPF e entrada",IF(COUNTIFS($A$12:$A$5011,A3507,$B$12:$B$5011,B3507)&gt;1,"CPF + dia duplicado",IF(OR(AND(G3507&lt;&gt;"",G3507&lt;&gt;0,G3507&lt;&gt;1),AND(H3507&lt;&gt;"",H3507&lt;&gt;0,H3507&lt;&gt;1)),"Flags devem ser 0 ou 1",IF(AND(H3507=1,LEN(TRIM(I3507))=0),"Preencher nome do indicante",IF(AND(H3507&lt;&gt;1,I3507&lt;&gt;""),"Nome sem indicação interna",IF(AND(G3507=1,F3507=""),"Fechamento sem conversa",IF(OR(AND(E3507&lt;&gt;"",E3507&lt;B3507),AND(F3507&lt;&gt;"",F3507&lt;B3507)),"Evento anterior à entrada",IF(AND(F3507&lt;&gt;"",E3507=""),"Conversa sem agendamento",IF(OR(E3507&gt;TODAY(),F3507&gt;TODAY()),"Verificar evento futuro","OK"))))))))))</f>
        <v/>
      </c>
    </row>
    <row r="3508" spans="12:15">
      <c r="L3508" s="5">
        <f>IF(OR(A3508="",B3508=""),"",B3508-WEEKDAY(B3508,2)+1)</f>
        <v/>
      </c>
      <c r="M3508" s="5">
        <f>IF(L3508="","",L3508+6)</f>
        <v/>
      </c>
      <c r="N3508" s="6">
        <f>IF(OR(A3508="",B3508=""),"",DATE(YEAR(B3508),MONTH(B3508),1))</f>
        <v/>
      </c>
      <c r="O3508" s="7">
        <f>IF(COUNTA(A3508:K3508)=0,"",IF(OR(A3508="",B3508=""),"Preencher CPF e entrada",IF(COUNTIFS($A$12:$A$5011,A3508,$B$12:$B$5011,B3508)&gt;1,"CPF + dia duplicado",IF(OR(AND(G3508&lt;&gt;"",G3508&lt;&gt;0,G3508&lt;&gt;1),AND(H3508&lt;&gt;"",H3508&lt;&gt;0,H3508&lt;&gt;1)),"Flags devem ser 0 ou 1",IF(AND(H3508=1,LEN(TRIM(I3508))=0),"Preencher nome do indicante",IF(AND(H3508&lt;&gt;1,I3508&lt;&gt;""),"Nome sem indicação interna",IF(AND(G3508=1,F3508=""),"Fechamento sem conversa",IF(OR(AND(E3508&lt;&gt;"",E3508&lt;B3508),AND(F3508&lt;&gt;"",F3508&lt;B3508)),"Evento anterior à entrada",IF(AND(F3508&lt;&gt;"",E3508=""),"Conversa sem agendamento",IF(OR(E3508&gt;TODAY(),F3508&gt;TODAY()),"Verificar evento futuro","OK"))))))))))</f>
        <v/>
      </c>
    </row>
    <row r="3509" spans="12:15">
      <c r="L3509" s="5">
        <f>IF(OR(A3509="",B3509=""),"",B3509-WEEKDAY(B3509,2)+1)</f>
        <v/>
      </c>
      <c r="M3509" s="5">
        <f>IF(L3509="","",L3509+6)</f>
        <v/>
      </c>
      <c r="N3509" s="6">
        <f>IF(OR(A3509="",B3509=""),"",DATE(YEAR(B3509),MONTH(B3509),1))</f>
        <v/>
      </c>
      <c r="O3509" s="7">
        <f>IF(COUNTA(A3509:K3509)=0,"",IF(OR(A3509="",B3509=""),"Preencher CPF e entrada",IF(COUNTIFS($A$12:$A$5011,A3509,$B$12:$B$5011,B3509)&gt;1,"CPF + dia duplicado",IF(OR(AND(G3509&lt;&gt;"",G3509&lt;&gt;0,G3509&lt;&gt;1),AND(H3509&lt;&gt;"",H3509&lt;&gt;0,H3509&lt;&gt;1)),"Flags devem ser 0 ou 1",IF(AND(H3509=1,LEN(TRIM(I3509))=0),"Preencher nome do indicante",IF(AND(H3509&lt;&gt;1,I3509&lt;&gt;""),"Nome sem indicação interna",IF(AND(G3509=1,F3509=""),"Fechamento sem conversa",IF(OR(AND(E3509&lt;&gt;"",E3509&lt;B3509),AND(F3509&lt;&gt;"",F3509&lt;B3509)),"Evento anterior à entrada",IF(AND(F3509&lt;&gt;"",E3509=""),"Conversa sem agendamento",IF(OR(E3509&gt;TODAY(),F3509&gt;TODAY()),"Verificar evento futuro","OK"))))))))))</f>
        <v/>
      </c>
    </row>
    <row r="3510" spans="12:15">
      <c r="L3510" s="5">
        <f>IF(OR(A3510="",B3510=""),"",B3510-WEEKDAY(B3510,2)+1)</f>
        <v/>
      </c>
      <c r="M3510" s="5">
        <f>IF(L3510="","",L3510+6)</f>
        <v/>
      </c>
      <c r="N3510" s="6">
        <f>IF(OR(A3510="",B3510=""),"",DATE(YEAR(B3510),MONTH(B3510),1))</f>
        <v/>
      </c>
      <c r="O3510" s="7">
        <f>IF(COUNTA(A3510:K3510)=0,"",IF(OR(A3510="",B3510=""),"Preencher CPF e entrada",IF(COUNTIFS($A$12:$A$5011,A3510,$B$12:$B$5011,B3510)&gt;1,"CPF + dia duplicado",IF(OR(AND(G3510&lt;&gt;"",G3510&lt;&gt;0,G3510&lt;&gt;1),AND(H3510&lt;&gt;"",H3510&lt;&gt;0,H3510&lt;&gt;1)),"Flags devem ser 0 ou 1",IF(AND(H3510=1,LEN(TRIM(I3510))=0),"Preencher nome do indicante",IF(AND(H3510&lt;&gt;1,I3510&lt;&gt;""),"Nome sem indicação interna",IF(AND(G3510=1,F3510=""),"Fechamento sem conversa",IF(OR(AND(E3510&lt;&gt;"",E3510&lt;B3510),AND(F3510&lt;&gt;"",F3510&lt;B3510)),"Evento anterior à entrada",IF(AND(F3510&lt;&gt;"",E3510=""),"Conversa sem agendamento",IF(OR(E3510&gt;TODAY(),F3510&gt;TODAY()),"Verificar evento futuro","OK"))))))))))</f>
        <v/>
      </c>
    </row>
    <row r="3511" spans="12:15">
      <c r="L3511" s="5">
        <f>IF(OR(A3511="",B3511=""),"",B3511-WEEKDAY(B3511,2)+1)</f>
        <v/>
      </c>
      <c r="M3511" s="5">
        <f>IF(L3511="","",L3511+6)</f>
        <v/>
      </c>
      <c r="N3511" s="6">
        <f>IF(OR(A3511="",B3511=""),"",DATE(YEAR(B3511),MONTH(B3511),1))</f>
        <v/>
      </c>
      <c r="O3511" s="7">
        <f>IF(COUNTA(A3511:K3511)=0,"",IF(OR(A3511="",B3511=""),"Preencher CPF e entrada",IF(COUNTIFS($A$12:$A$5011,A3511,$B$12:$B$5011,B3511)&gt;1,"CPF + dia duplicado",IF(OR(AND(G3511&lt;&gt;"",G3511&lt;&gt;0,G3511&lt;&gt;1),AND(H3511&lt;&gt;"",H3511&lt;&gt;0,H3511&lt;&gt;1)),"Flags devem ser 0 ou 1",IF(AND(H3511=1,LEN(TRIM(I3511))=0),"Preencher nome do indicante",IF(AND(H3511&lt;&gt;1,I3511&lt;&gt;""),"Nome sem indicação interna",IF(AND(G3511=1,F3511=""),"Fechamento sem conversa",IF(OR(AND(E3511&lt;&gt;"",E3511&lt;B3511),AND(F3511&lt;&gt;"",F3511&lt;B3511)),"Evento anterior à entrada",IF(AND(F3511&lt;&gt;"",E3511=""),"Conversa sem agendamento",IF(OR(E3511&gt;TODAY(),F3511&gt;TODAY()),"Verificar evento futuro","OK"))))))))))</f>
        <v/>
      </c>
    </row>
    <row r="3512" spans="12:15">
      <c r="L3512" s="5">
        <f>IF(OR(A3512="",B3512=""),"",B3512-WEEKDAY(B3512,2)+1)</f>
        <v/>
      </c>
      <c r="M3512" s="5">
        <f>IF(L3512="","",L3512+6)</f>
        <v/>
      </c>
      <c r="N3512" s="6">
        <f>IF(OR(A3512="",B3512=""),"",DATE(YEAR(B3512),MONTH(B3512),1))</f>
        <v/>
      </c>
      <c r="O3512" s="7">
        <f>IF(COUNTA(A3512:K3512)=0,"",IF(OR(A3512="",B3512=""),"Preencher CPF e entrada",IF(COUNTIFS($A$12:$A$5011,A3512,$B$12:$B$5011,B3512)&gt;1,"CPF + dia duplicado",IF(OR(AND(G3512&lt;&gt;"",G3512&lt;&gt;0,G3512&lt;&gt;1),AND(H3512&lt;&gt;"",H3512&lt;&gt;0,H3512&lt;&gt;1)),"Flags devem ser 0 ou 1",IF(AND(H3512=1,LEN(TRIM(I3512))=0),"Preencher nome do indicante",IF(AND(H3512&lt;&gt;1,I3512&lt;&gt;""),"Nome sem indicação interna",IF(AND(G3512=1,F3512=""),"Fechamento sem conversa",IF(OR(AND(E3512&lt;&gt;"",E3512&lt;B3512),AND(F3512&lt;&gt;"",F3512&lt;B3512)),"Evento anterior à entrada",IF(AND(F3512&lt;&gt;"",E3512=""),"Conversa sem agendamento",IF(OR(E3512&gt;TODAY(),F3512&gt;TODAY()),"Verificar evento futuro","OK"))))))))))</f>
        <v/>
      </c>
    </row>
    <row r="3513" spans="12:15">
      <c r="L3513" s="5">
        <f>IF(OR(A3513="",B3513=""),"",B3513-WEEKDAY(B3513,2)+1)</f>
        <v/>
      </c>
      <c r="M3513" s="5">
        <f>IF(L3513="","",L3513+6)</f>
        <v/>
      </c>
      <c r="N3513" s="6">
        <f>IF(OR(A3513="",B3513=""),"",DATE(YEAR(B3513),MONTH(B3513),1))</f>
        <v/>
      </c>
      <c r="O3513" s="7">
        <f>IF(COUNTA(A3513:K3513)=0,"",IF(OR(A3513="",B3513=""),"Preencher CPF e entrada",IF(COUNTIFS($A$12:$A$5011,A3513,$B$12:$B$5011,B3513)&gt;1,"CPF + dia duplicado",IF(OR(AND(G3513&lt;&gt;"",G3513&lt;&gt;0,G3513&lt;&gt;1),AND(H3513&lt;&gt;"",H3513&lt;&gt;0,H3513&lt;&gt;1)),"Flags devem ser 0 ou 1",IF(AND(H3513=1,LEN(TRIM(I3513))=0),"Preencher nome do indicante",IF(AND(H3513&lt;&gt;1,I3513&lt;&gt;""),"Nome sem indicação interna",IF(AND(G3513=1,F3513=""),"Fechamento sem conversa",IF(OR(AND(E3513&lt;&gt;"",E3513&lt;B3513),AND(F3513&lt;&gt;"",F3513&lt;B3513)),"Evento anterior à entrada",IF(AND(F3513&lt;&gt;"",E3513=""),"Conversa sem agendamento",IF(OR(E3513&gt;TODAY(),F3513&gt;TODAY()),"Verificar evento futuro","OK"))))))))))</f>
        <v/>
      </c>
    </row>
    <row r="3514" spans="12:15">
      <c r="L3514" s="5">
        <f>IF(OR(A3514="",B3514=""),"",B3514-WEEKDAY(B3514,2)+1)</f>
        <v/>
      </c>
      <c r="M3514" s="5">
        <f>IF(L3514="","",L3514+6)</f>
        <v/>
      </c>
      <c r="N3514" s="6">
        <f>IF(OR(A3514="",B3514=""),"",DATE(YEAR(B3514),MONTH(B3514),1))</f>
        <v/>
      </c>
      <c r="O3514" s="7">
        <f>IF(COUNTA(A3514:K3514)=0,"",IF(OR(A3514="",B3514=""),"Preencher CPF e entrada",IF(COUNTIFS($A$12:$A$5011,A3514,$B$12:$B$5011,B3514)&gt;1,"CPF + dia duplicado",IF(OR(AND(G3514&lt;&gt;"",G3514&lt;&gt;0,G3514&lt;&gt;1),AND(H3514&lt;&gt;"",H3514&lt;&gt;0,H3514&lt;&gt;1)),"Flags devem ser 0 ou 1",IF(AND(H3514=1,LEN(TRIM(I3514))=0),"Preencher nome do indicante",IF(AND(H3514&lt;&gt;1,I3514&lt;&gt;""),"Nome sem indicação interna",IF(AND(G3514=1,F3514=""),"Fechamento sem conversa",IF(OR(AND(E3514&lt;&gt;"",E3514&lt;B3514),AND(F3514&lt;&gt;"",F3514&lt;B3514)),"Evento anterior à entrada",IF(AND(F3514&lt;&gt;"",E3514=""),"Conversa sem agendamento",IF(OR(E3514&gt;TODAY(),F3514&gt;TODAY()),"Verificar evento futuro","OK"))))))))))</f>
        <v/>
      </c>
    </row>
    <row r="3515" spans="12:15">
      <c r="L3515" s="5">
        <f>IF(OR(A3515="",B3515=""),"",B3515-WEEKDAY(B3515,2)+1)</f>
        <v/>
      </c>
      <c r="M3515" s="5">
        <f>IF(L3515="","",L3515+6)</f>
        <v/>
      </c>
      <c r="N3515" s="6">
        <f>IF(OR(A3515="",B3515=""),"",DATE(YEAR(B3515),MONTH(B3515),1))</f>
        <v/>
      </c>
      <c r="O3515" s="7">
        <f>IF(COUNTA(A3515:K3515)=0,"",IF(OR(A3515="",B3515=""),"Preencher CPF e entrada",IF(COUNTIFS($A$12:$A$5011,A3515,$B$12:$B$5011,B3515)&gt;1,"CPF + dia duplicado",IF(OR(AND(G3515&lt;&gt;"",G3515&lt;&gt;0,G3515&lt;&gt;1),AND(H3515&lt;&gt;"",H3515&lt;&gt;0,H3515&lt;&gt;1)),"Flags devem ser 0 ou 1",IF(AND(H3515=1,LEN(TRIM(I3515))=0),"Preencher nome do indicante",IF(AND(H3515&lt;&gt;1,I3515&lt;&gt;""),"Nome sem indicação interna",IF(AND(G3515=1,F3515=""),"Fechamento sem conversa",IF(OR(AND(E3515&lt;&gt;"",E3515&lt;B3515),AND(F3515&lt;&gt;"",F3515&lt;B3515)),"Evento anterior à entrada",IF(AND(F3515&lt;&gt;"",E3515=""),"Conversa sem agendamento",IF(OR(E3515&gt;TODAY(),F3515&gt;TODAY()),"Verificar evento futuro","OK"))))))))))</f>
        <v/>
      </c>
    </row>
    <row r="3516" spans="12:15">
      <c r="L3516" s="5">
        <f>IF(OR(A3516="",B3516=""),"",B3516-WEEKDAY(B3516,2)+1)</f>
        <v/>
      </c>
      <c r="M3516" s="5">
        <f>IF(L3516="","",L3516+6)</f>
        <v/>
      </c>
      <c r="N3516" s="6">
        <f>IF(OR(A3516="",B3516=""),"",DATE(YEAR(B3516),MONTH(B3516),1))</f>
        <v/>
      </c>
      <c r="O3516" s="7">
        <f>IF(COUNTA(A3516:K3516)=0,"",IF(OR(A3516="",B3516=""),"Preencher CPF e entrada",IF(COUNTIFS($A$12:$A$5011,A3516,$B$12:$B$5011,B3516)&gt;1,"CPF + dia duplicado",IF(OR(AND(G3516&lt;&gt;"",G3516&lt;&gt;0,G3516&lt;&gt;1),AND(H3516&lt;&gt;"",H3516&lt;&gt;0,H3516&lt;&gt;1)),"Flags devem ser 0 ou 1",IF(AND(H3516=1,LEN(TRIM(I3516))=0),"Preencher nome do indicante",IF(AND(H3516&lt;&gt;1,I3516&lt;&gt;""),"Nome sem indicação interna",IF(AND(G3516=1,F3516=""),"Fechamento sem conversa",IF(OR(AND(E3516&lt;&gt;"",E3516&lt;B3516),AND(F3516&lt;&gt;"",F3516&lt;B3516)),"Evento anterior à entrada",IF(AND(F3516&lt;&gt;"",E3516=""),"Conversa sem agendamento",IF(OR(E3516&gt;TODAY(),F3516&gt;TODAY()),"Verificar evento futuro","OK"))))))))))</f>
        <v/>
      </c>
    </row>
    <row r="3517" spans="12:15">
      <c r="L3517" s="5">
        <f>IF(OR(A3517="",B3517=""),"",B3517-WEEKDAY(B3517,2)+1)</f>
        <v/>
      </c>
      <c r="M3517" s="5">
        <f>IF(L3517="","",L3517+6)</f>
        <v/>
      </c>
      <c r="N3517" s="6">
        <f>IF(OR(A3517="",B3517=""),"",DATE(YEAR(B3517),MONTH(B3517),1))</f>
        <v/>
      </c>
      <c r="O3517" s="7">
        <f>IF(COUNTA(A3517:K3517)=0,"",IF(OR(A3517="",B3517=""),"Preencher CPF e entrada",IF(COUNTIFS($A$12:$A$5011,A3517,$B$12:$B$5011,B3517)&gt;1,"CPF + dia duplicado",IF(OR(AND(G3517&lt;&gt;"",G3517&lt;&gt;0,G3517&lt;&gt;1),AND(H3517&lt;&gt;"",H3517&lt;&gt;0,H3517&lt;&gt;1)),"Flags devem ser 0 ou 1",IF(AND(H3517=1,LEN(TRIM(I3517))=0),"Preencher nome do indicante",IF(AND(H3517&lt;&gt;1,I3517&lt;&gt;""),"Nome sem indicação interna",IF(AND(G3517=1,F3517=""),"Fechamento sem conversa",IF(OR(AND(E3517&lt;&gt;"",E3517&lt;B3517),AND(F3517&lt;&gt;"",F3517&lt;B3517)),"Evento anterior à entrada",IF(AND(F3517&lt;&gt;"",E3517=""),"Conversa sem agendamento",IF(OR(E3517&gt;TODAY(),F3517&gt;TODAY()),"Verificar evento futuro","OK"))))))))))</f>
        <v/>
      </c>
    </row>
    <row r="3518" spans="12:15">
      <c r="L3518" s="5">
        <f>IF(OR(A3518="",B3518=""),"",B3518-WEEKDAY(B3518,2)+1)</f>
        <v/>
      </c>
      <c r="M3518" s="5">
        <f>IF(L3518="","",L3518+6)</f>
        <v/>
      </c>
      <c r="N3518" s="6">
        <f>IF(OR(A3518="",B3518=""),"",DATE(YEAR(B3518),MONTH(B3518),1))</f>
        <v/>
      </c>
      <c r="O3518" s="7">
        <f>IF(COUNTA(A3518:K3518)=0,"",IF(OR(A3518="",B3518=""),"Preencher CPF e entrada",IF(COUNTIFS($A$12:$A$5011,A3518,$B$12:$B$5011,B3518)&gt;1,"CPF + dia duplicado",IF(OR(AND(G3518&lt;&gt;"",G3518&lt;&gt;0,G3518&lt;&gt;1),AND(H3518&lt;&gt;"",H3518&lt;&gt;0,H3518&lt;&gt;1)),"Flags devem ser 0 ou 1",IF(AND(H3518=1,LEN(TRIM(I3518))=0),"Preencher nome do indicante",IF(AND(H3518&lt;&gt;1,I3518&lt;&gt;""),"Nome sem indicação interna",IF(AND(G3518=1,F3518=""),"Fechamento sem conversa",IF(OR(AND(E3518&lt;&gt;"",E3518&lt;B3518),AND(F3518&lt;&gt;"",F3518&lt;B3518)),"Evento anterior à entrada",IF(AND(F3518&lt;&gt;"",E3518=""),"Conversa sem agendamento",IF(OR(E3518&gt;TODAY(),F3518&gt;TODAY()),"Verificar evento futuro","OK"))))))))))</f>
        <v/>
      </c>
    </row>
    <row r="3519" spans="12:15">
      <c r="L3519" s="5">
        <f>IF(OR(A3519="",B3519=""),"",B3519-WEEKDAY(B3519,2)+1)</f>
        <v/>
      </c>
      <c r="M3519" s="5">
        <f>IF(L3519="","",L3519+6)</f>
        <v/>
      </c>
      <c r="N3519" s="6">
        <f>IF(OR(A3519="",B3519=""),"",DATE(YEAR(B3519),MONTH(B3519),1))</f>
        <v/>
      </c>
      <c r="O3519" s="7">
        <f>IF(COUNTA(A3519:K3519)=0,"",IF(OR(A3519="",B3519=""),"Preencher CPF e entrada",IF(COUNTIFS($A$12:$A$5011,A3519,$B$12:$B$5011,B3519)&gt;1,"CPF + dia duplicado",IF(OR(AND(G3519&lt;&gt;"",G3519&lt;&gt;0,G3519&lt;&gt;1),AND(H3519&lt;&gt;"",H3519&lt;&gt;0,H3519&lt;&gt;1)),"Flags devem ser 0 ou 1",IF(AND(H3519=1,LEN(TRIM(I3519))=0),"Preencher nome do indicante",IF(AND(H3519&lt;&gt;1,I3519&lt;&gt;""),"Nome sem indicação interna",IF(AND(G3519=1,F3519=""),"Fechamento sem conversa",IF(OR(AND(E3519&lt;&gt;"",E3519&lt;B3519),AND(F3519&lt;&gt;"",F3519&lt;B3519)),"Evento anterior à entrada",IF(AND(F3519&lt;&gt;"",E3519=""),"Conversa sem agendamento",IF(OR(E3519&gt;TODAY(),F3519&gt;TODAY()),"Verificar evento futuro","OK"))))))))))</f>
        <v/>
      </c>
    </row>
    <row r="3520" spans="12:15">
      <c r="L3520" s="5">
        <f>IF(OR(A3520="",B3520=""),"",B3520-WEEKDAY(B3520,2)+1)</f>
        <v/>
      </c>
      <c r="M3520" s="5">
        <f>IF(L3520="","",L3520+6)</f>
        <v/>
      </c>
      <c r="N3520" s="6">
        <f>IF(OR(A3520="",B3520=""),"",DATE(YEAR(B3520),MONTH(B3520),1))</f>
        <v/>
      </c>
      <c r="O3520" s="7">
        <f>IF(COUNTA(A3520:K3520)=0,"",IF(OR(A3520="",B3520=""),"Preencher CPF e entrada",IF(COUNTIFS($A$12:$A$5011,A3520,$B$12:$B$5011,B3520)&gt;1,"CPF + dia duplicado",IF(OR(AND(G3520&lt;&gt;"",G3520&lt;&gt;0,G3520&lt;&gt;1),AND(H3520&lt;&gt;"",H3520&lt;&gt;0,H3520&lt;&gt;1)),"Flags devem ser 0 ou 1",IF(AND(H3520=1,LEN(TRIM(I3520))=0),"Preencher nome do indicante",IF(AND(H3520&lt;&gt;1,I3520&lt;&gt;""),"Nome sem indicação interna",IF(AND(G3520=1,F3520=""),"Fechamento sem conversa",IF(OR(AND(E3520&lt;&gt;"",E3520&lt;B3520),AND(F3520&lt;&gt;"",F3520&lt;B3520)),"Evento anterior à entrada",IF(AND(F3520&lt;&gt;"",E3520=""),"Conversa sem agendamento",IF(OR(E3520&gt;TODAY(),F3520&gt;TODAY()),"Verificar evento futuro","OK"))))))))))</f>
        <v/>
      </c>
    </row>
    <row r="3521" spans="12:15">
      <c r="L3521" s="5">
        <f>IF(OR(A3521="",B3521=""),"",B3521-WEEKDAY(B3521,2)+1)</f>
        <v/>
      </c>
      <c r="M3521" s="5">
        <f>IF(L3521="","",L3521+6)</f>
        <v/>
      </c>
      <c r="N3521" s="6">
        <f>IF(OR(A3521="",B3521=""),"",DATE(YEAR(B3521),MONTH(B3521),1))</f>
        <v/>
      </c>
      <c r="O3521" s="7">
        <f>IF(COUNTA(A3521:K3521)=0,"",IF(OR(A3521="",B3521=""),"Preencher CPF e entrada",IF(COUNTIFS($A$12:$A$5011,A3521,$B$12:$B$5011,B3521)&gt;1,"CPF + dia duplicado",IF(OR(AND(G3521&lt;&gt;"",G3521&lt;&gt;0,G3521&lt;&gt;1),AND(H3521&lt;&gt;"",H3521&lt;&gt;0,H3521&lt;&gt;1)),"Flags devem ser 0 ou 1",IF(AND(H3521=1,LEN(TRIM(I3521))=0),"Preencher nome do indicante",IF(AND(H3521&lt;&gt;1,I3521&lt;&gt;""),"Nome sem indicação interna",IF(AND(G3521=1,F3521=""),"Fechamento sem conversa",IF(OR(AND(E3521&lt;&gt;"",E3521&lt;B3521),AND(F3521&lt;&gt;"",F3521&lt;B3521)),"Evento anterior à entrada",IF(AND(F3521&lt;&gt;"",E3521=""),"Conversa sem agendamento",IF(OR(E3521&gt;TODAY(),F3521&gt;TODAY()),"Verificar evento futuro","OK"))))))))))</f>
        <v/>
      </c>
    </row>
    <row r="3522" spans="12:15">
      <c r="L3522" s="5">
        <f>IF(OR(A3522="",B3522=""),"",B3522-WEEKDAY(B3522,2)+1)</f>
        <v/>
      </c>
      <c r="M3522" s="5">
        <f>IF(L3522="","",L3522+6)</f>
        <v/>
      </c>
      <c r="N3522" s="6">
        <f>IF(OR(A3522="",B3522=""),"",DATE(YEAR(B3522),MONTH(B3522),1))</f>
        <v/>
      </c>
      <c r="O3522" s="7">
        <f>IF(COUNTA(A3522:K3522)=0,"",IF(OR(A3522="",B3522=""),"Preencher CPF e entrada",IF(COUNTIFS($A$12:$A$5011,A3522,$B$12:$B$5011,B3522)&gt;1,"CPF + dia duplicado",IF(OR(AND(G3522&lt;&gt;"",G3522&lt;&gt;0,G3522&lt;&gt;1),AND(H3522&lt;&gt;"",H3522&lt;&gt;0,H3522&lt;&gt;1)),"Flags devem ser 0 ou 1",IF(AND(H3522=1,LEN(TRIM(I3522))=0),"Preencher nome do indicante",IF(AND(H3522&lt;&gt;1,I3522&lt;&gt;""),"Nome sem indicação interna",IF(AND(G3522=1,F3522=""),"Fechamento sem conversa",IF(OR(AND(E3522&lt;&gt;"",E3522&lt;B3522),AND(F3522&lt;&gt;"",F3522&lt;B3522)),"Evento anterior à entrada",IF(AND(F3522&lt;&gt;"",E3522=""),"Conversa sem agendamento",IF(OR(E3522&gt;TODAY(),F3522&gt;TODAY()),"Verificar evento futuro","OK"))))))))))</f>
        <v/>
      </c>
    </row>
    <row r="3523" spans="12:15">
      <c r="L3523" s="5">
        <f>IF(OR(A3523="",B3523=""),"",B3523-WEEKDAY(B3523,2)+1)</f>
        <v/>
      </c>
      <c r="M3523" s="5">
        <f>IF(L3523="","",L3523+6)</f>
        <v/>
      </c>
      <c r="N3523" s="6">
        <f>IF(OR(A3523="",B3523=""),"",DATE(YEAR(B3523),MONTH(B3523),1))</f>
        <v/>
      </c>
      <c r="O3523" s="7">
        <f>IF(COUNTA(A3523:K3523)=0,"",IF(OR(A3523="",B3523=""),"Preencher CPF e entrada",IF(COUNTIFS($A$12:$A$5011,A3523,$B$12:$B$5011,B3523)&gt;1,"CPF + dia duplicado",IF(OR(AND(G3523&lt;&gt;"",G3523&lt;&gt;0,G3523&lt;&gt;1),AND(H3523&lt;&gt;"",H3523&lt;&gt;0,H3523&lt;&gt;1)),"Flags devem ser 0 ou 1",IF(AND(H3523=1,LEN(TRIM(I3523))=0),"Preencher nome do indicante",IF(AND(H3523&lt;&gt;1,I3523&lt;&gt;""),"Nome sem indicação interna",IF(AND(G3523=1,F3523=""),"Fechamento sem conversa",IF(OR(AND(E3523&lt;&gt;"",E3523&lt;B3523),AND(F3523&lt;&gt;"",F3523&lt;B3523)),"Evento anterior à entrada",IF(AND(F3523&lt;&gt;"",E3523=""),"Conversa sem agendamento",IF(OR(E3523&gt;TODAY(),F3523&gt;TODAY()),"Verificar evento futuro","OK"))))))))))</f>
        <v/>
      </c>
    </row>
    <row r="3524" spans="12:15">
      <c r="L3524" s="5">
        <f>IF(OR(A3524="",B3524=""),"",B3524-WEEKDAY(B3524,2)+1)</f>
        <v/>
      </c>
      <c r="M3524" s="5">
        <f>IF(L3524="","",L3524+6)</f>
        <v/>
      </c>
      <c r="N3524" s="6">
        <f>IF(OR(A3524="",B3524=""),"",DATE(YEAR(B3524),MONTH(B3524),1))</f>
        <v/>
      </c>
      <c r="O3524" s="7">
        <f>IF(COUNTA(A3524:K3524)=0,"",IF(OR(A3524="",B3524=""),"Preencher CPF e entrada",IF(COUNTIFS($A$12:$A$5011,A3524,$B$12:$B$5011,B3524)&gt;1,"CPF + dia duplicado",IF(OR(AND(G3524&lt;&gt;"",G3524&lt;&gt;0,G3524&lt;&gt;1),AND(H3524&lt;&gt;"",H3524&lt;&gt;0,H3524&lt;&gt;1)),"Flags devem ser 0 ou 1",IF(AND(H3524=1,LEN(TRIM(I3524))=0),"Preencher nome do indicante",IF(AND(H3524&lt;&gt;1,I3524&lt;&gt;""),"Nome sem indicação interna",IF(AND(G3524=1,F3524=""),"Fechamento sem conversa",IF(OR(AND(E3524&lt;&gt;"",E3524&lt;B3524),AND(F3524&lt;&gt;"",F3524&lt;B3524)),"Evento anterior à entrada",IF(AND(F3524&lt;&gt;"",E3524=""),"Conversa sem agendamento",IF(OR(E3524&gt;TODAY(),F3524&gt;TODAY()),"Verificar evento futuro","OK"))))))))))</f>
        <v/>
      </c>
    </row>
    <row r="3525" spans="12:15">
      <c r="L3525" s="5">
        <f>IF(OR(A3525="",B3525=""),"",B3525-WEEKDAY(B3525,2)+1)</f>
        <v/>
      </c>
      <c r="M3525" s="5">
        <f>IF(L3525="","",L3525+6)</f>
        <v/>
      </c>
      <c r="N3525" s="6">
        <f>IF(OR(A3525="",B3525=""),"",DATE(YEAR(B3525),MONTH(B3525),1))</f>
        <v/>
      </c>
      <c r="O3525" s="7">
        <f>IF(COUNTA(A3525:K3525)=0,"",IF(OR(A3525="",B3525=""),"Preencher CPF e entrada",IF(COUNTIFS($A$12:$A$5011,A3525,$B$12:$B$5011,B3525)&gt;1,"CPF + dia duplicado",IF(OR(AND(G3525&lt;&gt;"",G3525&lt;&gt;0,G3525&lt;&gt;1),AND(H3525&lt;&gt;"",H3525&lt;&gt;0,H3525&lt;&gt;1)),"Flags devem ser 0 ou 1",IF(AND(H3525=1,LEN(TRIM(I3525))=0),"Preencher nome do indicante",IF(AND(H3525&lt;&gt;1,I3525&lt;&gt;""),"Nome sem indicação interna",IF(AND(G3525=1,F3525=""),"Fechamento sem conversa",IF(OR(AND(E3525&lt;&gt;"",E3525&lt;B3525),AND(F3525&lt;&gt;"",F3525&lt;B3525)),"Evento anterior à entrada",IF(AND(F3525&lt;&gt;"",E3525=""),"Conversa sem agendamento",IF(OR(E3525&gt;TODAY(),F3525&gt;TODAY()),"Verificar evento futuro","OK"))))))))))</f>
        <v/>
      </c>
    </row>
    <row r="3526" spans="12:15">
      <c r="L3526" s="5">
        <f>IF(OR(A3526="",B3526=""),"",B3526-WEEKDAY(B3526,2)+1)</f>
        <v/>
      </c>
      <c r="M3526" s="5">
        <f>IF(L3526="","",L3526+6)</f>
        <v/>
      </c>
      <c r="N3526" s="6">
        <f>IF(OR(A3526="",B3526=""),"",DATE(YEAR(B3526),MONTH(B3526),1))</f>
        <v/>
      </c>
      <c r="O3526" s="7">
        <f>IF(COUNTA(A3526:K3526)=0,"",IF(OR(A3526="",B3526=""),"Preencher CPF e entrada",IF(COUNTIFS($A$12:$A$5011,A3526,$B$12:$B$5011,B3526)&gt;1,"CPF + dia duplicado",IF(OR(AND(G3526&lt;&gt;"",G3526&lt;&gt;0,G3526&lt;&gt;1),AND(H3526&lt;&gt;"",H3526&lt;&gt;0,H3526&lt;&gt;1)),"Flags devem ser 0 ou 1",IF(AND(H3526=1,LEN(TRIM(I3526))=0),"Preencher nome do indicante",IF(AND(H3526&lt;&gt;1,I3526&lt;&gt;""),"Nome sem indicação interna",IF(AND(G3526=1,F3526=""),"Fechamento sem conversa",IF(OR(AND(E3526&lt;&gt;"",E3526&lt;B3526),AND(F3526&lt;&gt;"",F3526&lt;B3526)),"Evento anterior à entrada",IF(AND(F3526&lt;&gt;"",E3526=""),"Conversa sem agendamento",IF(OR(E3526&gt;TODAY(),F3526&gt;TODAY()),"Verificar evento futuro","OK"))))))))))</f>
        <v/>
      </c>
    </row>
    <row r="3527" spans="12:15">
      <c r="L3527" s="5">
        <f>IF(OR(A3527="",B3527=""),"",B3527-WEEKDAY(B3527,2)+1)</f>
        <v/>
      </c>
      <c r="M3527" s="5">
        <f>IF(L3527="","",L3527+6)</f>
        <v/>
      </c>
      <c r="N3527" s="6">
        <f>IF(OR(A3527="",B3527=""),"",DATE(YEAR(B3527),MONTH(B3527),1))</f>
        <v/>
      </c>
      <c r="O3527" s="7">
        <f>IF(COUNTA(A3527:K3527)=0,"",IF(OR(A3527="",B3527=""),"Preencher CPF e entrada",IF(COUNTIFS($A$12:$A$5011,A3527,$B$12:$B$5011,B3527)&gt;1,"CPF + dia duplicado",IF(OR(AND(G3527&lt;&gt;"",G3527&lt;&gt;0,G3527&lt;&gt;1),AND(H3527&lt;&gt;"",H3527&lt;&gt;0,H3527&lt;&gt;1)),"Flags devem ser 0 ou 1",IF(AND(H3527=1,LEN(TRIM(I3527))=0),"Preencher nome do indicante",IF(AND(H3527&lt;&gt;1,I3527&lt;&gt;""),"Nome sem indicação interna",IF(AND(G3527=1,F3527=""),"Fechamento sem conversa",IF(OR(AND(E3527&lt;&gt;"",E3527&lt;B3527),AND(F3527&lt;&gt;"",F3527&lt;B3527)),"Evento anterior à entrada",IF(AND(F3527&lt;&gt;"",E3527=""),"Conversa sem agendamento",IF(OR(E3527&gt;TODAY(),F3527&gt;TODAY()),"Verificar evento futuro","OK"))))))))))</f>
        <v/>
      </c>
    </row>
    <row r="3528" spans="12:15">
      <c r="L3528" s="5">
        <f>IF(OR(A3528="",B3528=""),"",B3528-WEEKDAY(B3528,2)+1)</f>
        <v/>
      </c>
      <c r="M3528" s="5">
        <f>IF(L3528="","",L3528+6)</f>
        <v/>
      </c>
      <c r="N3528" s="6">
        <f>IF(OR(A3528="",B3528=""),"",DATE(YEAR(B3528),MONTH(B3528),1))</f>
        <v/>
      </c>
      <c r="O3528" s="7">
        <f>IF(COUNTA(A3528:K3528)=0,"",IF(OR(A3528="",B3528=""),"Preencher CPF e entrada",IF(COUNTIFS($A$12:$A$5011,A3528,$B$12:$B$5011,B3528)&gt;1,"CPF + dia duplicado",IF(OR(AND(G3528&lt;&gt;"",G3528&lt;&gt;0,G3528&lt;&gt;1),AND(H3528&lt;&gt;"",H3528&lt;&gt;0,H3528&lt;&gt;1)),"Flags devem ser 0 ou 1",IF(AND(H3528=1,LEN(TRIM(I3528))=0),"Preencher nome do indicante",IF(AND(H3528&lt;&gt;1,I3528&lt;&gt;""),"Nome sem indicação interna",IF(AND(G3528=1,F3528=""),"Fechamento sem conversa",IF(OR(AND(E3528&lt;&gt;"",E3528&lt;B3528),AND(F3528&lt;&gt;"",F3528&lt;B3528)),"Evento anterior à entrada",IF(AND(F3528&lt;&gt;"",E3528=""),"Conversa sem agendamento",IF(OR(E3528&gt;TODAY(),F3528&gt;TODAY()),"Verificar evento futuro","OK"))))))))))</f>
        <v/>
      </c>
    </row>
    <row r="3529" spans="12:15">
      <c r="L3529" s="5">
        <f>IF(OR(A3529="",B3529=""),"",B3529-WEEKDAY(B3529,2)+1)</f>
        <v/>
      </c>
      <c r="M3529" s="5">
        <f>IF(L3529="","",L3529+6)</f>
        <v/>
      </c>
      <c r="N3529" s="6">
        <f>IF(OR(A3529="",B3529=""),"",DATE(YEAR(B3529),MONTH(B3529),1))</f>
        <v/>
      </c>
      <c r="O3529" s="7">
        <f>IF(COUNTA(A3529:K3529)=0,"",IF(OR(A3529="",B3529=""),"Preencher CPF e entrada",IF(COUNTIFS($A$12:$A$5011,A3529,$B$12:$B$5011,B3529)&gt;1,"CPF + dia duplicado",IF(OR(AND(G3529&lt;&gt;"",G3529&lt;&gt;0,G3529&lt;&gt;1),AND(H3529&lt;&gt;"",H3529&lt;&gt;0,H3529&lt;&gt;1)),"Flags devem ser 0 ou 1",IF(AND(H3529=1,LEN(TRIM(I3529))=0),"Preencher nome do indicante",IF(AND(H3529&lt;&gt;1,I3529&lt;&gt;""),"Nome sem indicação interna",IF(AND(G3529=1,F3529=""),"Fechamento sem conversa",IF(OR(AND(E3529&lt;&gt;"",E3529&lt;B3529),AND(F3529&lt;&gt;"",F3529&lt;B3529)),"Evento anterior à entrada",IF(AND(F3529&lt;&gt;"",E3529=""),"Conversa sem agendamento",IF(OR(E3529&gt;TODAY(),F3529&gt;TODAY()),"Verificar evento futuro","OK"))))))))))</f>
        <v/>
      </c>
    </row>
    <row r="3530" spans="12:15">
      <c r="L3530" s="5">
        <f>IF(OR(A3530="",B3530=""),"",B3530-WEEKDAY(B3530,2)+1)</f>
        <v/>
      </c>
      <c r="M3530" s="5">
        <f>IF(L3530="","",L3530+6)</f>
        <v/>
      </c>
      <c r="N3530" s="6">
        <f>IF(OR(A3530="",B3530=""),"",DATE(YEAR(B3530),MONTH(B3530),1))</f>
        <v/>
      </c>
      <c r="O3530" s="7">
        <f>IF(COUNTA(A3530:K3530)=0,"",IF(OR(A3530="",B3530=""),"Preencher CPF e entrada",IF(COUNTIFS($A$12:$A$5011,A3530,$B$12:$B$5011,B3530)&gt;1,"CPF + dia duplicado",IF(OR(AND(G3530&lt;&gt;"",G3530&lt;&gt;0,G3530&lt;&gt;1),AND(H3530&lt;&gt;"",H3530&lt;&gt;0,H3530&lt;&gt;1)),"Flags devem ser 0 ou 1",IF(AND(H3530=1,LEN(TRIM(I3530))=0),"Preencher nome do indicante",IF(AND(H3530&lt;&gt;1,I3530&lt;&gt;""),"Nome sem indicação interna",IF(AND(G3530=1,F3530=""),"Fechamento sem conversa",IF(OR(AND(E3530&lt;&gt;"",E3530&lt;B3530),AND(F3530&lt;&gt;"",F3530&lt;B3530)),"Evento anterior à entrada",IF(AND(F3530&lt;&gt;"",E3530=""),"Conversa sem agendamento",IF(OR(E3530&gt;TODAY(),F3530&gt;TODAY()),"Verificar evento futuro","OK"))))))))))</f>
        <v/>
      </c>
    </row>
    <row r="3531" spans="12:15">
      <c r="L3531" s="5">
        <f>IF(OR(A3531="",B3531=""),"",B3531-WEEKDAY(B3531,2)+1)</f>
        <v/>
      </c>
      <c r="M3531" s="5">
        <f>IF(L3531="","",L3531+6)</f>
        <v/>
      </c>
      <c r="N3531" s="6">
        <f>IF(OR(A3531="",B3531=""),"",DATE(YEAR(B3531),MONTH(B3531),1))</f>
        <v/>
      </c>
      <c r="O3531" s="7">
        <f>IF(COUNTA(A3531:K3531)=0,"",IF(OR(A3531="",B3531=""),"Preencher CPF e entrada",IF(COUNTIFS($A$12:$A$5011,A3531,$B$12:$B$5011,B3531)&gt;1,"CPF + dia duplicado",IF(OR(AND(G3531&lt;&gt;"",G3531&lt;&gt;0,G3531&lt;&gt;1),AND(H3531&lt;&gt;"",H3531&lt;&gt;0,H3531&lt;&gt;1)),"Flags devem ser 0 ou 1",IF(AND(H3531=1,LEN(TRIM(I3531))=0),"Preencher nome do indicante",IF(AND(H3531&lt;&gt;1,I3531&lt;&gt;""),"Nome sem indicação interna",IF(AND(G3531=1,F3531=""),"Fechamento sem conversa",IF(OR(AND(E3531&lt;&gt;"",E3531&lt;B3531),AND(F3531&lt;&gt;"",F3531&lt;B3531)),"Evento anterior à entrada",IF(AND(F3531&lt;&gt;"",E3531=""),"Conversa sem agendamento",IF(OR(E3531&gt;TODAY(),F3531&gt;TODAY()),"Verificar evento futuro","OK"))))))))))</f>
        <v/>
      </c>
    </row>
    <row r="3532" spans="12:15">
      <c r="L3532" s="5">
        <f>IF(OR(A3532="",B3532=""),"",B3532-WEEKDAY(B3532,2)+1)</f>
        <v/>
      </c>
      <c r="M3532" s="5">
        <f>IF(L3532="","",L3532+6)</f>
        <v/>
      </c>
      <c r="N3532" s="6">
        <f>IF(OR(A3532="",B3532=""),"",DATE(YEAR(B3532),MONTH(B3532),1))</f>
        <v/>
      </c>
      <c r="O3532" s="7">
        <f>IF(COUNTA(A3532:K3532)=0,"",IF(OR(A3532="",B3532=""),"Preencher CPF e entrada",IF(COUNTIFS($A$12:$A$5011,A3532,$B$12:$B$5011,B3532)&gt;1,"CPF + dia duplicado",IF(OR(AND(G3532&lt;&gt;"",G3532&lt;&gt;0,G3532&lt;&gt;1),AND(H3532&lt;&gt;"",H3532&lt;&gt;0,H3532&lt;&gt;1)),"Flags devem ser 0 ou 1",IF(AND(H3532=1,LEN(TRIM(I3532))=0),"Preencher nome do indicante",IF(AND(H3532&lt;&gt;1,I3532&lt;&gt;""),"Nome sem indicação interna",IF(AND(G3532=1,F3532=""),"Fechamento sem conversa",IF(OR(AND(E3532&lt;&gt;"",E3532&lt;B3532),AND(F3532&lt;&gt;"",F3532&lt;B3532)),"Evento anterior à entrada",IF(AND(F3532&lt;&gt;"",E3532=""),"Conversa sem agendamento",IF(OR(E3532&gt;TODAY(),F3532&gt;TODAY()),"Verificar evento futuro","OK"))))))))))</f>
        <v/>
      </c>
    </row>
    <row r="3533" spans="12:15">
      <c r="L3533" s="5">
        <f>IF(OR(A3533="",B3533=""),"",B3533-WEEKDAY(B3533,2)+1)</f>
        <v/>
      </c>
      <c r="M3533" s="5">
        <f>IF(L3533="","",L3533+6)</f>
        <v/>
      </c>
      <c r="N3533" s="6">
        <f>IF(OR(A3533="",B3533=""),"",DATE(YEAR(B3533),MONTH(B3533),1))</f>
        <v/>
      </c>
      <c r="O3533" s="7">
        <f>IF(COUNTA(A3533:K3533)=0,"",IF(OR(A3533="",B3533=""),"Preencher CPF e entrada",IF(COUNTIFS($A$12:$A$5011,A3533,$B$12:$B$5011,B3533)&gt;1,"CPF + dia duplicado",IF(OR(AND(G3533&lt;&gt;"",G3533&lt;&gt;0,G3533&lt;&gt;1),AND(H3533&lt;&gt;"",H3533&lt;&gt;0,H3533&lt;&gt;1)),"Flags devem ser 0 ou 1",IF(AND(H3533=1,LEN(TRIM(I3533))=0),"Preencher nome do indicante",IF(AND(H3533&lt;&gt;1,I3533&lt;&gt;""),"Nome sem indicação interna",IF(AND(G3533=1,F3533=""),"Fechamento sem conversa",IF(OR(AND(E3533&lt;&gt;"",E3533&lt;B3533),AND(F3533&lt;&gt;"",F3533&lt;B3533)),"Evento anterior à entrada",IF(AND(F3533&lt;&gt;"",E3533=""),"Conversa sem agendamento",IF(OR(E3533&gt;TODAY(),F3533&gt;TODAY()),"Verificar evento futuro","OK"))))))))))</f>
        <v/>
      </c>
    </row>
    <row r="3534" spans="12:15">
      <c r="L3534" s="5">
        <f>IF(OR(A3534="",B3534=""),"",B3534-WEEKDAY(B3534,2)+1)</f>
        <v/>
      </c>
      <c r="M3534" s="5">
        <f>IF(L3534="","",L3534+6)</f>
        <v/>
      </c>
      <c r="N3534" s="6">
        <f>IF(OR(A3534="",B3534=""),"",DATE(YEAR(B3534),MONTH(B3534),1))</f>
        <v/>
      </c>
      <c r="O3534" s="7">
        <f>IF(COUNTA(A3534:K3534)=0,"",IF(OR(A3534="",B3534=""),"Preencher CPF e entrada",IF(COUNTIFS($A$12:$A$5011,A3534,$B$12:$B$5011,B3534)&gt;1,"CPF + dia duplicado",IF(OR(AND(G3534&lt;&gt;"",G3534&lt;&gt;0,G3534&lt;&gt;1),AND(H3534&lt;&gt;"",H3534&lt;&gt;0,H3534&lt;&gt;1)),"Flags devem ser 0 ou 1",IF(AND(H3534=1,LEN(TRIM(I3534))=0),"Preencher nome do indicante",IF(AND(H3534&lt;&gt;1,I3534&lt;&gt;""),"Nome sem indicação interna",IF(AND(G3534=1,F3534=""),"Fechamento sem conversa",IF(OR(AND(E3534&lt;&gt;"",E3534&lt;B3534),AND(F3534&lt;&gt;"",F3534&lt;B3534)),"Evento anterior à entrada",IF(AND(F3534&lt;&gt;"",E3534=""),"Conversa sem agendamento",IF(OR(E3534&gt;TODAY(),F3534&gt;TODAY()),"Verificar evento futuro","OK"))))))))))</f>
        <v/>
      </c>
    </row>
    <row r="3535" spans="12:15">
      <c r="L3535" s="5">
        <f>IF(OR(A3535="",B3535=""),"",B3535-WEEKDAY(B3535,2)+1)</f>
        <v/>
      </c>
      <c r="M3535" s="5">
        <f>IF(L3535="","",L3535+6)</f>
        <v/>
      </c>
      <c r="N3535" s="6">
        <f>IF(OR(A3535="",B3535=""),"",DATE(YEAR(B3535),MONTH(B3535),1))</f>
        <v/>
      </c>
      <c r="O3535" s="7">
        <f>IF(COUNTA(A3535:K3535)=0,"",IF(OR(A3535="",B3535=""),"Preencher CPF e entrada",IF(COUNTIFS($A$12:$A$5011,A3535,$B$12:$B$5011,B3535)&gt;1,"CPF + dia duplicado",IF(OR(AND(G3535&lt;&gt;"",G3535&lt;&gt;0,G3535&lt;&gt;1),AND(H3535&lt;&gt;"",H3535&lt;&gt;0,H3535&lt;&gt;1)),"Flags devem ser 0 ou 1",IF(AND(H3535=1,LEN(TRIM(I3535))=0),"Preencher nome do indicante",IF(AND(H3535&lt;&gt;1,I3535&lt;&gt;""),"Nome sem indicação interna",IF(AND(G3535=1,F3535=""),"Fechamento sem conversa",IF(OR(AND(E3535&lt;&gt;"",E3535&lt;B3535),AND(F3535&lt;&gt;"",F3535&lt;B3535)),"Evento anterior à entrada",IF(AND(F3535&lt;&gt;"",E3535=""),"Conversa sem agendamento",IF(OR(E3535&gt;TODAY(),F3535&gt;TODAY()),"Verificar evento futuro","OK"))))))))))</f>
        <v/>
      </c>
    </row>
    <row r="3536" spans="12:15">
      <c r="L3536" s="5">
        <f>IF(OR(A3536="",B3536=""),"",B3536-WEEKDAY(B3536,2)+1)</f>
        <v/>
      </c>
      <c r="M3536" s="5">
        <f>IF(L3536="","",L3536+6)</f>
        <v/>
      </c>
      <c r="N3536" s="6">
        <f>IF(OR(A3536="",B3536=""),"",DATE(YEAR(B3536),MONTH(B3536),1))</f>
        <v/>
      </c>
      <c r="O3536" s="7">
        <f>IF(COUNTA(A3536:K3536)=0,"",IF(OR(A3536="",B3536=""),"Preencher CPF e entrada",IF(COUNTIFS($A$12:$A$5011,A3536,$B$12:$B$5011,B3536)&gt;1,"CPF + dia duplicado",IF(OR(AND(G3536&lt;&gt;"",G3536&lt;&gt;0,G3536&lt;&gt;1),AND(H3536&lt;&gt;"",H3536&lt;&gt;0,H3536&lt;&gt;1)),"Flags devem ser 0 ou 1",IF(AND(H3536=1,LEN(TRIM(I3536))=0),"Preencher nome do indicante",IF(AND(H3536&lt;&gt;1,I3536&lt;&gt;""),"Nome sem indicação interna",IF(AND(G3536=1,F3536=""),"Fechamento sem conversa",IF(OR(AND(E3536&lt;&gt;"",E3536&lt;B3536),AND(F3536&lt;&gt;"",F3536&lt;B3536)),"Evento anterior à entrada",IF(AND(F3536&lt;&gt;"",E3536=""),"Conversa sem agendamento",IF(OR(E3536&gt;TODAY(),F3536&gt;TODAY()),"Verificar evento futuro","OK"))))))))))</f>
        <v/>
      </c>
    </row>
    <row r="3537" spans="12:15">
      <c r="L3537" s="5">
        <f>IF(OR(A3537="",B3537=""),"",B3537-WEEKDAY(B3537,2)+1)</f>
        <v/>
      </c>
      <c r="M3537" s="5">
        <f>IF(L3537="","",L3537+6)</f>
        <v/>
      </c>
      <c r="N3537" s="6">
        <f>IF(OR(A3537="",B3537=""),"",DATE(YEAR(B3537),MONTH(B3537),1))</f>
        <v/>
      </c>
      <c r="O3537" s="7">
        <f>IF(COUNTA(A3537:K3537)=0,"",IF(OR(A3537="",B3537=""),"Preencher CPF e entrada",IF(COUNTIFS($A$12:$A$5011,A3537,$B$12:$B$5011,B3537)&gt;1,"CPF + dia duplicado",IF(OR(AND(G3537&lt;&gt;"",G3537&lt;&gt;0,G3537&lt;&gt;1),AND(H3537&lt;&gt;"",H3537&lt;&gt;0,H3537&lt;&gt;1)),"Flags devem ser 0 ou 1",IF(AND(H3537=1,LEN(TRIM(I3537))=0),"Preencher nome do indicante",IF(AND(H3537&lt;&gt;1,I3537&lt;&gt;""),"Nome sem indicação interna",IF(AND(G3537=1,F3537=""),"Fechamento sem conversa",IF(OR(AND(E3537&lt;&gt;"",E3537&lt;B3537),AND(F3537&lt;&gt;"",F3537&lt;B3537)),"Evento anterior à entrada",IF(AND(F3537&lt;&gt;"",E3537=""),"Conversa sem agendamento",IF(OR(E3537&gt;TODAY(),F3537&gt;TODAY()),"Verificar evento futuro","OK"))))))))))</f>
        <v/>
      </c>
    </row>
    <row r="3538" spans="12:15">
      <c r="L3538" s="5">
        <f>IF(OR(A3538="",B3538=""),"",B3538-WEEKDAY(B3538,2)+1)</f>
        <v/>
      </c>
      <c r="M3538" s="5">
        <f>IF(L3538="","",L3538+6)</f>
        <v/>
      </c>
      <c r="N3538" s="6">
        <f>IF(OR(A3538="",B3538=""),"",DATE(YEAR(B3538),MONTH(B3538),1))</f>
        <v/>
      </c>
      <c r="O3538" s="7">
        <f>IF(COUNTA(A3538:K3538)=0,"",IF(OR(A3538="",B3538=""),"Preencher CPF e entrada",IF(COUNTIFS($A$12:$A$5011,A3538,$B$12:$B$5011,B3538)&gt;1,"CPF + dia duplicado",IF(OR(AND(G3538&lt;&gt;"",G3538&lt;&gt;0,G3538&lt;&gt;1),AND(H3538&lt;&gt;"",H3538&lt;&gt;0,H3538&lt;&gt;1)),"Flags devem ser 0 ou 1",IF(AND(H3538=1,LEN(TRIM(I3538))=0),"Preencher nome do indicante",IF(AND(H3538&lt;&gt;1,I3538&lt;&gt;""),"Nome sem indicação interna",IF(AND(G3538=1,F3538=""),"Fechamento sem conversa",IF(OR(AND(E3538&lt;&gt;"",E3538&lt;B3538),AND(F3538&lt;&gt;"",F3538&lt;B3538)),"Evento anterior à entrada",IF(AND(F3538&lt;&gt;"",E3538=""),"Conversa sem agendamento",IF(OR(E3538&gt;TODAY(),F3538&gt;TODAY()),"Verificar evento futuro","OK"))))))))))</f>
        <v/>
      </c>
    </row>
    <row r="3539" spans="12:15">
      <c r="L3539" s="5">
        <f>IF(OR(A3539="",B3539=""),"",B3539-WEEKDAY(B3539,2)+1)</f>
        <v/>
      </c>
      <c r="M3539" s="5">
        <f>IF(L3539="","",L3539+6)</f>
        <v/>
      </c>
      <c r="N3539" s="6">
        <f>IF(OR(A3539="",B3539=""),"",DATE(YEAR(B3539),MONTH(B3539),1))</f>
        <v/>
      </c>
      <c r="O3539" s="7">
        <f>IF(COUNTA(A3539:K3539)=0,"",IF(OR(A3539="",B3539=""),"Preencher CPF e entrada",IF(COUNTIFS($A$12:$A$5011,A3539,$B$12:$B$5011,B3539)&gt;1,"CPF + dia duplicado",IF(OR(AND(G3539&lt;&gt;"",G3539&lt;&gt;0,G3539&lt;&gt;1),AND(H3539&lt;&gt;"",H3539&lt;&gt;0,H3539&lt;&gt;1)),"Flags devem ser 0 ou 1",IF(AND(H3539=1,LEN(TRIM(I3539))=0),"Preencher nome do indicante",IF(AND(H3539&lt;&gt;1,I3539&lt;&gt;""),"Nome sem indicação interna",IF(AND(G3539=1,F3539=""),"Fechamento sem conversa",IF(OR(AND(E3539&lt;&gt;"",E3539&lt;B3539),AND(F3539&lt;&gt;"",F3539&lt;B3539)),"Evento anterior à entrada",IF(AND(F3539&lt;&gt;"",E3539=""),"Conversa sem agendamento",IF(OR(E3539&gt;TODAY(),F3539&gt;TODAY()),"Verificar evento futuro","OK"))))))))))</f>
        <v/>
      </c>
    </row>
    <row r="3540" spans="12:15">
      <c r="L3540" s="5">
        <f>IF(OR(A3540="",B3540=""),"",B3540-WEEKDAY(B3540,2)+1)</f>
        <v/>
      </c>
      <c r="M3540" s="5">
        <f>IF(L3540="","",L3540+6)</f>
        <v/>
      </c>
      <c r="N3540" s="6">
        <f>IF(OR(A3540="",B3540=""),"",DATE(YEAR(B3540),MONTH(B3540),1))</f>
        <v/>
      </c>
      <c r="O3540" s="7">
        <f>IF(COUNTA(A3540:K3540)=0,"",IF(OR(A3540="",B3540=""),"Preencher CPF e entrada",IF(COUNTIFS($A$12:$A$5011,A3540,$B$12:$B$5011,B3540)&gt;1,"CPF + dia duplicado",IF(OR(AND(G3540&lt;&gt;"",G3540&lt;&gt;0,G3540&lt;&gt;1),AND(H3540&lt;&gt;"",H3540&lt;&gt;0,H3540&lt;&gt;1)),"Flags devem ser 0 ou 1",IF(AND(H3540=1,LEN(TRIM(I3540))=0),"Preencher nome do indicante",IF(AND(H3540&lt;&gt;1,I3540&lt;&gt;""),"Nome sem indicação interna",IF(AND(G3540=1,F3540=""),"Fechamento sem conversa",IF(OR(AND(E3540&lt;&gt;"",E3540&lt;B3540),AND(F3540&lt;&gt;"",F3540&lt;B3540)),"Evento anterior à entrada",IF(AND(F3540&lt;&gt;"",E3540=""),"Conversa sem agendamento",IF(OR(E3540&gt;TODAY(),F3540&gt;TODAY()),"Verificar evento futuro","OK"))))))))))</f>
        <v/>
      </c>
    </row>
    <row r="3541" spans="12:15">
      <c r="L3541" s="5">
        <f>IF(OR(A3541="",B3541=""),"",B3541-WEEKDAY(B3541,2)+1)</f>
        <v/>
      </c>
      <c r="M3541" s="5">
        <f>IF(L3541="","",L3541+6)</f>
        <v/>
      </c>
      <c r="N3541" s="6">
        <f>IF(OR(A3541="",B3541=""),"",DATE(YEAR(B3541),MONTH(B3541),1))</f>
        <v/>
      </c>
      <c r="O3541" s="7">
        <f>IF(COUNTA(A3541:K3541)=0,"",IF(OR(A3541="",B3541=""),"Preencher CPF e entrada",IF(COUNTIFS($A$12:$A$5011,A3541,$B$12:$B$5011,B3541)&gt;1,"CPF + dia duplicado",IF(OR(AND(G3541&lt;&gt;"",G3541&lt;&gt;0,G3541&lt;&gt;1),AND(H3541&lt;&gt;"",H3541&lt;&gt;0,H3541&lt;&gt;1)),"Flags devem ser 0 ou 1",IF(AND(H3541=1,LEN(TRIM(I3541))=0),"Preencher nome do indicante",IF(AND(H3541&lt;&gt;1,I3541&lt;&gt;""),"Nome sem indicação interna",IF(AND(G3541=1,F3541=""),"Fechamento sem conversa",IF(OR(AND(E3541&lt;&gt;"",E3541&lt;B3541),AND(F3541&lt;&gt;"",F3541&lt;B3541)),"Evento anterior à entrada",IF(AND(F3541&lt;&gt;"",E3541=""),"Conversa sem agendamento",IF(OR(E3541&gt;TODAY(),F3541&gt;TODAY()),"Verificar evento futuro","OK"))))))))))</f>
        <v/>
      </c>
    </row>
    <row r="3542" spans="12:15">
      <c r="L3542" s="5">
        <f>IF(OR(A3542="",B3542=""),"",B3542-WEEKDAY(B3542,2)+1)</f>
        <v/>
      </c>
      <c r="M3542" s="5">
        <f>IF(L3542="","",L3542+6)</f>
        <v/>
      </c>
      <c r="N3542" s="6">
        <f>IF(OR(A3542="",B3542=""),"",DATE(YEAR(B3542),MONTH(B3542),1))</f>
        <v/>
      </c>
      <c r="O3542" s="7">
        <f>IF(COUNTA(A3542:K3542)=0,"",IF(OR(A3542="",B3542=""),"Preencher CPF e entrada",IF(COUNTIFS($A$12:$A$5011,A3542,$B$12:$B$5011,B3542)&gt;1,"CPF + dia duplicado",IF(OR(AND(G3542&lt;&gt;"",G3542&lt;&gt;0,G3542&lt;&gt;1),AND(H3542&lt;&gt;"",H3542&lt;&gt;0,H3542&lt;&gt;1)),"Flags devem ser 0 ou 1",IF(AND(H3542=1,LEN(TRIM(I3542))=0),"Preencher nome do indicante",IF(AND(H3542&lt;&gt;1,I3542&lt;&gt;""),"Nome sem indicação interna",IF(AND(G3542=1,F3542=""),"Fechamento sem conversa",IF(OR(AND(E3542&lt;&gt;"",E3542&lt;B3542),AND(F3542&lt;&gt;"",F3542&lt;B3542)),"Evento anterior à entrada",IF(AND(F3542&lt;&gt;"",E3542=""),"Conversa sem agendamento",IF(OR(E3542&gt;TODAY(),F3542&gt;TODAY()),"Verificar evento futuro","OK"))))))))))</f>
        <v/>
      </c>
    </row>
    <row r="3543" spans="12:15">
      <c r="L3543" s="5">
        <f>IF(OR(A3543="",B3543=""),"",B3543-WEEKDAY(B3543,2)+1)</f>
        <v/>
      </c>
      <c r="M3543" s="5">
        <f>IF(L3543="","",L3543+6)</f>
        <v/>
      </c>
      <c r="N3543" s="6">
        <f>IF(OR(A3543="",B3543=""),"",DATE(YEAR(B3543),MONTH(B3543),1))</f>
        <v/>
      </c>
      <c r="O3543" s="7">
        <f>IF(COUNTA(A3543:K3543)=0,"",IF(OR(A3543="",B3543=""),"Preencher CPF e entrada",IF(COUNTIFS($A$12:$A$5011,A3543,$B$12:$B$5011,B3543)&gt;1,"CPF + dia duplicado",IF(OR(AND(G3543&lt;&gt;"",G3543&lt;&gt;0,G3543&lt;&gt;1),AND(H3543&lt;&gt;"",H3543&lt;&gt;0,H3543&lt;&gt;1)),"Flags devem ser 0 ou 1",IF(AND(H3543=1,LEN(TRIM(I3543))=0),"Preencher nome do indicante",IF(AND(H3543&lt;&gt;1,I3543&lt;&gt;""),"Nome sem indicação interna",IF(AND(G3543=1,F3543=""),"Fechamento sem conversa",IF(OR(AND(E3543&lt;&gt;"",E3543&lt;B3543),AND(F3543&lt;&gt;"",F3543&lt;B3543)),"Evento anterior à entrada",IF(AND(F3543&lt;&gt;"",E3543=""),"Conversa sem agendamento",IF(OR(E3543&gt;TODAY(),F3543&gt;TODAY()),"Verificar evento futuro","OK"))))))))))</f>
        <v/>
      </c>
    </row>
    <row r="3544" spans="12:15">
      <c r="L3544" s="5">
        <f>IF(OR(A3544="",B3544=""),"",B3544-WEEKDAY(B3544,2)+1)</f>
        <v/>
      </c>
      <c r="M3544" s="5">
        <f>IF(L3544="","",L3544+6)</f>
        <v/>
      </c>
      <c r="N3544" s="6">
        <f>IF(OR(A3544="",B3544=""),"",DATE(YEAR(B3544),MONTH(B3544),1))</f>
        <v/>
      </c>
      <c r="O3544" s="7">
        <f>IF(COUNTA(A3544:K3544)=0,"",IF(OR(A3544="",B3544=""),"Preencher CPF e entrada",IF(COUNTIFS($A$12:$A$5011,A3544,$B$12:$B$5011,B3544)&gt;1,"CPF + dia duplicado",IF(OR(AND(G3544&lt;&gt;"",G3544&lt;&gt;0,G3544&lt;&gt;1),AND(H3544&lt;&gt;"",H3544&lt;&gt;0,H3544&lt;&gt;1)),"Flags devem ser 0 ou 1",IF(AND(H3544=1,LEN(TRIM(I3544))=0),"Preencher nome do indicante",IF(AND(H3544&lt;&gt;1,I3544&lt;&gt;""),"Nome sem indicação interna",IF(AND(G3544=1,F3544=""),"Fechamento sem conversa",IF(OR(AND(E3544&lt;&gt;"",E3544&lt;B3544),AND(F3544&lt;&gt;"",F3544&lt;B3544)),"Evento anterior à entrada",IF(AND(F3544&lt;&gt;"",E3544=""),"Conversa sem agendamento",IF(OR(E3544&gt;TODAY(),F3544&gt;TODAY()),"Verificar evento futuro","OK"))))))))))</f>
        <v/>
      </c>
    </row>
    <row r="3545" spans="12:15">
      <c r="L3545" s="5">
        <f>IF(OR(A3545="",B3545=""),"",B3545-WEEKDAY(B3545,2)+1)</f>
        <v/>
      </c>
      <c r="M3545" s="5">
        <f>IF(L3545="","",L3545+6)</f>
        <v/>
      </c>
      <c r="N3545" s="6">
        <f>IF(OR(A3545="",B3545=""),"",DATE(YEAR(B3545),MONTH(B3545),1))</f>
        <v/>
      </c>
      <c r="O3545" s="7">
        <f>IF(COUNTA(A3545:K3545)=0,"",IF(OR(A3545="",B3545=""),"Preencher CPF e entrada",IF(COUNTIFS($A$12:$A$5011,A3545,$B$12:$B$5011,B3545)&gt;1,"CPF + dia duplicado",IF(OR(AND(G3545&lt;&gt;"",G3545&lt;&gt;0,G3545&lt;&gt;1),AND(H3545&lt;&gt;"",H3545&lt;&gt;0,H3545&lt;&gt;1)),"Flags devem ser 0 ou 1",IF(AND(H3545=1,LEN(TRIM(I3545))=0),"Preencher nome do indicante",IF(AND(H3545&lt;&gt;1,I3545&lt;&gt;""),"Nome sem indicação interna",IF(AND(G3545=1,F3545=""),"Fechamento sem conversa",IF(OR(AND(E3545&lt;&gt;"",E3545&lt;B3545),AND(F3545&lt;&gt;"",F3545&lt;B3545)),"Evento anterior à entrada",IF(AND(F3545&lt;&gt;"",E3545=""),"Conversa sem agendamento",IF(OR(E3545&gt;TODAY(),F3545&gt;TODAY()),"Verificar evento futuro","OK"))))))))))</f>
        <v/>
      </c>
    </row>
    <row r="3546" spans="12:15">
      <c r="L3546" s="5">
        <f>IF(OR(A3546="",B3546=""),"",B3546-WEEKDAY(B3546,2)+1)</f>
        <v/>
      </c>
      <c r="M3546" s="5">
        <f>IF(L3546="","",L3546+6)</f>
        <v/>
      </c>
      <c r="N3546" s="6">
        <f>IF(OR(A3546="",B3546=""),"",DATE(YEAR(B3546),MONTH(B3546),1))</f>
        <v/>
      </c>
      <c r="O3546" s="7">
        <f>IF(COUNTA(A3546:K3546)=0,"",IF(OR(A3546="",B3546=""),"Preencher CPF e entrada",IF(COUNTIFS($A$12:$A$5011,A3546,$B$12:$B$5011,B3546)&gt;1,"CPF + dia duplicado",IF(OR(AND(G3546&lt;&gt;"",G3546&lt;&gt;0,G3546&lt;&gt;1),AND(H3546&lt;&gt;"",H3546&lt;&gt;0,H3546&lt;&gt;1)),"Flags devem ser 0 ou 1",IF(AND(H3546=1,LEN(TRIM(I3546))=0),"Preencher nome do indicante",IF(AND(H3546&lt;&gt;1,I3546&lt;&gt;""),"Nome sem indicação interna",IF(AND(G3546=1,F3546=""),"Fechamento sem conversa",IF(OR(AND(E3546&lt;&gt;"",E3546&lt;B3546),AND(F3546&lt;&gt;"",F3546&lt;B3546)),"Evento anterior à entrada",IF(AND(F3546&lt;&gt;"",E3546=""),"Conversa sem agendamento",IF(OR(E3546&gt;TODAY(),F3546&gt;TODAY()),"Verificar evento futuro","OK"))))))))))</f>
        <v/>
      </c>
    </row>
    <row r="3547" spans="12:15">
      <c r="L3547" s="5">
        <f>IF(OR(A3547="",B3547=""),"",B3547-WEEKDAY(B3547,2)+1)</f>
        <v/>
      </c>
      <c r="M3547" s="5">
        <f>IF(L3547="","",L3547+6)</f>
        <v/>
      </c>
      <c r="N3547" s="6">
        <f>IF(OR(A3547="",B3547=""),"",DATE(YEAR(B3547),MONTH(B3547),1))</f>
        <v/>
      </c>
      <c r="O3547" s="7">
        <f>IF(COUNTA(A3547:K3547)=0,"",IF(OR(A3547="",B3547=""),"Preencher CPF e entrada",IF(COUNTIFS($A$12:$A$5011,A3547,$B$12:$B$5011,B3547)&gt;1,"CPF + dia duplicado",IF(OR(AND(G3547&lt;&gt;"",G3547&lt;&gt;0,G3547&lt;&gt;1),AND(H3547&lt;&gt;"",H3547&lt;&gt;0,H3547&lt;&gt;1)),"Flags devem ser 0 ou 1",IF(AND(H3547=1,LEN(TRIM(I3547))=0),"Preencher nome do indicante",IF(AND(H3547&lt;&gt;1,I3547&lt;&gt;""),"Nome sem indicação interna",IF(AND(G3547=1,F3547=""),"Fechamento sem conversa",IF(OR(AND(E3547&lt;&gt;"",E3547&lt;B3547),AND(F3547&lt;&gt;"",F3547&lt;B3547)),"Evento anterior à entrada",IF(AND(F3547&lt;&gt;"",E3547=""),"Conversa sem agendamento",IF(OR(E3547&gt;TODAY(),F3547&gt;TODAY()),"Verificar evento futuro","OK"))))))))))</f>
        <v/>
      </c>
    </row>
    <row r="3548" spans="12:15">
      <c r="L3548" s="5">
        <f>IF(OR(A3548="",B3548=""),"",B3548-WEEKDAY(B3548,2)+1)</f>
        <v/>
      </c>
      <c r="M3548" s="5">
        <f>IF(L3548="","",L3548+6)</f>
        <v/>
      </c>
      <c r="N3548" s="6">
        <f>IF(OR(A3548="",B3548=""),"",DATE(YEAR(B3548),MONTH(B3548),1))</f>
        <v/>
      </c>
      <c r="O3548" s="7">
        <f>IF(COUNTA(A3548:K3548)=0,"",IF(OR(A3548="",B3548=""),"Preencher CPF e entrada",IF(COUNTIFS($A$12:$A$5011,A3548,$B$12:$B$5011,B3548)&gt;1,"CPF + dia duplicado",IF(OR(AND(G3548&lt;&gt;"",G3548&lt;&gt;0,G3548&lt;&gt;1),AND(H3548&lt;&gt;"",H3548&lt;&gt;0,H3548&lt;&gt;1)),"Flags devem ser 0 ou 1",IF(AND(H3548=1,LEN(TRIM(I3548))=0),"Preencher nome do indicante",IF(AND(H3548&lt;&gt;1,I3548&lt;&gt;""),"Nome sem indicação interna",IF(AND(G3548=1,F3548=""),"Fechamento sem conversa",IF(OR(AND(E3548&lt;&gt;"",E3548&lt;B3548),AND(F3548&lt;&gt;"",F3548&lt;B3548)),"Evento anterior à entrada",IF(AND(F3548&lt;&gt;"",E3548=""),"Conversa sem agendamento",IF(OR(E3548&gt;TODAY(),F3548&gt;TODAY()),"Verificar evento futuro","OK"))))))))))</f>
        <v/>
      </c>
    </row>
    <row r="3549" spans="12:15">
      <c r="L3549" s="5">
        <f>IF(OR(A3549="",B3549=""),"",B3549-WEEKDAY(B3549,2)+1)</f>
        <v/>
      </c>
      <c r="M3549" s="5">
        <f>IF(L3549="","",L3549+6)</f>
        <v/>
      </c>
      <c r="N3549" s="6">
        <f>IF(OR(A3549="",B3549=""),"",DATE(YEAR(B3549),MONTH(B3549),1))</f>
        <v/>
      </c>
      <c r="O3549" s="7">
        <f>IF(COUNTA(A3549:K3549)=0,"",IF(OR(A3549="",B3549=""),"Preencher CPF e entrada",IF(COUNTIFS($A$12:$A$5011,A3549,$B$12:$B$5011,B3549)&gt;1,"CPF + dia duplicado",IF(OR(AND(G3549&lt;&gt;"",G3549&lt;&gt;0,G3549&lt;&gt;1),AND(H3549&lt;&gt;"",H3549&lt;&gt;0,H3549&lt;&gt;1)),"Flags devem ser 0 ou 1",IF(AND(H3549=1,LEN(TRIM(I3549))=0),"Preencher nome do indicante",IF(AND(H3549&lt;&gt;1,I3549&lt;&gt;""),"Nome sem indicação interna",IF(AND(G3549=1,F3549=""),"Fechamento sem conversa",IF(OR(AND(E3549&lt;&gt;"",E3549&lt;B3549),AND(F3549&lt;&gt;"",F3549&lt;B3549)),"Evento anterior à entrada",IF(AND(F3549&lt;&gt;"",E3549=""),"Conversa sem agendamento",IF(OR(E3549&gt;TODAY(),F3549&gt;TODAY()),"Verificar evento futuro","OK"))))))))))</f>
        <v/>
      </c>
    </row>
    <row r="3550" spans="12:15">
      <c r="L3550" s="5">
        <f>IF(OR(A3550="",B3550=""),"",B3550-WEEKDAY(B3550,2)+1)</f>
        <v/>
      </c>
      <c r="M3550" s="5">
        <f>IF(L3550="","",L3550+6)</f>
        <v/>
      </c>
      <c r="N3550" s="6">
        <f>IF(OR(A3550="",B3550=""),"",DATE(YEAR(B3550),MONTH(B3550),1))</f>
        <v/>
      </c>
      <c r="O3550" s="7">
        <f>IF(COUNTA(A3550:K3550)=0,"",IF(OR(A3550="",B3550=""),"Preencher CPF e entrada",IF(COUNTIFS($A$12:$A$5011,A3550,$B$12:$B$5011,B3550)&gt;1,"CPF + dia duplicado",IF(OR(AND(G3550&lt;&gt;"",G3550&lt;&gt;0,G3550&lt;&gt;1),AND(H3550&lt;&gt;"",H3550&lt;&gt;0,H3550&lt;&gt;1)),"Flags devem ser 0 ou 1",IF(AND(H3550=1,LEN(TRIM(I3550))=0),"Preencher nome do indicante",IF(AND(H3550&lt;&gt;1,I3550&lt;&gt;""),"Nome sem indicação interna",IF(AND(G3550=1,F3550=""),"Fechamento sem conversa",IF(OR(AND(E3550&lt;&gt;"",E3550&lt;B3550),AND(F3550&lt;&gt;"",F3550&lt;B3550)),"Evento anterior à entrada",IF(AND(F3550&lt;&gt;"",E3550=""),"Conversa sem agendamento",IF(OR(E3550&gt;TODAY(),F3550&gt;TODAY()),"Verificar evento futuro","OK"))))))))))</f>
        <v/>
      </c>
    </row>
    <row r="3551" spans="12:15">
      <c r="L3551" s="5">
        <f>IF(OR(A3551="",B3551=""),"",B3551-WEEKDAY(B3551,2)+1)</f>
        <v/>
      </c>
      <c r="M3551" s="5">
        <f>IF(L3551="","",L3551+6)</f>
        <v/>
      </c>
      <c r="N3551" s="6">
        <f>IF(OR(A3551="",B3551=""),"",DATE(YEAR(B3551),MONTH(B3551),1))</f>
        <v/>
      </c>
      <c r="O3551" s="7">
        <f>IF(COUNTA(A3551:K3551)=0,"",IF(OR(A3551="",B3551=""),"Preencher CPF e entrada",IF(COUNTIFS($A$12:$A$5011,A3551,$B$12:$B$5011,B3551)&gt;1,"CPF + dia duplicado",IF(OR(AND(G3551&lt;&gt;"",G3551&lt;&gt;0,G3551&lt;&gt;1),AND(H3551&lt;&gt;"",H3551&lt;&gt;0,H3551&lt;&gt;1)),"Flags devem ser 0 ou 1",IF(AND(H3551=1,LEN(TRIM(I3551))=0),"Preencher nome do indicante",IF(AND(H3551&lt;&gt;1,I3551&lt;&gt;""),"Nome sem indicação interna",IF(AND(G3551=1,F3551=""),"Fechamento sem conversa",IF(OR(AND(E3551&lt;&gt;"",E3551&lt;B3551),AND(F3551&lt;&gt;"",F3551&lt;B3551)),"Evento anterior à entrada",IF(AND(F3551&lt;&gt;"",E3551=""),"Conversa sem agendamento",IF(OR(E3551&gt;TODAY(),F3551&gt;TODAY()),"Verificar evento futuro","OK"))))))))))</f>
        <v/>
      </c>
    </row>
    <row r="3552" spans="12:15">
      <c r="L3552" s="5">
        <f>IF(OR(A3552="",B3552=""),"",B3552-WEEKDAY(B3552,2)+1)</f>
        <v/>
      </c>
      <c r="M3552" s="5">
        <f>IF(L3552="","",L3552+6)</f>
        <v/>
      </c>
      <c r="N3552" s="6">
        <f>IF(OR(A3552="",B3552=""),"",DATE(YEAR(B3552),MONTH(B3552),1))</f>
        <v/>
      </c>
      <c r="O3552" s="7">
        <f>IF(COUNTA(A3552:K3552)=0,"",IF(OR(A3552="",B3552=""),"Preencher CPF e entrada",IF(COUNTIFS($A$12:$A$5011,A3552,$B$12:$B$5011,B3552)&gt;1,"CPF + dia duplicado",IF(OR(AND(G3552&lt;&gt;"",G3552&lt;&gt;0,G3552&lt;&gt;1),AND(H3552&lt;&gt;"",H3552&lt;&gt;0,H3552&lt;&gt;1)),"Flags devem ser 0 ou 1",IF(AND(H3552=1,LEN(TRIM(I3552))=0),"Preencher nome do indicante",IF(AND(H3552&lt;&gt;1,I3552&lt;&gt;""),"Nome sem indicação interna",IF(AND(G3552=1,F3552=""),"Fechamento sem conversa",IF(OR(AND(E3552&lt;&gt;"",E3552&lt;B3552),AND(F3552&lt;&gt;"",F3552&lt;B3552)),"Evento anterior à entrada",IF(AND(F3552&lt;&gt;"",E3552=""),"Conversa sem agendamento",IF(OR(E3552&gt;TODAY(),F3552&gt;TODAY()),"Verificar evento futuro","OK"))))))))))</f>
        <v/>
      </c>
    </row>
    <row r="3553" spans="12:15">
      <c r="L3553" s="5">
        <f>IF(OR(A3553="",B3553=""),"",B3553-WEEKDAY(B3553,2)+1)</f>
        <v/>
      </c>
      <c r="M3553" s="5">
        <f>IF(L3553="","",L3553+6)</f>
        <v/>
      </c>
      <c r="N3553" s="6">
        <f>IF(OR(A3553="",B3553=""),"",DATE(YEAR(B3553),MONTH(B3553),1))</f>
        <v/>
      </c>
      <c r="O3553" s="7">
        <f>IF(COUNTA(A3553:K3553)=0,"",IF(OR(A3553="",B3553=""),"Preencher CPF e entrada",IF(COUNTIFS($A$12:$A$5011,A3553,$B$12:$B$5011,B3553)&gt;1,"CPF + dia duplicado",IF(OR(AND(G3553&lt;&gt;"",G3553&lt;&gt;0,G3553&lt;&gt;1),AND(H3553&lt;&gt;"",H3553&lt;&gt;0,H3553&lt;&gt;1)),"Flags devem ser 0 ou 1",IF(AND(H3553=1,LEN(TRIM(I3553))=0),"Preencher nome do indicante",IF(AND(H3553&lt;&gt;1,I3553&lt;&gt;""),"Nome sem indicação interna",IF(AND(G3553=1,F3553=""),"Fechamento sem conversa",IF(OR(AND(E3553&lt;&gt;"",E3553&lt;B3553),AND(F3553&lt;&gt;"",F3553&lt;B3553)),"Evento anterior à entrada",IF(AND(F3553&lt;&gt;"",E3553=""),"Conversa sem agendamento",IF(OR(E3553&gt;TODAY(),F3553&gt;TODAY()),"Verificar evento futuro","OK"))))))))))</f>
        <v/>
      </c>
    </row>
    <row r="3554" spans="12:15">
      <c r="L3554" s="5">
        <f>IF(OR(A3554="",B3554=""),"",B3554-WEEKDAY(B3554,2)+1)</f>
        <v/>
      </c>
      <c r="M3554" s="5">
        <f>IF(L3554="","",L3554+6)</f>
        <v/>
      </c>
      <c r="N3554" s="6">
        <f>IF(OR(A3554="",B3554=""),"",DATE(YEAR(B3554),MONTH(B3554),1))</f>
        <v/>
      </c>
      <c r="O3554" s="7">
        <f>IF(COUNTA(A3554:K3554)=0,"",IF(OR(A3554="",B3554=""),"Preencher CPF e entrada",IF(COUNTIFS($A$12:$A$5011,A3554,$B$12:$B$5011,B3554)&gt;1,"CPF + dia duplicado",IF(OR(AND(G3554&lt;&gt;"",G3554&lt;&gt;0,G3554&lt;&gt;1),AND(H3554&lt;&gt;"",H3554&lt;&gt;0,H3554&lt;&gt;1)),"Flags devem ser 0 ou 1",IF(AND(H3554=1,LEN(TRIM(I3554))=0),"Preencher nome do indicante",IF(AND(H3554&lt;&gt;1,I3554&lt;&gt;""),"Nome sem indicação interna",IF(AND(G3554=1,F3554=""),"Fechamento sem conversa",IF(OR(AND(E3554&lt;&gt;"",E3554&lt;B3554),AND(F3554&lt;&gt;"",F3554&lt;B3554)),"Evento anterior à entrada",IF(AND(F3554&lt;&gt;"",E3554=""),"Conversa sem agendamento",IF(OR(E3554&gt;TODAY(),F3554&gt;TODAY()),"Verificar evento futuro","OK"))))))))))</f>
        <v/>
      </c>
    </row>
    <row r="3555" spans="12:15">
      <c r="L3555" s="5">
        <f>IF(OR(A3555="",B3555=""),"",B3555-WEEKDAY(B3555,2)+1)</f>
        <v/>
      </c>
      <c r="M3555" s="5">
        <f>IF(L3555="","",L3555+6)</f>
        <v/>
      </c>
      <c r="N3555" s="6">
        <f>IF(OR(A3555="",B3555=""),"",DATE(YEAR(B3555),MONTH(B3555),1))</f>
        <v/>
      </c>
      <c r="O3555" s="7">
        <f>IF(COUNTA(A3555:K3555)=0,"",IF(OR(A3555="",B3555=""),"Preencher CPF e entrada",IF(COUNTIFS($A$12:$A$5011,A3555,$B$12:$B$5011,B3555)&gt;1,"CPF + dia duplicado",IF(OR(AND(G3555&lt;&gt;"",G3555&lt;&gt;0,G3555&lt;&gt;1),AND(H3555&lt;&gt;"",H3555&lt;&gt;0,H3555&lt;&gt;1)),"Flags devem ser 0 ou 1",IF(AND(H3555=1,LEN(TRIM(I3555))=0),"Preencher nome do indicante",IF(AND(H3555&lt;&gt;1,I3555&lt;&gt;""),"Nome sem indicação interna",IF(AND(G3555=1,F3555=""),"Fechamento sem conversa",IF(OR(AND(E3555&lt;&gt;"",E3555&lt;B3555),AND(F3555&lt;&gt;"",F3555&lt;B3555)),"Evento anterior à entrada",IF(AND(F3555&lt;&gt;"",E3555=""),"Conversa sem agendamento",IF(OR(E3555&gt;TODAY(),F3555&gt;TODAY()),"Verificar evento futuro","OK"))))))))))</f>
        <v/>
      </c>
    </row>
    <row r="3556" spans="12:15">
      <c r="L3556" s="5">
        <f>IF(OR(A3556="",B3556=""),"",B3556-WEEKDAY(B3556,2)+1)</f>
        <v/>
      </c>
      <c r="M3556" s="5">
        <f>IF(L3556="","",L3556+6)</f>
        <v/>
      </c>
      <c r="N3556" s="6">
        <f>IF(OR(A3556="",B3556=""),"",DATE(YEAR(B3556),MONTH(B3556),1))</f>
        <v/>
      </c>
      <c r="O3556" s="7">
        <f>IF(COUNTA(A3556:K3556)=0,"",IF(OR(A3556="",B3556=""),"Preencher CPF e entrada",IF(COUNTIFS($A$12:$A$5011,A3556,$B$12:$B$5011,B3556)&gt;1,"CPF + dia duplicado",IF(OR(AND(G3556&lt;&gt;"",G3556&lt;&gt;0,G3556&lt;&gt;1),AND(H3556&lt;&gt;"",H3556&lt;&gt;0,H3556&lt;&gt;1)),"Flags devem ser 0 ou 1",IF(AND(H3556=1,LEN(TRIM(I3556))=0),"Preencher nome do indicante",IF(AND(H3556&lt;&gt;1,I3556&lt;&gt;""),"Nome sem indicação interna",IF(AND(G3556=1,F3556=""),"Fechamento sem conversa",IF(OR(AND(E3556&lt;&gt;"",E3556&lt;B3556),AND(F3556&lt;&gt;"",F3556&lt;B3556)),"Evento anterior à entrada",IF(AND(F3556&lt;&gt;"",E3556=""),"Conversa sem agendamento",IF(OR(E3556&gt;TODAY(),F3556&gt;TODAY()),"Verificar evento futuro","OK"))))))))))</f>
        <v/>
      </c>
    </row>
    <row r="3557" spans="12:15">
      <c r="L3557" s="5">
        <f>IF(OR(A3557="",B3557=""),"",B3557-WEEKDAY(B3557,2)+1)</f>
        <v/>
      </c>
      <c r="M3557" s="5">
        <f>IF(L3557="","",L3557+6)</f>
        <v/>
      </c>
      <c r="N3557" s="6">
        <f>IF(OR(A3557="",B3557=""),"",DATE(YEAR(B3557),MONTH(B3557),1))</f>
        <v/>
      </c>
      <c r="O3557" s="7">
        <f>IF(COUNTA(A3557:K3557)=0,"",IF(OR(A3557="",B3557=""),"Preencher CPF e entrada",IF(COUNTIFS($A$12:$A$5011,A3557,$B$12:$B$5011,B3557)&gt;1,"CPF + dia duplicado",IF(OR(AND(G3557&lt;&gt;"",G3557&lt;&gt;0,G3557&lt;&gt;1),AND(H3557&lt;&gt;"",H3557&lt;&gt;0,H3557&lt;&gt;1)),"Flags devem ser 0 ou 1",IF(AND(H3557=1,LEN(TRIM(I3557))=0),"Preencher nome do indicante",IF(AND(H3557&lt;&gt;1,I3557&lt;&gt;""),"Nome sem indicação interna",IF(AND(G3557=1,F3557=""),"Fechamento sem conversa",IF(OR(AND(E3557&lt;&gt;"",E3557&lt;B3557),AND(F3557&lt;&gt;"",F3557&lt;B3557)),"Evento anterior à entrada",IF(AND(F3557&lt;&gt;"",E3557=""),"Conversa sem agendamento",IF(OR(E3557&gt;TODAY(),F3557&gt;TODAY()),"Verificar evento futuro","OK"))))))))))</f>
        <v/>
      </c>
    </row>
    <row r="3558" spans="12:15">
      <c r="L3558" s="5">
        <f>IF(OR(A3558="",B3558=""),"",B3558-WEEKDAY(B3558,2)+1)</f>
        <v/>
      </c>
      <c r="M3558" s="5">
        <f>IF(L3558="","",L3558+6)</f>
        <v/>
      </c>
      <c r="N3558" s="6">
        <f>IF(OR(A3558="",B3558=""),"",DATE(YEAR(B3558),MONTH(B3558),1))</f>
        <v/>
      </c>
      <c r="O3558" s="7">
        <f>IF(COUNTA(A3558:K3558)=0,"",IF(OR(A3558="",B3558=""),"Preencher CPF e entrada",IF(COUNTIFS($A$12:$A$5011,A3558,$B$12:$B$5011,B3558)&gt;1,"CPF + dia duplicado",IF(OR(AND(G3558&lt;&gt;"",G3558&lt;&gt;0,G3558&lt;&gt;1),AND(H3558&lt;&gt;"",H3558&lt;&gt;0,H3558&lt;&gt;1)),"Flags devem ser 0 ou 1",IF(AND(H3558=1,LEN(TRIM(I3558))=0),"Preencher nome do indicante",IF(AND(H3558&lt;&gt;1,I3558&lt;&gt;""),"Nome sem indicação interna",IF(AND(G3558=1,F3558=""),"Fechamento sem conversa",IF(OR(AND(E3558&lt;&gt;"",E3558&lt;B3558),AND(F3558&lt;&gt;"",F3558&lt;B3558)),"Evento anterior à entrada",IF(AND(F3558&lt;&gt;"",E3558=""),"Conversa sem agendamento",IF(OR(E3558&gt;TODAY(),F3558&gt;TODAY()),"Verificar evento futuro","OK"))))))))))</f>
        <v/>
      </c>
    </row>
    <row r="3559" spans="12:15">
      <c r="L3559" s="5">
        <f>IF(OR(A3559="",B3559=""),"",B3559-WEEKDAY(B3559,2)+1)</f>
        <v/>
      </c>
      <c r="M3559" s="5">
        <f>IF(L3559="","",L3559+6)</f>
        <v/>
      </c>
      <c r="N3559" s="6">
        <f>IF(OR(A3559="",B3559=""),"",DATE(YEAR(B3559),MONTH(B3559),1))</f>
        <v/>
      </c>
      <c r="O3559" s="7">
        <f>IF(COUNTA(A3559:K3559)=0,"",IF(OR(A3559="",B3559=""),"Preencher CPF e entrada",IF(COUNTIFS($A$12:$A$5011,A3559,$B$12:$B$5011,B3559)&gt;1,"CPF + dia duplicado",IF(OR(AND(G3559&lt;&gt;"",G3559&lt;&gt;0,G3559&lt;&gt;1),AND(H3559&lt;&gt;"",H3559&lt;&gt;0,H3559&lt;&gt;1)),"Flags devem ser 0 ou 1",IF(AND(H3559=1,LEN(TRIM(I3559))=0),"Preencher nome do indicante",IF(AND(H3559&lt;&gt;1,I3559&lt;&gt;""),"Nome sem indicação interna",IF(AND(G3559=1,F3559=""),"Fechamento sem conversa",IF(OR(AND(E3559&lt;&gt;"",E3559&lt;B3559),AND(F3559&lt;&gt;"",F3559&lt;B3559)),"Evento anterior à entrada",IF(AND(F3559&lt;&gt;"",E3559=""),"Conversa sem agendamento",IF(OR(E3559&gt;TODAY(),F3559&gt;TODAY()),"Verificar evento futuro","OK"))))))))))</f>
        <v/>
      </c>
    </row>
    <row r="3560" spans="12:15">
      <c r="L3560" s="5">
        <f>IF(OR(A3560="",B3560=""),"",B3560-WEEKDAY(B3560,2)+1)</f>
        <v/>
      </c>
      <c r="M3560" s="5">
        <f>IF(L3560="","",L3560+6)</f>
        <v/>
      </c>
      <c r="N3560" s="6">
        <f>IF(OR(A3560="",B3560=""),"",DATE(YEAR(B3560),MONTH(B3560),1))</f>
        <v/>
      </c>
      <c r="O3560" s="7">
        <f>IF(COUNTA(A3560:K3560)=0,"",IF(OR(A3560="",B3560=""),"Preencher CPF e entrada",IF(COUNTIFS($A$12:$A$5011,A3560,$B$12:$B$5011,B3560)&gt;1,"CPF + dia duplicado",IF(OR(AND(G3560&lt;&gt;"",G3560&lt;&gt;0,G3560&lt;&gt;1),AND(H3560&lt;&gt;"",H3560&lt;&gt;0,H3560&lt;&gt;1)),"Flags devem ser 0 ou 1",IF(AND(H3560=1,LEN(TRIM(I3560))=0),"Preencher nome do indicante",IF(AND(H3560&lt;&gt;1,I3560&lt;&gt;""),"Nome sem indicação interna",IF(AND(G3560=1,F3560=""),"Fechamento sem conversa",IF(OR(AND(E3560&lt;&gt;"",E3560&lt;B3560),AND(F3560&lt;&gt;"",F3560&lt;B3560)),"Evento anterior à entrada",IF(AND(F3560&lt;&gt;"",E3560=""),"Conversa sem agendamento",IF(OR(E3560&gt;TODAY(),F3560&gt;TODAY()),"Verificar evento futuro","OK"))))))))))</f>
        <v/>
      </c>
    </row>
    <row r="3561" spans="12:15">
      <c r="L3561" s="5">
        <f>IF(OR(A3561="",B3561=""),"",B3561-WEEKDAY(B3561,2)+1)</f>
        <v/>
      </c>
      <c r="M3561" s="5">
        <f>IF(L3561="","",L3561+6)</f>
        <v/>
      </c>
      <c r="N3561" s="6">
        <f>IF(OR(A3561="",B3561=""),"",DATE(YEAR(B3561),MONTH(B3561),1))</f>
        <v/>
      </c>
      <c r="O3561" s="7">
        <f>IF(COUNTA(A3561:K3561)=0,"",IF(OR(A3561="",B3561=""),"Preencher CPF e entrada",IF(COUNTIFS($A$12:$A$5011,A3561,$B$12:$B$5011,B3561)&gt;1,"CPF + dia duplicado",IF(OR(AND(G3561&lt;&gt;"",G3561&lt;&gt;0,G3561&lt;&gt;1),AND(H3561&lt;&gt;"",H3561&lt;&gt;0,H3561&lt;&gt;1)),"Flags devem ser 0 ou 1",IF(AND(H3561=1,LEN(TRIM(I3561))=0),"Preencher nome do indicante",IF(AND(H3561&lt;&gt;1,I3561&lt;&gt;""),"Nome sem indicação interna",IF(AND(G3561=1,F3561=""),"Fechamento sem conversa",IF(OR(AND(E3561&lt;&gt;"",E3561&lt;B3561),AND(F3561&lt;&gt;"",F3561&lt;B3561)),"Evento anterior à entrada",IF(AND(F3561&lt;&gt;"",E3561=""),"Conversa sem agendamento",IF(OR(E3561&gt;TODAY(),F3561&gt;TODAY()),"Verificar evento futuro","OK"))))))))))</f>
        <v/>
      </c>
    </row>
    <row r="3562" spans="12:15">
      <c r="L3562" s="5">
        <f>IF(OR(A3562="",B3562=""),"",B3562-WEEKDAY(B3562,2)+1)</f>
        <v/>
      </c>
      <c r="M3562" s="5">
        <f>IF(L3562="","",L3562+6)</f>
        <v/>
      </c>
      <c r="N3562" s="6">
        <f>IF(OR(A3562="",B3562=""),"",DATE(YEAR(B3562),MONTH(B3562),1))</f>
        <v/>
      </c>
      <c r="O3562" s="7">
        <f>IF(COUNTA(A3562:K3562)=0,"",IF(OR(A3562="",B3562=""),"Preencher CPF e entrada",IF(COUNTIFS($A$12:$A$5011,A3562,$B$12:$B$5011,B3562)&gt;1,"CPF + dia duplicado",IF(OR(AND(G3562&lt;&gt;"",G3562&lt;&gt;0,G3562&lt;&gt;1),AND(H3562&lt;&gt;"",H3562&lt;&gt;0,H3562&lt;&gt;1)),"Flags devem ser 0 ou 1",IF(AND(H3562=1,LEN(TRIM(I3562))=0),"Preencher nome do indicante",IF(AND(H3562&lt;&gt;1,I3562&lt;&gt;""),"Nome sem indicação interna",IF(AND(G3562=1,F3562=""),"Fechamento sem conversa",IF(OR(AND(E3562&lt;&gt;"",E3562&lt;B3562),AND(F3562&lt;&gt;"",F3562&lt;B3562)),"Evento anterior à entrada",IF(AND(F3562&lt;&gt;"",E3562=""),"Conversa sem agendamento",IF(OR(E3562&gt;TODAY(),F3562&gt;TODAY()),"Verificar evento futuro","OK"))))))))))</f>
        <v/>
      </c>
    </row>
    <row r="3563" spans="12:15">
      <c r="L3563" s="5">
        <f>IF(OR(A3563="",B3563=""),"",B3563-WEEKDAY(B3563,2)+1)</f>
        <v/>
      </c>
      <c r="M3563" s="5">
        <f>IF(L3563="","",L3563+6)</f>
        <v/>
      </c>
      <c r="N3563" s="6">
        <f>IF(OR(A3563="",B3563=""),"",DATE(YEAR(B3563),MONTH(B3563),1))</f>
        <v/>
      </c>
      <c r="O3563" s="7">
        <f>IF(COUNTA(A3563:K3563)=0,"",IF(OR(A3563="",B3563=""),"Preencher CPF e entrada",IF(COUNTIFS($A$12:$A$5011,A3563,$B$12:$B$5011,B3563)&gt;1,"CPF + dia duplicado",IF(OR(AND(G3563&lt;&gt;"",G3563&lt;&gt;0,G3563&lt;&gt;1),AND(H3563&lt;&gt;"",H3563&lt;&gt;0,H3563&lt;&gt;1)),"Flags devem ser 0 ou 1",IF(AND(H3563=1,LEN(TRIM(I3563))=0),"Preencher nome do indicante",IF(AND(H3563&lt;&gt;1,I3563&lt;&gt;""),"Nome sem indicação interna",IF(AND(G3563=1,F3563=""),"Fechamento sem conversa",IF(OR(AND(E3563&lt;&gt;"",E3563&lt;B3563),AND(F3563&lt;&gt;"",F3563&lt;B3563)),"Evento anterior à entrada",IF(AND(F3563&lt;&gt;"",E3563=""),"Conversa sem agendamento",IF(OR(E3563&gt;TODAY(),F3563&gt;TODAY()),"Verificar evento futuro","OK"))))))))))</f>
        <v/>
      </c>
    </row>
    <row r="3564" spans="12:15">
      <c r="L3564" s="5">
        <f>IF(OR(A3564="",B3564=""),"",B3564-WEEKDAY(B3564,2)+1)</f>
        <v/>
      </c>
      <c r="M3564" s="5">
        <f>IF(L3564="","",L3564+6)</f>
        <v/>
      </c>
      <c r="N3564" s="6">
        <f>IF(OR(A3564="",B3564=""),"",DATE(YEAR(B3564),MONTH(B3564),1))</f>
        <v/>
      </c>
      <c r="O3564" s="7">
        <f>IF(COUNTA(A3564:K3564)=0,"",IF(OR(A3564="",B3564=""),"Preencher CPF e entrada",IF(COUNTIFS($A$12:$A$5011,A3564,$B$12:$B$5011,B3564)&gt;1,"CPF + dia duplicado",IF(OR(AND(G3564&lt;&gt;"",G3564&lt;&gt;0,G3564&lt;&gt;1),AND(H3564&lt;&gt;"",H3564&lt;&gt;0,H3564&lt;&gt;1)),"Flags devem ser 0 ou 1",IF(AND(H3564=1,LEN(TRIM(I3564))=0),"Preencher nome do indicante",IF(AND(H3564&lt;&gt;1,I3564&lt;&gt;""),"Nome sem indicação interna",IF(AND(G3564=1,F3564=""),"Fechamento sem conversa",IF(OR(AND(E3564&lt;&gt;"",E3564&lt;B3564),AND(F3564&lt;&gt;"",F3564&lt;B3564)),"Evento anterior à entrada",IF(AND(F3564&lt;&gt;"",E3564=""),"Conversa sem agendamento",IF(OR(E3564&gt;TODAY(),F3564&gt;TODAY()),"Verificar evento futuro","OK"))))))))))</f>
        <v/>
      </c>
    </row>
    <row r="3565" spans="12:15">
      <c r="L3565" s="5">
        <f>IF(OR(A3565="",B3565=""),"",B3565-WEEKDAY(B3565,2)+1)</f>
        <v/>
      </c>
      <c r="M3565" s="5">
        <f>IF(L3565="","",L3565+6)</f>
        <v/>
      </c>
      <c r="N3565" s="6">
        <f>IF(OR(A3565="",B3565=""),"",DATE(YEAR(B3565),MONTH(B3565),1))</f>
        <v/>
      </c>
      <c r="O3565" s="7">
        <f>IF(COUNTA(A3565:K3565)=0,"",IF(OR(A3565="",B3565=""),"Preencher CPF e entrada",IF(COUNTIFS($A$12:$A$5011,A3565,$B$12:$B$5011,B3565)&gt;1,"CPF + dia duplicado",IF(OR(AND(G3565&lt;&gt;"",G3565&lt;&gt;0,G3565&lt;&gt;1),AND(H3565&lt;&gt;"",H3565&lt;&gt;0,H3565&lt;&gt;1)),"Flags devem ser 0 ou 1",IF(AND(H3565=1,LEN(TRIM(I3565))=0),"Preencher nome do indicante",IF(AND(H3565&lt;&gt;1,I3565&lt;&gt;""),"Nome sem indicação interna",IF(AND(G3565=1,F3565=""),"Fechamento sem conversa",IF(OR(AND(E3565&lt;&gt;"",E3565&lt;B3565),AND(F3565&lt;&gt;"",F3565&lt;B3565)),"Evento anterior à entrada",IF(AND(F3565&lt;&gt;"",E3565=""),"Conversa sem agendamento",IF(OR(E3565&gt;TODAY(),F3565&gt;TODAY()),"Verificar evento futuro","OK"))))))))))</f>
        <v/>
      </c>
    </row>
    <row r="3566" spans="12:15">
      <c r="L3566" s="5">
        <f>IF(OR(A3566="",B3566=""),"",B3566-WEEKDAY(B3566,2)+1)</f>
        <v/>
      </c>
      <c r="M3566" s="5">
        <f>IF(L3566="","",L3566+6)</f>
        <v/>
      </c>
      <c r="N3566" s="6">
        <f>IF(OR(A3566="",B3566=""),"",DATE(YEAR(B3566),MONTH(B3566),1))</f>
        <v/>
      </c>
      <c r="O3566" s="7">
        <f>IF(COUNTA(A3566:K3566)=0,"",IF(OR(A3566="",B3566=""),"Preencher CPF e entrada",IF(COUNTIFS($A$12:$A$5011,A3566,$B$12:$B$5011,B3566)&gt;1,"CPF + dia duplicado",IF(OR(AND(G3566&lt;&gt;"",G3566&lt;&gt;0,G3566&lt;&gt;1),AND(H3566&lt;&gt;"",H3566&lt;&gt;0,H3566&lt;&gt;1)),"Flags devem ser 0 ou 1",IF(AND(H3566=1,LEN(TRIM(I3566))=0),"Preencher nome do indicante",IF(AND(H3566&lt;&gt;1,I3566&lt;&gt;""),"Nome sem indicação interna",IF(AND(G3566=1,F3566=""),"Fechamento sem conversa",IF(OR(AND(E3566&lt;&gt;"",E3566&lt;B3566),AND(F3566&lt;&gt;"",F3566&lt;B3566)),"Evento anterior à entrada",IF(AND(F3566&lt;&gt;"",E3566=""),"Conversa sem agendamento",IF(OR(E3566&gt;TODAY(),F3566&gt;TODAY()),"Verificar evento futuro","OK"))))))))))</f>
        <v/>
      </c>
    </row>
    <row r="3567" spans="12:15">
      <c r="L3567" s="5">
        <f>IF(OR(A3567="",B3567=""),"",B3567-WEEKDAY(B3567,2)+1)</f>
        <v/>
      </c>
      <c r="M3567" s="5">
        <f>IF(L3567="","",L3567+6)</f>
        <v/>
      </c>
      <c r="N3567" s="6">
        <f>IF(OR(A3567="",B3567=""),"",DATE(YEAR(B3567),MONTH(B3567),1))</f>
        <v/>
      </c>
      <c r="O3567" s="7">
        <f>IF(COUNTA(A3567:K3567)=0,"",IF(OR(A3567="",B3567=""),"Preencher CPF e entrada",IF(COUNTIFS($A$12:$A$5011,A3567,$B$12:$B$5011,B3567)&gt;1,"CPF + dia duplicado",IF(OR(AND(G3567&lt;&gt;"",G3567&lt;&gt;0,G3567&lt;&gt;1),AND(H3567&lt;&gt;"",H3567&lt;&gt;0,H3567&lt;&gt;1)),"Flags devem ser 0 ou 1",IF(AND(H3567=1,LEN(TRIM(I3567))=0),"Preencher nome do indicante",IF(AND(H3567&lt;&gt;1,I3567&lt;&gt;""),"Nome sem indicação interna",IF(AND(G3567=1,F3567=""),"Fechamento sem conversa",IF(OR(AND(E3567&lt;&gt;"",E3567&lt;B3567),AND(F3567&lt;&gt;"",F3567&lt;B3567)),"Evento anterior à entrada",IF(AND(F3567&lt;&gt;"",E3567=""),"Conversa sem agendamento",IF(OR(E3567&gt;TODAY(),F3567&gt;TODAY()),"Verificar evento futuro","OK"))))))))))</f>
        <v/>
      </c>
    </row>
    <row r="3568" spans="12:15">
      <c r="L3568" s="5">
        <f>IF(OR(A3568="",B3568=""),"",B3568-WEEKDAY(B3568,2)+1)</f>
        <v/>
      </c>
      <c r="M3568" s="5">
        <f>IF(L3568="","",L3568+6)</f>
        <v/>
      </c>
      <c r="N3568" s="6">
        <f>IF(OR(A3568="",B3568=""),"",DATE(YEAR(B3568),MONTH(B3568),1))</f>
        <v/>
      </c>
      <c r="O3568" s="7">
        <f>IF(COUNTA(A3568:K3568)=0,"",IF(OR(A3568="",B3568=""),"Preencher CPF e entrada",IF(COUNTIFS($A$12:$A$5011,A3568,$B$12:$B$5011,B3568)&gt;1,"CPF + dia duplicado",IF(OR(AND(G3568&lt;&gt;"",G3568&lt;&gt;0,G3568&lt;&gt;1),AND(H3568&lt;&gt;"",H3568&lt;&gt;0,H3568&lt;&gt;1)),"Flags devem ser 0 ou 1",IF(AND(H3568=1,LEN(TRIM(I3568))=0),"Preencher nome do indicante",IF(AND(H3568&lt;&gt;1,I3568&lt;&gt;""),"Nome sem indicação interna",IF(AND(G3568=1,F3568=""),"Fechamento sem conversa",IF(OR(AND(E3568&lt;&gt;"",E3568&lt;B3568),AND(F3568&lt;&gt;"",F3568&lt;B3568)),"Evento anterior à entrada",IF(AND(F3568&lt;&gt;"",E3568=""),"Conversa sem agendamento",IF(OR(E3568&gt;TODAY(),F3568&gt;TODAY()),"Verificar evento futuro","OK"))))))))))</f>
        <v/>
      </c>
    </row>
    <row r="3569" spans="12:15">
      <c r="L3569" s="5">
        <f>IF(OR(A3569="",B3569=""),"",B3569-WEEKDAY(B3569,2)+1)</f>
        <v/>
      </c>
      <c r="M3569" s="5">
        <f>IF(L3569="","",L3569+6)</f>
        <v/>
      </c>
      <c r="N3569" s="6">
        <f>IF(OR(A3569="",B3569=""),"",DATE(YEAR(B3569),MONTH(B3569),1))</f>
        <v/>
      </c>
      <c r="O3569" s="7">
        <f>IF(COUNTA(A3569:K3569)=0,"",IF(OR(A3569="",B3569=""),"Preencher CPF e entrada",IF(COUNTIFS($A$12:$A$5011,A3569,$B$12:$B$5011,B3569)&gt;1,"CPF + dia duplicado",IF(OR(AND(G3569&lt;&gt;"",G3569&lt;&gt;0,G3569&lt;&gt;1),AND(H3569&lt;&gt;"",H3569&lt;&gt;0,H3569&lt;&gt;1)),"Flags devem ser 0 ou 1",IF(AND(H3569=1,LEN(TRIM(I3569))=0),"Preencher nome do indicante",IF(AND(H3569&lt;&gt;1,I3569&lt;&gt;""),"Nome sem indicação interna",IF(AND(G3569=1,F3569=""),"Fechamento sem conversa",IF(OR(AND(E3569&lt;&gt;"",E3569&lt;B3569),AND(F3569&lt;&gt;"",F3569&lt;B3569)),"Evento anterior à entrada",IF(AND(F3569&lt;&gt;"",E3569=""),"Conversa sem agendamento",IF(OR(E3569&gt;TODAY(),F3569&gt;TODAY()),"Verificar evento futuro","OK"))))))))))</f>
        <v/>
      </c>
    </row>
    <row r="3570" spans="12:15">
      <c r="L3570" s="5">
        <f>IF(OR(A3570="",B3570=""),"",B3570-WEEKDAY(B3570,2)+1)</f>
        <v/>
      </c>
      <c r="M3570" s="5">
        <f>IF(L3570="","",L3570+6)</f>
        <v/>
      </c>
      <c r="N3570" s="6">
        <f>IF(OR(A3570="",B3570=""),"",DATE(YEAR(B3570),MONTH(B3570),1))</f>
        <v/>
      </c>
      <c r="O3570" s="7">
        <f>IF(COUNTA(A3570:K3570)=0,"",IF(OR(A3570="",B3570=""),"Preencher CPF e entrada",IF(COUNTIFS($A$12:$A$5011,A3570,$B$12:$B$5011,B3570)&gt;1,"CPF + dia duplicado",IF(OR(AND(G3570&lt;&gt;"",G3570&lt;&gt;0,G3570&lt;&gt;1),AND(H3570&lt;&gt;"",H3570&lt;&gt;0,H3570&lt;&gt;1)),"Flags devem ser 0 ou 1",IF(AND(H3570=1,LEN(TRIM(I3570))=0),"Preencher nome do indicante",IF(AND(H3570&lt;&gt;1,I3570&lt;&gt;""),"Nome sem indicação interna",IF(AND(G3570=1,F3570=""),"Fechamento sem conversa",IF(OR(AND(E3570&lt;&gt;"",E3570&lt;B3570),AND(F3570&lt;&gt;"",F3570&lt;B3570)),"Evento anterior à entrada",IF(AND(F3570&lt;&gt;"",E3570=""),"Conversa sem agendamento",IF(OR(E3570&gt;TODAY(),F3570&gt;TODAY()),"Verificar evento futuro","OK"))))))))))</f>
        <v/>
      </c>
    </row>
    <row r="3571" spans="12:15">
      <c r="L3571" s="5">
        <f>IF(OR(A3571="",B3571=""),"",B3571-WEEKDAY(B3571,2)+1)</f>
        <v/>
      </c>
      <c r="M3571" s="5">
        <f>IF(L3571="","",L3571+6)</f>
        <v/>
      </c>
      <c r="N3571" s="6">
        <f>IF(OR(A3571="",B3571=""),"",DATE(YEAR(B3571),MONTH(B3571),1))</f>
        <v/>
      </c>
      <c r="O3571" s="7">
        <f>IF(COUNTA(A3571:K3571)=0,"",IF(OR(A3571="",B3571=""),"Preencher CPF e entrada",IF(COUNTIFS($A$12:$A$5011,A3571,$B$12:$B$5011,B3571)&gt;1,"CPF + dia duplicado",IF(OR(AND(G3571&lt;&gt;"",G3571&lt;&gt;0,G3571&lt;&gt;1),AND(H3571&lt;&gt;"",H3571&lt;&gt;0,H3571&lt;&gt;1)),"Flags devem ser 0 ou 1",IF(AND(H3571=1,LEN(TRIM(I3571))=0),"Preencher nome do indicante",IF(AND(H3571&lt;&gt;1,I3571&lt;&gt;""),"Nome sem indicação interna",IF(AND(G3571=1,F3571=""),"Fechamento sem conversa",IF(OR(AND(E3571&lt;&gt;"",E3571&lt;B3571),AND(F3571&lt;&gt;"",F3571&lt;B3571)),"Evento anterior à entrada",IF(AND(F3571&lt;&gt;"",E3571=""),"Conversa sem agendamento",IF(OR(E3571&gt;TODAY(),F3571&gt;TODAY()),"Verificar evento futuro","OK"))))))))))</f>
        <v/>
      </c>
    </row>
    <row r="3572" spans="12:15">
      <c r="L3572" s="5">
        <f>IF(OR(A3572="",B3572=""),"",B3572-WEEKDAY(B3572,2)+1)</f>
        <v/>
      </c>
      <c r="M3572" s="5">
        <f>IF(L3572="","",L3572+6)</f>
        <v/>
      </c>
      <c r="N3572" s="6">
        <f>IF(OR(A3572="",B3572=""),"",DATE(YEAR(B3572),MONTH(B3572),1))</f>
        <v/>
      </c>
      <c r="O3572" s="7">
        <f>IF(COUNTA(A3572:K3572)=0,"",IF(OR(A3572="",B3572=""),"Preencher CPF e entrada",IF(COUNTIFS($A$12:$A$5011,A3572,$B$12:$B$5011,B3572)&gt;1,"CPF + dia duplicado",IF(OR(AND(G3572&lt;&gt;"",G3572&lt;&gt;0,G3572&lt;&gt;1),AND(H3572&lt;&gt;"",H3572&lt;&gt;0,H3572&lt;&gt;1)),"Flags devem ser 0 ou 1",IF(AND(H3572=1,LEN(TRIM(I3572))=0),"Preencher nome do indicante",IF(AND(H3572&lt;&gt;1,I3572&lt;&gt;""),"Nome sem indicação interna",IF(AND(G3572=1,F3572=""),"Fechamento sem conversa",IF(OR(AND(E3572&lt;&gt;"",E3572&lt;B3572),AND(F3572&lt;&gt;"",F3572&lt;B3572)),"Evento anterior à entrada",IF(AND(F3572&lt;&gt;"",E3572=""),"Conversa sem agendamento",IF(OR(E3572&gt;TODAY(),F3572&gt;TODAY()),"Verificar evento futuro","OK"))))))))))</f>
        <v/>
      </c>
    </row>
    <row r="3573" spans="12:15">
      <c r="L3573" s="5">
        <f>IF(OR(A3573="",B3573=""),"",B3573-WEEKDAY(B3573,2)+1)</f>
        <v/>
      </c>
      <c r="M3573" s="5">
        <f>IF(L3573="","",L3573+6)</f>
        <v/>
      </c>
      <c r="N3573" s="6">
        <f>IF(OR(A3573="",B3573=""),"",DATE(YEAR(B3573),MONTH(B3573),1))</f>
        <v/>
      </c>
      <c r="O3573" s="7">
        <f>IF(COUNTA(A3573:K3573)=0,"",IF(OR(A3573="",B3573=""),"Preencher CPF e entrada",IF(COUNTIFS($A$12:$A$5011,A3573,$B$12:$B$5011,B3573)&gt;1,"CPF + dia duplicado",IF(OR(AND(G3573&lt;&gt;"",G3573&lt;&gt;0,G3573&lt;&gt;1),AND(H3573&lt;&gt;"",H3573&lt;&gt;0,H3573&lt;&gt;1)),"Flags devem ser 0 ou 1",IF(AND(H3573=1,LEN(TRIM(I3573))=0),"Preencher nome do indicante",IF(AND(H3573&lt;&gt;1,I3573&lt;&gt;""),"Nome sem indicação interna",IF(AND(G3573=1,F3573=""),"Fechamento sem conversa",IF(OR(AND(E3573&lt;&gt;"",E3573&lt;B3573),AND(F3573&lt;&gt;"",F3573&lt;B3573)),"Evento anterior à entrada",IF(AND(F3573&lt;&gt;"",E3573=""),"Conversa sem agendamento",IF(OR(E3573&gt;TODAY(),F3573&gt;TODAY()),"Verificar evento futuro","OK"))))))))))</f>
        <v/>
      </c>
    </row>
    <row r="3574" spans="12:15">
      <c r="L3574" s="5">
        <f>IF(OR(A3574="",B3574=""),"",B3574-WEEKDAY(B3574,2)+1)</f>
        <v/>
      </c>
      <c r="M3574" s="5">
        <f>IF(L3574="","",L3574+6)</f>
        <v/>
      </c>
      <c r="N3574" s="6">
        <f>IF(OR(A3574="",B3574=""),"",DATE(YEAR(B3574),MONTH(B3574),1))</f>
        <v/>
      </c>
      <c r="O3574" s="7">
        <f>IF(COUNTA(A3574:K3574)=0,"",IF(OR(A3574="",B3574=""),"Preencher CPF e entrada",IF(COUNTIFS($A$12:$A$5011,A3574,$B$12:$B$5011,B3574)&gt;1,"CPF + dia duplicado",IF(OR(AND(G3574&lt;&gt;"",G3574&lt;&gt;0,G3574&lt;&gt;1),AND(H3574&lt;&gt;"",H3574&lt;&gt;0,H3574&lt;&gt;1)),"Flags devem ser 0 ou 1",IF(AND(H3574=1,LEN(TRIM(I3574))=0),"Preencher nome do indicante",IF(AND(H3574&lt;&gt;1,I3574&lt;&gt;""),"Nome sem indicação interna",IF(AND(G3574=1,F3574=""),"Fechamento sem conversa",IF(OR(AND(E3574&lt;&gt;"",E3574&lt;B3574),AND(F3574&lt;&gt;"",F3574&lt;B3574)),"Evento anterior à entrada",IF(AND(F3574&lt;&gt;"",E3574=""),"Conversa sem agendamento",IF(OR(E3574&gt;TODAY(),F3574&gt;TODAY()),"Verificar evento futuro","OK"))))))))))</f>
        <v/>
      </c>
    </row>
    <row r="3575" spans="12:15">
      <c r="L3575" s="5">
        <f>IF(OR(A3575="",B3575=""),"",B3575-WEEKDAY(B3575,2)+1)</f>
        <v/>
      </c>
      <c r="M3575" s="5">
        <f>IF(L3575="","",L3575+6)</f>
        <v/>
      </c>
      <c r="N3575" s="6">
        <f>IF(OR(A3575="",B3575=""),"",DATE(YEAR(B3575),MONTH(B3575),1))</f>
        <v/>
      </c>
      <c r="O3575" s="7">
        <f>IF(COUNTA(A3575:K3575)=0,"",IF(OR(A3575="",B3575=""),"Preencher CPF e entrada",IF(COUNTIFS($A$12:$A$5011,A3575,$B$12:$B$5011,B3575)&gt;1,"CPF + dia duplicado",IF(OR(AND(G3575&lt;&gt;"",G3575&lt;&gt;0,G3575&lt;&gt;1),AND(H3575&lt;&gt;"",H3575&lt;&gt;0,H3575&lt;&gt;1)),"Flags devem ser 0 ou 1",IF(AND(H3575=1,LEN(TRIM(I3575))=0),"Preencher nome do indicante",IF(AND(H3575&lt;&gt;1,I3575&lt;&gt;""),"Nome sem indicação interna",IF(AND(G3575=1,F3575=""),"Fechamento sem conversa",IF(OR(AND(E3575&lt;&gt;"",E3575&lt;B3575),AND(F3575&lt;&gt;"",F3575&lt;B3575)),"Evento anterior à entrada",IF(AND(F3575&lt;&gt;"",E3575=""),"Conversa sem agendamento",IF(OR(E3575&gt;TODAY(),F3575&gt;TODAY()),"Verificar evento futuro","OK"))))))))))</f>
        <v/>
      </c>
    </row>
    <row r="3576" spans="12:15">
      <c r="L3576" s="5">
        <f>IF(OR(A3576="",B3576=""),"",B3576-WEEKDAY(B3576,2)+1)</f>
        <v/>
      </c>
      <c r="M3576" s="5">
        <f>IF(L3576="","",L3576+6)</f>
        <v/>
      </c>
      <c r="N3576" s="6">
        <f>IF(OR(A3576="",B3576=""),"",DATE(YEAR(B3576),MONTH(B3576),1))</f>
        <v/>
      </c>
      <c r="O3576" s="7">
        <f>IF(COUNTA(A3576:K3576)=0,"",IF(OR(A3576="",B3576=""),"Preencher CPF e entrada",IF(COUNTIFS($A$12:$A$5011,A3576,$B$12:$B$5011,B3576)&gt;1,"CPF + dia duplicado",IF(OR(AND(G3576&lt;&gt;"",G3576&lt;&gt;0,G3576&lt;&gt;1),AND(H3576&lt;&gt;"",H3576&lt;&gt;0,H3576&lt;&gt;1)),"Flags devem ser 0 ou 1",IF(AND(H3576=1,LEN(TRIM(I3576))=0),"Preencher nome do indicante",IF(AND(H3576&lt;&gt;1,I3576&lt;&gt;""),"Nome sem indicação interna",IF(AND(G3576=1,F3576=""),"Fechamento sem conversa",IF(OR(AND(E3576&lt;&gt;"",E3576&lt;B3576),AND(F3576&lt;&gt;"",F3576&lt;B3576)),"Evento anterior à entrada",IF(AND(F3576&lt;&gt;"",E3576=""),"Conversa sem agendamento",IF(OR(E3576&gt;TODAY(),F3576&gt;TODAY()),"Verificar evento futuro","OK"))))))))))</f>
        <v/>
      </c>
    </row>
    <row r="3577" spans="12:15">
      <c r="L3577" s="5">
        <f>IF(OR(A3577="",B3577=""),"",B3577-WEEKDAY(B3577,2)+1)</f>
        <v/>
      </c>
      <c r="M3577" s="5">
        <f>IF(L3577="","",L3577+6)</f>
        <v/>
      </c>
      <c r="N3577" s="6">
        <f>IF(OR(A3577="",B3577=""),"",DATE(YEAR(B3577),MONTH(B3577),1))</f>
        <v/>
      </c>
      <c r="O3577" s="7">
        <f>IF(COUNTA(A3577:K3577)=0,"",IF(OR(A3577="",B3577=""),"Preencher CPF e entrada",IF(COUNTIFS($A$12:$A$5011,A3577,$B$12:$B$5011,B3577)&gt;1,"CPF + dia duplicado",IF(OR(AND(G3577&lt;&gt;"",G3577&lt;&gt;0,G3577&lt;&gt;1),AND(H3577&lt;&gt;"",H3577&lt;&gt;0,H3577&lt;&gt;1)),"Flags devem ser 0 ou 1",IF(AND(H3577=1,LEN(TRIM(I3577))=0),"Preencher nome do indicante",IF(AND(H3577&lt;&gt;1,I3577&lt;&gt;""),"Nome sem indicação interna",IF(AND(G3577=1,F3577=""),"Fechamento sem conversa",IF(OR(AND(E3577&lt;&gt;"",E3577&lt;B3577),AND(F3577&lt;&gt;"",F3577&lt;B3577)),"Evento anterior à entrada",IF(AND(F3577&lt;&gt;"",E3577=""),"Conversa sem agendamento",IF(OR(E3577&gt;TODAY(),F3577&gt;TODAY()),"Verificar evento futuro","OK"))))))))))</f>
        <v/>
      </c>
    </row>
    <row r="3578" spans="12:15">
      <c r="L3578" s="5">
        <f>IF(OR(A3578="",B3578=""),"",B3578-WEEKDAY(B3578,2)+1)</f>
        <v/>
      </c>
      <c r="M3578" s="5">
        <f>IF(L3578="","",L3578+6)</f>
        <v/>
      </c>
      <c r="N3578" s="6">
        <f>IF(OR(A3578="",B3578=""),"",DATE(YEAR(B3578),MONTH(B3578),1))</f>
        <v/>
      </c>
      <c r="O3578" s="7">
        <f>IF(COUNTA(A3578:K3578)=0,"",IF(OR(A3578="",B3578=""),"Preencher CPF e entrada",IF(COUNTIFS($A$12:$A$5011,A3578,$B$12:$B$5011,B3578)&gt;1,"CPF + dia duplicado",IF(OR(AND(G3578&lt;&gt;"",G3578&lt;&gt;0,G3578&lt;&gt;1),AND(H3578&lt;&gt;"",H3578&lt;&gt;0,H3578&lt;&gt;1)),"Flags devem ser 0 ou 1",IF(AND(H3578=1,LEN(TRIM(I3578))=0),"Preencher nome do indicante",IF(AND(H3578&lt;&gt;1,I3578&lt;&gt;""),"Nome sem indicação interna",IF(AND(G3578=1,F3578=""),"Fechamento sem conversa",IF(OR(AND(E3578&lt;&gt;"",E3578&lt;B3578),AND(F3578&lt;&gt;"",F3578&lt;B3578)),"Evento anterior à entrada",IF(AND(F3578&lt;&gt;"",E3578=""),"Conversa sem agendamento",IF(OR(E3578&gt;TODAY(),F3578&gt;TODAY()),"Verificar evento futuro","OK"))))))))))</f>
        <v/>
      </c>
    </row>
    <row r="3579" spans="12:15">
      <c r="L3579" s="5">
        <f>IF(OR(A3579="",B3579=""),"",B3579-WEEKDAY(B3579,2)+1)</f>
        <v/>
      </c>
      <c r="M3579" s="5">
        <f>IF(L3579="","",L3579+6)</f>
        <v/>
      </c>
      <c r="N3579" s="6">
        <f>IF(OR(A3579="",B3579=""),"",DATE(YEAR(B3579),MONTH(B3579),1))</f>
        <v/>
      </c>
      <c r="O3579" s="7">
        <f>IF(COUNTA(A3579:K3579)=0,"",IF(OR(A3579="",B3579=""),"Preencher CPF e entrada",IF(COUNTIFS($A$12:$A$5011,A3579,$B$12:$B$5011,B3579)&gt;1,"CPF + dia duplicado",IF(OR(AND(G3579&lt;&gt;"",G3579&lt;&gt;0,G3579&lt;&gt;1),AND(H3579&lt;&gt;"",H3579&lt;&gt;0,H3579&lt;&gt;1)),"Flags devem ser 0 ou 1",IF(AND(H3579=1,LEN(TRIM(I3579))=0),"Preencher nome do indicante",IF(AND(H3579&lt;&gt;1,I3579&lt;&gt;""),"Nome sem indicação interna",IF(AND(G3579=1,F3579=""),"Fechamento sem conversa",IF(OR(AND(E3579&lt;&gt;"",E3579&lt;B3579),AND(F3579&lt;&gt;"",F3579&lt;B3579)),"Evento anterior à entrada",IF(AND(F3579&lt;&gt;"",E3579=""),"Conversa sem agendamento",IF(OR(E3579&gt;TODAY(),F3579&gt;TODAY()),"Verificar evento futuro","OK"))))))))))</f>
        <v/>
      </c>
    </row>
    <row r="3580" spans="12:15">
      <c r="L3580" s="5">
        <f>IF(OR(A3580="",B3580=""),"",B3580-WEEKDAY(B3580,2)+1)</f>
        <v/>
      </c>
      <c r="M3580" s="5">
        <f>IF(L3580="","",L3580+6)</f>
        <v/>
      </c>
      <c r="N3580" s="6">
        <f>IF(OR(A3580="",B3580=""),"",DATE(YEAR(B3580),MONTH(B3580),1))</f>
        <v/>
      </c>
      <c r="O3580" s="7">
        <f>IF(COUNTA(A3580:K3580)=0,"",IF(OR(A3580="",B3580=""),"Preencher CPF e entrada",IF(COUNTIFS($A$12:$A$5011,A3580,$B$12:$B$5011,B3580)&gt;1,"CPF + dia duplicado",IF(OR(AND(G3580&lt;&gt;"",G3580&lt;&gt;0,G3580&lt;&gt;1),AND(H3580&lt;&gt;"",H3580&lt;&gt;0,H3580&lt;&gt;1)),"Flags devem ser 0 ou 1",IF(AND(H3580=1,LEN(TRIM(I3580))=0),"Preencher nome do indicante",IF(AND(H3580&lt;&gt;1,I3580&lt;&gt;""),"Nome sem indicação interna",IF(AND(G3580=1,F3580=""),"Fechamento sem conversa",IF(OR(AND(E3580&lt;&gt;"",E3580&lt;B3580),AND(F3580&lt;&gt;"",F3580&lt;B3580)),"Evento anterior à entrada",IF(AND(F3580&lt;&gt;"",E3580=""),"Conversa sem agendamento",IF(OR(E3580&gt;TODAY(),F3580&gt;TODAY()),"Verificar evento futuro","OK"))))))))))</f>
        <v/>
      </c>
    </row>
    <row r="3581" spans="12:15">
      <c r="L3581" s="5">
        <f>IF(OR(A3581="",B3581=""),"",B3581-WEEKDAY(B3581,2)+1)</f>
        <v/>
      </c>
      <c r="M3581" s="5">
        <f>IF(L3581="","",L3581+6)</f>
        <v/>
      </c>
      <c r="N3581" s="6">
        <f>IF(OR(A3581="",B3581=""),"",DATE(YEAR(B3581),MONTH(B3581),1))</f>
        <v/>
      </c>
      <c r="O3581" s="7">
        <f>IF(COUNTA(A3581:K3581)=0,"",IF(OR(A3581="",B3581=""),"Preencher CPF e entrada",IF(COUNTIFS($A$12:$A$5011,A3581,$B$12:$B$5011,B3581)&gt;1,"CPF + dia duplicado",IF(OR(AND(G3581&lt;&gt;"",G3581&lt;&gt;0,G3581&lt;&gt;1),AND(H3581&lt;&gt;"",H3581&lt;&gt;0,H3581&lt;&gt;1)),"Flags devem ser 0 ou 1",IF(AND(H3581=1,LEN(TRIM(I3581))=0),"Preencher nome do indicante",IF(AND(H3581&lt;&gt;1,I3581&lt;&gt;""),"Nome sem indicação interna",IF(AND(G3581=1,F3581=""),"Fechamento sem conversa",IF(OR(AND(E3581&lt;&gt;"",E3581&lt;B3581),AND(F3581&lt;&gt;"",F3581&lt;B3581)),"Evento anterior à entrada",IF(AND(F3581&lt;&gt;"",E3581=""),"Conversa sem agendamento",IF(OR(E3581&gt;TODAY(),F3581&gt;TODAY()),"Verificar evento futuro","OK"))))))))))</f>
        <v/>
      </c>
    </row>
    <row r="3582" spans="12:15">
      <c r="L3582" s="5">
        <f>IF(OR(A3582="",B3582=""),"",B3582-WEEKDAY(B3582,2)+1)</f>
        <v/>
      </c>
      <c r="M3582" s="5">
        <f>IF(L3582="","",L3582+6)</f>
        <v/>
      </c>
      <c r="N3582" s="6">
        <f>IF(OR(A3582="",B3582=""),"",DATE(YEAR(B3582),MONTH(B3582),1))</f>
        <v/>
      </c>
      <c r="O3582" s="7">
        <f>IF(COUNTA(A3582:K3582)=0,"",IF(OR(A3582="",B3582=""),"Preencher CPF e entrada",IF(COUNTIFS($A$12:$A$5011,A3582,$B$12:$B$5011,B3582)&gt;1,"CPF + dia duplicado",IF(OR(AND(G3582&lt;&gt;"",G3582&lt;&gt;0,G3582&lt;&gt;1),AND(H3582&lt;&gt;"",H3582&lt;&gt;0,H3582&lt;&gt;1)),"Flags devem ser 0 ou 1",IF(AND(H3582=1,LEN(TRIM(I3582))=0),"Preencher nome do indicante",IF(AND(H3582&lt;&gt;1,I3582&lt;&gt;""),"Nome sem indicação interna",IF(AND(G3582=1,F3582=""),"Fechamento sem conversa",IF(OR(AND(E3582&lt;&gt;"",E3582&lt;B3582),AND(F3582&lt;&gt;"",F3582&lt;B3582)),"Evento anterior à entrada",IF(AND(F3582&lt;&gt;"",E3582=""),"Conversa sem agendamento",IF(OR(E3582&gt;TODAY(),F3582&gt;TODAY()),"Verificar evento futuro","OK"))))))))))</f>
        <v/>
      </c>
    </row>
    <row r="3583" spans="12:15">
      <c r="L3583" s="5">
        <f>IF(OR(A3583="",B3583=""),"",B3583-WEEKDAY(B3583,2)+1)</f>
        <v/>
      </c>
      <c r="M3583" s="5">
        <f>IF(L3583="","",L3583+6)</f>
        <v/>
      </c>
      <c r="N3583" s="6">
        <f>IF(OR(A3583="",B3583=""),"",DATE(YEAR(B3583),MONTH(B3583),1))</f>
        <v/>
      </c>
      <c r="O3583" s="7">
        <f>IF(COUNTA(A3583:K3583)=0,"",IF(OR(A3583="",B3583=""),"Preencher CPF e entrada",IF(COUNTIFS($A$12:$A$5011,A3583,$B$12:$B$5011,B3583)&gt;1,"CPF + dia duplicado",IF(OR(AND(G3583&lt;&gt;"",G3583&lt;&gt;0,G3583&lt;&gt;1),AND(H3583&lt;&gt;"",H3583&lt;&gt;0,H3583&lt;&gt;1)),"Flags devem ser 0 ou 1",IF(AND(H3583=1,LEN(TRIM(I3583))=0),"Preencher nome do indicante",IF(AND(H3583&lt;&gt;1,I3583&lt;&gt;""),"Nome sem indicação interna",IF(AND(G3583=1,F3583=""),"Fechamento sem conversa",IF(OR(AND(E3583&lt;&gt;"",E3583&lt;B3583),AND(F3583&lt;&gt;"",F3583&lt;B3583)),"Evento anterior à entrada",IF(AND(F3583&lt;&gt;"",E3583=""),"Conversa sem agendamento",IF(OR(E3583&gt;TODAY(),F3583&gt;TODAY()),"Verificar evento futuro","OK"))))))))))</f>
        <v/>
      </c>
    </row>
    <row r="3584" spans="12:15">
      <c r="L3584" s="5">
        <f>IF(OR(A3584="",B3584=""),"",B3584-WEEKDAY(B3584,2)+1)</f>
        <v/>
      </c>
      <c r="M3584" s="5">
        <f>IF(L3584="","",L3584+6)</f>
        <v/>
      </c>
      <c r="N3584" s="6">
        <f>IF(OR(A3584="",B3584=""),"",DATE(YEAR(B3584),MONTH(B3584),1))</f>
        <v/>
      </c>
      <c r="O3584" s="7">
        <f>IF(COUNTA(A3584:K3584)=0,"",IF(OR(A3584="",B3584=""),"Preencher CPF e entrada",IF(COUNTIFS($A$12:$A$5011,A3584,$B$12:$B$5011,B3584)&gt;1,"CPF + dia duplicado",IF(OR(AND(G3584&lt;&gt;"",G3584&lt;&gt;0,G3584&lt;&gt;1),AND(H3584&lt;&gt;"",H3584&lt;&gt;0,H3584&lt;&gt;1)),"Flags devem ser 0 ou 1",IF(AND(H3584=1,LEN(TRIM(I3584))=0),"Preencher nome do indicante",IF(AND(H3584&lt;&gt;1,I3584&lt;&gt;""),"Nome sem indicação interna",IF(AND(G3584=1,F3584=""),"Fechamento sem conversa",IF(OR(AND(E3584&lt;&gt;"",E3584&lt;B3584),AND(F3584&lt;&gt;"",F3584&lt;B3584)),"Evento anterior à entrada",IF(AND(F3584&lt;&gt;"",E3584=""),"Conversa sem agendamento",IF(OR(E3584&gt;TODAY(),F3584&gt;TODAY()),"Verificar evento futuro","OK"))))))))))</f>
        <v/>
      </c>
    </row>
    <row r="3585" spans="12:15">
      <c r="L3585" s="5">
        <f>IF(OR(A3585="",B3585=""),"",B3585-WEEKDAY(B3585,2)+1)</f>
        <v/>
      </c>
      <c r="M3585" s="5">
        <f>IF(L3585="","",L3585+6)</f>
        <v/>
      </c>
      <c r="N3585" s="6">
        <f>IF(OR(A3585="",B3585=""),"",DATE(YEAR(B3585),MONTH(B3585),1))</f>
        <v/>
      </c>
      <c r="O3585" s="7">
        <f>IF(COUNTA(A3585:K3585)=0,"",IF(OR(A3585="",B3585=""),"Preencher CPF e entrada",IF(COUNTIFS($A$12:$A$5011,A3585,$B$12:$B$5011,B3585)&gt;1,"CPF + dia duplicado",IF(OR(AND(G3585&lt;&gt;"",G3585&lt;&gt;0,G3585&lt;&gt;1),AND(H3585&lt;&gt;"",H3585&lt;&gt;0,H3585&lt;&gt;1)),"Flags devem ser 0 ou 1",IF(AND(H3585=1,LEN(TRIM(I3585))=0),"Preencher nome do indicante",IF(AND(H3585&lt;&gt;1,I3585&lt;&gt;""),"Nome sem indicação interna",IF(AND(G3585=1,F3585=""),"Fechamento sem conversa",IF(OR(AND(E3585&lt;&gt;"",E3585&lt;B3585),AND(F3585&lt;&gt;"",F3585&lt;B3585)),"Evento anterior à entrada",IF(AND(F3585&lt;&gt;"",E3585=""),"Conversa sem agendamento",IF(OR(E3585&gt;TODAY(),F3585&gt;TODAY()),"Verificar evento futuro","OK"))))))))))</f>
        <v/>
      </c>
    </row>
    <row r="3586" spans="12:15">
      <c r="L3586" s="5">
        <f>IF(OR(A3586="",B3586=""),"",B3586-WEEKDAY(B3586,2)+1)</f>
        <v/>
      </c>
      <c r="M3586" s="5">
        <f>IF(L3586="","",L3586+6)</f>
        <v/>
      </c>
      <c r="N3586" s="6">
        <f>IF(OR(A3586="",B3586=""),"",DATE(YEAR(B3586),MONTH(B3586),1))</f>
        <v/>
      </c>
      <c r="O3586" s="7">
        <f>IF(COUNTA(A3586:K3586)=0,"",IF(OR(A3586="",B3586=""),"Preencher CPF e entrada",IF(COUNTIFS($A$12:$A$5011,A3586,$B$12:$B$5011,B3586)&gt;1,"CPF + dia duplicado",IF(OR(AND(G3586&lt;&gt;"",G3586&lt;&gt;0,G3586&lt;&gt;1),AND(H3586&lt;&gt;"",H3586&lt;&gt;0,H3586&lt;&gt;1)),"Flags devem ser 0 ou 1",IF(AND(H3586=1,LEN(TRIM(I3586))=0),"Preencher nome do indicante",IF(AND(H3586&lt;&gt;1,I3586&lt;&gt;""),"Nome sem indicação interna",IF(AND(G3586=1,F3586=""),"Fechamento sem conversa",IF(OR(AND(E3586&lt;&gt;"",E3586&lt;B3586),AND(F3586&lt;&gt;"",F3586&lt;B3586)),"Evento anterior à entrada",IF(AND(F3586&lt;&gt;"",E3586=""),"Conversa sem agendamento",IF(OR(E3586&gt;TODAY(),F3586&gt;TODAY()),"Verificar evento futuro","OK"))))))))))</f>
        <v/>
      </c>
    </row>
    <row r="3587" spans="12:15">
      <c r="L3587" s="5">
        <f>IF(OR(A3587="",B3587=""),"",B3587-WEEKDAY(B3587,2)+1)</f>
        <v/>
      </c>
      <c r="M3587" s="5">
        <f>IF(L3587="","",L3587+6)</f>
        <v/>
      </c>
      <c r="N3587" s="6">
        <f>IF(OR(A3587="",B3587=""),"",DATE(YEAR(B3587),MONTH(B3587),1))</f>
        <v/>
      </c>
      <c r="O3587" s="7">
        <f>IF(COUNTA(A3587:K3587)=0,"",IF(OR(A3587="",B3587=""),"Preencher CPF e entrada",IF(COUNTIFS($A$12:$A$5011,A3587,$B$12:$B$5011,B3587)&gt;1,"CPF + dia duplicado",IF(OR(AND(G3587&lt;&gt;"",G3587&lt;&gt;0,G3587&lt;&gt;1),AND(H3587&lt;&gt;"",H3587&lt;&gt;0,H3587&lt;&gt;1)),"Flags devem ser 0 ou 1",IF(AND(H3587=1,LEN(TRIM(I3587))=0),"Preencher nome do indicante",IF(AND(H3587&lt;&gt;1,I3587&lt;&gt;""),"Nome sem indicação interna",IF(AND(G3587=1,F3587=""),"Fechamento sem conversa",IF(OR(AND(E3587&lt;&gt;"",E3587&lt;B3587),AND(F3587&lt;&gt;"",F3587&lt;B3587)),"Evento anterior à entrada",IF(AND(F3587&lt;&gt;"",E3587=""),"Conversa sem agendamento",IF(OR(E3587&gt;TODAY(),F3587&gt;TODAY()),"Verificar evento futuro","OK"))))))))))</f>
        <v/>
      </c>
    </row>
    <row r="3588" spans="12:15">
      <c r="L3588" s="5">
        <f>IF(OR(A3588="",B3588=""),"",B3588-WEEKDAY(B3588,2)+1)</f>
        <v/>
      </c>
      <c r="M3588" s="5">
        <f>IF(L3588="","",L3588+6)</f>
        <v/>
      </c>
      <c r="N3588" s="6">
        <f>IF(OR(A3588="",B3588=""),"",DATE(YEAR(B3588),MONTH(B3588),1))</f>
        <v/>
      </c>
      <c r="O3588" s="7">
        <f>IF(COUNTA(A3588:K3588)=0,"",IF(OR(A3588="",B3588=""),"Preencher CPF e entrada",IF(COUNTIFS($A$12:$A$5011,A3588,$B$12:$B$5011,B3588)&gt;1,"CPF + dia duplicado",IF(OR(AND(G3588&lt;&gt;"",G3588&lt;&gt;0,G3588&lt;&gt;1),AND(H3588&lt;&gt;"",H3588&lt;&gt;0,H3588&lt;&gt;1)),"Flags devem ser 0 ou 1",IF(AND(H3588=1,LEN(TRIM(I3588))=0),"Preencher nome do indicante",IF(AND(H3588&lt;&gt;1,I3588&lt;&gt;""),"Nome sem indicação interna",IF(AND(G3588=1,F3588=""),"Fechamento sem conversa",IF(OR(AND(E3588&lt;&gt;"",E3588&lt;B3588),AND(F3588&lt;&gt;"",F3588&lt;B3588)),"Evento anterior à entrada",IF(AND(F3588&lt;&gt;"",E3588=""),"Conversa sem agendamento",IF(OR(E3588&gt;TODAY(),F3588&gt;TODAY()),"Verificar evento futuro","OK"))))))))))</f>
        <v/>
      </c>
    </row>
    <row r="3589" spans="12:15">
      <c r="L3589" s="5">
        <f>IF(OR(A3589="",B3589=""),"",B3589-WEEKDAY(B3589,2)+1)</f>
        <v/>
      </c>
      <c r="M3589" s="5">
        <f>IF(L3589="","",L3589+6)</f>
        <v/>
      </c>
      <c r="N3589" s="6">
        <f>IF(OR(A3589="",B3589=""),"",DATE(YEAR(B3589),MONTH(B3589),1))</f>
        <v/>
      </c>
      <c r="O3589" s="7">
        <f>IF(COUNTA(A3589:K3589)=0,"",IF(OR(A3589="",B3589=""),"Preencher CPF e entrada",IF(COUNTIFS($A$12:$A$5011,A3589,$B$12:$B$5011,B3589)&gt;1,"CPF + dia duplicado",IF(OR(AND(G3589&lt;&gt;"",G3589&lt;&gt;0,G3589&lt;&gt;1),AND(H3589&lt;&gt;"",H3589&lt;&gt;0,H3589&lt;&gt;1)),"Flags devem ser 0 ou 1",IF(AND(H3589=1,LEN(TRIM(I3589))=0),"Preencher nome do indicante",IF(AND(H3589&lt;&gt;1,I3589&lt;&gt;""),"Nome sem indicação interna",IF(AND(G3589=1,F3589=""),"Fechamento sem conversa",IF(OR(AND(E3589&lt;&gt;"",E3589&lt;B3589),AND(F3589&lt;&gt;"",F3589&lt;B3589)),"Evento anterior à entrada",IF(AND(F3589&lt;&gt;"",E3589=""),"Conversa sem agendamento",IF(OR(E3589&gt;TODAY(),F3589&gt;TODAY()),"Verificar evento futuro","OK"))))))))))</f>
        <v/>
      </c>
    </row>
    <row r="3590" spans="12:15">
      <c r="L3590" s="5">
        <f>IF(OR(A3590="",B3590=""),"",B3590-WEEKDAY(B3590,2)+1)</f>
        <v/>
      </c>
      <c r="M3590" s="5">
        <f>IF(L3590="","",L3590+6)</f>
        <v/>
      </c>
      <c r="N3590" s="6">
        <f>IF(OR(A3590="",B3590=""),"",DATE(YEAR(B3590),MONTH(B3590),1))</f>
        <v/>
      </c>
      <c r="O3590" s="7">
        <f>IF(COUNTA(A3590:K3590)=0,"",IF(OR(A3590="",B3590=""),"Preencher CPF e entrada",IF(COUNTIFS($A$12:$A$5011,A3590,$B$12:$B$5011,B3590)&gt;1,"CPF + dia duplicado",IF(OR(AND(G3590&lt;&gt;"",G3590&lt;&gt;0,G3590&lt;&gt;1),AND(H3590&lt;&gt;"",H3590&lt;&gt;0,H3590&lt;&gt;1)),"Flags devem ser 0 ou 1",IF(AND(H3590=1,LEN(TRIM(I3590))=0),"Preencher nome do indicante",IF(AND(H3590&lt;&gt;1,I3590&lt;&gt;""),"Nome sem indicação interna",IF(AND(G3590=1,F3590=""),"Fechamento sem conversa",IF(OR(AND(E3590&lt;&gt;"",E3590&lt;B3590),AND(F3590&lt;&gt;"",F3590&lt;B3590)),"Evento anterior à entrada",IF(AND(F3590&lt;&gt;"",E3590=""),"Conversa sem agendamento",IF(OR(E3590&gt;TODAY(),F3590&gt;TODAY()),"Verificar evento futuro","OK"))))))))))</f>
        <v/>
      </c>
    </row>
    <row r="3591" spans="12:15">
      <c r="L3591" s="5">
        <f>IF(OR(A3591="",B3591=""),"",B3591-WEEKDAY(B3591,2)+1)</f>
        <v/>
      </c>
      <c r="M3591" s="5">
        <f>IF(L3591="","",L3591+6)</f>
        <v/>
      </c>
      <c r="N3591" s="6">
        <f>IF(OR(A3591="",B3591=""),"",DATE(YEAR(B3591),MONTH(B3591),1))</f>
        <v/>
      </c>
      <c r="O3591" s="7">
        <f>IF(COUNTA(A3591:K3591)=0,"",IF(OR(A3591="",B3591=""),"Preencher CPF e entrada",IF(COUNTIFS($A$12:$A$5011,A3591,$B$12:$B$5011,B3591)&gt;1,"CPF + dia duplicado",IF(OR(AND(G3591&lt;&gt;"",G3591&lt;&gt;0,G3591&lt;&gt;1),AND(H3591&lt;&gt;"",H3591&lt;&gt;0,H3591&lt;&gt;1)),"Flags devem ser 0 ou 1",IF(AND(H3591=1,LEN(TRIM(I3591))=0),"Preencher nome do indicante",IF(AND(H3591&lt;&gt;1,I3591&lt;&gt;""),"Nome sem indicação interna",IF(AND(G3591=1,F3591=""),"Fechamento sem conversa",IF(OR(AND(E3591&lt;&gt;"",E3591&lt;B3591),AND(F3591&lt;&gt;"",F3591&lt;B3591)),"Evento anterior à entrada",IF(AND(F3591&lt;&gt;"",E3591=""),"Conversa sem agendamento",IF(OR(E3591&gt;TODAY(),F3591&gt;TODAY()),"Verificar evento futuro","OK"))))))))))</f>
        <v/>
      </c>
    </row>
    <row r="3592" spans="12:15">
      <c r="L3592" s="5">
        <f>IF(OR(A3592="",B3592=""),"",B3592-WEEKDAY(B3592,2)+1)</f>
        <v/>
      </c>
      <c r="M3592" s="5">
        <f>IF(L3592="","",L3592+6)</f>
        <v/>
      </c>
      <c r="N3592" s="6">
        <f>IF(OR(A3592="",B3592=""),"",DATE(YEAR(B3592),MONTH(B3592),1))</f>
        <v/>
      </c>
      <c r="O3592" s="7">
        <f>IF(COUNTA(A3592:K3592)=0,"",IF(OR(A3592="",B3592=""),"Preencher CPF e entrada",IF(COUNTIFS($A$12:$A$5011,A3592,$B$12:$B$5011,B3592)&gt;1,"CPF + dia duplicado",IF(OR(AND(G3592&lt;&gt;"",G3592&lt;&gt;0,G3592&lt;&gt;1),AND(H3592&lt;&gt;"",H3592&lt;&gt;0,H3592&lt;&gt;1)),"Flags devem ser 0 ou 1",IF(AND(H3592=1,LEN(TRIM(I3592))=0),"Preencher nome do indicante",IF(AND(H3592&lt;&gt;1,I3592&lt;&gt;""),"Nome sem indicação interna",IF(AND(G3592=1,F3592=""),"Fechamento sem conversa",IF(OR(AND(E3592&lt;&gt;"",E3592&lt;B3592),AND(F3592&lt;&gt;"",F3592&lt;B3592)),"Evento anterior à entrada",IF(AND(F3592&lt;&gt;"",E3592=""),"Conversa sem agendamento",IF(OR(E3592&gt;TODAY(),F3592&gt;TODAY()),"Verificar evento futuro","OK"))))))))))</f>
        <v/>
      </c>
    </row>
    <row r="3593" spans="12:15">
      <c r="L3593" s="5">
        <f>IF(OR(A3593="",B3593=""),"",B3593-WEEKDAY(B3593,2)+1)</f>
        <v/>
      </c>
      <c r="M3593" s="5">
        <f>IF(L3593="","",L3593+6)</f>
        <v/>
      </c>
      <c r="N3593" s="6">
        <f>IF(OR(A3593="",B3593=""),"",DATE(YEAR(B3593),MONTH(B3593),1))</f>
        <v/>
      </c>
      <c r="O3593" s="7">
        <f>IF(COUNTA(A3593:K3593)=0,"",IF(OR(A3593="",B3593=""),"Preencher CPF e entrada",IF(COUNTIFS($A$12:$A$5011,A3593,$B$12:$B$5011,B3593)&gt;1,"CPF + dia duplicado",IF(OR(AND(G3593&lt;&gt;"",G3593&lt;&gt;0,G3593&lt;&gt;1),AND(H3593&lt;&gt;"",H3593&lt;&gt;0,H3593&lt;&gt;1)),"Flags devem ser 0 ou 1",IF(AND(H3593=1,LEN(TRIM(I3593))=0),"Preencher nome do indicante",IF(AND(H3593&lt;&gt;1,I3593&lt;&gt;""),"Nome sem indicação interna",IF(AND(G3593=1,F3593=""),"Fechamento sem conversa",IF(OR(AND(E3593&lt;&gt;"",E3593&lt;B3593),AND(F3593&lt;&gt;"",F3593&lt;B3593)),"Evento anterior à entrada",IF(AND(F3593&lt;&gt;"",E3593=""),"Conversa sem agendamento",IF(OR(E3593&gt;TODAY(),F3593&gt;TODAY()),"Verificar evento futuro","OK"))))))))))</f>
        <v/>
      </c>
    </row>
    <row r="3594" spans="12:15">
      <c r="L3594" s="5">
        <f>IF(OR(A3594="",B3594=""),"",B3594-WEEKDAY(B3594,2)+1)</f>
        <v/>
      </c>
      <c r="M3594" s="5">
        <f>IF(L3594="","",L3594+6)</f>
        <v/>
      </c>
      <c r="N3594" s="6">
        <f>IF(OR(A3594="",B3594=""),"",DATE(YEAR(B3594),MONTH(B3594),1))</f>
        <v/>
      </c>
      <c r="O3594" s="7">
        <f>IF(COUNTA(A3594:K3594)=0,"",IF(OR(A3594="",B3594=""),"Preencher CPF e entrada",IF(COUNTIFS($A$12:$A$5011,A3594,$B$12:$B$5011,B3594)&gt;1,"CPF + dia duplicado",IF(OR(AND(G3594&lt;&gt;"",G3594&lt;&gt;0,G3594&lt;&gt;1),AND(H3594&lt;&gt;"",H3594&lt;&gt;0,H3594&lt;&gt;1)),"Flags devem ser 0 ou 1",IF(AND(H3594=1,LEN(TRIM(I3594))=0),"Preencher nome do indicante",IF(AND(H3594&lt;&gt;1,I3594&lt;&gt;""),"Nome sem indicação interna",IF(AND(G3594=1,F3594=""),"Fechamento sem conversa",IF(OR(AND(E3594&lt;&gt;"",E3594&lt;B3594),AND(F3594&lt;&gt;"",F3594&lt;B3594)),"Evento anterior à entrada",IF(AND(F3594&lt;&gt;"",E3594=""),"Conversa sem agendamento",IF(OR(E3594&gt;TODAY(),F3594&gt;TODAY()),"Verificar evento futuro","OK"))))))))))</f>
        <v/>
      </c>
    </row>
    <row r="3595" spans="12:15">
      <c r="L3595" s="5">
        <f>IF(OR(A3595="",B3595=""),"",B3595-WEEKDAY(B3595,2)+1)</f>
        <v/>
      </c>
      <c r="M3595" s="5">
        <f>IF(L3595="","",L3595+6)</f>
        <v/>
      </c>
      <c r="N3595" s="6">
        <f>IF(OR(A3595="",B3595=""),"",DATE(YEAR(B3595),MONTH(B3595),1))</f>
        <v/>
      </c>
      <c r="O3595" s="7">
        <f>IF(COUNTA(A3595:K3595)=0,"",IF(OR(A3595="",B3595=""),"Preencher CPF e entrada",IF(COUNTIFS($A$12:$A$5011,A3595,$B$12:$B$5011,B3595)&gt;1,"CPF + dia duplicado",IF(OR(AND(G3595&lt;&gt;"",G3595&lt;&gt;0,G3595&lt;&gt;1),AND(H3595&lt;&gt;"",H3595&lt;&gt;0,H3595&lt;&gt;1)),"Flags devem ser 0 ou 1",IF(AND(H3595=1,LEN(TRIM(I3595))=0),"Preencher nome do indicante",IF(AND(H3595&lt;&gt;1,I3595&lt;&gt;""),"Nome sem indicação interna",IF(AND(G3595=1,F3595=""),"Fechamento sem conversa",IF(OR(AND(E3595&lt;&gt;"",E3595&lt;B3595),AND(F3595&lt;&gt;"",F3595&lt;B3595)),"Evento anterior à entrada",IF(AND(F3595&lt;&gt;"",E3595=""),"Conversa sem agendamento",IF(OR(E3595&gt;TODAY(),F3595&gt;TODAY()),"Verificar evento futuro","OK"))))))))))</f>
        <v/>
      </c>
    </row>
    <row r="3596" spans="12:15">
      <c r="L3596" s="5">
        <f>IF(OR(A3596="",B3596=""),"",B3596-WEEKDAY(B3596,2)+1)</f>
        <v/>
      </c>
      <c r="M3596" s="5">
        <f>IF(L3596="","",L3596+6)</f>
        <v/>
      </c>
      <c r="N3596" s="6">
        <f>IF(OR(A3596="",B3596=""),"",DATE(YEAR(B3596),MONTH(B3596),1))</f>
        <v/>
      </c>
      <c r="O3596" s="7">
        <f>IF(COUNTA(A3596:K3596)=0,"",IF(OR(A3596="",B3596=""),"Preencher CPF e entrada",IF(COUNTIFS($A$12:$A$5011,A3596,$B$12:$B$5011,B3596)&gt;1,"CPF + dia duplicado",IF(OR(AND(G3596&lt;&gt;"",G3596&lt;&gt;0,G3596&lt;&gt;1),AND(H3596&lt;&gt;"",H3596&lt;&gt;0,H3596&lt;&gt;1)),"Flags devem ser 0 ou 1",IF(AND(H3596=1,LEN(TRIM(I3596))=0),"Preencher nome do indicante",IF(AND(H3596&lt;&gt;1,I3596&lt;&gt;""),"Nome sem indicação interna",IF(AND(G3596=1,F3596=""),"Fechamento sem conversa",IF(OR(AND(E3596&lt;&gt;"",E3596&lt;B3596),AND(F3596&lt;&gt;"",F3596&lt;B3596)),"Evento anterior à entrada",IF(AND(F3596&lt;&gt;"",E3596=""),"Conversa sem agendamento",IF(OR(E3596&gt;TODAY(),F3596&gt;TODAY()),"Verificar evento futuro","OK"))))))))))</f>
        <v/>
      </c>
    </row>
    <row r="3597" spans="12:15">
      <c r="L3597" s="5">
        <f>IF(OR(A3597="",B3597=""),"",B3597-WEEKDAY(B3597,2)+1)</f>
        <v/>
      </c>
      <c r="M3597" s="5">
        <f>IF(L3597="","",L3597+6)</f>
        <v/>
      </c>
      <c r="N3597" s="6">
        <f>IF(OR(A3597="",B3597=""),"",DATE(YEAR(B3597),MONTH(B3597),1))</f>
        <v/>
      </c>
      <c r="O3597" s="7">
        <f>IF(COUNTA(A3597:K3597)=0,"",IF(OR(A3597="",B3597=""),"Preencher CPF e entrada",IF(COUNTIFS($A$12:$A$5011,A3597,$B$12:$B$5011,B3597)&gt;1,"CPF + dia duplicado",IF(OR(AND(G3597&lt;&gt;"",G3597&lt;&gt;0,G3597&lt;&gt;1),AND(H3597&lt;&gt;"",H3597&lt;&gt;0,H3597&lt;&gt;1)),"Flags devem ser 0 ou 1",IF(AND(H3597=1,LEN(TRIM(I3597))=0),"Preencher nome do indicante",IF(AND(H3597&lt;&gt;1,I3597&lt;&gt;""),"Nome sem indicação interna",IF(AND(G3597=1,F3597=""),"Fechamento sem conversa",IF(OR(AND(E3597&lt;&gt;"",E3597&lt;B3597),AND(F3597&lt;&gt;"",F3597&lt;B3597)),"Evento anterior à entrada",IF(AND(F3597&lt;&gt;"",E3597=""),"Conversa sem agendamento",IF(OR(E3597&gt;TODAY(),F3597&gt;TODAY()),"Verificar evento futuro","OK"))))))))))</f>
        <v/>
      </c>
    </row>
    <row r="3598" spans="12:15">
      <c r="L3598" s="5">
        <f>IF(OR(A3598="",B3598=""),"",B3598-WEEKDAY(B3598,2)+1)</f>
        <v/>
      </c>
      <c r="M3598" s="5">
        <f>IF(L3598="","",L3598+6)</f>
        <v/>
      </c>
      <c r="N3598" s="6">
        <f>IF(OR(A3598="",B3598=""),"",DATE(YEAR(B3598),MONTH(B3598),1))</f>
        <v/>
      </c>
      <c r="O3598" s="7">
        <f>IF(COUNTA(A3598:K3598)=0,"",IF(OR(A3598="",B3598=""),"Preencher CPF e entrada",IF(COUNTIFS($A$12:$A$5011,A3598,$B$12:$B$5011,B3598)&gt;1,"CPF + dia duplicado",IF(OR(AND(G3598&lt;&gt;"",G3598&lt;&gt;0,G3598&lt;&gt;1),AND(H3598&lt;&gt;"",H3598&lt;&gt;0,H3598&lt;&gt;1)),"Flags devem ser 0 ou 1",IF(AND(H3598=1,LEN(TRIM(I3598))=0),"Preencher nome do indicante",IF(AND(H3598&lt;&gt;1,I3598&lt;&gt;""),"Nome sem indicação interna",IF(AND(G3598=1,F3598=""),"Fechamento sem conversa",IF(OR(AND(E3598&lt;&gt;"",E3598&lt;B3598),AND(F3598&lt;&gt;"",F3598&lt;B3598)),"Evento anterior à entrada",IF(AND(F3598&lt;&gt;"",E3598=""),"Conversa sem agendamento",IF(OR(E3598&gt;TODAY(),F3598&gt;TODAY()),"Verificar evento futuro","OK"))))))))))</f>
        <v/>
      </c>
    </row>
    <row r="3599" spans="12:15">
      <c r="L3599" s="5">
        <f>IF(OR(A3599="",B3599=""),"",B3599-WEEKDAY(B3599,2)+1)</f>
        <v/>
      </c>
      <c r="M3599" s="5">
        <f>IF(L3599="","",L3599+6)</f>
        <v/>
      </c>
      <c r="N3599" s="6">
        <f>IF(OR(A3599="",B3599=""),"",DATE(YEAR(B3599),MONTH(B3599),1))</f>
        <v/>
      </c>
      <c r="O3599" s="7">
        <f>IF(COUNTA(A3599:K3599)=0,"",IF(OR(A3599="",B3599=""),"Preencher CPF e entrada",IF(COUNTIFS($A$12:$A$5011,A3599,$B$12:$B$5011,B3599)&gt;1,"CPF + dia duplicado",IF(OR(AND(G3599&lt;&gt;"",G3599&lt;&gt;0,G3599&lt;&gt;1),AND(H3599&lt;&gt;"",H3599&lt;&gt;0,H3599&lt;&gt;1)),"Flags devem ser 0 ou 1",IF(AND(H3599=1,LEN(TRIM(I3599))=0),"Preencher nome do indicante",IF(AND(H3599&lt;&gt;1,I3599&lt;&gt;""),"Nome sem indicação interna",IF(AND(G3599=1,F3599=""),"Fechamento sem conversa",IF(OR(AND(E3599&lt;&gt;"",E3599&lt;B3599),AND(F3599&lt;&gt;"",F3599&lt;B3599)),"Evento anterior à entrada",IF(AND(F3599&lt;&gt;"",E3599=""),"Conversa sem agendamento",IF(OR(E3599&gt;TODAY(),F3599&gt;TODAY()),"Verificar evento futuro","OK"))))))))))</f>
        <v/>
      </c>
    </row>
    <row r="3600" spans="12:15">
      <c r="L3600" s="5">
        <f>IF(OR(A3600="",B3600=""),"",B3600-WEEKDAY(B3600,2)+1)</f>
        <v/>
      </c>
      <c r="M3600" s="5">
        <f>IF(L3600="","",L3600+6)</f>
        <v/>
      </c>
      <c r="N3600" s="6">
        <f>IF(OR(A3600="",B3600=""),"",DATE(YEAR(B3600),MONTH(B3600),1))</f>
        <v/>
      </c>
      <c r="O3600" s="7">
        <f>IF(COUNTA(A3600:K3600)=0,"",IF(OR(A3600="",B3600=""),"Preencher CPF e entrada",IF(COUNTIFS($A$12:$A$5011,A3600,$B$12:$B$5011,B3600)&gt;1,"CPF + dia duplicado",IF(OR(AND(G3600&lt;&gt;"",G3600&lt;&gt;0,G3600&lt;&gt;1),AND(H3600&lt;&gt;"",H3600&lt;&gt;0,H3600&lt;&gt;1)),"Flags devem ser 0 ou 1",IF(AND(H3600=1,LEN(TRIM(I3600))=0),"Preencher nome do indicante",IF(AND(H3600&lt;&gt;1,I3600&lt;&gt;""),"Nome sem indicação interna",IF(AND(G3600=1,F3600=""),"Fechamento sem conversa",IF(OR(AND(E3600&lt;&gt;"",E3600&lt;B3600),AND(F3600&lt;&gt;"",F3600&lt;B3600)),"Evento anterior à entrada",IF(AND(F3600&lt;&gt;"",E3600=""),"Conversa sem agendamento",IF(OR(E3600&gt;TODAY(),F3600&gt;TODAY()),"Verificar evento futuro","OK"))))))))))</f>
        <v/>
      </c>
    </row>
    <row r="3601" spans="12:15">
      <c r="L3601" s="5">
        <f>IF(OR(A3601="",B3601=""),"",B3601-WEEKDAY(B3601,2)+1)</f>
        <v/>
      </c>
      <c r="M3601" s="5">
        <f>IF(L3601="","",L3601+6)</f>
        <v/>
      </c>
      <c r="N3601" s="6">
        <f>IF(OR(A3601="",B3601=""),"",DATE(YEAR(B3601),MONTH(B3601),1))</f>
        <v/>
      </c>
      <c r="O3601" s="7">
        <f>IF(COUNTA(A3601:K3601)=0,"",IF(OR(A3601="",B3601=""),"Preencher CPF e entrada",IF(COUNTIFS($A$12:$A$5011,A3601,$B$12:$B$5011,B3601)&gt;1,"CPF + dia duplicado",IF(OR(AND(G3601&lt;&gt;"",G3601&lt;&gt;0,G3601&lt;&gt;1),AND(H3601&lt;&gt;"",H3601&lt;&gt;0,H3601&lt;&gt;1)),"Flags devem ser 0 ou 1",IF(AND(H3601=1,LEN(TRIM(I3601))=0),"Preencher nome do indicante",IF(AND(H3601&lt;&gt;1,I3601&lt;&gt;""),"Nome sem indicação interna",IF(AND(G3601=1,F3601=""),"Fechamento sem conversa",IF(OR(AND(E3601&lt;&gt;"",E3601&lt;B3601),AND(F3601&lt;&gt;"",F3601&lt;B3601)),"Evento anterior à entrada",IF(AND(F3601&lt;&gt;"",E3601=""),"Conversa sem agendamento",IF(OR(E3601&gt;TODAY(),F3601&gt;TODAY()),"Verificar evento futuro","OK"))))))))))</f>
        <v/>
      </c>
    </row>
    <row r="3602" spans="12:15">
      <c r="L3602" s="5">
        <f>IF(OR(A3602="",B3602=""),"",B3602-WEEKDAY(B3602,2)+1)</f>
        <v/>
      </c>
      <c r="M3602" s="5">
        <f>IF(L3602="","",L3602+6)</f>
        <v/>
      </c>
      <c r="N3602" s="6">
        <f>IF(OR(A3602="",B3602=""),"",DATE(YEAR(B3602),MONTH(B3602),1))</f>
        <v/>
      </c>
      <c r="O3602" s="7">
        <f>IF(COUNTA(A3602:K3602)=0,"",IF(OR(A3602="",B3602=""),"Preencher CPF e entrada",IF(COUNTIFS($A$12:$A$5011,A3602,$B$12:$B$5011,B3602)&gt;1,"CPF + dia duplicado",IF(OR(AND(G3602&lt;&gt;"",G3602&lt;&gt;0,G3602&lt;&gt;1),AND(H3602&lt;&gt;"",H3602&lt;&gt;0,H3602&lt;&gt;1)),"Flags devem ser 0 ou 1",IF(AND(H3602=1,LEN(TRIM(I3602))=0),"Preencher nome do indicante",IF(AND(H3602&lt;&gt;1,I3602&lt;&gt;""),"Nome sem indicação interna",IF(AND(G3602=1,F3602=""),"Fechamento sem conversa",IF(OR(AND(E3602&lt;&gt;"",E3602&lt;B3602),AND(F3602&lt;&gt;"",F3602&lt;B3602)),"Evento anterior à entrada",IF(AND(F3602&lt;&gt;"",E3602=""),"Conversa sem agendamento",IF(OR(E3602&gt;TODAY(),F3602&gt;TODAY()),"Verificar evento futuro","OK"))))))))))</f>
        <v/>
      </c>
    </row>
    <row r="3603" spans="12:15">
      <c r="L3603" s="5">
        <f>IF(OR(A3603="",B3603=""),"",B3603-WEEKDAY(B3603,2)+1)</f>
        <v/>
      </c>
      <c r="M3603" s="5">
        <f>IF(L3603="","",L3603+6)</f>
        <v/>
      </c>
      <c r="N3603" s="6">
        <f>IF(OR(A3603="",B3603=""),"",DATE(YEAR(B3603),MONTH(B3603),1))</f>
        <v/>
      </c>
      <c r="O3603" s="7">
        <f>IF(COUNTA(A3603:K3603)=0,"",IF(OR(A3603="",B3603=""),"Preencher CPF e entrada",IF(COUNTIFS($A$12:$A$5011,A3603,$B$12:$B$5011,B3603)&gt;1,"CPF + dia duplicado",IF(OR(AND(G3603&lt;&gt;"",G3603&lt;&gt;0,G3603&lt;&gt;1),AND(H3603&lt;&gt;"",H3603&lt;&gt;0,H3603&lt;&gt;1)),"Flags devem ser 0 ou 1",IF(AND(H3603=1,LEN(TRIM(I3603))=0),"Preencher nome do indicante",IF(AND(H3603&lt;&gt;1,I3603&lt;&gt;""),"Nome sem indicação interna",IF(AND(G3603=1,F3603=""),"Fechamento sem conversa",IF(OR(AND(E3603&lt;&gt;"",E3603&lt;B3603),AND(F3603&lt;&gt;"",F3603&lt;B3603)),"Evento anterior à entrada",IF(AND(F3603&lt;&gt;"",E3603=""),"Conversa sem agendamento",IF(OR(E3603&gt;TODAY(),F3603&gt;TODAY()),"Verificar evento futuro","OK"))))))))))</f>
        <v/>
      </c>
    </row>
    <row r="3604" spans="12:15">
      <c r="L3604" s="5">
        <f>IF(OR(A3604="",B3604=""),"",B3604-WEEKDAY(B3604,2)+1)</f>
        <v/>
      </c>
      <c r="M3604" s="5">
        <f>IF(L3604="","",L3604+6)</f>
        <v/>
      </c>
      <c r="N3604" s="6">
        <f>IF(OR(A3604="",B3604=""),"",DATE(YEAR(B3604),MONTH(B3604),1))</f>
        <v/>
      </c>
      <c r="O3604" s="7">
        <f>IF(COUNTA(A3604:K3604)=0,"",IF(OR(A3604="",B3604=""),"Preencher CPF e entrada",IF(COUNTIFS($A$12:$A$5011,A3604,$B$12:$B$5011,B3604)&gt;1,"CPF + dia duplicado",IF(OR(AND(G3604&lt;&gt;"",G3604&lt;&gt;0,G3604&lt;&gt;1),AND(H3604&lt;&gt;"",H3604&lt;&gt;0,H3604&lt;&gt;1)),"Flags devem ser 0 ou 1",IF(AND(H3604=1,LEN(TRIM(I3604))=0),"Preencher nome do indicante",IF(AND(H3604&lt;&gt;1,I3604&lt;&gt;""),"Nome sem indicação interna",IF(AND(G3604=1,F3604=""),"Fechamento sem conversa",IF(OR(AND(E3604&lt;&gt;"",E3604&lt;B3604),AND(F3604&lt;&gt;"",F3604&lt;B3604)),"Evento anterior à entrada",IF(AND(F3604&lt;&gt;"",E3604=""),"Conversa sem agendamento",IF(OR(E3604&gt;TODAY(),F3604&gt;TODAY()),"Verificar evento futuro","OK"))))))))))</f>
        <v/>
      </c>
    </row>
    <row r="3605" spans="12:15">
      <c r="L3605" s="5">
        <f>IF(OR(A3605="",B3605=""),"",B3605-WEEKDAY(B3605,2)+1)</f>
        <v/>
      </c>
      <c r="M3605" s="5">
        <f>IF(L3605="","",L3605+6)</f>
        <v/>
      </c>
      <c r="N3605" s="6">
        <f>IF(OR(A3605="",B3605=""),"",DATE(YEAR(B3605),MONTH(B3605),1))</f>
        <v/>
      </c>
      <c r="O3605" s="7">
        <f>IF(COUNTA(A3605:K3605)=0,"",IF(OR(A3605="",B3605=""),"Preencher CPF e entrada",IF(COUNTIFS($A$12:$A$5011,A3605,$B$12:$B$5011,B3605)&gt;1,"CPF + dia duplicado",IF(OR(AND(G3605&lt;&gt;"",G3605&lt;&gt;0,G3605&lt;&gt;1),AND(H3605&lt;&gt;"",H3605&lt;&gt;0,H3605&lt;&gt;1)),"Flags devem ser 0 ou 1",IF(AND(H3605=1,LEN(TRIM(I3605))=0),"Preencher nome do indicante",IF(AND(H3605&lt;&gt;1,I3605&lt;&gt;""),"Nome sem indicação interna",IF(AND(G3605=1,F3605=""),"Fechamento sem conversa",IF(OR(AND(E3605&lt;&gt;"",E3605&lt;B3605),AND(F3605&lt;&gt;"",F3605&lt;B3605)),"Evento anterior à entrada",IF(AND(F3605&lt;&gt;"",E3605=""),"Conversa sem agendamento",IF(OR(E3605&gt;TODAY(),F3605&gt;TODAY()),"Verificar evento futuro","OK"))))))))))</f>
        <v/>
      </c>
    </row>
    <row r="3606" spans="12:15">
      <c r="L3606" s="5">
        <f>IF(OR(A3606="",B3606=""),"",B3606-WEEKDAY(B3606,2)+1)</f>
        <v/>
      </c>
      <c r="M3606" s="5">
        <f>IF(L3606="","",L3606+6)</f>
        <v/>
      </c>
      <c r="N3606" s="6">
        <f>IF(OR(A3606="",B3606=""),"",DATE(YEAR(B3606),MONTH(B3606),1))</f>
        <v/>
      </c>
      <c r="O3606" s="7">
        <f>IF(COUNTA(A3606:K3606)=0,"",IF(OR(A3606="",B3606=""),"Preencher CPF e entrada",IF(COUNTIFS($A$12:$A$5011,A3606,$B$12:$B$5011,B3606)&gt;1,"CPF + dia duplicado",IF(OR(AND(G3606&lt;&gt;"",G3606&lt;&gt;0,G3606&lt;&gt;1),AND(H3606&lt;&gt;"",H3606&lt;&gt;0,H3606&lt;&gt;1)),"Flags devem ser 0 ou 1",IF(AND(H3606=1,LEN(TRIM(I3606))=0),"Preencher nome do indicante",IF(AND(H3606&lt;&gt;1,I3606&lt;&gt;""),"Nome sem indicação interna",IF(AND(G3606=1,F3606=""),"Fechamento sem conversa",IF(OR(AND(E3606&lt;&gt;"",E3606&lt;B3606),AND(F3606&lt;&gt;"",F3606&lt;B3606)),"Evento anterior à entrada",IF(AND(F3606&lt;&gt;"",E3606=""),"Conversa sem agendamento",IF(OR(E3606&gt;TODAY(),F3606&gt;TODAY()),"Verificar evento futuro","OK"))))))))))</f>
        <v/>
      </c>
    </row>
    <row r="3607" spans="12:15">
      <c r="L3607" s="5">
        <f>IF(OR(A3607="",B3607=""),"",B3607-WEEKDAY(B3607,2)+1)</f>
        <v/>
      </c>
      <c r="M3607" s="5">
        <f>IF(L3607="","",L3607+6)</f>
        <v/>
      </c>
      <c r="N3607" s="6">
        <f>IF(OR(A3607="",B3607=""),"",DATE(YEAR(B3607),MONTH(B3607),1))</f>
        <v/>
      </c>
      <c r="O3607" s="7">
        <f>IF(COUNTA(A3607:K3607)=0,"",IF(OR(A3607="",B3607=""),"Preencher CPF e entrada",IF(COUNTIFS($A$12:$A$5011,A3607,$B$12:$B$5011,B3607)&gt;1,"CPF + dia duplicado",IF(OR(AND(G3607&lt;&gt;"",G3607&lt;&gt;0,G3607&lt;&gt;1),AND(H3607&lt;&gt;"",H3607&lt;&gt;0,H3607&lt;&gt;1)),"Flags devem ser 0 ou 1",IF(AND(H3607=1,LEN(TRIM(I3607))=0),"Preencher nome do indicante",IF(AND(H3607&lt;&gt;1,I3607&lt;&gt;""),"Nome sem indicação interna",IF(AND(G3607=1,F3607=""),"Fechamento sem conversa",IF(OR(AND(E3607&lt;&gt;"",E3607&lt;B3607),AND(F3607&lt;&gt;"",F3607&lt;B3607)),"Evento anterior à entrada",IF(AND(F3607&lt;&gt;"",E3607=""),"Conversa sem agendamento",IF(OR(E3607&gt;TODAY(),F3607&gt;TODAY()),"Verificar evento futuro","OK"))))))))))</f>
        <v/>
      </c>
    </row>
    <row r="3608" spans="12:15">
      <c r="L3608" s="5">
        <f>IF(OR(A3608="",B3608=""),"",B3608-WEEKDAY(B3608,2)+1)</f>
        <v/>
      </c>
      <c r="M3608" s="5">
        <f>IF(L3608="","",L3608+6)</f>
        <v/>
      </c>
      <c r="N3608" s="6">
        <f>IF(OR(A3608="",B3608=""),"",DATE(YEAR(B3608),MONTH(B3608),1))</f>
        <v/>
      </c>
      <c r="O3608" s="7">
        <f>IF(COUNTA(A3608:K3608)=0,"",IF(OR(A3608="",B3608=""),"Preencher CPF e entrada",IF(COUNTIFS($A$12:$A$5011,A3608,$B$12:$B$5011,B3608)&gt;1,"CPF + dia duplicado",IF(OR(AND(G3608&lt;&gt;"",G3608&lt;&gt;0,G3608&lt;&gt;1),AND(H3608&lt;&gt;"",H3608&lt;&gt;0,H3608&lt;&gt;1)),"Flags devem ser 0 ou 1",IF(AND(H3608=1,LEN(TRIM(I3608))=0),"Preencher nome do indicante",IF(AND(H3608&lt;&gt;1,I3608&lt;&gt;""),"Nome sem indicação interna",IF(AND(G3608=1,F3608=""),"Fechamento sem conversa",IF(OR(AND(E3608&lt;&gt;"",E3608&lt;B3608),AND(F3608&lt;&gt;"",F3608&lt;B3608)),"Evento anterior à entrada",IF(AND(F3608&lt;&gt;"",E3608=""),"Conversa sem agendamento",IF(OR(E3608&gt;TODAY(),F3608&gt;TODAY()),"Verificar evento futuro","OK"))))))))))</f>
        <v/>
      </c>
    </row>
    <row r="3609" spans="12:15">
      <c r="L3609" s="5">
        <f>IF(OR(A3609="",B3609=""),"",B3609-WEEKDAY(B3609,2)+1)</f>
        <v/>
      </c>
      <c r="M3609" s="5">
        <f>IF(L3609="","",L3609+6)</f>
        <v/>
      </c>
      <c r="N3609" s="6">
        <f>IF(OR(A3609="",B3609=""),"",DATE(YEAR(B3609),MONTH(B3609),1))</f>
        <v/>
      </c>
      <c r="O3609" s="7">
        <f>IF(COUNTA(A3609:K3609)=0,"",IF(OR(A3609="",B3609=""),"Preencher CPF e entrada",IF(COUNTIFS($A$12:$A$5011,A3609,$B$12:$B$5011,B3609)&gt;1,"CPF + dia duplicado",IF(OR(AND(G3609&lt;&gt;"",G3609&lt;&gt;0,G3609&lt;&gt;1),AND(H3609&lt;&gt;"",H3609&lt;&gt;0,H3609&lt;&gt;1)),"Flags devem ser 0 ou 1",IF(AND(H3609=1,LEN(TRIM(I3609))=0),"Preencher nome do indicante",IF(AND(H3609&lt;&gt;1,I3609&lt;&gt;""),"Nome sem indicação interna",IF(AND(G3609=1,F3609=""),"Fechamento sem conversa",IF(OR(AND(E3609&lt;&gt;"",E3609&lt;B3609),AND(F3609&lt;&gt;"",F3609&lt;B3609)),"Evento anterior à entrada",IF(AND(F3609&lt;&gt;"",E3609=""),"Conversa sem agendamento",IF(OR(E3609&gt;TODAY(),F3609&gt;TODAY()),"Verificar evento futuro","OK"))))))))))</f>
        <v/>
      </c>
    </row>
    <row r="3610" spans="12:15">
      <c r="L3610" s="5">
        <f>IF(OR(A3610="",B3610=""),"",B3610-WEEKDAY(B3610,2)+1)</f>
        <v/>
      </c>
      <c r="M3610" s="5">
        <f>IF(L3610="","",L3610+6)</f>
        <v/>
      </c>
      <c r="N3610" s="6">
        <f>IF(OR(A3610="",B3610=""),"",DATE(YEAR(B3610),MONTH(B3610),1))</f>
        <v/>
      </c>
      <c r="O3610" s="7">
        <f>IF(COUNTA(A3610:K3610)=0,"",IF(OR(A3610="",B3610=""),"Preencher CPF e entrada",IF(COUNTIFS($A$12:$A$5011,A3610,$B$12:$B$5011,B3610)&gt;1,"CPF + dia duplicado",IF(OR(AND(G3610&lt;&gt;"",G3610&lt;&gt;0,G3610&lt;&gt;1),AND(H3610&lt;&gt;"",H3610&lt;&gt;0,H3610&lt;&gt;1)),"Flags devem ser 0 ou 1",IF(AND(H3610=1,LEN(TRIM(I3610))=0),"Preencher nome do indicante",IF(AND(H3610&lt;&gt;1,I3610&lt;&gt;""),"Nome sem indicação interna",IF(AND(G3610=1,F3610=""),"Fechamento sem conversa",IF(OR(AND(E3610&lt;&gt;"",E3610&lt;B3610),AND(F3610&lt;&gt;"",F3610&lt;B3610)),"Evento anterior à entrada",IF(AND(F3610&lt;&gt;"",E3610=""),"Conversa sem agendamento",IF(OR(E3610&gt;TODAY(),F3610&gt;TODAY()),"Verificar evento futuro","OK"))))))))))</f>
        <v/>
      </c>
    </row>
    <row r="3611" spans="12:15">
      <c r="L3611" s="5">
        <f>IF(OR(A3611="",B3611=""),"",B3611-WEEKDAY(B3611,2)+1)</f>
        <v/>
      </c>
      <c r="M3611" s="5">
        <f>IF(L3611="","",L3611+6)</f>
        <v/>
      </c>
      <c r="N3611" s="6">
        <f>IF(OR(A3611="",B3611=""),"",DATE(YEAR(B3611),MONTH(B3611),1))</f>
        <v/>
      </c>
      <c r="O3611" s="7">
        <f>IF(COUNTA(A3611:K3611)=0,"",IF(OR(A3611="",B3611=""),"Preencher CPF e entrada",IF(COUNTIFS($A$12:$A$5011,A3611,$B$12:$B$5011,B3611)&gt;1,"CPF + dia duplicado",IF(OR(AND(G3611&lt;&gt;"",G3611&lt;&gt;0,G3611&lt;&gt;1),AND(H3611&lt;&gt;"",H3611&lt;&gt;0,H3611&lt;&gt;1)),"Flags devem ser 0 ou 1",IF(AND(H3611=1,LEN(TRIM(I3611))=0),"Preencher nome do indicante",IF(AND(H3611&lt;&gt;1,I3611&lt;&gt;""),"Nome sem indicação interna",IF(AND(G3611=1,F3611=""),"Fechamento sem conversa",IF(OR(AND(E3611&lt;&gt;"",E3611&lt;B3611),AND(F3611&lt;&gt;"",F3611&lt;B3611)),"Evento anterior à entrada",IF(AND(F3611&lt;&gt;"",E3611=""),"Conversa sem agendamento",IF(OR(E3611&gt;TODAY(),F3611&gt;TODAY()),"Verificar evento futuro","OK"))))))))))</f>
        <v/>
      </c>
    </row>
    <row r="3612" spans="12:15">
      <c r="L3612" s="5">
        <f>IF(OR(A3612="",B3612=""),"",B3612-WEEKDAY(B3612,2)+1)</f>
        <v/>
      </c>
      <c r="M3612" s="5">
        <f>IF(L3612="","",L3612+6)</f>
        <v/>
      </c>
      <c r="N3612" s="6">
        <f>IF(OR(A3612="",B3612=""),"",DATE(YEAR(B3612),MONTH(B3612),1))</f>
        <v/>
      </c>
      <c r="O3612" s="7">
        <f>IF(COUNTA(A3612:K3612)=0,"",IF(OR(A3612="",B3612=""),"Preencher CPF e entrada",IF(COUNTIFS($A$12:$A$5011,A3612,$B$12:$B$5011,B3612)&gt;1,"CPF + dia duplicado",IF(OR(AND(G3612&lt;&gt;"",G3612&lt;&gt;0,G3612&lt;&gt;1),AND(H3612&lt;&gt;"",H3612&lt;&gt;0,H3612&lt;&gt;1)),"Flags devem ser 0 ou 1",IF(AND(H3612=1,LEN(TRIM(I3612))=0),"Preencher nome do indicante",IF(AND(H3612&lt;&gt;1,I3612&lt;&gt;""),"Nome sem indicação interna",IF(AND(G3612=1,F3612=""),"Fechamento sem conversa",IF(OR(AND(E3612&lt;&gt;"",E3612&lt;B3612),AND(F3612&lt;&gt;"",F3612&lt;B3612)),"Evento anterior à entrada",IF(AND(F3612&lt;&gt;"",E3612=""),"Conversa sem agendamento",IF(OR(E3612&gt;TODAY(),F3612&gt;TODAY()),"Verificar evento futuro","OK"))))))))))</f>
        <v/>
      </c>
    </row>
    <row r="3613" spans="12:15">
      <c r="L3613" s="5">
        <f>IF(OR(A3613="",B3613=""),"",B3613-WEEKDAY(B3613,2)+1)</f>
        <v/>
      </c>
      <c r="M3613" s="5">
        <f>IF(L3613="","",L3613+6)</f>
        <v/>
      </c>
      <c r="N3613" s="6">
        <f>IF(OR(A3613="",B3613=""),"",DATE(YEAR(B3613),MONTH(B3613),1))</f>
        <v/>
      </c>
      <c r="O3613" s="7">
        <f>IF(COUNTA(A3613:K3613)=0,"",IF(OR(A3613="",B3613=""),"Preencher CPF e entrada",IF(COUNTIFS($A$12:$A$5011,A3613,$B$12:$B$5011,B3613)&gt;1,"CPF + dia duplicado",IF(OR(AND(G3613&lt;&gt;"",G3613&lt;&gt;0,G3613&lt;&gt;1),AND(H3613&lt;&gt;"",H3613&lt;&gt;0,H3613&lt;&gt;1)),"Flags devem ser 0 ou 1",IF(AND(H3613=1,LEN(TRIM(I3613))=0),"Preencher nome do indicante",IF(AND(H3613&lt;&gt;1,I3613&lt;&gt;""),"Nome sem indicação interna",IF(AND(G3613=1,F3613=""),"Fechamento sem conversa",IF(OR(AND(E3613&lt;&gt;"",E3613&lt;B3613),AND(F3613&lt;&gt;"",F3613&lt;B3613)),"Evento anterior à entrada",IF(AND(F3613&lt;&gt;"",E3613=""),"Conversa sem agendamento",IF(OR(E3613&gt;TODAY(),F3613&gt;TODAY()),"Verificar evento futuro","OK"))))))))))</f>
        <v/>
      </c>
    </row>
    <row r="3614" spans="12:15">
      <c r="L3614" s="5">
        <f>IF(OR(A3614="",B3614=""),"",B3614-WEEKDAY(B3614,2)+1)</f>
        <v/>
      </c>
      <c r="M3614" s="5">
        <f>IF(L3614="","",L3614+6)</f>
        <v/>
      </c>
      <c r="N3614" s="6">
        <f>IF(OR(A3614="",B3614=""),"",DATE(YEAR(B3614),MONTH(B3614),1))</f>
        <v/>
      </c>
      <c r="O3614" s="7">
        <f>IF(COUNTA(A3614:K3614)=0,"",IF(OR(A3614="",B3614=""),"Preencher CPF e entrada",IF(COUNTIFS($A$12:$A$5011,A3614,$B$12:$B$5011,B3614)&gt;1,"CPF + dia duplicado",IF(OR(AND(G3614&lt;&gt;"",G3614&lt;&gt;0,G3614&lt;&gt;1),AND(H3614&lt;&gt;"",H3614&lt;&gt;0,H3614&lt;&gt;1)),"Flags devem ser 0 ou 1",IF(AND(H3614=1,LEN(TRIM(I3614))=0),"Preencher nome do indicante",IF(AND(H3614&lt;&gt;1,I3614&lt;&gt;""),"Nome sem indicação interna",IF(AND(G3614=1,F3614=""),"Fechamento sem conversa",IF(OR(AND(E3614&lt;&gt;"",E3614&lt;B3614),AND(F3614&lt;&gt;"",F3614&lt;B3614)),"Evento anterior à entrada",IF(AND(F3614&lt;&gt;"",E3614=""),"Conversa sem agendamento",IF(OR(E3614&gt;TODAY(),F3614&gt;TODAY()),"Verificar evento futuro","OK"))))))))))</f>
        <v/>
      </c>
    </row>
    <row r="3615" spans="12:15">
      <c r="L3615" s="5">
        <f>IF(OR(A3615="",B3615=""),"",B3615-WEEKDAY(B3615,2)+1)</f>
        <v/>
      </c>
      <c r="M3615" s="5">
        <f>IF(L3615="","",L3615+6)</f>
        <v/>
      </c>
      <c r="N3615" s="6">
        <f>IF(OR(A3615="",B3615=""),"",DATE(YEAR(B3615),MONTH(B3615),1))</f>
        <v/>
      </c>
      <c r="O3615" s="7">
        <f>IF(COUNTA(A3615:K3615)=0,"",IF(OR(A3615="",B3615=""),"Preencher CPF e entrada",IF(COUNTIFS($A$12:$A$5011,A3615,$B$12:$B$5011,B3615)&gt;1,"CPF + dia duplicado",IF(OR(AND(G3615&lt;&gt;"",G3615&lt;&gt;0,G3615&lt;&gt;1),AND(H3615&lt;&gt;"",H3615&lt;&gt;0,H3615&lt;&gt;1)),"Flags devem ser 0 ou 1",IF(AND(H3615=1,LEN(TRIM(I3615))=0),"Preencher nome do indicante",IF(AND(H3615&lt;&gt;1,I3615&lt;&gt;""),"Nome sem indicação interna",IF(AND(G3615=1,F3615=""),"Fechamento sem conversa",IF(OR(AND(E3615&lt;&gt;"",E3615&lt;B3615),AND(F3615&lt;&gt;"",F3615&lt;B3615)),"Evento anterior à entrada",IF(AND(F3615&lt;&gt;"",E3615=""),"Conversa sem agendamento",IF(OR(E3615&gt;TODAY(),F3615&gt;TODAY()),"Verificar evento futuro","OK"))))))))))</f>
        <v/>
      </c>
    </row>
    <row r="3616" spans="12:15">
      <c r="L3616" s="5">
        <f>IF(OR(A3616="",B3616=""),"",B3616-WEEKDAY(B3616,2)+1)</f>
        <v/>
      </c>
      <c r="M3616" s="5">
        <f>IF(L3616="","",L3616+6)</f>
        <v/>
      </c>
      <c r="N3616" s="6">
        <f>IF(OR(A3616="",B3616=""),"",DATE(YEAR(B3616),MONTH(B3616),1))</f>
        <v/>
      </c>
      <c r="O3616" s="7">
        <f>IF(COUNTA(A3616:K3616)=0,"",IF(OR(A3616="",B3616=""),"Preencher CPF e entrada",IF(COUNTIFS($A$12:$A$5011,A3616,$B$12:$B$5011,B3616)&gt;1,"CPF + dia duplicado",IF(OR(AND(G3616&lt;&gt;"",G3616&lt;&gt;0,G3616&lt;&gt;1),AND(H3616&lt;&gt;"",H3616&lt;&gt;0,H3616&lt;&gt;1)),"Flags devem ser 0 ou 1",IF(AND(H3616=1,LEN(TRIM(I3616))=0),"Preencher nome do indicante",IF(AND(H3616&lt;&gt;1,I3616&lt;&gt;""),"Nome sem indicação interna",IF(AND(G3616=1,F3616=""),"Fechamento sem conversa",IF(OR(AND(E3616&lt;&gt;"",E3616&lt;B3616),AND(F3616&lt;&gt;"",F3616&lt;B3616)),"Evento anterior à entrada",IF(AND(F3616&lt;&gt;"",E3616=""),"Conversa sem agendamento",IF(OR(E3616&gt;TODAY(),F3616&gt;TODAY()),"Verificar evento futuro","OK"))))))))))</f>
        <v/>
      </c>
    </row>
    <row r="3617" spans="12:15">
      <c r="L3617" s="5">
        <f>IF(OR(A3617="",B3617=""),"",B3617-WEEKDAY(B3617,2)+1)</f>
        <v/>
      </c>
      <c r="M3617" s="5">
        <f>IF(L3617="","",L3617+6)</f>
        <v/>
      </c>
      <c r="N3617" s="6">
        <f>IF(OR(A3617="",B3617=""),"",DATE(YEAR(B3617),MONTH(B3617),1))</f>
        <v/>
      </c>
      <c r="O3617" s="7">
        <f>IF(COUNTA(A3617:K3617)=0,"",IF(OR(A3617="",B3617=""),"Preencher CPF e entrada",IF(COUNTIFS($A$12:$A$5011,A3617,$B$12:$B$5011,B3617)&gt;1,"CPF + dia duplicado",IF(OR(AND(G3617&lt;&gt;"",G3617&lt;&gt;0,G3617&lt;&gt;1),AND(H3617&lt;&gt;"",H3617&lt;&gt;0,H3617&lt;&gt;1)),"Flags devem ser 0 ou 1",IF(AND(H3617=1,LEN(TRIM(I3617))=0),"Preencher nome do indicante",IF(AND(H3617&lt;&gt;1,I3617&lt;&gt;""),"Nome sem indicação interna",IF(AND(G3617=1,F3617=""),"Fechamento sem conversa",IF(OR(AND(E3617&lt;&gt;"",E3617&lt;B3617),AND(F3617&lt;&gt;"",F3617&lt;B3617)),"Evento anterior à entrada",IF(AND(F3617&lt;&gt;"",E3617=""),"Conversa sem agendamento",IF(OR(E3617&gt;TODAY(),F3617&gt;TODAY()),"Verificar evento futuro","OK"))))))))))</f>
        <v/>
      </c>
    </row>
    <row r="3618" spans="12:15">
      <c r="L3618" s="5">
        <f>IF(OR(A3618="",B3618=""),"",B3618-WEEKDAY(B3618,2)+1)</f>
        <v/>
      </c>
      <c r="M3618" s="5">
        <f>IF(L3618="","",L3618+6)</f>
        <v/>
      </c>
      <c r="N3618" s="6">
        <f>IF(OR(A3618="",B3618=""),"",DATE(YEAR(B3618),MONTH(B3618),1))</f>
        <v/>
      </c>
      <c r="O3618" s="7">
        <f>IF(COUNTA(A3618:K3618)=0,"",IF(OR(A3618="",B3618=""),"Preencher CPF e entrada",IF(COUNTIFS($A$12:$A$5011,A3618,$B$12:$B$5011,B3618)&gt;1,"CPF + dia duplicado",IF(OR(AND(G3618&lt;&gt;"",G3618&lt;&gt;0,G3618&lt;&gt;1),AND(H3618&lt;&gt;"",H3618&lt;&gt;0,H3618&lt;&gt;1)),"Flags devem ser 0 ou 1",IF(AND(H3618=1,LEN(TRIM(I3618))=0),"Preencher nome do indicante",IF(AND(H3618&lt;&gt;1,I3618&lt;&gt;""),"Nome sem indicação interna",IF(AND(G3618=1,F3618=""),"Fechamento sem conversa",IF(OR(AND(E3618&lt;&gt;"",E3618&lt;B3618),AND(F3618&lt;&gt;"",F3618&lt;B3618)),"Evento anterior à entrada",IF(AND(F3618&lt;&gt;"",E3618=""),"Conversa sem agendamento",IF(OR(E3618&gt;TODAY(),F3618&gt;TODAY()),"Verificar evento futuro","OK"))))))))))</f>
        <v/>
      </c>
    </row>
    <row r="3619" spans="12:15">
      <c r="L3619" s="5">
        <f>IF(OR(A3619="",B3619=""),"",B3619-WEEKDAY(B3619,2)+1)</f>
        <v/>
      </c>
      <c r="M3619" s="5">
        <f>IF(L3619="","",L3619+6)</f>
        <v/>
      </c>
      <c r="N3619" s="6">
        <f>IF(OR(A3619="",B3619=""),"",DATE(YEAR(B3619),MONTH(B3619),1))</f>
        <v/>
      </c>
      <c r="O3619" s="7">
        <f>IF(COUNTA(A3619:K3619)=0,"",IF(OR(A3619="",B3619=""),"Preencher CPF e entrada",IF(COUNTIFS($A$12:$A$5011,A3619,$B$12:$B$5011,B3619)&gt;1,"CPF + dia duplicado",IF(OR(AND(G3619&lt;&gt;"",G3619&lt;&gt;0,G3619&lt;&gt;1),AND(H3619&lt;&gt;"",H3619&lt;&gt;0,H3619&lt;&gt;1)),"Flags devem ser 0 ou 1",IF(AND(H3619=1,LEN(TRIM(I3619))=0),"Preencher nome do indicante",IF(AND(H3619&lt;&gt;1,I3619&lt;&gt;""),"Nome sem indicação interna",IF(AND(G3619=1,F3619=""),"Fechamento sem conversa",IF(OR(AND(E3619&lt;&gt;"",E3619&lt;B3619),AND(F3619&lt;&gt;"",F3619&lt;B3619)),"Evento anterior à entrada",IF(AND(F3619&lt;&gt;"",E3619=""),"Conversa sem agendamento",IF(OR(E3619&gt;TODAY(),F3619&gt;TODAY()),"Verificar evento futuro","OK"))))))))))</f>
        <v/>
      </c>
    </row>
    <row r="3620" spans="12:15">
      <c r="L3620" s="5">
        <f>IF(OR(A3620="",B3620=""),"",B3620-WEEKDAY(B3620,2)+1)</f>
        <v/>
      </c>
      <c r="M3620" s="5">
        <f>IF(L3620="","",L3620+6)</f>
        <v/>
      </c>
      <c r="N3620" s="6">
        <f>IF(OR(A3620="",B3620=""),"",DATE(YEAR(B3620),MONTH(B3620),1))</f>
        <v/>
      </c>
      <c r="O3620" s="7">
        <f>IF(COUNTA(A3620:K3620)=0,"",IF(OR(A3620="",B3620=""),"Preencher CPF e entrada",IF(COUNTIFS($A$12:$A$5011,A3620,$B$12:$B$5011,B3620)&gt;1,"CPF + dia duplicado",IF(OR(AND(G3620&lt;&gt;"",G3620&lt;&gt;0,G3620&lt;&gt;1),AND(H3620&lt;&gt;"",H3620&lt;&gt;0,H3620&lt;&gt;1)),"Flags devem ser 0 ou 1",IF(AND(H3620=1,LEN(TRIM(I3620))=0),"Preencher nome do indicante",IF(AND(H3620&lt;&gt;1,I3620&lt;&gt;""),"Nome sem indicação interna",IF(AND(G3620=1,F3620=""),"Fechamento sem conversa",IF(OR(AND(E3620&lt;&gt;"",E3620&lt;B3620),AND(F3620&lt;&gt;"",F3620&lt;B3620)),"Evento anterior à entrada",IF(AND(F3620&lt;&gt;"",E3620=""),"Conversa sem agendamento",IF(OR(E3620&gt;TODAY(),F3620&gt;TODAY()),"Verificar evento futuro","OK"))))))))))</f>
        <v/>
      </c>
    </row>
    <row r="3621" spans="12:15">
      <c r="L3621" s="5">
        <f>IF(OR(A3621="",B3621=""),"",B3621-WEEKDAY(B3621,2)+1)</f>
        <v/>
      </c>
      <c r="M3621" s="5">
        <f>IF(L3621="","",L3621+6)</f>
        <v/>
      </c>
      <c r="N3621" s="6">
        <f>IF(OR(A3621="",B3621=""),"",DATE(YEAR(B3621),MONTH(B3621),1))</f>
        <v/>
      </c>
      <c r="O3621" s="7">
        <f>IF(COUNTA(A3621:K3621)=0,"",IF(OR(A3621="",B3621=""),"Preencher CPF e entrada",IF(COUNTIFS($A$12:$A$5011,A3621,$B$12:$B$5011,B3621)&gt;1,"CPF + dia duplicado",IF(OR(AND(G3621&lt;&gt;"",G3621&lt;&gt;0,G3621&lt;&gt;1),AND(H3621&lt;&gt;"",H3621&lt;&gt;0,H3621&lt;&gt;1)),"Flags devem ser 0 ou 1",IF(AND(H3621=1,LEN(TRIM(I3621))=0),"Preencher nome do indicante",IF(AND(H3621&lt;&gt;1,I3621&lt;&gt;""),"Nome sem indicação interna",IF(AND(G3621=1,F3621=""),"Fechamento sem conversa",IF(OR(AND(E3621&lt;&gt;"",E3621&lt;B3621),AND(F3621&lt;&gt;"",F3621&lt;B3621)),"Evento anterior à entrada",IF(AND(F3621&lt;&gt;"",E3621=""),"Conversa sem agendamento",IF(OR(E3621&gt;TODAY(),F3621&gt;TODAY()),"Verificar evento futuro","OK"))))))))))</f>
        <v/>
      </c>
    </row>
    <row r="3622" spans="12:15">
      <c r="L3622" s="5">
        <f>IF(OR(A3622="",B3622=""),"",B3622-WEEKDAY(B3622,2)+1)</f>
        <v/>
      </c>
      <c r="M3622" s="5">
        <f>IF(L3622="","",L3622+6)</f>
        <v/>
      </c>
      <c r="N3622" s="6">
        <f>IF(OR(A3622="",B3622=""),"",DATE(YEAR(B3622),MONTH(B3622),1))</f>
        <v/>
      </c>
      <c r="O3622" s="7">
        <f>IF(COUNTA(A3622:K3622)=0,"",IF(OR(A3622="",B3622=""),"Preencher CPF e entrada",IF(COUNTIFS($A$12:$A$5011,A3622,$B$12:$B$5011,B3622)&gt;1,"CPF + dia duplicado",IF(OR(AND(G3622&lt;&gt;"",G3622&lt;&gt;0,G3622&lt;&gt;1),AND(H3622&lt;&gt;"",H3622&lt;&gt;0,H3622&lt;&gt;1)),"Flags devem ser 0 ou 1",IF(AND(H3622=1,LEN(TRIM(I3622))=0),"Preencher nome do indicante",IF(AND(H3622&lt;&gt;1,I3622&lt;&gt;""),"Nome sem indicação interna",IF(AND(G3622=1,F3622=""),"Fechamento sem conversa",IF(OR(AND(E3622&lt;&gt;"",E3622&lt;B3622),AND(F3622&lt;&gt;"",F3622&lt;B3622)),"Evento anterior à entrada",IF(AND(F3622&lt;&gt;"",E3622=""),"Conversa sem agendamento",IF(OR(E3622&gt;TODAY(),F3622&gt;TODAY()),"Verificar evento futuro","OK"))))))))))</f>
        <v/>
      </c>
    </row>
    <row r="3623" spans="12:15">
      <c r="L3623" s="5">
        <f>IF(OR(A3623="",B3623=""),"",B3623-WEEKDAY(B3623,2)+1)</f>
        <v/>
      </c>
      <c r="M3623" s="5">
        <f>IF(L3623="","",L3623+6)</f>
        <v/>
      </c>
      <c r="N3623" s="6">
        <f>IF(OR(A3623="",B3623=""),"",DATE(YEAR(B3623),MONTH(B3623),1))</f>
        <v/>
      </c>
      <c r="O3623" s="7">
        <f>IF(COUNTA(A3623:K3623)=0,"",IF(OR(A3623="",B3623=""),"Preencher CPF e entrada",IF(COUNTIFS($A$12:$A$5011,A3623,$B$12:$B$5011,B3623)&gt;1,"CPF + dia duplicado",IF(OR(AND(G3623&lt;&gt;"",G3623&lt;&gt;0,G3623&lt;&gt;1),AND(H3623&lt;&gt;"",H3623&lt;&gt;0,H3623&lt;&gt;1)),"Flags devem ser 0 ou 1",IF(AND(H3623=1,LEN(TRIM(I3623))=0),"Preencher nome do indicante",IF(AND(H3623&lt;&gt;1,I3623&lt;&gt;""),"Nome sem indicação interna",IF(AND(G3623=1,F3623=""),"Fechamento sem conversa",IF(OR(AND(E3623&lt;&gt;"",E3623&lt;B3623),AND(F3623&lt;&gt;"",F3623&lt;B3623)),"Evento anterior à entrada",IF(AND(F3623&lt;&gt;"",E3623=""),"Conversa sem agendamento",IF(OR(E3623&gt;TODAY(),F3623&gt;TODAY()),"Verificar evento futuro","OK"))))))))))</f>
        <v/>
      </c>
    </row>
    <row r="3624" spans="12:15">
      <c r="L3624" s="5">
        <f>IF(OR(A3624="",B3624=""),"",B3624-WEEKDAY(B3624,2)+1)</f>
        <v/>
      </c>
      <c r="M3624" s="5">
        <f>IF(L3624="","",L3624+6)</f>
        <v/>
      </c>
      <c r="N3624" s="6">
        <f>IF(OR(A3624="",B3624=""),"",DATE(YEAR(B3624),MONTH(B3624),1))</f>
        <v/>
      </c>
      <c r="O3624" s="7">
        <f>IF(COUNTA(A3624:K3624)=0,"",IF(OR(A3624="",B3624=""),"Preencher CPF e entrada",IF(COUNTIFS($A$12:$A$5011,A3624,$B$12:$B$5011,B3624)&gt;1,"CPF + dia duplicado",IF(OR(AND(G3624&lt;&gt;"",G3624&lt;&gt;0,G3624&lt;&gt;1),AND(H3624&lt;&gt;"",H3624&lt;&gt;0,H3624&lt;&gt;1)),"Flags devem ser 0 ou 1",IF(AND(H3624=1,LEN(TRIM(I3624))=0),"Preencher nome do indicante",IF(AND(H3624&lt;&gt;1,I3624&lt;&gt;""),"Nome sem indicação interna",IF(AND(G3624=1,F3624=""),"Fechamento sem conversa",IF(OR(AND(E3624&lt;&gt;"",E3624&lt;B3624),AND(F3624&lt;&gt;"",F3624&lt;B3624)),"Evento anterior à entrada",IF(AND(F3624&lt;&gt;"",E3624=""),"Conversa sem agendamento",IF(OR(E3624&gt;TODAY(),F3624&gt;TODAY()),"Verificar evento futuro","OK"))))))))))</f>
        <v/>
      </c>
    </row>
    <row r="3625" spans="12:15">
      <c r="L3625" s="5">
        <f>IF(OR(A3625="",B3625=""),"",B3625-WEEKDAY(B3625,2)+1)</f>
        <v/>
      </c>
      <c r="M3625" s="5">
        <f>IF(L3625="","",L3625+6)</f>
        <v/>
      </c>
      <c r="N3625" s="6">
        <f>IF(OR(A3625="",B3625=""),"",DATE(YEAR(B3625),MONTH(B3625),1))</f>
        <v/>
      </c>
      <c r="O3625" s="7">
        <f>IF(COUNTA(A3625:K3625)=0,"",IF(OR(A3625="",B3625=""),"Preencher CPF e entrada",IF(COUNTIFS($A$12:$A$5011,A3625,$B$12:$B$5011,B3625)&gt;1,"CPF + dia duplicado",IF(OR(AND(G3625&lt;&gt;"",G3625&lt;&gt;0,G3625&lt;&gt;1),AND(H3625&lt;&gt;"",H3625&lt;&gt;0,H3625&lt;&gt;1)),"Flags devem ser 0 ou 1",IF(AND(H3625=1,LEN(TRIM(I3625))=0),"Preencher nome do indicante",IF(AND(H3625&lt;&gt;1,I3625&lt;&gt;""),"Nome sem indicação interna",IF(AND(G3625=1,F3625=""),"Fechamento sem conversa",IF(OR(AND(E3625&lt;&gt;"",E3625&lt;B3625),AND(F3625&lt;&gt;"",F3625&lt;B3625)),"Evento anterior à entrada",IF(AND(F3625&lt;&gt;"",E3625=""),"Conversa sem agendamento",IF(OR(E3625&gt;TODAY(),F3625&gt;TODAY()),"Verificar evento futuro","OK"))))))))))</f>
        <v/>
      </c>
    </row>
    <row r="3626" spans="12:15">
      <c r="L3626" s="5">
        <f>IF(OR(A3626="",B3626=""),"",B3626-WEEKDAY(B3626,2)+1)</f>
        <v/>
      </c>
      <c r="M3626" s="5">
        <f>IF(L3626="","",L3626+6)</f>
        <v/>
      </c>
      <c r="N3626" s="6">
        <f>IF(OR(A3626="",B3626=""),"",DATE(YEAR(B3626),MONTH(B3626),1))</f>
        <v/>
      </c>
      <c r="O3626" s="7">
        <f>IF(COUNTA(A3626:K3626)=0,"",IF(OR(A3626="",B3626=""),"Preencher CPF e entrada",IF(COUNTIFS($A$12:$A$5011,A3626,$B$12:$B$5011,B3626)&gt;1,"CPF + dia duplicado",IF(OR(AND(G3626&lt;&gt;"",G3626&lt;&gt;0,G3626&lt;&gt;1),AND(H3626&lt;&gt;"",H3626&lt;&gt;0,H3626&lt;&gt;1)),"Flags devem ser 0 ou 1",IF(AND(H3626=1,LEN(TRIM(I3626))=0),"Preencher nome do indicante",IF(AND(H3626&lt;&gt;1,I3626&lt;&gt;""),"Nome sem indicação interna",IF(AND(G3626=1,F3626=""),"Fechamento sem conversa",IF(OR(AND(E3626&lt;&gt;"",E3626&lt;B3626),AND(F3626&lt;&gt;"",F3626&lt;B3626)),"Evento anterior à entrada",IF(AND(F3626&lt;&gt;"",E3626=""),"Conversa sem agendamento",IF(OR(E3626&gt;TODAY(),F3626&gt;TODAY()),"Verificar evento futuro","OK"))))))))))</f>
        <v/>
      </c>
    </row>
    <row r="3627" spans="12:15">
      <c r="L3627" s="5">
        <f>IF(OR(A3627="",B3627=""),"",B3627-WEEKDAY(B3627,2)+1)</f>
        <v/>
      </c>
      <c r="M3627" s="5">
        <f>IF(L3627="","",L3627+6)</f>
        <v/>
      </c>
      <c r="N3627" s="6">
        <f>IF(OR(A3627="",B3627=""),"",DATE(YEAR(B3627),MONTH(B3627),1))</f>
        <v/>
      </c>
      <c r="O3627" s="7">
        <f>IF(COUNTA(A3627:K3627)=0,"",IF(OR(A3627="",B3627=""),"Preencher CPF e entrada",IF(COUNTIFS($A$12:$A$5011,A3627,$B$12:$B$5011,B3627)&gt;1,"CPF + dia duplicado",IF(OR(AND(G3627&lt;&gt;"",G3627&lt;&gt;0,G3627&lt;&gt;1),AND(H3627&lt;&gt;"",H3627&lt;&gt;0,H3627&lt;&gt;1)),"Flags devem ser 0 ou 1",IF(AND(H3627=1,LEN(TRIM(I3627))=0),"Preencher nome do indicante",IF(AND(H3627&lt;&gt;1,I3627&lt;&gt;""),"Nome sem indicação interna",IF(AND(G3627=1,F3627=""),"Fechamento sem conversa",IF(OR(AND(E3627&lt;&gt;"",E3627&lt;B3627),AND(F3627&lt;&gt;"",F3627&lt;B3627)),"Evento anterior à entrada",IF(AND(F3627&lt;&gt;"",E3627=""),"Conversa sem agendamento",IF(OR(E3627&gt;TODAY(),F3627&gt;TODAY()),"Verificar evento futuro","OK"))))))))))</f>
        <v/>
      </c>
    </row>
    <row r="3628" spans="12:15">
      <c r="L3628" s="5">
        <f>IF(OR(A3628="",B3628=""),"",B3628-WEEKDAY(B3628,2)+1)</f>
        <v/>
      </c>
      <c r="M3628" s="5">
        <f>IF(L3628="","",L3628+6)</f>
        <v/>
      </c>
      <c r="N3628" s="6">
        <f>IF(OR(A3628="",B3628=""),"",DATE(YEAR(B3628),MONTH(B3628),1))</f>
        <v/>
      </c>
      <c r="O3628" s="7">
        <f>IF(COUNTA(A3628:K3628)=0,"",IF(OR(A3628="",B3628=""),"Preencher CPF e entrada",IF(COUNTIFS($A$12:$A$5011,A3628,$B$12:$B$5011,B3628)&gt;1,"CPF + dia duplicado",IF(OR(AND(G3628&lt;&gt;"",G3628&lt;&gt;0,G3628&lt;&gt;1),AND(H3628&lt;&gt;"",H3628&lt;&gt;0,H3628&lt;&gt;1)),"Flags devem ser 0 ou 1",IF(AND(H3628=1,LEN(TRIM(I3628))=0),"Preencher nome do indicante",IF(AND(H3628&lt;&gt;1,I3628&lt;&gt;""),"Nome sem indicação interna",IF(AND(G3628=1,F3628=""),"Fechamento sem conversa",IF(OR(AND(E3628&lt;&gt;"",E3628&lt;B3628),AND(F3628&lt;&gt;"",F3628&lt;B3628)),"Evento anterior à entrada",IF(AND(F3628&lt;&gt;"",E3628=""),"Conversa sem agendamento",IF(OR(E3628&gt;TODAY(),F3628&gt;TODAY()),"Verificar evento futuro","OK"))))))))))</f>
        <v/>
      </c>
    </row>
    <row r="3629" spans="12:15">
      <c r="L3629" s="5">
        <f>IF(OR(A3629="",B3629=""),"",B3629-WEEKDAY(B3629,2)+1)</f>
        <v/>
      </c>
      <c r="M3629" s="5">
        <f>IF(L3629="","",L3629+6)</f>
        <v/>
      </c>
      <c r="N3629" s="6">
        <f>IF(OR(A3629="",B3629=""),"",DATE(YEAR(B3629),MONTH(B3629),1))</f>
        <v/>
      </c>
      <c r="O3629" s="7">
        <f>IF(COUNTA(A3629:K3629)=0,"",IF(OR(A3629="",B3629=""),"Preencher CPF e entrada",IF(COUNTIFS($A$12:$A$5011,A3629,$B$12:$B$5011,B3629)&gt;1,"CPF + dia duplicado",IF(OR(AND(G3629&lt;&gt;"",G3629&lt;&gt;0,G3629&lt;&gt;1),AND(H3629&lt;&gt;"",H3629&lt;&gt;0,H3629&lt;&gt;1)),"Flags devem ser 0 ou 1",IF(AND(H3629=1,LEN(TRIM(I3629))=0),"Preencher nome do indicante",IF(AND(H3629&lt;&gt;1,I3629&lt;&gt;""),"Nome sem indicação interna",IF(AND(G3629=1,F3629=""),"Fechamento sem conversa",IF(OR(AND(E3629&lt;&gt;"",E3629&lt;B3629),AND(F3629&lt;&gt;"",F3629&lt;B3629)),"Evento anterior à entrada",IF(AND(F3629&lt;&gt;"",E3629=""),"Conversa sem agendamento",IF(OR(E3629&gt;TODAY(),F3629&gt;TODAY()),"Verificar evento futuro","OK"))))))))))</f>
        <v/>
      </c>
    </row>
    <row r="3630" spans="12:15">
      <c r="L3630" s="5">
        <f>IF(OR(A3630="",B3630=""),"",B3630-WEEKDAY(B3630,2)+1)</f>
        <v/>
      </c>
      <c r="M3630" s="5">
        <f>IF(L3630="","",L3630+6)</f>
        <v/>
      </c>
      <c r="N3630" s="6">
        <f>IF(OR(A3630="",B3630=""),"",DATE(YEAR(B3630),MONTH(B3630),1))</f>
        <v/>
      </c>
      <c r="O3630" s="7">
        <f>IF(COUNTA(A3630:K3630)=0,"",IF(OR(A3630="",B3630=""),"Preencher CPF e entrada",IF(COUNTIFS($A$12:$A$5011,A3630,$B$12:$B$5011,B3630)&gt;1,"CPF + dia duplicado",IF(OR(AND(G3630&lt;&gt;"",G3630&lt;&gt;0,G3630&lt;&gt;1),AND(H3630&lt;&gt;"",H3630&lt;&gt;0,H3630&lt;&gt;1)),"Flags devem ser 0 ou 1",IF(AND(H3630=1,LEN(TRIM(I3630))=0),"Preencher nome do indicante",IF(AND(H3630&lt;&gt;1,I3630&lt;&gt;""),"Nome sem indicação interna",IF(AND(G3630=1,F3630=""),"Fechamento sem conversa",IF(OR(AND(E3630&lt;&gt;"",E3630&lt;B3630),AND(F3630&lt;&gt;"",F3630&lt;B3630)),"Evento anterior à entrada",IF(AND(F3630&lt;&gt;"",E3630=""),"Conversa sem agendamento",IF(OR(E3630&gt;TODAY(),F3630&gt;TODAY()),"Verificar evento futuro","OK"))))))))))</f>
        <v/>
      </c>
    </row>
    <row r="3631" spans="12:15">
      <c r="L3631" s="5">
        <f>IF(OR(A3631="",B3631=""),"",B3631-WEEKDAY(B3631,2)+1)</f>
        <v/>
      </c>
      <c r="M3631" s="5">
        <f>IF(L3631="","",L3631+6)</f>
        <v/>
      </c>
      <c r="N3631" s="6">
        <f>IF(OR(A3631="",B3631=""),"",DATE(YEAR(B3631),MONTH(B3631),1))</f>
        <v/>
      </c>
      <c r="O3631" s="7">
        <f>IF(COUNTA(A3631:K3631)=0,"",IF(OR(A3631="",B3631=""),"Preencher CPF e entrada",IF(COUNTIFS($A$12:$A$5011,A3631,$B$12:$B$5011,B3631)&gt;1,"CPF + dia duplicado",IF(OR(AND(G3631&lt;&gt;"",G3631&lt;&gt;0,G3631&lt;&gt;1),AND(H3631&lt;&gt;"",H3631&lt;&gt;0,H3631&lt;&gt;1)),"Flags devem ser 0 ou 1",IF(AND(H3631=1,LEN(TRIM(I3631))=0),"Preencher nome do indicante",IF(AND(H3631&lt;&gt;1,I3631&lt;&gt;""),"Nome sem indicação interna",IF(AND(G3631=1,F3631=""),"Fechamento sem conversa",IF(OR(AND(E3631&lt;&gt;"",E3631&lt;B3631),AND(F3631&lt;&gt;"",F3631&lt;B3631)),"Evento anterior à entrada",IF(AND(F3631&lt;&gt;"",E3631=""),"Conversa sem agendamento",IF(OR(E3631&gt;TODAY(),F3631&gt;TODAY()),"Verificar evento futuro","OK"))))))))))</f>
        <v/>
      </c>
    </row>
    <row r="3632" spans="12:15">
      <c r="L3632" s="5">
        <f>IF(OR(A3632="",B3632=""),"",B3632-WEEKDAY(B3632,2)+1)</f>
        <v/>
      </c>
      <c r="M3632" s="5">
        <f>IF(L3632="","",L3632+6)</f>
        <v/>
      </c>
      <c r="N3632" s="6">
        <f>IF(OR(A3632="",B3632=""),"",DATE(YEAR(B3632),MONTH(B3632),1))</f>
        <v/>
      </c>
      <c r="O3632" s="7">
        <f>IF(COUNTA(A3632:K3632)=0,"",IF(OR(A3632="",B3632=""),"Preencher CPF e entrada",IF(COUNTIFS($A$12:$A$5011,A3632,$B$12:$B$5011,B3632)&gt;1,"CPF + dia duplicado",IF(OR(AND(G3632&lt;&gt;"",G3632&lt;&gt;0,G3632&lt;&gt;1),AND(H3632&lt;&gt;"",H3632&lt;&gt;0,H3632&lt;&gt;1)),"Flags devem ser 0 ou 1",IF(AND(H3632=1,LEN(TRIM(I3632))=0),"Preencher nome do indicante",IF(AND(H3632&lt;&gt;1,I3632&lt;&gt;""),"Nome sem indicação interna",IF(AND(G3632=1,F3632=""),"Fechamento sem conversa",IF(OR(AND(E3632&lt;&gt;"",E3632&lt;B3632),AND(F3632&lt;&gt;"",F3632&lt;B3632)),"Evento anterior à entrada",IF(AND(F3632&lt;&gt;"",E3632=""),"Conversa sem agendamento",IF(OR(E3632&gt;TODAY(),F3632&gt;TODAY()),"Verificar evento futuro","OK"))))))))))</f>
        <v/>
      </c>
    </row>
    <row r="3633" spans="12:15">
      <c r="L3633" s="5">
        <f>IF(OR(A3633="",B3633=""),"",B3633-WEEKDAY(B3633,2)+1)</f>
        <v/>
      </c>
      <c r="M3633" s="5">
        <f>IF(L3633="","",L3633+6)</f>
        <v/>
      </c>
      <c r="N3633" s="6">
        <f>IF(OR(A3633="",B3633=""),"",DATE(YEAR(B3633),MONTH(B3633),1))</f>
        <v/>
      </c>
      <c r="O3633" s="7">
        <f>IF(COUNTA(A3633:K3633)=0,"",IF(OR(A3633="",B3633=""),"Preencher CPF e entrada",IF(COUNTIFS($A$12:$A$5011,A3633,$B$12:$B$5011,B3633)&gt;1,"CPF + dia duplicado",IF(OR(AND(G3633&lt;&gt;"",G3633&lt;&gt;0,G3633&lt;&gt;1),AND(H3633&lt;&gt;"",H3633&lt;&gt;0,H3633&lt;&gt;1)),"Flags devem ser 0 ou 1",IF(AND(H3633=1,LEN(TRIM(I3633))=0),"Preencher nome do indicante",IF(AND(H3633&lt;&gt;1,I3633&lt;&gt;""),"Nome sem indicação interna",IF(AND(G3633=1,F3633=""),"Fechamento sem conversa",IF(OR(AND(E3633&lt;&gt;"",E3633&lt;B3633),AND(F3633&lt;&gt;"",F3633&lt;B3633)),"Evento anterior à entrada",IF(AND(F3633&lt;&gt;"",E3633=""),"Conversa sem agendamento",IF(OR(E3633&gt;TODAY(),F3633&gt;TODAY()),"Verificar evento futuro","OK"))))))))))</f>
        <v/>
      </c>
    </row>
    <row r="3634" spans="12:15">
      <c r="L3634" s="5">
        <f>IF(OR(A3634="",B3634=""),"",B3634-WEEKDAY(B3634,2)+1)</f>
        <v/>
      </c>
      <c r="M3634" s="5">
        <f>IF(L3634="","",L3634+6)</f>
        <v/>
      </c>
      <c r="N3634" s="6">
        <f>IF(OR(A3634="",B3634=""),"",DATE(YEAR(B3634),MONTH(B3634),1))</f>
        <v/>
      </c>
      <c r="O3634" s="7">
        <f>IF(COUNTA(A3634:K3634)=0,"",IF(OR(A3634="",B3634=""),"Preencher CPF e entrada",IF(COUNTIFS($A$12:$A$5011,A3634,$B$12:$B$5011,B3634)&gt;1,"CPF + dia duplicado",IF(OR(AND(G3634&lt;&gt;"",G3634&lt;&gt;0,G3634&lt;&gt;1),AND(H3634&lt;&gt;"",H3634&lt;&gt;0,H3634&lt;&gt;1)),"Flags devem ser 0 ou 1",IF(AND(H3634=1,LEN(TRIM(I3634))=0),"Preencher nome do indicante",IF(AND(H3634&lt;&gt;1,I3634&lt;&gt;""),"Nome sem indicação interna",IF(AND(G3634=1,F3634=""),"Fechamento sem conversa",IF(OR(AND(E3634&lt;&gt;"",E3634&lt;B3634),AND(F3634&lt;&gt;"",F3634&lt;B3634)),"Evento anterior à entrada",IF(AND(F3634&lt;&gt;"",E3634=""),"Conversa sem agendamento",IF(OR(E3634&gt;TODAY(),F3634&gt;TODAY()),"Verificar evento futuro","OK"))))))))))</f>
        <v/>
      </c>
    </row>
    <row r="3635" spans="12:15">
      <c r="L3635" s="5">
        <f>IF(OR(A3635="",B3635=""),"",B3635-WEEKDAY(B3635,2)+1)</f>
        <v/>
      </c>
      <c r="M3635" s="5">
        <f>IF(L3635="","",L3635+6)</f>
        <v/>
      </c>
      <c r="N3635" s="6">
        <f>IF(OR(A3635="",B3635=""),"",DATE(YEAR(B3635),MONTH(B3635),1))</f>
        <v/>
      </c>
      <c r="O3635" s="7">
        <f>IF(COUNTA(A3635:K3635)=0,"",IF(OR(A3635="",B3635=""),"Preencher CPF e entrada",IF(COUNTIFS($A$12:$A$5011,A3635,$B$12:$B$5011,B3635)&gt;1,"CPF + dia duplicado",IF(OR(AND(G3635&lt;&gt;"",G3635&lt;&gt;0,G3635&lt;&gt;1),AND(H3635&lt;&gt;"",H3635&lt;&gt;0,H3635&lt;&gt;1)),"Flags devem ser 0 ou 1",IF(AND(H3635=1,LEN(TRIM(I3635))=0),"Preencher nome do indicante",IF(AND(H3635&lt;&gt;1,I3635&lt;&gt;""),"Nome sem indicação interna",IF(AND(G3635=1,F3635=""),"Fechamento sem conversa",IF(OR(AND(E3635&lt;&gt;"",E3635&lt;B3635),AND(F3635&lt;&gt;"",F3635&lt;B3635)),"Evento anterior à entrada",IF(AND(F3635&lt;&gt;"",E3635=""),"Conversa sem agendamento",IF(OR(E3635&gt;TODAY(),F3635&gt;TODAY()),"Verificar evento futuro","OK"))))))))))</f>
        <v/>
      </c>
    </row>
    <row r="3636" spans="12:15">
      <c r="L3636" s="5">
        <f>IF(OR(A3636="",B3636=""),"",B3636-WEEKDAY(B3636,2)+1)</f>
        <v/>
      </c>
      <c r="M3636" s="5">
        <f>IF(L3636="","",L3636+6)</f>
        <v/>
      </c>
      <c r="N3636" s="6">
        <f>IF(OR(A3636="",B3636=""),"",DATE(YEAR(B3636),MONTH(B3636),1))</f>
        <v/>
      </c>
      <c r="O3636" s="7">
        <f>IF(COUNTA(A3636:K3636)=0,"",IF(OR(A3636="",B3636=""),"Preencher CPF e entrada",IF(COUNTIFS($A$12:$A$5011,A3636,$B$12:$B$5011,B3636)&gt;1,"CPF + dia duplicado",IF(OR(AND(G3636&lt;&gt;"",G3636&lt;&gt;0,G3636&lt;&gt;1),AND(H3636&lt;&gt;"",H3636&lt;&gt;0,H3636&lt;&gt;1)),"Flags devem ser 0 ou 1",IF(AND(H3636=1,LEN(TRIM(I3636))=0),"Preencher nome do indicante",IF(AND(H3636&lt;&gt;1,I3636&lt;&gt;""),"Nome sem indicação interna",IF(AND(G3636=1,F3636=""),"Fechamento sem conversa",IF(OR(AND(E3636&lt;&gt;"",E3636&lt;B3636),AND(F3636&lt;&gt;"",F3636&lt;B3636)),"Evento anterior à entrada",IF(AND(F3636&lt;&gt;"",E3636=""),"Conversa sem agendamento",IF(OR(E3636&gt;TODAY(),F3636&gt;TODAY()),"Verificar evento futuro","OK"))))))))))</f>
        <v/>
      </c>
    </row>
    <row r="3637" spans="12:15">
      <c r="L3637" s="5">
        <f>IF(OR(A3637="",B3637=""),"",B3637-WEEKDAY(B3637,2)+1)</f>
        <v/>
      </c>
      <c r="M3637" s="5">
        <f>IF(L3637="","",L3637+6)</f>
        <v/>
      </c>
      <c r="N3637" s="6">
        <f>IF(OR(A3637="",B3637=""),"",DATE(YEAR(B3637),MONTH(B3637),1))</f>
        <v/>
      </c>
      <c r="O3637" s="7">
        <f>IF(COUNTA(A3637:K3637)=0,"",IF(OR(A3637="",B3637=""),"Preencher CPF e entrada",IF(COUNTIFS($A$12:$A$5011,A3637,$B$12:$B$5011,B3637)&gt;1,"CPF + dia duplicado",IF(OR(AND(G3637&lt;&gt;"",G3637&lt;&gt;0,G3637&lt;&gt;1),AND(H3637&lt;&gt;"",H3637&lt;&gt;0,H3637&lt;&gt;1)),"Flags devem ser 0 ou 1",IF(AND(H3637=1,LEN(TRIM(I3637))=0),"Preencher nome do indicante",IF(AND(H3637&lt;&gt;1,I3637&lt;&gt;""),"Nome sem indicação interna",IF(AND(G3637=1,F3637=""),"Fechamento sem conversa",IF(OR(AND(E3637&lt;&gt;"",E3637&lt;B3637),AND(F3637&lt;&gt;"",F3637&lt;B3637)),"Evento anterior à entrada",IF(AND(F3637&lt;&gt;"",E3637=""),"Conversa sem agendamento",IF(OR(E3637&gt;TODAY(),F3637&gt;TODAY()),"Verificar evento futuro","OK"))))))))))</f>
        <v/>
      </c>
    </row>
    <row r="3638" spans="12:15">
      <c r="L3638" s="5">
        <f>IF(OR(A3638="",B3638=""),"",B3638-WEEKDAY(B3638,2)+1)</f>
        <v/>
      </c>
      <c r="M3638" s="5">
        <f>IF(L3638="","",L3638+6)</f>
        <v/>
      </c>
      <c r="N3638" s="6">
        <f>IF(OR(A3638="",B3638=""),"",DATE(YEAR(B3638),MONTH(B3638),1))</f>
        <v/>
      </c>
      <c r="O3638" s="7">
        <f>IF(COUNTA(A3638:K3638)=0,"",IF(OR(A3638="",B3638=""),"Preencher CPF e entrada",IF(COUNTIFS($A$12:$A$5011,A3638,$B$12:$B$5011,B3638)&gt;1,"CPF + dia duplicado",IF(OR(AND(G3638&lt;&gt;"",G3638&lt;&gt;0,G3638&lt;&gt;1),AND(H3638&lt;&gt;"",H3638&lt;&gt;0,H3638&lt;&gt;1)),"Flags devem ser 0 ou 1",IF(AND(H3638=1,LEN(TRIM(I3638))=0),"Preencher nome do indicante",IF(AND(H3638&lt;&gt;1,I3638&lt;&gt;""),"Nome sem indicação interna",IF(AND(G3638=1,F3638=""),"Fechamento sem conversa",IF(OR(AND(E3638&lt;&gt;"",E3638&lt;B3638),AND(F3638&lt;&gt;"",F3638&lt;B3638)),"Evento anterior à entrada",IF(AND(F3638&lt;&gt;"",E3638=""),"Conversa sem agendamento",IF(OR(E3638&gt;TODAY(),F3638&gt;TODAY()),"Verificar evento futuro","OK"))))))))))</f>
        <v/>
      </c>
    </row>
    <row r="3639" spans="12:15">
      <c r="L3639" s="5">
        <f>IF(OR(A3639="",B3639=""),"",B3639-WEEKDAY(B3639,2)+1)</f>
        <v/>
      </c>
      <c r="M3639" s="5">
        <f>IF(L3639="","",L3639+6)</f>
        <v/>
      </c>
      <c r="N3639" s="6">
        <f>IF(OR(A3639="",B3639=""),"",DATE(YEAR(B3639),MONTH(B3639),1))</f>
        <v/>
      </c>
      <c r="O3639" s="7">
        <f>IF(COUNTA(A3639:K3639)=0,"",IF(OR(A3639="",B3639=""),"Preencher CPF e entrada",IF(COUNTIFS($A$12:$A$5011,A3639,$B$12:$B$5011,B3639)&gt;1,"CPF + dia duplicado",IF(OR(AND(G3639&lt;&gt;"",G3639&lt;&gt;0,G3639&lt;&gt;1),AND(H3639&lt;&gt;"",H3639&lt;&gt;0,H3639&lt;&gt;1)),"Flags devem ser 0 ou 1",IF(AND(H3639=1,LEN(TRIM(I3639))=0),"Preencher nome do indicante",IF(AND(H3639&lt;&gt;1,I3639&lt;&gt;""),"Nome sem indicação interna",IF(AND(G3639=1,F3639=""),"Fechamento sem conversa",IF(OR(AND(E3639&lt;&gt;"",E3639&lt;B3639),AND(F3639&lt;&gt;"",F3639&lt;B3639)),"Evento anterior à entrada",IF(AND(F3639&lt;&gt;"",E3639=""),"Conversa sem agendamento",IF(OR(E3639&gt;TODAY(),F3639&gt;TODAY()),"Verificar evento futuro","OK"))))))))))</f>
        <v/>
      </c>
    </row>
    <row r="3640" spans="12:15">
      <c r="L3640" s="5">
        <f>IF(OR(A3640="",B3640=""),"",B3640-WEEKDAY(B3640,2)+1)</f>
        <v/>
      </c>
      <c r="M3640" s="5">
        <f>IF(L3640="","",L3640+6)</f>
        <v/>
      </c>
      <c r="N3640" s="6">
        <f>IF(OR(A3640="",B3640=""),"",DATE(YEAR(B3640),MONTH(B3640),1))</f>
        <v/>
      </c>
      <c r="O3640" s="7">
        <f>IF(COUNTA(A3640:K3640)=0,"",IF(OR(A3640="",B3640=""),"Preencher CPF e entrada",IF(COUNTIFS($A$12:$A$5011,A3640,$B$12:$B$5011,B3640)&gt;1,"CPF + dia duplicado",IF(OR(AND(G3640&lt;&gt;"",G3640&lt;&gt;0,G3640&lt;&gt;1),AND(H3640&lt;&gt;"",H3640&lt;&gt;0,H3640&lt;&gt;1)),"Flags devem ser 0 ou 1",IF(AND(H3640=1,LEN(TRIM(I3640))=0),"Preencher nome do indicante",IF(AND(H3640&lt;&gt;1,I3640&lt;&gt;""),"Nome sem indicação interna",IF(AND(G3640=1,F3640=""),"Fechamento sem conversa",IF(OR(AND(E3640&lt;&gt;"",E3640&lt;B3640),AND(F3640&lt;&gt;"",F3640&lt;B3640)),"Evento anterior à entrada",IF(AND(F3640&lt;&gt;"",E3640=""),"Conversa sem agendamento",IF(OR(E3640&gt;TODAY(),F3640&gt;TODAY()),"Verificar evento futuro","OK"))))))))))</f>
        <v/>
      </c>
    </row>
    <row r="3641" spans="12:15">
      <c r="L3641" s="5">
        <f>IF(OR(A3641="",B3641=""),"",B3641-WEEKDAY(B3641,2)+1)</f>
        <v/>
      </c>
      <c r="M3641" s="5">
        <f>IF(L3641="","",L3641+6)</f>
        <v/>
      </c>
      <c r="N3641" s="6">
        <f>IF(OR(A3641="",B3641=""),"",DATE(YEAR(B3641),MONTH(B3641),1))</f>
        <v/>
      </c>
      <c r="O3641" s="7">
        <f>IF(COUNTA(A3641:K3641)=0,"",IF(OR(A3641="",B3641=""),"Preencher CPF e entrada",IF(COUNTIFS($A$12:$A$5011,A3641,$B$12:$B$5011,B3641)&gt;1,"CPF + dia duplicado",IF(OR(AND(G3641&lt;&gt;"",G3641&lt;&gt;0,G3641&lt;&gt;1),AND(H3641&lt;&gt;"",H3641&lt;&gt;0,H3641&lt;&gt;1)),"Flags devem ser 0 ou 1",IF(AND(H3641=1,LEN(TRIM(I3641))=0),"Preencher nome do indicante",IF(AND(H3641&lt;&gt;1,I3641&lt;&gt;""),"Nome sem indicação interna",IF(AND(G3641=1,F3641=""),"Fechamento sem conversa",IF(OR(AND(E3641&lt;&gt;"",E3641&lt;B3641),AND(F3641&lt;&gt;"",F3641&lt;B3641)),"Evento anterior à entrada",IF(AND(F3641&lt;&gt;"",E3641=""),"Conversa sem agendamento",IF(OR(E3641&gt;TODAY(),F3641&gt;TODAY()),"Verificar evento futuro","OK"))))))))))</f>
        <v/>
      </c>
    </row>
    <row r="3642" spans="12:15">
      <c r="L3642" s="5">
        <f>IF(OR(A3642="",B3642=""),"",B3642-WEEKDAY(B3642,2)+1)</f>
        <v/>
      </c>
      <c r="M3642" s="5">
        <f>IF(L3642="","",L3642+6)</f>
        <v/>
      </c>
      <c r="N3642" s="6">
        <f>IF(OR(A3642="",B3642=""),"",DATE(YEAR(B3642),MONTH(B3642),1))</f>
        <v/>
      </c>
      <c r="O3642" s="7">
        <f>IF(COUNTA(A3642:K3642)=0,"",IF(OR(A3642="",B3642=""),"Preencher CPF e entrada",IF(COUNTIFS($A$12:$A$5011,A3642,$B$12:$B$5011,B3642)&gt;1,"CPF + dia duplicado",IF(OR(AND(G3642&lt;&gt;"",G3642&lt;&gt;0,G3642&lt;&gt;1),AND(H3642&lt;&gt;"",H3642&lt;&gt;0,H3642&lt;&gt;1)),"Flags devem ser 0 ou 1",IF(AND(H3642=1,LEN(TRIM(I3642))=0),"Preencher nome do indicante",IF(AND(H3642&lt;&gt;1,I3642&lt;&gt;""),"Nome sem indicação interna",IF(AND(G3642=1,F3642=""),"Fechamento sem conversa",IF(OR(AND(E3642&lt;&gt;"",E3642&lt;B3642),AND(F3642&lt;&gt;"",F3642&lt;B3642)),"Evento anterior à entrada",IF(AND(F3642&lt;&gt;"",E3642=""),"Conversa sem agendamento",IF(OR(E3642&gt;TODAY(),F3642&gt;TODAY()),"Verificar evento futuro","OK"))))))))))</f>
        <v/>
      </c>
    </row>
    <row r="3643" spans="12:15">
      <c r="L3643" s="5">
        <f>IF(OR(A3643="",B3643=""),"",B3643-WEEKDAY(B3643,2)+1)</f>
        <v/>
      </c>
      <c r="M3643" s="5">
        <f>IF(L3643="","",L3643+6)</f>
        <v/>
      </c>
      <c r="N3643" s="6">
        <f>IF(OR(A3643="",B3643=""),"",DATE(YEAR(B3643),MONTH(B3643),1))</f>
        <v/>
      </c>
      <c r="O3643" s="7">
        <f>IF(COUNTA(A3643:K3643)=0,"",IF(OR(A3643="",B3643=""),"Preencher CPF e entrada",IF(COUNTIFS($A$12:$A$5011,A3643,$B$12:$B$5011,B3643)&gt;1,"CPF + dia duplicado",IF(OR(AND(G3643&lt;&gt;"",G3643&lt;&gt;0,G3643&lt;&gt;1),AND(H3643&lt;&gt;"",H3643&lt;&gt;0,H3643&lt;&gt;1)),"Flags devem ser 0 ou 1",IF(AND(H3643=1,LEN(TRIM(I3643))=0),"Preencher nome do indicante",IF(AND(H3643&lt;&gt;1,I3643&lt;&gt;""),"Nome sem indicação interna",IF(AND(G3643=1,F3643=""),"Fechamento sem conversa",IF(OR(AND(E3643&lt;&gt;"",E3643&lt;B3643),AND(F3643&lt;&gt;"",F3643&lt;B3643)),"Evento anterior à entrada",IF(AND(F3643&lt;&gt;"",E3643=""),"Conversa sem agendamento",IF(OR(E3643&gt;TODAY(),F3643&gt;TODAY()),"Verificar evento futuro","OK"))))))))))</f>
        <v/>
      </c>
    </row>
    <row r="3644" spans="12:15">
      <c r="L3644" s="5">
        <f>IF(OR(A3644="",B3644=""),"",B3644-WEEKDAY(B3644,2)+1)</f>
        <v/>
      </c>
      <c r="M3644" s="5">
        <f>IF(L3644="","",L3644+6)</f>
        <v/>
      </c>
      <c r="N3644" s="6">
        <f>IF(OR(A3644="",B3644=""),"",DATE(YEAR(B3644),MONTH(B3644),1))</f>
        <v/>
      </c>
      <c r="O3644" s="7">
        <f>IF(COUNTA(A3644:K3644)=0,"",IF(OR(A3644="",B3644=""),"Preencher CPF e entrada",IF(COUNTIFS($A$12:$A$5011,A3644,$B$12:$B$5011,B3644)&gt;1,"CPF + dia duplicado",IF(OR(AND(G3644&lt;&gt;"",G3644&lt;&gt;0,G3644&lt;&gt;1),AND(H3644&lt;&gt;"",H3644&lt;&gt;0,H3644&lt;&gt;1)),"Flags devem ser 0 ou 1",IF(AND(H3644=1,LEN(TRIM(I3644))=0),"Preencher nome do indicante",IF(AND(H3644&lt;&gt;1,I3644&lt;&gt;""),"Nome sem indicação interna",IF(AND(G3644=1,F3644=""),"Fechamento sem conversa",IF(OR(AND(E3644&lt;&gt;"",E3644&lt;B3644),AND(F3644&lt;&gt;"",F3644&lt;B3644)),"Evento anterior à entrada",IF(AND(F3644&lt;&gt;"",E3644=""),"Conversa sem agendamento",IF(OR(E3644&gt;TODAY(),F3644&gt;TODAY()),"Verificar evento futuro","OK"))))))))))</f>
        <v/>
      </c>
    </row>
    <row r="3645" spans="12:15">
      <c r="L3645" s="5">
        <f>IF(OR(A3645="",B3645=""),"",B3645-WEEKDAY(B3645,2)+1)</f>
        <v/>
      </c>
      <c r="M3645" s="5">
        <f>IF(L3645="","",L3645+6)</f>
        <v/>
      </c>
      <c r="N3645" s="6">
        <f>IF(OR(A3645="",B3645=""),"",DATE(YEAR(B3645),MONTH(B3645),1))</f>
        <v/>
      </c>
      <c r="O3645" s="7">
        <f>IF(COUNTA(A3645:K3645)=0,"",IF(OR(A3645="",B3645=""),"Preencher CPF e entrada",IF(COUNTIFS($A$12:$A$5011,A3645,$B$12:$B$5011,B3645)&gt;1,"CPF + dia duplicado",IF(OR(AND(G3645&lt;&gt;"",G3645&lt;&gt;0,G3645&lt;&gt;1),AND(H3645&lt;&gt;"",H3645&lt;&gt;0,H3645&lt;&gt;1)),"Flags devem ser 0 ou 1",IF(AND(H3645=1,LEN(TRIM(I3645))=0),"Preencher nome do indicante",IF(AND(H3645&lt;&gt;1,I3645&lt;&gt;""),"Nome sem indicação interna",IF(AND(G3645=1,F3645=""),"Fechamento sem conversa",IF(OR(AND(E3645&lt;&gt;"",E3645&lt;B3645),AND(F3645&lt;&gt;"",F3645&lt;B3645)),"Evento anterior à entrada",IF(AND(F3645&lt;&gt;"",E3645=""),"Conversa sem agendamento",IF(OR(E3645&gt;TODAY(),F3645&gt;TODAY()),"Verificar evento futuro","OK"))))))))))</f>
        <v/>
      </c>
    </row>
    <row r="3646" spans="12:15">
      <c r="L3646" s="5">
        <f>IF(OR(A3646="",B3646=""),"",B3646-WEEKDAY(B3646,2)+1)</f>
        <v/>
      </c>
      <c r="M3646" s="5">
        <f>IF(L3646="","",L3646+6)</f>
        <v/>
      </c>
      <c r="N3646" s="6">
        <f>IF(OR(A3646="",B3646=""),"",DATE(YEAR(B3646),MONTH(B3646),1))</f>
        <v/>
      </c>
      <c r="O3646" s="7">
        <f>IF(COUNTA(A3646:K3646)=0,"",IF(OR(A3646="",B3646=""),"Preencher CPF e entrada",IF(COUNTIFS($A$12:$A$5011,A3646,$B$12:$B$5011,B3646)&gt;1,"CPF + dia duplicado",IF(OR(AND(G3646&lt;&gt;"",G3646&lt;&gt;0,G3646&lt;&gt;1),AND(H3646&lt;&gt;"",H3646&lt;&gt;0,H3646&lt;&gt;1)),"Flags devem ser 0 ou 1",IF(AND(H3646=1,LEN(TRIM(I3646))=0),"Preencher nome do indicante",IF(AND(H3646&lt;&gt;1,I3646&lt;&gt;""),"Nome sem indicação interna",IF(AND(G3646=1,F3646=""),"Fechamento sem conversa",IF(OR(AND(E3646&lt;&gt;"",E3646&lt;B3646),AND(F3646&lt;&gt;"",F3646&lt;B3646)),"Evento anterior à entrada",IF(AND(F3646&lt;&gt;"",E3646=""),"Conversa sem agendamento",IF(OR(E3646&gt;TODAY(),F3646&gt;TODAY()),"Verificar evento futuro","OK"))))))))))</f>
        <v/>
      </c>
    </row>
    <row r="3647" spans="12:15">
      <c r="L3647" s="5">
        <f>IF(OR(A3647="",B3647=""),"",B3647-WEEKDAY(B3647,2)+1)</f>
        <v/>
      </c>
      <c r="M3647" s="5">
        <f>IF(L3647="","",L3647+6)</f>
        <v/>
      </c>
      <c r="N3647" s="6">
        <f>IF(OR(A3647="",B3647=""),"",DATE(YEAR(B3647),MONTH(B3647),1))</f>
        <v/>
      </c>
      <c r="O3647" s="7">
        <f>IF(COUNTA(A3647:K3647)=0,"",IF(OR(A3647="",B3647=""),"Preencher CPF e entrada",IF(COUNTIFS($A$12:$A$5011,A3647,$B$12:$B$5011,B3647)&gt;1,"CPF + dia duplicado",IF(OR(AND(G3647&lt;&gt;"",G3647&lt;&gt;0,G3647&lt;&gt;1),AND(H3647&lt;&gt;"",H3647&lt;&gt;0,H3647&lt;&gt;1)),"Flags devem ser 0 ou 1",IF(AND(H3647=1,LEN(TRIM(I3647))=0),"Preencher nome do indicante",IF(AND(H3647&lt;&gt;1,I3647&lt;&gt;""),"Nome sem indicação interna",IF(AND(G3647=1,F3647=""),"Fechamento sem conversa",IF(OR(AND(E3647&lt;&gt;"",E3647&lt;B3647),AND(F3647&lt;&gt;"",F3647&lt;B3647)),"Evento anterior à entrada",IF(AND(F3647&lt;&gt;"",E3647=""),"Conversa sem agendamento",IF(OR(E3647&gt;TODAY(),F3647&gt;TODAY()),"Verificar evento futuro","OK"))))))))))</f>
        <v/>
      </c>
    </row>
    <row r="3648" spans="12:15">
      <c r="L3648" s="5">
        <f>IF(OR(A3648="",B3648=""),"",B3648-WEEKDAY(B3648,2)+1)</f>
        <v/>
      </c>
      <c r="M3648" s="5">
        <f>IF(L3648="","",L3648+6)</f>
        <v/>
      </c>
      <c r="N3648" s="6">
        <f>IF(OR(A3648="",B3648=""),"",DATE(YEAR(B3648),MONTH(B3648),1))</f>
        <v/>
      </c>
      <c r="O3648" s="7">
        <f>IF(COUNTA(A3648:K3648)=0,"",IF(OR(A3648="",B3648=""),"Preencher CPF e entrada",IF(COUNTIFS($A$12:$A$5011,A3648,$B$12:$B$5011,B3648)&gt;1,"CPF + dia duplicado",IF(OR(AND(G3648&lt;&gt;"",G3648&lt;&gt;0,G3648&lt;&gt;1),AND(H3648&lt;&gt;"",H3648&lt;&gt;0,H3648&lt;&gt;1)),"Flags devem ser 0 ou 1",IF(AND(H3648=1,LEN(TRIM(I3648))=0),"Preencher nome do indicante",IF(AND(H3648&lt;&gt;1,I3648&lt;&gt;""),"Nome sem indicação interna",IF(AND(G3648=1,F3648=""),"Fechamento sem conversa",IF(OR(AND(E3648&lt;&gt;"",E3648&lt;B3648),AND(F3648&lt;&gt;"",F3648&lt;B3648)),"Evento anterior à entrada",IF(AND(F3648&lt;&gt;"",E3648=""),"Conversa sem agendamento",IF(OR(E3648&gt;TODAY(),F3648&gt;TODAY()),"Verificar evento futuro","OK"))))))))))</f>
        <v/>
      </c>
    </row>
    <row r="3649" spans="12:15">
      <c r="L3649" s="5">
        <f>IF(OR(A3649="",B3649=""),"",B3649-WEEKDAY(B3649,2)+1)</f>
        <v/>
      </c>
      <c r="M3649" s="5">
        <f>IF(L3649="","",L3649+6)</f>
        <v/>
      </c>
      <c r="N3649" s="6">
        <f>IF(OR(A3649="",B3649=""),"",DATE(YEAR(B3649),MONTH(B3649),1))</f>
        <v/>
      </c>
      <c r="O3649" s="7">
        <f>IF(COUNTA(A3649:K3649)=0,"",IF(OR(A3649="",B3649=""),"Preencher CPF e entrada",IF(COUNTIFS($A$12:$A$5011,A3649,$B$12:$B$5011,B3649)&gt;1,"CPF + dia duplicado",IF(OR(AND(G3649&lt;&gt;"",G3649&lt;&gt;0,G3649&lt;&gt;1),AND(H3649&lt;&gt;"",H3649&lt;&gt;0,H3649&lt;&gt;1)),"Flags devem ser 0 ou 1",IF(AND(H3649=1,LEN(TRIM(I3649))=0),"Preencher nome do indicante",IF(AND(H3649&lt;&gt;1,I3649&lt;&gt;""),"Nome sem indicação interna",IF(AND(G3649=1,F3649=""),"Fechamento sem conversa",IF(OR(AND(E3649&lt;&gt;"",E3649&lt;B3649),AND(F3649&lt;&gt;"",F3649&lt;B3649)),"Evento anterior à entrada",IF(AND(F3649&lt;&gt;"",E3649=""),"Conversa sem agendamento",IF(OR(E3649&gt;TODAY(),F3649&gt;TODAY()),"Verificar evento futuro","OK"))))))))))</f>
        <v/>
      </c>
    </row>
    <row r="3650" spans="12:15">
      <c r="L3650" s="5">
        <f>IF(OR(A3650="",B3650=""),"",B3650-WEEKDAY(B3650,2)+1)</f>
        <v/>
      </c>
      <c r="M3650" s="5">
        <f>IF(L3650="","",L3650+6)</f>
        <v/>
      </c>
      <c r="N3650" s="6">
        <f>IF(OR(A3650="",B3650=""),"",DATE(YEAR(B3650),MONTH(B3650),1))</f>
        <v/>
      </c>
      <c r="O3650" s="7">
        <f>IF(COUNTA(A3650:K3650)=0,"",IF(OR(A3650="",B3650=""),"Preencher CPF e entrada",IF(COUNTIFS($A$12:$A$5011,A3650,$B$12:$B$5011,B3650)&gt;1,"CPF + dia duplicado",IF(OR(AND(G3650&lt;&gt;"",G3650&lt;&gt;0,G3650&lt;&gt;1),AND(H3650&lt;&gt;"",H3650&lt;&gt;0,H3650&lt;&gt;1)),"Flags devem ser 0 ou 1",IF(AND(H3650=1,LEN(TRIM(I3650))=0),"Preencher nome do indicante",IF(AND(H3650&lt;&gt;1,I3650&lt;&gt;""),"Nome sem indicação interna",IF(AND(G3650=1,F3650=""),"Fechamento sem conversa",IF(OR(AND(E3650&lt;&gt;"",E3650&lt;B3650),AND(F3650&lt;&gt;"",F3650&lt;B3650)),"Evento anterior à entrada",IF(AND(F3650&lt;&gt;"",E3650=""),"Conversa sem agendamento",IF(OR(E3650&gt;TODAY(),F3650&gt;TODAY()),"Verificar evento futuro","OK"))))))))))</f>
        <v/>
      </c>
    </row>
    <row r="3651" spans="12:15">
      <c r="L3651" s="5">
        <f>IF(OR(A3651="",B3651=""),"",B3651-WEEKDAY(B3651,2)+1)</f>
        <v/>
      </c>
      <c r="M3651" s="5">
        <f>IF(L3651="","",L3651+6)</f>
        <v/>
      </c>
      <c r="N3651" s="6">
        <f>IF(OR(A3651="",B3651=""),"",DATE(YEAR(B3651),MONTH(B3651),1))</f>
        <v/>
      </c>
      <c r="O3651" s="7">
        <f>IF(COUNTA(A3651:K3651)=0,"",IF(OR(A3651="",B3651=""),"Preencher CPF e entrada",IF(COUNTIFS($A$12:$A$5011,A3651,$B$12:$B$5011,B3651)&gt;1,"CPF + dia duplicado",IF(OR(AND(G3651&lt;&gt;"",G3651&lt;&gt;0,G3651&lt;&gt;1),AND(H3651&lt;&gt;"",H3651&lt;&gt;0,H3651&lt;&gt;1)),"Flags devem ser 0 ou 1",IF(AND(H3651=1,LEN(TRIM(I3651))=0),"Preencher nome do indicante",IF(AND(H3651&lt;&gt;1,I3651&lt;&gt;""),"Nome sem indicação interna",IF(AND(G3651=1,F3651=""),"Fechamento sem conversa",IF(OR(AND(E3651&lt;&gt;"",E3651&lt;B3651),AND(F3651&lt;&gt;"",F3651&lt;B3651)),"Evento anterior à entrada",IF(AND(F3651&lt;&gt;"",E3651=""),"Conversa sem agendamento",IF(OR(E3651&gt;TODAY(),F3651&gt;TODAY()),"Verificar evento futuro","OK"))))))))))</f>
        <v/>
      </c>
    </row>
    <row r="3652" spans="12:15">
      <c r="L3652" s="5">
        <f>IF(OR(A3652="",B3652=""),"",B3652-WEEKDAY(B3652,2)+1)</f>
        <v/>
      </c>
      <c r="M3652" s="5">
        <f>IF(L3652="","",L3652+6)</f>
        <v/>
      </c>
      <c r="N3652" s="6">
        <f>IF(OR(A3652="",B3652=""),"",DATE(YEAR(B3652),MONTH(B3652),1))</f>
        <v/>
      </c>
      <c r="O3652" s="7">
        <f>IF(COUNTA(A3652:K3652)=0,"",IF(OR(A3652="",B3652=""),"Preencher CPF e entrada",IF(COUNTIFS($A$12:$A$5011,A3652,$B$12:$B$5011,B3652)&gt;1,"CPF + dia duplicado",IF(OR(AND(G3652&lt;&gt;"",G3652&lt;&gt;0,G3652&lt;&gt;1),AND(H3652&lt;&gt;"",H3652&lt;&gt;0,H3652&lt;&gt;1)),"Flags devem ser 0 ou 1",IF(AND(H3652=1,LEN(TRIM(I3652))=0),"Preencher nome do indicante",IF(AND(H3652&lt;&gt;1,I3652&lt;&gt;""),"Nome sem indicação interna",IF(AND(G3652=1,F3652=""),"Fechamento sem conversa",IF(OR(AND(E3652&lt;&gt;"",E3652&lt;B3652),AND(F3652&lt;&gt;"",F3652&lt;B3652)),"Evento anterior à entrada",IF(AND(F3652&lt;&gt;"",E3652=""),"Conversa sem agendamento",IF(OR(E3652&gt;TODAY(),F3652&gt;TODAY()),"Verificar evento futuro","OK"))))))))))</f>
        <v/>
      </c>
    </row>
    <row r="3653" spans="12:15">
      <c r="L3653" s="5">
        <f>IF(OR(A3653="",B3653=""),"",B3653-WEEKDAY(B3653,2)+1)</f>
        <v/>
      </c>
      <c r="M3653" s="5">
        <f>IF(L3653="","",L3653+6)</f>
        <v/>
      </c>
      <c r="N3653" s="6">
        <f>IF(OR(A3653="",B3653=""),"",DATE(YEAR(B3653),MONTH(B3653),1))</f>
        <v/>
      </c>
      <c r="O3653" s="7">
        <f>IF(COUNTA(A3653:K3653)=0,"",IF(OR(A3653="",B3653=""),"Preencher CPF e entrada",IF(COUNTIFS($A$12:$A$5011,A3653,$B$12:$B$5011,B3653)&gt;1,"CPF + dia duplicado",IF(OR(AND(G3653&lt;&gt;"",G3653&lt;&gt;0,G3653&lt;&gt;1),AND(H3653&lt;&gt;"",H3653&lt;&gt;0,H3653&lt;&gt;1)),"Flags devem ser 0 ou 1",IF(AND(H3653=1,LEN(TRIM(I3653))=0),"Preencher nome do indicante",IF(AND(H3653&lt;&gt;1,I3653&lt;&gt;""),"Nome sem indicação interna",IF(AND(G3653=1,F3653=""),"Fechamento sem conversa",IF(OR(AND(E3653&lt;&gt;"",E3653&lt;B3653),AND(F3653&lt;&gt;"",F3653&lt;B3653)),"Evento anterior à entrada",IF(AND(F3653&lt;&gt;"",E3653=""),"Conversa sem agendamento",IF(OR(E3653&gt;TODAY(),F3653&gt;TODAY()),"Verificar evento futuro","OK"))))))))))</f>
        <v/>
      </c>
    </row>
    <row r="3654" spans="12:15">
      <c r="L3654" s="5">
        <f>IF(OR(A3654="",B3654=""),"",B3654-WEEKDAY(B3654,2)+1)</f>
        <v/>
      </c>
      <c r="M3654" s="5">
        <f>IF(L3654="","",L3654+6)</f>
        <v/>
      </c>
      <c r="N3654" s="6">
        <f>IF(OR(A3654="",B3654=""),"",DATE(YEAR(B3654),MONTH(B3654),1))</f>
        <v/>
      </c>
      <c r="O3654" s="7">
        <f>IF(COUNTA(A3654:K3654)=0,"",IF(OR(A3654="",B3654=""),"Preencher CPF e entrada",IF(COUNTIFS($A$12:$A$5011,A3654,$B$12:$B$5011,B3654)&gt;1,"CPF + dia duplicado",IF(OR(AND(G3654&lt;&gt;"",G3654&lt;&gt;0,G3654&lt;&gt;1),AND(H3654&lt;&gt;"",H3654&lt;&gt;0,H3654&lt;&gt;1)),"Flags devem ser 0 ou 1",IF(AND(H3654=1,LEN(TRIM(I3654))=0),"Preencher nome do indicante",IF(AND(H3654&lt;&gt;1,I3654&lt;&gt;""),"Nome sem indicação interna",IF(AND(G3654=1,F3654=""),"Fechamento sem conversa",IF(OR(AND(E3654&lt;&gt;"",E3654&lt;B3654),AND(F3654&lt;&gt;"",F3654&lt;B3654)),"Evento anterior à entrada",IF(AND(F3654&lt;&gt;"",E3654=""),"Conversa sem agendamento",IF(OR(E3654&gt;TODAY(),F3654&gt;TODAY()),"Verificar evento futuro","OK"))))))))))</f>
        <v/>
      </c>
    </row>
    <row r="3655" spans="12:15">
      <c r="L3655" s="5">
        <f>IF(OR(A3655="",B3655=""),"",B3655-WEEKDAY(B3655,2)+1)</f>
        <v/>
      </c>
      <c r="M3655" s="5">
        <f>IF(L3655="","",L3655+6)</f>
        <v/>
      </c>
      <c r="N3655" s="6">
        <f>IF(OR(A3655="",B3655=""),"",DATE(YEAR(B3655),MONTH(B3655),1))</f>
        <v/>
      </c>
      <c r="O3655" s="7">
        <f>IF(COUNTA(A3655:K3655)=0,"",IF(OR(A3655="",B3655=""),"Preencher CPF e entrada",IF(COUNTIFS($A$12:$A$5011,A3655,$B$12:$B$5011,B3655)&gt;1,"CPF + dia duplicado",IF(OR(AND(G3655&lt;&gt;"",G3655&lt;&gt;0,G3655&lt;&gt;1),AND(H3655&lt;&gt;"",H3655&lt;&gt;0,H3655&lt;&gt;1)),"Flags devem ser 0 ou 1",IF(AND(H3655=1,LEN(TRIM(I3655))=0),"Preencher nome do indicante",IF(AND(H3655&lt;&gt;1,I3655&lt;&gt;""),"Nome sem indicação interna",IF(AND(G3655=1,F3655=""),"Fechamento sem conversa",IF(OR(AND(E3655&lt;&gt;"",E3655&lt;B3655),AND(F3655&lt;&gt;"",F3655&lt;B3655)),"Evento anterior à entrada",IF(AND(F3655&lt;&gt;"",E3655=""),"Conversa sem agendamento",IF(OR(E3655&gt;TODAY(),F3655&gt;TODAY()),"Verificar evento futuro","OK"))))))))))</f>
        <v/>
      </c>
    </row>
    <row r="3656" spans="12:15">
      <c r="L3656" s="5">
        <f>IF(OR(A3656="",B3656=""),"",B3656-WEEKDAY(B3656,2)+1)</f>
        <v/>
      </c>
      <c r="M3656" s="5">
        <f>IF(L3656="","",L3656+6)</f>
        <v/>
      </c>
      <c r="N3656" s="6">
        <f>IF(OR(A3656="",B3656=""),"",DATE(YEAR(B3656),MONTH(B3656),1))</f>
        <v/>
      </c>
      <c r="O3656" s="7">
        <f>IF(COUNTA(A3656:K3656)=0,"",IF(OR(A3656="",B3656=""),"Preencher CPF e entrada",IF(COUNTIFS($A$12:$A$5011,A3656,$B$12:$B$5011,B3656)&gt;1,"CPF + dia duplicado",IF(OR(AND(G3656&lt;&gt;"",G3656&lt;&gt;0,G3656&lt;&gt;1),AND(H3656&lt;&gt;"",H3656&lt;&gt;0,H3656&lt;&gt;1)),"Flags devem ser 0 ou 1",IF(AND(H3656=1,LEN(TRIM(I3656))=0),"Preencher nome do indicante",IF(AND(H3656&lt;&gt;1,I3656&lt;&gt;""),"Nome sem indicação interna",IF(AND(G3656=1,F3656=""),"Fechamento sem conversa",IF(OR(AND(E3656&lt;&gt;"",E3656&lt;B3656),AND(F3656&lt;&gt;"",F3656&lt;B3656)),"Evento anterior à entrada",IF(AND(F3656&lt;&gt;"",E3656=""),"Conversa sem agendamento",IF(OR(E3656&gt;TODAY(),F3656&gt;TODAY()),"Verificar evento futuro","OK"))))))))))</f>
        <v/>
      </c>
    </row>
    <row r="3657" spans="12:15">
      <c r="L3657" s="5">
        <f>IF(OR(A3657="",B3657=""),"",B3657-WEEKDAY(B3657,2)+1)</f>
        <v/>
      </c>
      <c r="M3657" s="5">
        <f>IF(L3657="","",L3657+6)</f>
        <v/>
      </c>
      <c r="N3657" s="6">
        <f>IF(OR(A3657="",B3657=""),"",DATE(YEAR(B3657),MONTH(B3657),1))</f>
        <v/>
      </c>
      <c r="O3657" s="7">
        <f>IF(COUNTA(A3657:K3657)=0,"",IF(OR(A3657="",B3657=""),"Preencher CPF e entrada",IF(COUNTIFS($A$12:$A$5011,A3657,$B$12:$B$5011,B3657)&gt;1,"CPF + dia duplicado",IF(OR(AND(G3657&lt;&gt;"",G3657&lt;&gt;0,G3657&lt;&gt;1),AND(H3657&lt;&gt;"",H3657&lt;&gt;0,H3657&lt;&gt;1)),"Flags devem ser 0 ou 1",IF(AND(H3657=1,LEN(TRIM(I3657))=0),"Preencher nome do indicante",IF(AND(H3657&lt;&gt;1,I3657&lt;&gt;""),"Nome sem indicação interna",IF(AND(G3657=1,F3657=""),"Fechamento sem conversa",IF(OR(AND(E3657&lt;&gt;"",E3657&lt;B3657),AND(F3657&lt;&gt;"",F3657&lt;B3657)),"Evento anterior à entrada",IF(AND(F3657&lt;&gt;"",E3657=""),"Conversa sem agendamento",IF(OR(E3657&gt;TODAY(),F3657&gt;TODAY()),"Verificar evento futuro","OK"))))))))))</f>
        <v/>
      </c>
    </row>
    <row r="3658" spans="12:15">
      <c r="L3658" s="5">
        <f>IF(OR(A3658="",B3658=""),"",B3658-WEEKDAY(B3658,2)+1)</f>
        <v/>
      </c>
      <c r="M3658" s="5">
        <f>IF(L3658="","",L3658+6)</f>
        <v/>
      </c>
      <c r="N3658" s="6">
        <f>IF(OR(A3658="",B3658=""),"",DATE(YEAR(B3658),MONTH(B3658),1))</f>
        <v/>
      </c>
      <c r="O3658" s="7">
        <f>IF(COUNTA(A3658:K3658)=0,"",IF(OR(A3658="",B3658=""),"Preencher CPF e entrada",IF(COUNTIFS($A$12:$A$5011,A3658,$B$12:$B$5011,B3658)&gt;1,"CPF + dia duplicado",IF(OR(AND(G3658&lt;&gt;"",G3658&lt;&gt;0,G3658&lt;&gt;1),AND(H3658&lt;&gt;"",H3658&lt;&gt;0,H3658&lt;&gt;1)),"Flags devem ser 0 ou 1",IF(AND(H3658=1,LEN(TRIM(I3658))=0),"Preencher nome do indicante",IF(AND(H3658&lt;&gt;1,I3658&lt;&gt;""),"Nome sem indicação interna",IF(AND(G3658=1,F3658=""),"Fechamento sem conversa",IF(OR(AND(E3658&lt;&gt;"",E3658&lt;B3658),AND(F3658&lt;&gt;"",F3658&lt;B3658)),"Evento anterior à entrada",IF(AND(F3658&lt;&gt;"",E3658=""),"Conversa sem agendamento",IF(OR(E3658&gt;TODAY(),F3658&gt;TODAY()),"Verificar evento futuro","OK"))))))))))</f>
        <v/>
      </c>
    </row>
    <row r="3659" spans="12:15">
      <c r="L3659" s="5">
        <f>IF(OR(A3659="",B3659=""),"",B3659-WEEKDAY(B3659,2)+1)</f>
        <v/>
      </c>
      <c r="M3659" s="5">
        <f>IF(L3659="","",L3659+6)</f>
        <v/>
      </c>
      <c r="N3659" s="6">
        <f>IF(OR(A3659="",B3659=""),"",DATE(YEAR(B3659),MONTH(B3659),1))</f>
        <v/>
      </c>
      <c r="O3659" s="7">
        <f>IF(COUNTA(A3659:K3659)=0,"",IF(OR(A3659="",B3659=""),"Preencher CPF e entrada",IF(COUNTIFS($A$12:$A$5011,A3659,$B$12:$B$5011,B3659)&gt;1,"CPF + dia duplicado",IF(OR(AND(G3659&lt;&gt;"",G3659&lt;&gt;0,G3659&lt;&gt;1),AND(H3659&lt;&gt;"",H3659&lt;&gt;0,H3659&lt;&gt;1)),"Flags devem ser 0 ou 1",IF(AND(H3659=1,LEN(TRIM(I3659))=0),"Preencher nome do indicante",IF(AND(H3659&lt;&gt;1,I3659&lt;&gt;""),"Nome sem indicação interna",IF(AND(G3659=1,F3659=""),"Fechamento sem conversa",IF(OR(AND(E3659&lt;&gt;"",E3659&lt;B3659),AND(F3659&lt;&gt;"",F3659&lt;B3659)),"Evento anterior à entrada",IF(AND(F3659&lt;&gt;"",E3659=""),"Conversa sem agendamento",IF(OR(E3659&gt;TODAY(),F3659&gt;TODAY()),"Verificar evento futuro","OK"))))))))))</f>
        <v/>
      </c>
    </row>
    <row r="3660" spans="12:15">
      <c r="L3660" s="5">
        <f>IF(OR(A3660="",B3660=""),"",B3660-WEEKDAY(B3660,2)+1)</f>
        <v/>
      </c>
      <c r="M3660" s="5">
        <f>IF(L3660="","",L3660+6)</f>
        <v/>
      </c>
      <c r="N3660" s="6">
        <f>IF(OR(A3660="",B3660=""),"",DATE(YEAR(B3660),MONTH(B3660),1))</f>
        <v/>
      </c>
      <c r="O3660" s="7">
        <f>IF(COUNTA(A3660:K3660)=0,"",IF(OR(A3660="",B3660=""),"Preencher CPF e entrada",IF(COUNTIFS($A$12:$A$5011,A3660,$B$12:$B$5011,B3660)&gt;1,"CPF + dia duplicado",IF(OR(AND(G3660&lt;&gt;"",G3660&lt;&gt;0,G3660&lt;&gt;1),AND(H3660&lt;&gt;"",H3660&lt;&gt;0,H3660&lt;&gt;1)),"Flags devem ser 0 ou 1",IF(AND(H3660=1,LEN(TRIM(I3660))=0),"Preencher nome do indicante",IF(AND(H3660&lt;&gt;1,I3660&lt;&gt;""),"Nome sem indicação interna",IF(AND(G3660=1,F3660=""),"Fechamento sem conversa",IF(OR(AND(E3660&lt;&gt;"",E3660&lt;B3660),AND(F3660&lt;&gt;"",F3660&lt;B3660)),"Evento anterior à entrada",IF(AND(F3660&lt;&gt;"",E3660=""),"Conversa sem agendamento",IF(OR(E3660&gt;TODAY(),F3660&gt;TODAY()),"Verificar evento futuro","OK"))))))))))</f>
        <v/>
      </c>
    </row>
    <row r="3661" spans="12:15">
      <c r="L3661" s="5">
        <f>IF(OR(A3661="",B3661=""),"",B3661-WEEKDAY(B3661,2)+1)</f>
        <v/>
      </c>
      <c r="M3661" s="5">
        <f>IF(L3661="","",L3661+6)</f>
        <v/>
      </c>
      <c r="N3661" s="6">
        <f>IF(OR(A3661="",B3661=""),"",DATE(YEAR(B3661),MONTH(B3661),1))</f>
        <v/>
      </c>
      <c r="O3661" s="7">
        <f>IF(COUNTA(A3661:K3661)=0,"",IF(OR(A3661="",B3661=""),"Preencher CPF e entrada",IF(COUNTIFS($A$12:$A$5011,A3661,$B$12:$B$5011,B3661)&gt;1,"CPF + dia duplicado",IF(OR(AND(G3661&lt;&gt;"",G3661&lt;&gt;0,G3661&lt;&gt;1),AND(H3661&lt;&gt;"",H3661&lt;&gt;0,H3661&lt;&gt;1)),"Flags devem ser 0 ou 1",IF(AND(H3661=1,LEN(TRIM(I3661))=0),"Preencher nome do indicante",IF(AND(H3661&lt;&gt;1,I3661&lt;&gt;""),"Nome sem indicação interna",IF(AND(G3661=1,F3661=""),"Fechamento sem conversa",IF(OR(AND(E3661&lt;&gt;"",E3661&lt;B3661),AND(F3661&lt;&gt;"",F3661&lt;B3661)),"Evento anterior à entrada",IF(AND(F3661&lt;&gt;"",E3661=""),"Conversa sem agendamento",IF(OR(E3661&gt;TODAY(),F3661&gt;TODAY()),"Verificar evento futuro","OK"))))))))))</f>
        <v/>
      </c>
    </row>
    <row r="3662" spans="12:15">
      <c r="L3662" s="5">
        <f>IF(OR(A3662="",B3662=""),"",B3662-WEEKDAY(B3662,2)+1)</f>
        <v/>
      </c>
      <c r="M3662" s="5">
        <f>IF(L3662="","",L3662+6)</f>
        <v/>
      </c>
      <c r="N3662" s="6">
        <f>IF(OR(A3662="",B3662=""),"",DATE(YEAR(B3662),MONTH(B3662),1))</f>
        <v/>
      </c>
      <c r="O3662" s="7">
        <f>IF(COUNTA(A3662:K3662)=0,"",IF(OR(A3662="",B3662=""),"Preencher CPF e entrada",IF(COUNTIFS($A$12:$A$5011,A3662,$B$12:$B$5011,B3662)&gt;1,"CPF + dia duplicado",IF(OR(AND(G3662&lt;&gt;"",G3662&lt;&gt;0,G3662&lt;&gt;1),AND(H3662&lt;&gt;"",H3662&lt;&gt;0,H3662&lt;&gt;1)),"Flags devem ser 0 ou 1",IF(AND(H3662=1,LEN(TRIM(I3662))=0),"Preencher nome do indicante",IF(AND(H3662&lt;&gt;1,I3662&lt;&gt;""),"Nome sem indicação interna",IF(AND(G3662=1,F3662=""),"Fechamento sem conversa",IF(OR(AND(E3662&lt;&gt;"",E3662&lt;B3662),AND(F3662&lt;&gt;"",F3662&lt;B3662)),"Evento anterior à entrada",IF(AND(F3662&lt;&gt;"",E3662=""),"Conversa sem agendamento",IF(OR(E3662&gt;TODAY(),F3662&gt;TODAY()),"Verificar evento futuro","OK"))))))))))</f>
        <v/>
      </c>
    </row>
    <row r="3663" spans="12:15">
      <c r="L3663" s="5">
        <f>IF(OR(A3663="",B3663=""),"",B3663-WEEKDAY(B3663,2)+1)</f>
        <v/>
      </c>
      <c r="M3663" s="5">
        <f>IF(L3663="","",L3663+6)</f>
        <v/>
      </c>
      <c r="N3663" s="6">
        <f>IF(OR(A3663="",B3663=""),"",DATE(YEAR(B3663),MONTH(B3663),1))</f>
        <v/>
      </c>
      <c r="O3663" s="7">
        <f>IF(COUNTA(A3663:K3663)=0,"",IF(OR(A3663="",B3663=""),"Preencher CPF e entrada",IF(COUNTIFS($A$12:$A$5011,A3663,$B$12:$B$5011,B3663)&gt;1,"CPF + dia duplicado",IF(OR(AND(G3663&lt;&gt;"",G3663&lt;&gt;0,G3663&lt;&gt;1),AND(H3663&lt;&gt;"",H3663&lt;&gt;0,H3663&lt;&gt;1)),"Flags devem ser 0 ou 1",IF(AND(H3663=1,LEN(TRIM(I3663))=0),"Preencher nome do indicante",IF(AND(H3663&lt;&gt;1,I3663&lt;&gt;""),"Nome sem indicação interna",IF(AND(G3663=1,F3663=""),"Fechamento sem conversa",IF(OR(AND(E3663&lt;&gt;"",E3663&lt;B3663),AND(F3663&lt;&gt;"",F3663&lt;B3663)),"Evento anterior à entrada",IF(AND(F3663&lt;&gt;"",E3663=""),"Conversa sem agendamento",IF(OR(E3663&gt;TODAY(),F3663&gt;TODAY()),"Verificar evento futuro","OK"))))))))))</f>
        <v/>
      </c>
    </row>
    <row r="3664" spans="12:15">
      <c r="L3664" s="5">
        <f>IF(OR(A3664="",B3664=""),"",B3664-WEEKDAY(B3664,2)+1)</f>
        <v/>
      </c>
      <c r="M3664" s="5">
        <f>IF(L3664="","",L3664+6)</f>
        <v/>
      </c>
      <c r="N3664" s="6">
        <f>IF(OR(A3664="",B3664=""),"",DATE(YEAR(B3664),MONTH(B3664),1))</f>
        <v/>
      </c>
      <c r="O3664" s="7">
        <f>IF(COUNTA(A3664:K3664)=0,"",IF(OR(A3664="",B3664=""),"Preencher CPF e entrada",IF(COUNTIFS($A$12:$A$5011,A3664,$B$12:$B$5011,B3664)&gt;1,"CPF + dia duplicado",IF(OR(AND(G3664&lt;&gt;"",G3664&lt;&gt;0,G3664&lt;&gt;1),AND(H3664&lt;&gt;"",H3664&lt;&gt;0,H3664&lt;&gt;1)),"Flags devem ser 0 ou 1",IF(AND(H3664=1,LEN(TRIM(I3664))=0),"Preencher nome do indicante",IF(AND(H3664&lt;&gt;1,I3664&lt;&gt;""),"Nome sem indicação interna",IF(AND(G3664=1,F3664=""),"Fechamento sem conversa",IF(OR(AND(E3664&lt;&gt;"",E3664&lt;B3664),AND(F3664&lt;&gt;"",F3664&lt;B3664)),"Evento anterior à entrada",IF(AND(F3664&lt;&gt;"",E3664=""),"Conversa sem agendamento",IF(OR(E3664&gt;TODAY(),F3664&gt;TODAY()),"Verificar evento futuro","OK"))))))))))</f>
        <v/>
      </c>
    </row>
    <row r="3665" spans="12:15">
      <c r="L3665" s="5">
        <f>IF(OR(A3665="",B3665=""),"",B3665-WEEKDAY(B3665,2)+1)</f>
        <v/>
      </c>
      <c r="M3665" s="5">
        <f>IF(L3665="","",L3665+6)</f>
        <v/>
      </c>
      <c r="N3665" s="6">
        <f>IF(OR(A3665="",B3665=""),"",DATE(YEAR(B3665),MONTH(B3665),1))</f>
        <v/>
      </c>
      <c r="O3665" s="7">
        <f>IF(COUNTA(A3665:K3665)=0,"",IF(OR(A3665="",B3665=""),"Preencher CPF e entrada",IF(COUNTIFS($A$12:$A$5011,A3665,$B$12:$B$5011,B3665)&gt;1,"CPF + dia duplicado",IF(OR(AND(G3665&lt;&gt;"",G3665&lt;&gt;0,G3665&lt;&gt;1),AND(H3665&lt;&gt;"",H3665&lt;&gt;0,H3665&lt;&gt;1)),"Flags devem ser 0 ou 1",IF(AND(H3665=1,LEN(TRIM(I3665))=0),"Preencher nome do indicante",IF(AND(H3665&lt;&gt;1,I3665&lt;&gt;""),"Nome sem indicação interna",IF(AND(G3665=1,F3665=""),"Fechamento sem conversa",IF(OR(AND(E3665&lt;&gt;"",E3665&lt;B3665),AND(F3665&lt;&gt;"",F3665&lt;B3665)),"Evento anterior à entrada",IF(AND(F3665&lt;&gt;"",E3665=""),"Conversa sem agendamento",IF(OR(E3665&gt;TODAY(),F3665&gt;TODAY()),"Verificar evento futuro","OK"))))))))))</f>
        <v/>
      </c>
    </row>
    <row r="3666" spans="12:15">
      <c r="L3666" s="5">
        <f>IF(OR(A3666="",B3666=""),"",B3666-WEEKDAY(B3666,2)+1)</f>
        <v/>
      </c>
      <c r="M3666" s="5">
        <f>IF(L3666="","",L3666+6)</f>
        <v/>
      </c>
      <c r="N3666" s="6">
        <f>IF(OR(A3666="",B3666=""),"",DATE(YEAR(B3666),MONTH(B3666),1))</f>
        <v/>
      </c>
      <c r="O3666" s="7">
        <f>IF(COUNTA(A3666:K3666)=0,"",IF(OR(A3666="",B3666=""),"Preencher CPF e entrada",IF(COUNTIFS($A$12:$A$5011,A3666,$B$12:$B$5011,B3666)&gt;1,"CPF + dia duplicado",IF(OR(AND(G3666&lt;&gt;"",G3666&lt;&gt;0,G3666&lt;&gt;1),AND(H3666&lt;&gt;"",H3666&lt;&gt;0,H3666&lt;&gt;1)),"Flags devem ser 0 ou 1",IF(AND(H3666=1,LEN(TRIM(I3666))=0),"Preencher nome do indicante",IF(AND(H3666&lt;&gt;1,I3666&lt;&gt;""),"Nome sem indicação interna",IF(AND(G3666=1,F3666=""),"Fechamento sem conversa",IF(OR(AND(E3666&lt;&gt;"",E3666&lt;B3666),AND(F3666&lt;&gt;"",F3666&lt;B3666)),"Evento anterior à entrada",IF(AND(F3666&lt;&gt;"",E3666=""),"Conversa sem agendamento",IF(OR(E3666&gt;TODAY(),F3666&gt;TODAY()),"Verificar evento futuro","OK"))))))))))</f>
        <v/>
      </c>
    </row>
    <row r="3667" spans="12:15">
      <c r="L3667" s="5">
        <f>IF(OR(A3667="",B3667=""),"",B3667-WEEKDAY(B3667,2)+1)</f>
        <v/>
      </c>
      <c r="M3667" s="5">
        <f>IF(L3667="","",L3667+6)</f>
        <v/>
      </c>
      <c r="N3667" s="6">
        <f>IF(OR(A3667="",B3667=""),"",DATE(YEAR(B3667),MONTH(B3667),1))</f>
        <v/>
      </c>
      <c r="O3667" s="7">
        <f>IF(COUNTA(A3667:K3667)=0,"",IF(OR(A3667="",B3667=""),"Preencher CPF e entrada",IF(COUNTIFS($A$12:$A$5011,A3667,$B$12:$B$5011,B3667)&gt;1,"CPF + dia duplicado",IF(OR(AND(G3667&lt;&gt;"",G3667&lt;&gt;0,G3667&lt;&gt;1),AND(H3667&lt;&gt;"",H3667&lt;&gt;0,H3667&lt;&gt;1)),"Flags devem ser 0 ou 1",IF(AND(H3667=1,LEN(TRIM(I3667))=0),"Preencher nome do indicante",IF(AND(H3667&lt;&gt;1,I3667&lt;&gt;""),"Nome sem indicação interna",IF(AND(G3667=1,F3667=""),"Fechamento sem conversa",IF(OR(AND(E3667&lt;&gt;"",E3667&lt;B3667),AND(F3667&lt;&gt;"",F3667&lt;B3667)),"Evento anterior à entrada",IF(AND(F3667&lt;&gt;"",E3667=""),"Conversa sem agendamento",IF(OR(E3667&gt;TODAY(),F3667&gt;TODAY()),"Verificar evento futuro","OK"))))))))))</f>
        <v/>
      </c>
    </row>
    <row r="3668" spans="12:15">
      <c r="L3668" s="5">
        <f>IF(OR(A3668="",B3668=""),"",B3668-WEEKDAY(B3668,2)+1)</f>
        <v/>
      </c>
      <c r="M3668" s="5">
        <f>IF(L3668="","",L3668+6)</f>
        <v/>
      </c>
      <c r="N3668" s="6">
        <f>IF(OR(A3668="",B3668=""),"",DATE(YEAR(B3668),MONTH(B3668),1))</f>
        <v/>
      </c>
      <c r="O3668" s="7">
        <f>IF(COUNTA(A3668:K3668)=0,"",IF(OR(A3668="",B3668=""),"Preencher CPF e entrada",IF(COUNTIFS($A$12:$A$5011,A3668,$B$12:$B$5011,B3668)&gt;1,"CPF + dia duplicado",IF(OR(AND(G3668&lt;&gt;"",G3668&lt;&gt;0,G3668&lt;&gt;1),AND(H3668&lt;&gt;"",H3668&lt;&gt;0,H3668&lt;&gt;1)),"Flags devem ser 0 ou 1",IF(AND(H3668=1,LEN(TRIM(I3668))=0),"Preencher nome do indicante",IF(AND(H3668&lt;&gt;1,I3668&lt;&gt;""),"Nome sem indicação interna",IF(AND(G3668=1,F3668=""),"Fechamento sem conversa",IF(OR(AND(E3668&lt;&gt;"",E3668&lt;B3668),AND(F3668&lt;&gt;"",F3668&lt;B3668)),"Evento anterior à entrada",IF(AND(F3668&lt;&gt;"",E3668=""),"Conversa sem agendamento",IF(OR(E3668&gt;TODAY(),F3668&gt;TODAY()),"Verificar evento futuro","OK"))))))))))</f>
        <v/>
      </c>
    </row>
    <row r="3669" spans="12:15">
      <c r="L3669" s="5">
        <f>IF(OR(A3669="",B3669=""),"",B3669-WEEKDAY(B3669,2)+1)</f>
        <v/>
      </c>
      <c r="M3669" s="5">
        <f>IF(L3669="","",L3669+6)</f>
        <v/>
      </c>
      <c r="N3669" s="6">
        <f>IF(OR(A3669="",B3669=""),"",DATE(YEAR(B3669),MONTH(B3669),1))</f>
        <v/>
      </c>
      <c r="O3669" s="7">
        <f>IF(COUNTA(A3669:K3669)=0,"",IF(OR(A3669="",B3669=""),"Preencher CPF e entrada",IF(COUNTIFS($A$12:$A$5011,A3669,$B$12:$B$5011,B3669)&gt;1,"CPF + dia duplicado",IF(OR(AND(G3669&lt;&gt;"",G3669&lt;&gt;0,G3669&lt;&gt;1),AND(H3669&lt;&gt;"",H3669&lt;&gt;0,H3669&lt;&gt;1)),"Flags devem ser 0 ou 1",IF(AND(H3669=1,LEN(TRIM(I3669))=0),"Preencher nome do indicante",IF(AND(H3669&lt;&gt;1,I3669&lt;&gt;""),"Nome sem indicação interna",IF(AND(G3669=1,F3669=""),"Fechamento sem conversa",IF(OR(AND(E3669&lt;&gt;"",E3669&lt;B3669),AND(F3669&lt;&gt;"",F3669&lt;B3669)),"Evento anterior à entrada",IF(AND(F3669&lt;&gt;"",E3669=""),"Conversa sem agendamento",IF(OR(E3669&gt;TODAY(),F3669&gt;TODAY()),"Verificar evento futuro","OK"))))))))))</f>
        <v/>
      </c>
    </row>
    <row r="3670" spans="12:15">
      <c r="L3670" s="5">
        <f>IF(OR(A3670="",B3670=""),"",B3670-WEEKDAY(B3670,2)+1)</f>
        <v/>
      </c>
      <c r="M3670" s="5">
        <f>IF(L3670="","",L3670+6)</f>
        <v/>
      </c>
      <c r="N3670" s="6">
        <f>IF(OR(A3670="",B3670=""),"",DATE(YEAR(B3670),MONTH(B3670),1))</f>
        <v/>
      </c>
      <c r="O3670" s="7">
        <f>IF(COUNTA(A3670:K3670)=0,"",IF(OR(A3670="",B3670=""),"Preencher CPF e entrada",IF(COUNTIFS($A$12:$A$5011,A3670,$B$12:$B$5011,B3670)&gt;1,"CPF + dia duplicado",IF(OR(AND(G3670&lt;&gt;"",G3670&lt;&gt;0,G3670&lt;&gt;1),AND(H3670&lt;&gt;"",H3670&lt;&gt;0,H3670&lt;&gt;1)),"Flags devem ser 0 ou 1",IF(AND(H3670=1,LEN(TRIM(I3670))=0),"Preencher nome do indicante",IF(AND(H3670&lt;&gt;1,I3670&lt;&gt;""),"Nome sem indicação interna",IF(AND(G3670=1,F3670=""),"Fechamento sem conversa",IF(OR(AND(E3670&lt;&gt;"",E3670&lt;B3670),AND(F3670&lt;&gt;"",F3670&lt;B3670)),"Evento anterior à entrada",IF(AND(F3670&lt;&gt;"",E3670=""),"Conversa sem agendamento",IF(OR(E3670&gt;TODAY(),F3670&gt;TODAY()),"Verificar evento futuro","OK"))))))))))</f>
        <v/>
      </c>
    </row>
    <row r="3671" spans="12:15">
      <c r="L3671" s="5">
        <f>IF(OR(A3671="",B3671=""),"",B3671-WEEKDAY(B3671,2)+1)</f>
        <v/>
      </c>
      <c r="M3671" s="5">
        <f>IF(L3671="","",L3671+6)</f>
        <v/>
      </c>
      <c r="N3671" s="6">
        <f>IF(OR(A3671="",B3671=""),"",DATE(YEAR(B3671),MONTH(B3671),1))</f>
        <v/>
      </c>
      <c r="O3671" s="7">
        <f>IF(COUNTA(A3671:K3671)=0,"",IF(OR(A3671="",B3671=""),"Preencher CPF e entrada",IF(COUNTIFS($A$12:$A$5011,A3671,$B$12:$B$5011,B3671)&gt;1,"CPF + dia duplicado",IF(OR(AND(G3671&lt;&gt;"",G3671&lt;&gt;0,G3671&lt;&gt;1),AND(H3671&lt;&gt;"",H3671&lt;&gt;0,H3671&lt;&gt;1)),"Flags devem ser 0 ou 1",IF(AND(H3671=1,LEN(TRIM(I3671))=0),"Preencher nome do indicante",IF(AND(H3671&lt;&gt;1,I3671&lt;&gt;""),"Nome sem indicação interna",IF(AND(G3671=1,F3671=""),"Fechamento sem conversa",IF(OR(AND(E3671&lt;&gt;"",E3671&lt;B3671),AND(F3671&lt;&gt;"",F3671&lt;B3671)),"Evento anterior à entrada",IF(AND(F3671&lt;&gt;"",E3671=""),"Conversa sem agendamento",IF(OR(E3671&gt;TODAY(),F3671&gt;TODAY()),"Verificar evento futuro","OK"))))))))))</f>
        <v/>
      </c>
    </row>
    <row r="3672" spans="12:15">
      <c r="L3672" s="5">
        <f>IF(OR(A3672="",B3672=""),"",B3672-WEEKDAY(B3672,2)+1)</f>
        <v/>
      </c>
      <c r="M3672" s="5">
        <f>IF(L3672="","",L3672+6)</f>
        <v/>
      </c>
      <c r="N3672" s="6">
        <f>IF(OR(A3672="",B3672=""),"",DATE(YEAR(B3672),MONTH(B3672),1))</f>
        <v/>
      </c>
      <c r="O3672" s="7">
        <f>IF(COUNTA(A3672:K3672)=0,"",IF(OR(A3672="",B3672=""),"Preencher CPF e entrada",IF(COUNTIFS($A$12:$A$5011,A3672,$B$12:$B$5011,B3672)&gt;1,"CPF + dia duplicado",IF(OR(AND(G3672&lt;&gt;"",G3672&lt;&gt;0,G3672&lt;&gt;1),AND(H3672&lt;&gt;"",H3672&lt;&gt;0,H3672&lt;&gt;1)),"Flags devem ser 0 ou 1",IF(AND(H3672=1,LEN(TRIM(I3672))=0),"Preencher nome do indicante",IF(AND(H3672&lt;&gt;1,I3672&lt;&gt;""),"Nome sem indicação interna",IF(AND(G3672=1,F3672=""),"Fechamento sem conversa",IF(OR(AND(E3672&lt;&gt;"",E3672&lt;B3672),AND(F3672&lt;&gt;"",F3672&lt;B3672)),"Evento anterior à entrada",IF(AND(F3672&lt;&gt;"",E3672=""),"Conversa sem agendamento",IF(OR(E3672&gt;TODAY(),F3672&gt;TODAY()),"Verificar evento futuro","OK"))))))))))</f>
        <v/>
      </c>
    </row>
    <row r="3673" spans="12:15">
      <c r="L3673" s="5">
        <f>IF(OR(A3673="",B3673=""),"",B3673-WEEKDAY(B3673,2)+1)</f>
        <v/>
      </c>
      <c r="M3673" s="5">
        <f>IF(L3673="","",L3673+6)</f>
        <v/>
      </c>
      <c r="N3673" s="6">
        <f>IF(OR(A3673="",B3673=""),"",DATE(YEAR(B3673),MONTH(B3673),1))</f>
        <v/>
      </c>
      <c r="O3673" s="7">
        <f>IF(COUNTA(A3673:K3673)=0,"",IF(OR(A3673="",B3673=""),"Preencher CPF e entrada",IF(COUNTIFS($A$12:$A$5011,A3673,$B$12:$B$5011,B3673)&gt;1,"CPF + dia duplicado",IF(OR(AND(G3673&lt;&gt;"",G3673&lt;&gt;0,G3673&lt;&gt;1),AND(H3673&lt;&gt;"",H3673&lt;&gt;0,H3673&lt;&gt;1)),"Flags devem ser 0 ou 1",IF(AND(H3673=1,LEN(TRIM(I3673))=0),"Preencher nome do indicante",IF(AND(H3673&lt;&gt;1,I3673&lt;&gt;""),"Nome sem indicação interna",IF(AND(G3673=1,F3673=""),"Fechamento sem conversa",IF(OR(AND(E3673&lt;&gt;"",E3673&lt;B3673),AND(F3673&lt;&gt;"",F3673&lt;B3673)),"Evento anterior à entrada",IF(AND(F3673&lt;&gt;"",E3673=""),"Conversa sem agendamento",IF(OR(E3673&gt;TODAY(),F3673&gt;TODAY()),"Verificar evento futuro","OK"))))))))))</f>
        <v/>
      </c>
    </row>
    <row r="3674" spans="12:15">
      <c r="L3674" s="5">
        <f>IF(OR(A3674="",B3674=""),"",B3674-WEEKDAY(B3674,2)+1)</f>
        <v/>
      </c>
      <c r="M3674" s="5">
        <f>IF(L3674="","",L3674+6)</f>
        <v/>
      </c>
      <c r="N3674" s="6">
        <f>IF(OR(A3674="",B3674=""),"",DATE(YEAR(B3674),MONTH(B3674),1))</f>
        <v/>
      </c>
      <c r="O3674" s="7">
        <f>IF(COUNTA(A3674:K3674)=0,"",IF(OR(A3674="",B3674=""),"Preencher CPF e entrada",IF(COUNTIFS($A$12:$A$5011,A3674,$B$12:$B$5011,B3674)&gt;1,"CPF + dia duplicado",IF(OR(AND(G3674&lt;&gt;"",G3674&lt;&gt;0,G3674&lt;&gt;1),AND(H3674&lt;&gt;"",H3674&lt;&gt;0,H3674&lt;&gt;1)),"Flags devem ser 0 ou 1",IF(AND(H3674=1,LEN(TRIM(I3674))=0),"Preencher nome do indicante",IF(AND(H3674&lt;&gt;1,I3674&lt;&gt;""),"Nome sem indicação interna",IF(AND(G3674=1,F3674=""),"Fechamento sem conversa",IF(OR(AND(E3674&lt;&gt;"",E3674&lt;B3674),AND(F3674&lt;&gt;"",F3674&lt;B3674)),"Evento anterior à entrada",IF(AND(F3674&lt;&gt;"",E3674=""),"Conversa sem agendamento",IF(OR(E3674&gt;TODAY(),F3674&gt;TODAY()),"Verificar evento futuro","OK"))))))))))</f>
        <v/>
      </c>
    </row>
    <row r="3675" spans="12:15">
      <c r="L3675" s="5">
        <f>IF(OR(A3675="",B3675=""),"",B3675-WEEKDAY(B3675,2)+1)</f>
        <v/>
      </c>
      <c r="M3675" s="5">
        <f>IF(L3675="","",L3675+6)</f>
        <v/>
      </c>
      <c r="N3675" s="6">
        <f>IF(OR(A3675="",B3675=""),"",DATE(YEAR(B3675),MONTH(B3675),1))</f>
        <v/>
      </c>
      <c r="O3675" s="7">
        <f>IF(COUNTA(A3675:K3675)=0,"",IF(OR(A3675="",B3675=""),"Preencher CPF e entrada",IF(COUNTIFS($A$12:$A$5011,A3675,$B$12:$B$5011,B3675)&gt;1,"CPF + dia duplicado",IF(OR(AND(G3675&lt;&gt;"",G3675&lt;&gt;0,G3675&lt;&gt;1),AND(H3675&lt;&gt;"",H3675&lt;&gt;0,H3675&lt;&gt;1)),"Flags devem ser 0 ou 1",IF(AND(H3675=1,LEN(TRIM(I3675))=0),"Preencher nome do indicante",IF(AND(H3675&lt;&gt;1,I3675&lt;&gt;""),"Nome sem indicação interna",IF(AND(G3675=1,F3675=""),"Fechamento sem conversa",IF(OR(AND(E3675&lt;&gt;"",E3675&lt;B3675),AND(F3675&lt;&gt;"",F3675&lt;B3675)),"Evento anterior à entrada",IF(AND(F3675&lt;&gt;"",E3675=""),"Conversa sem agendamento",IF(OR(E3675&gt;TODAY(),F3675&gt;TODAY()),"Verificar evento futuro","OK"))))))))))</f>
        <v/>
      </c>
    </row>
    <row r="3676" spans="12:15">
      <c r="L3676" s="5">
        <f>IF(OR(A3676="",B3676=""),"",B3676-WEEKDAY(B3676,2)+1)</f>
        <v/>
      </c>
      <c r="M3676" s="5">
        <f>IF(L3676="","",L3676+6)</f>
        <v/>
      </c>
      <c r="N3676" s="6">
        <f>IF(OR(A3676="",B3676=""),"",DATE(YEAR(B3676),MONTH(B3676),1))</f>
        <v/>
      </c>
      <c r="O3676" s="7">
        <f>IF(COUNTA(A3676:K3676)=0,"",IF(OR(A3676="",B3676=""),"Preencher CPF e entrada",IF(COUNTIFS($A$12:$A$5011,A3676,$B$12:$B$5011,B3676)&gt;1,"CPF + dia duplicado",IF(OR(AND(G3676&lt;&gt;"",G3676&lt;&gt;0,G3676&lt;&gt;1),AND(H3676&lt;&gt;"",H3676&lt;&gt;0,H3676&lt;&gt;1)),"Flags devem ser 0 ou 1",IF(AND(H3676=1,LEN(TRIM(I3676))=0),"Preencher nome do indicante",IF(AND(H3676&lt;&gt;1,I3676&lt;&gt;""),"Nome sem indicação interna",IF(AND(G3676=1,F3676=""),"Fechamento sem conversa",IF(OR(AND(E3676&lt;&gt;"",E3676&lt;B3676),AND(F3676&lt;&gt;"",F3676&lt;B3676)),"Evento anterior à entrada",IF(AND(F3676&lt;&gt;"",E3676=""),"Conversa sem agendamento",IF(OR(E3676&gt;TODAY(),F3676&gt;TODAY()),"Verificar evento futuro","OK"))))))))))</f>
        <v/>
      </c>
    </row>
    <row r="3677" spans="12:15">
      <c r="L3677" s="5">
        <f>IF(OR(A3677="",B3677=""),"",B3677-WEEKDAY(B3677,2)+1)</f>
        <v/>
      </c>
      <c r="M3677" s="5">
        <f>IF(L3677="","",L3677+6)</f>
        <v/>
      </c>
      <c r="N3677" s="6">
        <f>IF(OR(A3677="",B3677=""),"",DATE(YEAR(B3677),MONTH(B3677),1))</f>
        <v/>
      </c>
      <c r="O3677" s="7">
        <f>IF(COUNTA(A3677:K3677)=0,"",IF(OR(A3677="",B3677=""),"Preencher CPF e entrada",IF(COUNTIFS($A$12:$A$5011,A3677,$B$12:$B$5011,B3677)&gt;1,"CPF + dia duplicado",IF(OR(AND(G3677&lt;&gt;"",G3677&lt;&gt;0,G3677&lt;&gt;1),AND(H3677&lt;&gt;"",H3677&lt;&gt;0,H3677&lt;&gt;1)),"Flags devem ser 0 ou 1",IF(AND(H3677=1,LEN(TRIM(I3677))=0),"Preencher nome do indicante",IF(AND(H3677&lt;&gt;1,I3677&lt;&gt;""),"Nome sem indicação interna",IF(AND(G3677=1,F3677=""),"Fechamento sem conversa",IF(OR(AND(E3677&lt;&gt;"",E3677&lt;B3677),AND(F3677&lt;&gt;"",F3677&lt;B3677)),"Evento anterior à entrada",IF(AND(F3677&lt;&gt;"",E3677=""),"Conversa sem agendamento",IF(OR(E3677&gt;TODAY(),F3677&gt;TODAY()),"Verificar evento futuro","OK"))))))))))</f>
        <v/>
      </c>
    </row>
    <row r="3678" spans="12:15">
      <c r="L3678" s="5">
        <f>IF(OR(A3678="",B3678=""),"",B3678-WEEKDAY(B3678,2)+1)</f>
        <v/>
      </c>
      <c r="M3678" s="5">
        <f>IF(L3678="","",L3678+6)</f>
        <v/>
      </c>
      <c r="N3678" s="6">
        <f>IF(OR(A3678="",B3678=""),"",DATE(YEAR(B3678),MONTH(B3678),1))</f>
        <v/>
      </c>
      <c r="O3678" s="7">
        <f>IF(COUNTA(A3678:K3678)=0,"",IF(OR(A3678="",B3678=""),"Preencher CPF e entrada",IF(COUNTIFS($A$12:$A$5011,A3678,$B$12:$B$5011,B3678)&gt;1,"CPF + dia duplicado",IF(OR(AND(G3678&lt;&gt;"",G3678&lt;&gt;0,G3678&lt;&gt;1),AND(H3678&lt;&gt;"",H3678&lt;&gt;0,H3678&lt;&gt;1)),"Flags devem ser 0 ou 1",IF(AND(H3678=1,LEN(TRIM(I3678))=0),"Preencher nome do indicante",IF(AND(H3678&lt;&gt;1,I3678&lt;&gt;""),"Nome sem indicação interna",IF(AND(G3678=1,F3678=""),"Fechamento sem conversa",IF(OR(AND(E3678&lt;&gt;"",E3678&lt;B3678),AND(F3678&lt;&gt;"",F3678&lt;B3678)),"Evento anterior à entrada",IF(AND(F3678&lt;&gt;"",E3678=""),"Conversa sem agendamento",IF(OR(E3678&gt;TODAY(),F3678&gt;TODAY()),"Verificar evento futuro","OK"))))))))))</f>
        <v/>
      </c>
    </row>
    <row r="3679" spans="12:15">
      <c r="L3679" s="5">
        <f>IF(OR(A3679="",B3679=""),"",B3679-WEEKDAY(B3679,2)+1)</f>
        <v/>
      </c>
      <c r="M3679" s="5">
        <f>IF(L3679="","",L3679+6)</f>
        <v/>
      </c>
      <c r="N3679" s="6">
        <f>IF(OR(A3679="",B3679=""),"",DATE(YEAR(B3679),MONTH(B3679),1))</f>
        <v/>
      </c>
      <c r="O3679" s="7">
        <f>IF(COUNTA(A3679:K3679)=0,"",IF(OR(A3679="",B3679=""),"Preencher CPF e entrada",IF(COUNTIFS($A$12:$A$5011,A3679,$B$12:$B$5011,B3679)&gt;1,"CPF + dia duplicado",IF(OR(AND(G3679&lt;&gt;"",G3679&lt;&gt;0,G3679&lt;&gt;1),AND(H3679&lt;&gt;"",H3679&lt;&gt;0,H3679&lt;&gt;1)),"Flags devem ser 0 ou 1",IF(AND(H3679=1,LEN(TRIM(I3679))=0),"Preencher nome do indicante",IF(AND(H3679&lt;&gt;1,I3679&lt;&gt;""),"Nome sem indicação interna",IF(AND(G3679=1,F3679=""),"Fechamento sem conversa",IF(OR(AND(E3679&lt;&gt;"",E3679&lt;B3679),AND(F3679&lt;&gt;"",F3679&lt;B3679)),"Evento anterior à entrada",IF(AND(F3679&lt;&gt;"",E3679=""),"Conversa sem agendamento",IF(OR(E3679&gt;TODAY(),F3679&gt;TODAY()),"Verificar evento futuro","OK"))))))))))</f>
        <v/>
      </c>
    </row>
    <row r="3680" spans="12:15">
      <c r="L3680" s="5">
        <f>IF(OR(A3680="",B3680=""),"",B3680-WEEKDAY(B3680,2)+1)</f>
        <v/>
      </c>
      <c r="M3680" s="5">
        <f>IF(L3680="","",L3680+6)</f>
        <v/>
      </c>
      <c r="N3680" s="6">
        <f>IF(OR(A3680="",B3680=""),"",DATE(YEAR(B3680),MONTH(B3680),1))</f>
        <v/>
      </c>
      <c r="O3680" s="7">
        <f>IF(COUNTA(A3680:K3680)=0,"",IF(OR(A3680="",B3680=""),"Preencher CPF e entrada",IF(COUNTIFS($A$12:$A$5011,A3680,$B$12:$B$5011,B3680)&gt;1,"CPF + dia duplicado",IF(OR(AND(G3680&lt;&gt;"",G3680&lt;&gt;0,G3680&lt;&gt;1),AND(H3680&lt;&gt;"",H3680&lt;&gt;0,H3680&lt;&gt;1)),"Flags devem ser 0 ou 1",IF(AND(H3680=1,LEN(TRIM(I3680))=0),"Preencher nome do indicante",IF(AND(H3680&lt;&gt;1,I3680&lt;&gt;""),"Nome sem indicação interna",IF(AND(G3680=1,F3680=""),"Fechamento sem conversa",IF(OR(AND(E3680&lt;&gt;"",E3680&lt;B3680),AND(F3680&lt;&gt;"",F3680&lt;B3680)),"Evento anterior à entrada",IF(AND(F3680&lt;&gt;"",E3680=""),"Conversa sem agendamento",IF(OR(E3680&gt;TODAY(),F3680&gt;TODAY()),"Verificar evento futuro","OK"))))))))))</f>
        <v/>
      </c>
    </row>
    <row r="3681" spans="12:15">
      <c r="L3681" s="5">
        <f>IF(OR(A3681="",B3681=""),"",B3681-WEEKDAY(B3681,2)+1)</f>
        <v/>
      </c>
      <c r="M3681" s="5">
        <f>IF(L3681="","",L3681+6)</f>
        <v/>
      </c>
      <c r="N3681" s="6">
        <f>IF(OR(A3681="",B3681=""),"",DATE(YEAR(B3681),MONTH(B3681),1))</f>
        <v/>
      </c>
      <c r="O3681" s="7">
        <f>IF(COUNTA(A3681:K3681)=0,"",IF(OR(A3681="",B3681=""),"Preencher CPF e entrada",IF(COUNTIFS($A$12:$A$5011,A3681,$B$12:$B$5011,B3681)&gt;1,"CPF + dia duplicado",IF(OR(AND(G3681&lt;&gt;"",G3681&lt;&gt;0,G3681&lt;&gt;1),AND(H3681&lt;&gt;"",H3681&lt;&gt;0,H3681&lt;&gt;1)),"Flags devem ser 0 ou 1",IF(AND(H3681=1,LEN(TRIM(I3681))=0),"Preencher nome do indicante",IF(AND(H3681&lt;&gt;1,I3681&lt;&gt;""),"Nome sem indicação interna",IF(AND(G3681=1,F3681=""),"Fechamento sem conversa",IF(OR(AND(E3681&lt;&gt;"",E3681&lt;B3681),AND(F3681&lt;&gt;"",F3681&lt;B3681)),"Evento anterior à entrada",IF(AND(F3681&lt;&gt;"",E3681=""),"Conversa sem agendamento",IF(OR(E3681&gt;TODAY(),F3681&gt;TODAY()),"Verificar evento futuro","OK"))))))))))</f>
        <v/>
      </c>
    </row>
    <row r="3682" spans="12:15">
      <c r="L3682" s="5">
        <f>IF(OR(A3682="",B3682=""),"",B3682-WEEKDAY(B3682,2)+1)</f>
        <v/>
      </c>
      <c r="M3682" s="5">
        <f>IF(L3682="","",L3682+6)</f>
        <v/>
      </c>
      <c r="N3682" s="6">
        <f>IF(OR(A3682="",B3682=""),"",DATE(YEAR(B3682),MONTH(B3682),1))</f>
        <v/>
      </c>
      <c r="O3682" s="7">
        <f>IF(COUNTA(A3682:K3682)=0,"",IF(OR(A3682="",B3682=""),"Preencher CPF e entrada",IF(COUNTIFS($A$12:$A$5011,A3682,$B$12:$B$5011,B3682)&gt;1,"CPF + dia duplicado",IF(OR(AND(G3682&lt;&gt;"",G3682&lt;&gt;0,G3682&lt;&gt;1),AND(H3682&lt;&gt;"",H3682&lt;&gt;0,H3682&lt;&gt;1)),"Flags devem ser 0 ou 1",IF(AND(H3682=1,LEN(TRIM(I3682))=0),"Preencher nome do indicante",IF(AND(H3682&lt;&gt;1,I3682&lt;&gt;""),"Nome sem indicação interna",IF(AND(G3682=1,F3682=""),"Fechamento sem conversa",IF(OR(AND(E3682&lt;&gt;"",E3682&lt;B3682),AND(F3682&lt;&gt;"",F3682&lt;B3682)),"Evento anterior à entrada",IF(AND(F3682&lt;&gt;"",E3682=""),"Conversa sem agendamento",IF(OR(E3682&gt;TODAY(),F3682&gt;TODAY()),"Verificar evento futuro","OK"))))))))))</f>
        <v/>
      </c>
    </row>
    <row r="3683" spans="12:15">
      <c r="L3683" s="5">
        <f>IF(OR(A3683="",B3683=""),"",B3683-WEEKDAY(B3683,2)+1)</f>
        <v/>
      </c>
      <c r="M3683" s="5">
        <f>IF(L3683="","",L3683+6)</f>
        <v/>
      </c>
      <c r="N3683" s="6">
        <f>IF(OR(A3683="",B3683=""),"",DATE(YEAR(B3683),MONTH(B3683),1))</f>
        <v/>
      </c>
      <c r="O3683" s="7">
        <f>IF(COUNTA(A3683:K3683)=0,"",IF(OR(A3683="",B3683=""),"Preencher CPF e entrada",IF(COUNTIFS($A$12:$A$5011,A3683,$B$12:$B$5011,B3683)&gt;1,"CPF + dia duplicado",IF(OR(AND(G3683&lt;&gt;"",G3683&lt;&gt;0,G3683&lt;&gt;1),AND(H3683&lt;&gt;"",H3683&lt;&gt;0,H3683&lt;&gt;1)),"Flags devem ser 0 ou 1",IF(AND(H3683=1,LEN(TRIM(I3683))=0),"Preencher nome do indicante",IF(AND(H3683&lt;&gt;1,I3683&lt;&gt;""),"Nome sem indicação interna",IF(AND(G3683=1,F3683=""),"Fechamento sem conversa",IF(OR(AND(E3683&lt;&gt;"",E3683&lt;B3683),AND(F3683&lt;&gt;"",F3683&lt;B3683)),"Evento anterior à entrada",IF(AND(F3683&lt;&gt;"",E3683=""),"Conversa sem agendamento",IF(OR(E3683&gt;TODAY(),F3683&gt;TODAY()),"Verificar evento futuro","OK"))))))))))</f>
        <v/>
      </c>
    </row>
    <row r="3684" spans="12:15">
      <c r="L3684" s="5">
        <f>IF(OR(A3684="",B3684=""),"",B3684-WEEKDAY(B3684,2)+1)</f>
        <v/>
      </c>
      <c r="M3684" s="5">
        <f>IF(L3684="","",L3684+6)</f>
        <v/>
      </c>
      <c r="N3684" s="6">
        <f>IF(OR(A3684="",B3684=""),"",DATE(YEAR(B3684),MONTH(B3684),1))</f>
        <v/>
      </c>
      <c r="O3684" s="7">
        <f>IF(COUNTA(A3684:K3684)=0,"",IF(OR(A3684="",B3684=""),"Preencher CPF e entrada",IF(COUNTIFS($A$12:$A$5011,A3684,$B$12:$B$5011,B3684)&gt;1,"CPF + dia duplicado",IF(OR(AND(G3684&lt;&gt;"",G3684&lt;&gt;0,G3684&lt;&gt;1),AND(H3684&lt;&gt;"",H3684&lt;&gt;0,H3684&lt;&gt;1)),"Flags devem ser 0 ou 1",IF(AND(H3684=1,LEN(TRIM(I3684))=0),"Preencher nome do indicante",IF(AND(H3684&lt;&gt;1,I3684&lt;&gt;""),"Nome sem indicação interna",IF(AND(G3684=1,F3684=""),"Fechamento sem conversa",IF(OR(AND(E3684&lt;&gt;"",E3684&lt;B3684),AND(F3684&lt;&gt;"",F3684&lt;B3684)),"Evento anterior à entrada",IF(AND(F3684&lt;&gt;"",E3684=""),"Conversa sem agendamento",IF(OR(E3684&gt;TODAY(),F3684&gt;TODAY()),"Verificar evento futuro","OK"))))))))))</f>
        <v/>
      </c>
    </row>
    <row r="3685" spans="12:15">
      <c r="L3685" s="5">
        <f>IF(OR(A3685="",B3685=""),"",B3685-WEEKDAY(B3685,2)+1)</f>
        <v/>
      </c>
      <c r="M3685" s="5">
        <f>IF(L3685="","",L3685+6)</f>
        <v/>
      </c>
      <c r="N3685" s="6">
        <f>IF(OR(A3685="",B3685=""),"",DATE(YEAR(B3685),MONTH(B3685),1))</f>
        <v/>
      </c>
      <c r="O3685" s="7">
        <f>IF(COUNTA(A3685:K3685)=0,"",IF(OR(A3685="",B3685=""),"Preencher CPF e entrada",IF(COUNTIFS($A$12:$A$5011,A3685,$B$12:$B$5011,B3685)&gt;1,"CPF + dia duplicado",IF(OR(AND(G3685&lt;&gt;"",G3685&lt;&gt;0,G3685&lt;&gt;1),AND(H3685&lt;&gt;"",H3685&lt;&gt;0,H3685&lt;&gt;1)),"Flags devem ser 0 ou 1",IF(AND(H3685=1,LEN(TRIM(I3685))=0),"Preencher nome do indicante",IF(AND(H3685&lt;&gt;1,I3685&lt;&gt;""),"Nome sem indicação interna",IF(AND(G3685=1,F3685=""),"Fechamento sem conversa",IF(OR(AND(E3685&lt;&gt;"",E3685&lt;B3685),AND(F3685&lt;&gt;"",F3685&lt;B3685)),"Evento anterior à entrada",IF(AND(F3685&lt;&gt;"",E3685=""),"Conversa sem agendamento",IF(OR(E3685&gt;TODAY(),F3685&gt;TODAY()),"Verificar evento futuro","OK"))))))))))</f>
        <v/>
      </c>
    </row>
    <row r="3686" spans="12:15">
      <c r="L3686" s="5">
        <f>IF(OR(A3686="",B3686=""),"",B3686-WEEKDAY(B3686,2)+1)</f>
        <v/>
      </c>
      <c r="M3686" s="5">
        <f>IF(L3686="","",L3686+6)</f>
        <v/>
      </c>
      <c r="N3686" s="6">
        <f>IF(OR(A3686="",B3686=""),"",DATE(YEAR(B3686),MONTH(B3686),1))</f>
        <v/>
      </c>
      <c r="O3686" s="7">
        <f>IF(COUNTA(A3686:K3686)=0,"",IF(OR(A3686="",B3686=""),"Preencher CPF e entrada",IF(COUNTIFS($A$12:$A$5011,A3686,$B$12:$B$5011,B3686)&gt;1,"CPF + dia duplicado",IF(OR(AND(G3686&lt;&gt;"",G3686&lt;&gt;0,G3686&lt;&gt;1),AND(H3686&lt;&gt;"",H3686&lt;&gt;0,H3686&lt;&gt;1)),"Flags devem ser 0 ou 1",IF(AND(H3686=1,LEN(TRIM(I3686))=0),"Preencher nome do indicante",IF(AND(H3686&lt;&gt;1,I3686&lt;&gt;""),"Nome sem indicação interna",IF(AND(G3686=1,F3686=""),"Fechamento sem conversa",IF(OR(AND(E3686&lt;&gt;"",E3686&lt;B3686),AND(F3686&lt;&gt;"",F3686&lt;B3686)),"Evento anterior à entrada",IF(AND(F3686&lt;&gt;"",E3686=""),"Conversa sem agendamento",IF(OR(E3686&gt;TODAY(),F3686&gt;TODAY()),"Verificar evento futuro","OK"))))))))))</f>
        <v/>
      </c>
    </row>
    <row r="3687" spans="12:15">
      <c r="L3687" s="5">
        <f>IF(OR(A3687="",B3687=""),"",B3687-WEEKDAY(B3687,2)+1)</f>
        <v/>
      </c>
      <c r="M3687" s="5">
        <f>IF(L3687="","",L3687+6)</f>
        <v/>
      </c>
      <c r="N3687" s="6">
        <f>IF(OR(A3687="",B3687=""),"",DATE(YEAR(B3687),MONTH(B3687),1))</f>
        <v/>
      </c>
      <c r="O3687" s="7">
        <f>IF(COUNTA(A3687:K3687)=0,"",IF(OR(A3687="",B3687=""),"Preencher CPF e entrada",IF(COUNTIFS($A$12:$A$5011,A3687,$B$12:$B$5011,B3687)&gt;1,"CPF + dia duplicado",IF(OR(AND(G3687&lt;&gt;"",G3687&lt;&gt;0,G3687&lt;&gt;1),AND(H3687&lt;&gt;"",H3687&lt;&gt;0,H3687&lt;&gt;1)),"Flags devem ser 0 ou 1",IF(AND(H3687=1,LEN(TRIM(I3687))=0),"Preencher nome do indicante",IF(AND(H3687&lt;&gt;1,I3687&lt;&gt;""),"Nome sem indicação interna",IF(AND(G3687=1,F3687=""),"Fechamento sem conversa",IF(OR(AND(E3687&lt;&gt;"",E3687&lt;B3687),AND(F3687&lt;&gt;"",F3687&lt;B3687)),"Evento anterior à entrada",IF(AND(F3687&lt;&gt;"",E3687=""),"Conversa sem agendamento",IF(OR(E3687&gt;TODAY(),F3687&gt;TODAY()),"Verificar evento futuro","OK"))))))))))</f>
        <v/>
      </c>
    </row>
    <row r="3688" spans="12:15">
      <c r="L3688" s="5">
        <f>IF(OR(A3688="",B3688=""),"",B3688-WEEKDAY(B3688,2)+1)</f>
        <v/>
      </c>
      <c r="M3688" s="5">
        <f>IF(L3688="","",L3688+6)</f>
        <v/>
      </c>
      <c r="N3688" s="6">
        <f>IF(OR(A3688="",B3688=""),"",DATE(YEAR(B3688),MONTH(B3688),1))</f>
        <v/>
      </c>
      <c r="O3688" s="7">
        <f>IF(COUNTA(A3688:K3688)=0,"",IF(OR(A3688="",B3688=""),"Preencher CPF e entrada",IF(COUNTIFS($A$12:$A$5011,A3688,$B$12:$B$5011,B3688)&gt;1,"CPF + dia duplicado",IF(OR(AND(G3688&lt;&gt;"",G3688&lt;&gt;0,G3688&lt;&gt;1),AND(H3688&lt;&gt;"",H3688&lt;&gt;0,H3688&lt;&gt;1)),"Flags devem ser 0 ou 1",IF(AND(H3688=1,LEN(TRIM(I3688))=0),"Preencher nome do indicante",IF(AND(H3688&lt;&gt;1,I3688&lt;&gt;""),"Nome sem indicação interna",IF(AND(G3688=1,F3688=""),"Fechamento sem conversa",IF(OR(AND(E3688&lt;&gt;"",E3688&lt;B3688),AND(F3688&lt;&gt;"",F3688&lt;B3688)),"Evento anterior à entrada",IF(AND(F3688&lt;&gt;"",E3688=""),"Conversa sem agendamento",IF(OR(E3688&gt;TODAY(),F3688&gt;TODAY()),"Verificar evento futuro","OK"))))))))))</f>
        <v/>
      </c>
    </row>
    <row r="3689" spans="12:15">
      <c r="L3689" s="5">
        <f>IF(OR(A3689="",B3689=""),"",B3689-WEEKDAY(B3689,2)+1)</f>
        <v/>
      </c>
      <c r="M3689" s="5">
        <f>IF(L3689="","",L3689+6)</f>
        <v/>
      </c>
      <c r="N3689" s="6">
        <f>IF(OR(A3689="",B3689=""),"",DATE(YEAR(B3689),MONTH(B3689),1))</f>
        <v/>
      </c>
      <c r="O3689" s="7">
        <f>IF(COUNTA(A3689:K3689)=0,"",IF(OR(A3689="",B3689=""),"Preencher CPF e entrada",IF(COUNTIFS($A$12:$A$5011,A3689,$B$12:$B$5011,B3689)&gt;1,"CPF + dia duplicado",IF(OR(AND(G3689&lt;&gt;"",G3689&lt;&gt;0,G3689&lt;&gt;1),AND(H3689&lt;&gt;"",H3689&lt;&gt;0,H3689&lt;&gt;1)),"Flags devem ser 0 ou 1",IF(AND(H3689=1,LEN(TRIM(I3689))=0),"Preencher nome do indicante",IF(AND(H3689&lt;&gt;1,I3689&lt;&gt;""),"Nome sem indicação interna",IF(AND(G3689=1,F3689=""),"Fechamento sem conversa",IF(OR(AND(E3689&lt;&gt;"",E3689&lt;B3689),AND(F3689&lt;&gt;"",F3689&lt;B3689)),"Evento anterior à entrada",IF(AND(F3689&lt;&gt;"",E3689=""),"Conversa sem agendamento",IF(OR(E3689&gt;TODAY(),F3689&gt;TODAY()),"Verificar evento futuro","OK"))))))))))</f>
        <v/>
      </c>
    </row>
    <row r="3690" spans="12:15">
      <c r="L3690" s="5">
        <f>IF(OR(A3690="",B3690=""),"",B3690-WEEKDAY(B3690,2)+1)</f>
        <v/>
      </c>
      <c r="M3690" s="5">
        <f>IF(L3690="","",L3690+6)</f>
        <v/>
      </c>
      <c r="N3690" s="6">
        <f>IF(OR(A3690="",B3690=""),"",DATE(YEAR(B3690),MONTH(B3690),1))</f>
        <v/>
      </c>
      <c r="O3690" s="7">
        <f>IF(COUNTA(A3690:K3690)=0,"",IF(OR(A3690="",B3690=""),"Preencher CPF e entrada",IF(COUNTIFS($A$12:$A$5011,A3690,$B$12:$B$5011,B3690)&gt;1,"CPF + dia duplicado",IF(OR(AND(G3690&lt;&gt;"",G3690&lt;&gt;0,G3690&lt;&gt;1),AND(H3690&lt;&gt;"",H3690&lt;&gt;0,H3690&lt;&gt;1)),"Flags devem ser 0 ou 1",IF(AND(H3690=1,LEN(TRIM(I3690))=0),"Preencher nome do indicante",IF(AND(H3690&lt;&gt;1,I3690&lt;&gt;""),"Nome sem indicação interna",IF(AND(G3690=1,F3690=""),"Fechamento sem conversa",IF(OR(AND(E3690&lt;&gt;"",E3690&lt;B3690),AND(F3690&lt;&gt;"",F3690&lt;B3690)),"Evento anterior à entrada",IF(AND(F3690&lt;&gt;"",E3690=""),"Conversa sem agendamento",IF(OR(E3690&gt;TODAY(),F3690&gt;TODAY()),"Verificar evento futuro","OK"))))))))))</f>
        <v/>
      </c>
    </row>
    <row r="3691" spans="12:15">
      <c r="L3691" s="5">
        <f>IF(OR(A3691="",B3691=""),"",B3691-WEEKDAY(B3691,2)+1)</f>
        <v/>
      </c>
      <c r="M3691" s="5">
        <f>IF(L3691="","",L3691+6)</f>
        <v/>
      </c>
      <c r="N3691" s="6">
        <f>IF(OR(A3691="",B3691=""),"",DATE(YEAR(B3691),MONTH(B3691),1))</f>
        <v/>
      </c>
      <c r="O3691" s="7">
        <f>IF(COUNTA(A3691:K3691)=0,"",IF(OR(A3691="",B3691=""),"Preencher CPF e entrada",IF(COUNTIFS($A$12:$A$5011,A3691,$B$12:$B$5011,B3691)&gt;1,"CPF + dia duplicado",IF(OR(AND(G3691&lt;&gt;"",G3691&lt;&gt;0,G3691&lt;&gt;1),AND(H3691&lt;&gt;"",H3691&lt;&gt;0,H3691&lt;&gt;1)),"Flags devem ser 0 ou 1",IF(AND(H3691=1,LEN(TRIM(I3691))=0),"Preencher nome do indicante",IF(AND(H3691&lt;&gt;1,I3691&lt;&gt;""),"Nome sem indicação interna",IF(AND(G3691=1,F3691=""),"Fechamento sem conversa",IF(OR(AND(E3691&lt;&gt;"",E3691&lt;B3691),AND(F3691&lt;&gt;"",F3691&lt;B3691)),"Evento anterior à entrada",IF(AND(F3691&lt;&gt;"",E3691=""),"Conversa sem agendamento",IF(OR(E3691&gt;TODAY(),F3691&gt;TODAY()),"Verificar evento futuro","OK"))))))))))</f>
        <v/>
      </c>
    </row>
    <row r="3692" spans="12:15">
      <c r="L3692" s="5">
        <f>IF(OR(A3692="",B3692=""),"",B3692-WEEKDAY(B3692,2)+1)</f>
        <v/>
      </c>
      <c r="M3692" s="5">
        <f>IF(L3692="","",L3692+6)</f>
        <v/>
      </c>
      <c r="N3692" s="6">
        <f>IF(OR(A3692="",B3692=""),"",DATE(YEAR(B3692),MONTH(B3692),1))</f>
        <v/>
      </c>
      <c r="O3692" s="7">
        <f>IF(COUNTA(A3692:K3692)=0,"",IF(OR(A3692="",B3692=""),"Preencher CPF e entrada",IF(COUNTIFS($A$12:$A$5011,A3692,$B$12:$B$5011,B3692)&gt;1,"CPF + dia duplicado",IF(OR(AND(G3692&lt;&gt;"",G3692&lt;&gt;0,G3692&lt;&gt;1),AND(H3692&lt;&gt;"",H3692&lt;&gt;0,H3692&lt;&gt;1)),"Flags devem ser 0 ou 1",IF(AND(H3692=1,LEN(TRIM(I3692))=0),"Preencher nome do indicante",IF(AND(H3692&lt;&gt;1,I3692&lt;&gt;""),"Nome sem indicação interna",IF(AND(G3692=1,F3692=""),"Fechamento sem conversa",IF(OR(AND(E3692&lt;&gt;"",E3692&lt;B3692),AND(F3692&lt;&gt;"",F3692&lt;B3692)),"Evento anterior à entrada",IF(AND(F3692&lt;&gt;"",E3692=""),"Conversa sem agendamento",IF(OR(E3692&gt;TODAY(),F3692&gt;TODAY()),"Verificar evento futuro","OK"))))))))))</f>
        <v/>
      </c>
    </row>
    <row r="3693" spans="12:15">
      <c r="L3693" s="5">
        <f>IF(OR(A3693="",B3693=""),"",B3693-WEEKDAY(B3693,2)+1)</f>
        <v/>
      </c>
      <c r="M3693" s="5">
        <f>IF(L3693="","",L3693+6)</f>
        <v/>
      </c>
      <c r="N3693" s="6">
        <f>IF(OR(A3693="",B3693=""),"",DATE(YEAR(B3693),MONTH(B3693),1))</f>
        <v/>
      </c>
      <c r="O3693" s="7">
        <f>IF(COUNTA(A3693:K3693)=0,"",IF(OR(A3693="",B3693=""),"Preencher CPF e entrada",IF(COUNTIFS($A$12:$A$5011,A3693,$B$12:$B$5011,B3693)&gt;1,"CPF + dia duplicado",IF(OR(AND(G3693&lt;&gt;"",G3693&lt;&gt;0,G3693&lt;&gt;1),AND(H3693&lt;&gt;"",H3693&lt;&gt;0,H3693&lt;&gt;1)),"Flags devem ser 0 ou 1",IF(AND(H3693=1,LEN(TRIM(I3693))=0),"Preencher nome do indicante",IF(AND(H3693&lt;&gt;1,I3693&lt;&gt;""),"Nome sem indicação interna",IF(AND(G3693=1,F3693=""),"Fechamento sem conversa",IF(OR(AND(E3693&lt;&gt;"",E3693&lt;B3693),AND(F3693&lt;&gt;"",F3693&lt;B3693)),"Evento anterior à entrada",IF(AND(F3693&lt;&gt;"",E3693=""),"Conversa sem agendamento",IF(OR(E3693&gt;TODAY(),F3693&gt;TODAY()),"Verificar evento futuro","OK"))))))))))</f>
        <v/>
      </c>
    </row>
    <row r="3694" spans="12:15">
      <c r="L3694" s="5">
        <f>IF(OR(A3694="",B3694=""),"",B3694-WEEKDAY(B3694,2)+1)</f>
        <v/>
      </c>
      <c r="M3694" s="5">
        <f>IF(L3694="","",L3694+6)</f>
        <v/>
      </c>
      <c r="N3694" s="6">
        <f>IF(OR(A3694="",B3694=""),"",DATE(YEAR(B3694),MONTH(B3694),1))</f>
        <v/>
      </c>
      <c r="O3694" s="7">
        <f>IF(COUNTA(A3694:K3694)=0,"",IF(OR(A3694="",B3694=""),"Preencher CPF e entrada",IF(COUNTIFS($A$12:$A$5011,A3694,$B$12:$B$5011,B3694)&gt;1,"CPF + dia duplicado",IF(OR(AND(G3694&lt;&gt;"",G3694&lt;&gt;0,G3694&lt;&gt;1),AND(H3694&lt;&gt;"",H3694&lt;&gt;0,H3694&lt;&gt;1)),"Flags devem ser 0 ou 1",IF(AND(H3694=1,LEN(TRIM(I3694))=0),"Preencher nome do indicante",IF(AND(H3694&lt;&gt;1,I3694&lt;&gt;""),"Nome sem indicação interna",IF(AND(G3694=1,F3694=""),"Fechamento sem conversa",IF(OR(AND(E3694&lt;&gt;"",E3694&lt;B3694),AND(F3694&lt;&gt;"",F3694&lt;B3694)),"Evento anterior à entrada",IF(AND(F3694&lt;&gt;"",E3694=""),"Conversa sem agendamento",IF(OR(E3694&gt;TODAY(),F3694&gt;TODAY()),"Verificar evento futuro","OK"))))))))))</f>
        <v/>
      </c>
    </row>
    <row r="3695" spans="12:15">
      <c r="L3695" s="5">
        <f>IF(OR(A3695="",B3695=""),"",B3695-WEEKDAY(B3695,2)+1)</f>
        <v/>
      </c>
      <c r="M3695" s="5">
        <f>IF(L3695="","",L3695+6)</f>
        <v/>
      </c>
      <c r="N3695" s="6">
        <f>IF(OR(A3695="",B3695=""),"",DATE(YEAR(B3695),MONTH(B3695),1))</f>
        <v/>
      </c>
      <c r="O3695" s="7">
        <f>IF(COUNTA(A3695:K3695)=0,"",IF(OR(A3695="",B3695=""),"Preencher CPF e entrada",IF(COUNTIFS($A$12:$A$5011,A3695,$B$12:$B$5011,B3695)&gt;1,"CPF + dia duplicado",IF(OR(AND(G3695&lt;&gt;"",G3695&lt;&gt;0,G3695&lt;&gt;1),AND(H3695&lt;&gt;"",H3695&lt;&gt;0,H3695&lt;&gt;1)),"Flags devem ser 0 ou 1",IF(AND(H3695=1,LEN(TRIM(I3695))=0),"Preencher nome do indicante",IF(AND(H3695&lt;&gt;1,I3695&lt;&gt;""),"Nome sem indicação interna",IF(AND(G3695=1,F3695=""),"Fechamento sem conversa",IF(OR(AND(E3695&lt;&gt;"",E3695&lt;B3695),AND(F3695&lt;&gt;"",F3695&lt;B3695)),"Evento anterior à entrada",IF(AND(F3695&lt;&gt;"",E3695=""),"Conversa sem agendamento",IF(OR(E3695&gt;TODAY(),F3695&gt;TODAY()),"Verificar evento futuro","OK"))))))))))</f>
        <v/>
      </c>
    </row>
    <row r="3696" spans="12:15">
      <c r="L3696" s="5">
        <f>IF(OR(A3696="",B3696=""),"",B3696-WEEKDAY(B3696,2)+1)</f>
        <v/>
      </c>
      <c r="M3696" s="5">
        <f>IF(L3696="","",L3696+6)</f>
        <v/>
      </c>
      <c r="N3696" s="6">
        <f>IF(OR(A3696="",B3696=""),"",DATE(YEAR(B3696),MONTH(B3696),1))</f>
        <v/>
      </c>
      <c r="O3696" s="7">
        <f>IF(COUNTA(A3696:K3696)=0,"",IF(OR(A3696="",B3696=""),"Preencher CPF e entrada",IF(COUNTIFS($A$12:$A$5011,A3696,$B$12:$B$5011,B3696)&gt;1,"CPF + dia duplicado",IF(OR(AND(G3696&lt;&gt;"",G3696&lt;&gt;0,G3696&lt;&gt;1),AND(H3696&lt;&gt;"",H3696&lt;&gt;0,H3696&lt;&gt;1)),"Flags devem ser 0 ou 1",IF(AND(H3696=1,LEN(TRIM(I3696))=0),"Preencher nome do indicante",IF(AND(H3696&lt;&gt;1,I3696&lt;&gt;""),"Nome sem indicação interna",IF(AND(G3696=1,F3696=""),"Fechamento sem conversa",IF(OR(AND(E3696&lt;&gt;"",E3696&lt;B3696),AND(F3696&lt;&gt;"",F3696&lt;B3696)),"Evento anterior à entrada",IF(AND(F3696&lt;&gt;"",E3696=""),"Conversa sem agendamento",IF(OR(E3696&gt;TODAY(),F3696&gt;TODAY()),"Verificar evento futuro","OK"))))))))))</f>
        <v/>
      </c>
    </row>
    <row r="3697" spans="12:15">
      <c r="L3697" s="5">
        <f>IF(OR(A3697="",B3697=""),"",B3697-WEEKDAY(B3697,2)+1)</f>
        <v/>
      </c>
      <c r="M3697" s="5">
        <f>IF(L3697="","",L3697+6)</f>
        <v/>
      </c>
      <c r="N3697" s="6">
        <f>IF(OR(A3697="",B3697=""),"",DATE(YEAR(B3697),MONTH(B3697),1))</f>
        <v/>
      </c>
      <c r="O3697" s="7">
        <f>IF(COUNTA(A3697:K3697)=0,"",IF(OR(A3697="",B3697=""),"Preencher CPF e entrada",IF(COUNTIFS($A$12:$A$5011,A3697,$B$12:$B$5011,B3697)&gt;1,"CPF + dia duplicado",IF(OR(AND(G3697&lt;&gt;"",G3697&lt;&gt;0,G3697&lt;&gt;1),AND(H3697&lt;&gt;"",H3697&lt;&gt;0,H3697&lt;&gt;1)),"Flags devem ser 0 ou 1",IF(AND(H3697=1,LEN(TRIM(I3697))=0),"Preencher nome do indicante",IF(AND(H3697&lt;&gt;1,I3697&lt;&gt;""),"Nome sem indicação interna",IF(AND(G3697=1,F3697=""),"Fechamento sem conversa",IF(OR(AND(E3697&lt;&gt;"",E3697&lt;B3697),AND(F3697&lt;&gt;"",F3697&lt;B3697)),"Evento anterior à entrada",IF(AND(F3697&lt;&gt;"",E3697=""),"Conversa sem agendamento",IF(OR(E3697&gt;TODAY(),F3697&gt;TODAY()),"Verificar evento futuro","OK"))))))))))</f>
        <v/>
      </c>
    </row>
    <row r="3698" spans="12:15">
      <c r="L3698" s="5">
        <f>IF(OR(A3698="",B3698=""),"",B3698-WEEKDAY(B3698,2)+1)</f>
        <v/>
      </c>
      <c r="M3698" s="5">
        <f>IF(L3698="","",L3698+6)</f>
        <v/>
      </c>
      <c r="N3698" s="6">
        <f>IF(OR(A3698="",B3698=""),"",DATE(YEAR(B3698),MONTH(B3698),1))</f>
        <v/>
      </c>
      <c r="O3698" s="7">
        <f>IF(COUNTA(A3698:K3698)=0,"",IF(OR(A3698="",B3698=""),"Preencher CPF e entrada",IF(COUNTIFS($A$12:$A$5011,A3698,$B$12:$B$5011,B3698)&gt;1,"CPF + dia duplicado",IF(OR(AND(G3698&lt;&gt;"",G3698&lt;&gt;0,G3698&lt;&gt;1),AND(H3698&lt;&gt;"",H3698&lt;&gt;0,H3698&lt;&gt;1)),"Flags devem ser 0 ou 1",IF(AND(H3698=1,LEN(TRIM(I3698))=0),"Preencher nome do indicante",IF(AND(H3698&lt;&gt;1,I3698&lt;&gt;""),"Nome sem indicação interna",IF(AND(G3698=1,F3698=""),"Fechamento sem conversa",IF(OR(AND(E3698&lt;&gt;"",E3698&lt;B3698),AND(F3698&lt;&gt;"",F3698&lt;B3698)),"Evento anterior à entrada",IF(AND(F3698&lt;&gt;"",E3698=""),"Conversa sem agendamento",IF(OR(E3698&gt;TODAY(),F3698&gt;TODAY()),"Verificar evento futuro","OK"))))))))))</f>
        <v/>
      </c>
    </row>
    <row r="3699" spans="12:15">
      <c r="L3699" s="5">
        <f>IF(OR(A3699="",B3699=""),"",B3699-WEEKDAY(B3699,2)+1)</f>
        <v/>
      </c>
      <c r="M3699" s="5">
        <f>IF(L3699="","",L3699+6)</f>
        <v/>
      </c>
      <c r="N3699" s="6">
        <f>IF(OR(A3699="",B3699=""),"",DATE(YEAR(B3699),MONTH(B3699),1))</f>
        <v/>
      </c>
      <c r="O3699" s="7">
        <f>IF(COUNTA(A3699:K3699)=0,"",IF(OR(A3699="",B3699=""),"Preencher CPF e entrada",IF(COUNTIFS($A$12:$A$5011,A3699,$B$12:$B$5011,B3699)&gt;1,"CPF + dia duplicado",IF(OR(AND(G3699&lt;&gt;"",G3699&lt;&gt;0,G3699&lt;&gt;1),AND(H3699&lt;&gt;"",H3699&lt;&gt;0,H3699&lt;&gt;1)),"Flags devem ser 0 ou 1",IF(AND(H3699=1,LEN(TRIM(I3699))=0),"Preencher nome do indicante",IF(AND(H3699&lt;&gt;1,I3699&lt;&gt;""),"Nome sem indicação interna",IF(AND(G3699=1,F3699=""),"Fechamento sem conversa",IF(OR(AND(E3699&lt;&gt;"",E3699&lt;B3699),AND(F3699&lt;&gt;"",F3699&lt;B3699)),"Evento anterior à entrada",IF(AND(F3699&lt;&gt;"",E3699=""),"Conversa sem agendamento",IF(OR(E3699&gt;TODAY(),F3699&gt;TODAY()),"Verificar evento futuro","OK"))))))))))</f>
        <v/>
      </c>
    </row>
    <row r="3700" spans="12:15">
      <c r="L3700" s="5">
        <f>IF(OR(A3700="",B3700=""),"",B3700-WEEKDAY(B3700,2)+1)</f>
        <v/>
      </c>
      <c r="M3700" s="5">
        <f>IF(L3700="","",L3700+6)</f>
        <v/>
      </c>
      <c r="N3700" s="6">
        <f>IF(OR(A3700="",B3700=""),"",DATE(YEAR(B3700),MONTH(B3700),1))</f>
        <v/>
      </c>
      <c r="O3700" s="7">
        <f>IF(COUNTA(A3700:K3700)=0,"",IF(OR(A3700="",B3700=""),"Preencher CPF e entrada",IF(COUNTIFS($A$12:$A$5011,A3700,$B$12:$B$5011,B3700)&gt;1,"CPF + dia duplicado",IF(OR(AND(G3700&lt;&gt;"",G3700&lt;&gt;0,G3700&lt;&gt;1),AND(H3700&lt;&gt;"",H3700&lt;&gt;0,H3700&lt;&gt;1)),"Flags devem ser 0 ou 1",IF(AND(H3700=1,LEN(TRIM(I3700))=0),"Preencher nome do indicante",IF(AND(H3700&lt;&gt;1,I3700&lt;&gt;""),"Nome sem indicação interna",IF(AND(G3700=1,F3700=""),"Fechamento sem conversa",IF(OR(AND(E3700&lt;&gt;"",E3700&lt;B3700),AND(F3700&lt;&gt;"",F3700&lt;B3700)),"Evento anterior à entrada",IF(AND(F3700&lt;&gt;"",E3700=""),"Conversa sem agendamento",IF(OR(E3700&gt;TODAY(),F3700&gt;TODAY()),"Verificar evento futuro","OK"))))))))))</f>
        <v/>
      </c>
    </row>
    <row r="3701" spans="12:15">
      <c r="L3701" s="5">
        <f>IF(OR(A3701="",B3701=""),"",B3701-WEEKDAY(B3701,2)+1)</f>
        <v/>
      </c>
      <c r="M3701" s="5">
        <f>IF(L3701="","",L3701+6)</f>
        <v/>
      </c>
      <c r="N3701" s="6">
        <f>IF(OR(A3701="",B3701=""),"",DATE(YEAR(B3701),MONTH(B3701),1))</f>
        <v/>
      </c>
      <c r="O3701" s="7">
        <f>IF(COUNTA(A3701:K3701)=0,"",IF(OR(A3701="",B3701=""),"Preencher CPF e entrada",IF(COUNTIFS($A$12:$A$5011,A3701,$B$12:$B$5011,B3701)&gt;1,"CPF + dia duplicado",IF(OR(AND(G3701&lt;&gt;"",G3701&lt;&gt;0,G3701&lt;&gt;1),AND(H3701&lt;&gt;"",H3701&lt;&gt;0,H3701&lt;&gt;1)),"Flags devem ser 0 ou 1",IF(AND(H3701=1,LEN(TRIM(I3701))=0),"Preencher nome do indicante",IF(AND(H3701&lt;&gt;1,I3701&lt;&gt;""),"Nome sem indicação interna",IF(AND(G3701=1,F3701=""),"Fechamento sem conversa",IF(OR(AND(E3701&lt;&gt;"",E3701&lt;B3701),AND(F3701&lt;&gt;"",F3701&lt;B3701)),"Evento anterior à entrada",IF(AND(F3701&lt;&gt;"",E3701=""),"Conversa sem agendamento",IF(OR(E3701&gt;TODAY(),F3701&gt;TODAY()),"Verificar evento futuro","OK"))))))))))</f>
        <v/>
      </c>
    </row>
    <row r="3702" spans="12:15">
      <c r="L3702" s="5">
        <f>IF(OR(A3702="",B3702=""),"",B3702-WEEKDAY(B3702,2)+1)</f>
        <v/>
      </c>
      <c r="M3702" s="5">
        <f>IF(L3702="","",L3702+6)</f>
        <v/>
      </c>
      <c r="N3702" s="6">
        <f>IF(OR(A3702="",B3702=""),"",DATE(YEAR(B3702),MONTH(B3702),1))</f>
        <v/>
      </c>
      <c r="O3702" s="7">
        <f>IF(COUNTA(A3702:K3702)=0,"",IF(OR(A3702="",B3702=""),"Preencher CPF e entrada",IF(COUNTIFS($A$12:$A$5011,A3702,$B$12:$B$5011,B3702)&gt;1,"CPF + dia duplicado",IF(OR(AND(G3702&lt;&gt;"",G3702&lt;&gt;0,G3702&lt;&gt;1),AND(H3702&lt;&gt;"",H3702&lt;&gt;0,H3702&lt;&gt;1)),"Flags devem ser 0 ou 1",IF(AND(H3702=1,LEN(TRIM(I3702))=0),"Preencher nome do indicante",IF(AND(H3702&lt;&gt;1,I3702&lt;&gt;""),"Nome sem indicação interna",IF(AND(G3702=1,F3702=""),"Fechamento sem conversa",IF(OR(AND(E3702&lt;&gt;"",E3702&lt;B3702),AND(F3702&lt;&gt;"",F3702&lt;B3702)),"Evento anterior à entrada",IF(AND(F3702&lt;&gt;"",E3702=""),"Conversa sem agendamento",IF(OR(E3702&gt;TODAY(),F3702&gt;TODAY()),"Verificar evento futuro","OK"))))))))))</f>
        <v/>
      </c>
    </row>
    <row r="3703" spans="12:15">
      <c r="L3703" s="5">
        <f>IF(OR(A3703="",B3703=""),"",B3703-WEEKDAY(B3703,2)+1)</f>
        <v/>
      </c>
      <c r="M3703" s="5">
        <f>IF(L3703="","",L3703+6)</f>
        <v/>
      </c>
      <c r="N3703" s="6">
        <f>IF(OR(A3703="",B3703=""),"",DATE(YEAR(B3703),MONTH(B3703),1))</f>
        <v/>
      </c>
      <c r="O3703" s="7">
        <f>IF(COUNTA(A3703:K3703)=0,"",IF(OR(A3703="",B3703=""),"Preencher CPF e entrada",IF(COUNTIFS($A$12:$A$5011,A3703,$B$12:$B$5011,B3703)&gt;1,"CPF + dia duplicado",IF(OR(AND(G3703&lt;&gt;"",G3703&lt;&gt;0,G3703&lt;&gt;1),AND(H3703&lt;&gt;"",H3703&lt;&gt;0,H3703&lt;&gt;1)),"Flags devem ser 0 ou 1",IF(AND(H3703=1,LEN(TRIM(I3703))=0),"Preencher nome do indicante",IF(AND(H3703&lt;&gt;1,I3703&lt;&gt;""),"Nome sem indicação interna",IF(AND(G3703=1,F3703=""),"Fechamento sem conversa",IF(OR(AND(E3703&lt;&gt;"",E3703&lt;B3703),AND(F3703&lt;&gt;"",F3703&lt;B3703)),"Evento anterior à entrada",IF(AND(F3703&lt;&gt;"",E3703=""),"Conversa sem agendamento",IF(OR(E3703&gt;TODAY(),F3703&gt;TODAY()),"Verificar evento futuro","OK"))))))))))</f>
        <v/>
      </c>
    </row>
    <row r="3704" spans="12:15">
      <c r="L3704" s="5">
        <f>IF(OR(A3704="",B3704=""),"",B3704-WEEKDAY(B3704,2)+1)</f>
        <v/>
      </c>
      <c r="M3704" s="5">
        <f>IF(L3704="","",L3704+6)</f>
        <v/>
      </c>
      <c r="N3704" s="6">
        <f>IF(OR(A3704="",B3704=""),"",DATE(YEAR(B3704),MONTH(B3704),1))</f>
        <v/>
      </c>
      <c r="O3704" s="7">
        <f>IF(COUNTA(A3704:K3704)=0,"",IF(OR(A3704="",B3704=""),"Preencher CPF e entrada",IF(COUNTIFS($A$12:$A$5011,A3704,$B$12:$B$5011,B3704)&gt;1,"CPF + dia duplicado",IF(OR(AND(G3704&lt;&gt;"",G3704&lt;&gt;0,G3704&lt;&gt;1),AND(H3704&lt;&gt;"",H3704&lt;&gt;0,H3704&lt;&gt;1)),"Flags devem ser 0 ou 1",IF(AND(H3704=1,LEN(TRIM(I3704))=0),"Preencher nome do indicante",IF(AND(H3704&lt;&gt;1,I3704&lt;&gt;""),"Nome sem indicação interna",IF(AND(G3704=1,F3704=""),"Fechamento sem conversa",IF(OR(AND(E3704&lt;&gt;"",E3704&lt;B3704),AND(F3704&lt;&gt;"",F3704&lt;B3704)),"Evento anterior à entrada",IF(AND(F3704&lt;&gt;"",E3704=""),"Conversa sem agendamento",IF(OR(E3704&gt;TODAY(),F3704&gt;TODAY()),"Verificar evento futuro","OK"))))))))))</f>
        <v/>
      </c>
    </row>
    <row r="3705" spans="12:15">
      <c r="L3705" s="5">
        <f>IF(OR(A3705="",B3705=""),"",B3705-WEEKDAY(B3705,2)+1)</f>
        <v/>
      </c>
      <c r="M3705" s="5">
        <f>IF(L3705="","",L3705+6)</f>
        <v/>
      </c>
      <c r="N3705" s="6">
        <f>IF(OR(A3705="",B3705=""),"",DATE(YEAR(B3705),MONTH(B3705),1))</f>
        <v/>
      </c>
      <c r="O3705" s="7">
        <f>IF(COUNTA(A3705:K3705)=0,"",IF(OR(A3705="",B3705=""),"Preencher CPF e entrada",IF(COUNTIFS($A$12:$A$5011,A3705,$B$12:$B$5011,B3705)&gt;1,"CPF + dia duplicado",IF(OR(AND(G3705&lt;&gt;"",G3705&lt;&gt;0,G3705&lt;&gt;1),AND(H3705&lt;&gt;"",H3705&lt;&gt;0,H3705&lt;&gt;1)),"Flags devem ser 0 ou 1",IF(AND(H3705=1,LEN(TRIM(I3705))=0),"Preencher nome do indicante",IF(AND(H3705&lt;&gt;1,I3705&lt;&gt;""),"Nome sem indicação interna",IF(AND(G3705=1,F3705=""),"Fechamento sem conversa",IF(OR(AND(E3705&lt;&gt;"",E3705&lt;B3705),AND(F3705&lt;&gt;"",F3705&lt;B3705)),"Evento anterior à entrada",IF(AND(F3705&lt;&gt;"",E3705=""),"Conversa sem agendamento",IF(OR(E3705&gt;TODAY(),F3705&gt;TODAY()),"Verificar evento futuro","OK"))))))))))</f>
        <v/>
      </c>
    </row>
    <row r="3706" spans="12:15">
      <c r="L3706" s="5">
        <f>IF(OR(A3706="",B3706=""),"",B3706-WEEKDAY(B3706,2)+1)</f>
        <v/>
      </c>
      <c r="M3706" s="5">
        <f>IF(L3706="","",L3706+6)</f>
        <v/>
      </c>
      <c r="N3706" s="6">
        <f>IF(OR(A3706="",B3706=""),"",DATE(YEAR(B3706),MONTH(B3706),1))</f>
        <v/>
      </c>
      <c r="O3706" s="7">
        <f>IF(COUNTA(A3706:K3706)=0,"",IF(OR(A3706="",B3706=""),"Preencher CPF e entrada",IF(COUNTIFS($A$12:$A$5011,A3706,$B$12:$B$5011,B3706)&gt;1,"CPF + dia duplicado",IF(OR(AND(G3706&lt;&gt;"",G3706&lt;&gt;0,G3706&lt;&gt;1),AND(H3706&lt;&gt;"",H3706&lt;&gt;0,H3706&lt;&gt;1)),"Flags devem ser 0 ou 1",IF(AND(H3706=1,LEN(TRIM(I3706))=0),"Preencher nome do indicante",IF(AND(H3706&lt;&gt;1,I3706&lt;&gt;""),"Nome sem indicação interna",IF(AND(G3706=1,F3706=""),"Fechamento sem conversa",IF(OR(AND(E3706&lt;&gt;"",E3706&lt;B3706),AND(F3706&lt;&gt;"",F3706&lt;B3706)),"Evento anterior à entrada",IF(AND(F3706&lt;&gt;"",E3706=""),"Conversa sem agendamento",IF(OR(E3706&gt;TODAY(),F3706&gt;TODAY()),"Verificar evento futuro","OK"))))))))))</f>
        <v/>
      </c>
    </row>
    <row r="3707" spans="12:15">
      <c r="L3707" s="5">
        <f>IF(OR(A3707="",B3707=""),"",B3707-WEEKDAY(B3707,2)+1)</f>
        <v/>
      </c>
      <c r="M3707" s="5">
        <f>IF(L3707="","",L3707+6)</f>
        <v/>
      </c>
      <c r="N3707" s="6">
        <f>IF(OR(A3707="",B3707=""),"",DATE(YEAR(B3707),MONTH(B3707),1))</f>
        <v/>
      </c>
      <c r="O3707" s="7">
        <f>IF(COUNTA(A3707:K3707)=0,"",IF(OR(A3707="",B3707=""),"Preencher CPF e entrada",IF(COUNTIFS($A$12:$A$5011,A3707,$B$12:$B$5011,B3707)&gt;1,"CPF + dia duplicado",IF(OR(AND(G3707&lt;&gt;"",G3707&lt;&gt;0,G3707&lt;&gt;1),AND(H3707&lt;&gt;"",H3707&lt;&gt;0,H3707&lt;&gt;1)),"Flags devem ser 0 ou 1",IF(AND(H3707=1,LEN(TRIM(I3707))=0),"Preencher nome do indicante",IF(AND(H3707&lt;&gt;1,I3707&lt;&gt;""),"Nome sem indicação interna",IF(AND(G3707=1,F3707=""),"Fechamento sem conversa",IF(OR(AND(E3707&lt;&gt;"",E3707&lt;B3707),AND(F3707&lt;&gt;"",F3707&lt;B3707)),"Evento anterior à entrada",IF(AND(F3707&lt;&gt;"",E3707=""),"Conversa sem agendamento",IF(OR(E3707&gt;TODAY(),F3707&gt;TODAY()),"Verificar evento futuro","OK"))))))))))</f>
        <v/>
      </c>
    </row>
    <row r="3708" spans="12:15">
      <c r="L3708" s="5">
        <f>IF(OR(A3708="",B3708=""),"",B3708-WEEKDAY(B3708,2)+1)</f>
        <v/>
      </c>
      <c r="M3708" s="5">
        <f>IF(L3708="","",L3708+6)</f>
        <v/>
      </c>
      <c r="N3708" s="6">
        <f>IF(OR(A3708="",B3708=""),"",DATE(YEAR(B3708),MONTH(B3708),1))</f>
        <v/>
      </c>
      <c r="O3708" s="7">
        <f>IF(COUNTA(A3708:K3708)=0,"",IF(OR(A3708="",B3708=""),"Preencher CPF e entrada",IF(COUNTIFS($A$12:$A$5011,A3708,$B$12:$B$5011,B3708)&gt;1,"CPF + dia duplicado",IF(OR(AND(G3708&lt;&gt;"",G3708&lt;&gt;0,G3708&lt;&gt;1),AND(H3708&lt;&gt;"",H3708&lt;&gt;0,H3708&lt;&gt;1)),"Flags devem ser 0 ou 1",IF(AND(H3708=1,LEN(TRIM(I3708))=0),"Preencher nome do indicante",IF(AND(H3708&lt;&gt;1,I3708&lt;&gt;""),"Nome sem indicação interna",IF(AND(G3708=1,F3708=""),"Fechamento sem conversa",IF(OR(AND(E3708&lt;&gt;"",E3708&lt;B3708),AND(F3708&lt;&gt;"",F3708&lt;B3708)),"Evento anterior à entrada",IF(AND(F3708&lt;&gt;"",E3708=""),"Conversa sem agendamento",IF(OR(E3708&gt;TODAY(),F3708&gt;TODAY()),"Verificar evento futuro","OK"))))))))))</f>
        <v/>
      </c>
    </row>
    <row r="3709" spans="12:15">
      <c r="L3709" s="5">
        <f>IF(OR(A3709="",B3709=""),"",B3709-WEEKDAY(B3709,2)+1)</f>
        <v/>
      </c>
      <c r="M3709" s="5">
        <f>IF(L3709="","",L3709+6)</f>
        <v/>
      </c>
      <c r="N3709" s="6">
        <f>IF(OR(A3709="",B3709=""),"",DATE(YEAR(B3709),MONTH(B3709),1))</f>
        <v/>
      </c>
      <c r="O3709" s="7">
        <f>IF(COUNTA(A3709:K3709)=0,"",IF(OR(A3709="",B3709=""),"Preencher CPF e entrada",IF(COUNTIFS($A$12:$A$5011,A3709,$B$12:$B$5011,B3709)&gt;1,"CPF + dia duplicado",IF(OR(AND(G3709&lt;&gt;"",G3709&lt;&gt;0,G3709&lt;&gt;1),AND(H3709&lt;&gt;"",H3709&lt;&gt;0,H3709&lt;&gt;1)),"Flags devem ser 0 ou 1",IF(AND(H3709=1,LEN(TRIM(I3709))=0),"Preencher nome do indicante",IF(AND(H3709&lt;&gt;1,I3709&lt;&gt;""),"Nome sem indicação interna",IF(AND(G3709=1,F3709=""),"Fechamento sem conversa",IF(OR(AND(E3709&lt;&gt;"",E3709&lt;B3709),AND(F3709&lt;&gt;"",F3709&lt;B3709)),"Evento anterior à entrada",IF(AND(F3709&lt;&gt;"",E3709=""),"Conversa sem agendamento",IF(OR(E3709&gt;TODAY(),F3709&gt;TODAY()),"Verificar evento futuro","OK"))))))))))</f>
        <v/>
      </c>
    </row>
    <row r="3710" spans="12:15">
      <c r="L3710" s="5">
        <f>IF(OR(A3710="",B3710=""),"",B3710-WEEKDAY(B3710,2)+1)</f>
        <v/>
      </c>
      <c r="M3710" s="5">
        <f>IF(L3710="","",L3710+6)</f>
        <v/>
      </c>
      <c r="N3710" s="6">
        <f>IF(OR(A3710="",B3710=""),"",DATE(YEAR(B3710),MONTH(B3710),1))</f>
        <v/>
      </c>
      <c r="O3710" s="7">
        <f>IF(COUNTA(A3710:K3710)=0,"",IF(OR(A3710="",B3710=""),"Preencher CPF e entrada",IF(COUNTIFS($A$12:$A$5011,A3710,$B$12:$B$5011,B3710)&gt;1,"CPF + dia duplicado",IF(OR(AND(G3710&lt;&gt;"",G3710&lt;&gt;0,G3710&lt;&gt;1),AND(H3710&lt;&gt;"",H3710&lt;&gt;0,H3710&lt;&gt;1)),"Flags devem ser 0 ou 1",IF(AND(H3710=1,LEN(TRIM(I3710))=0),"Preencher nome do indicante",IF(AND(H3710&lt;&gt;1,I3710&lt;&gt;""),"Nome sem indicação interna",IF(AND(G3710=1,F3710=""),"Fechamento sem conversa",IF(OR(AND(E3710&lt;&gt;"",E3710&lt;B3710),AND(F3710&lt;&gt;"",F3710&lt;B3710)),"Evento anterior à entrada",IF(AND(F3710&lt;&gt;"",E3710=""),"Conversa sem agendamento",IF(OR(E3710&gt;TODAY(),F3710&gt;TODAY()),"Verificar evento futuro","OK"))))))))))</f>
        <v/>
      </c>
    </row>
    <row r="3711" spans="12:15">
      <c r="L3711" s="5">
        <f>IF(OR(A3711="",B3711=""),"",B3711-WEEKDAY(B3711,2)+1)</f>
        <v/>
      </c>
      <c r="M3711" s="5">
        <f>IF(L3711="","",L3711+6)</f>
        <v/>
      </c>
      <c r="N3711" s="6">
        <f>IF(OR(A3711="",B3711=""),"",DATE(YEAR(B3711),MONTH(B3711),1))</f>
        <v/>
      </c>
      <c r="O3711" s="7">
        <f>IF(COUNTA(A3711:K3711)=0,"",IF(OR(A3711="",B3711=""),"Preencher CPF e entrada",IF(COUNTIFS($A$12:$A$5011,A3711,$B$12:$B$5011,B3711)&gt;1,"CPF + dia duplicado",IF(OR(AND(G3711&lt;&gt;"",G3711&lt;&gt;0,G3711&lt;&gt;1),AND(H3711&lt;&gt;"",H3711&lt;&gt;0,H3711&lt;&gt;1)),"Flags devem ser 0 ou 1",IF(AND(H3711=1,LEN(TRIM(I3711))=0),"Preencher nome do indicante",IF(AND(H3711&lt;&gt;1,I3711&lt;&gt;""),"Nome sem indicação interna",IF(AND(G3711=1,F3711=""),"Fechamento sem conversa",IF(OR(AND(E3711&lt;&gt;"",E3711&lt;B3711),AND(F3711&lt;&gt;"",F3711&lt;B3711)),"Evento anterior à entrada",IF(AND(F3711&lt;&gt;"",E3711=""),"Conversa sem agendamento",IF(OR(E3711&gt;TODAY(),F3711&gt;TODAY()),"Verificar evento futuro","OK"))))))))))</f>
        <v/>
      </c>
    </row>
    <row r="3712" spans="12:15">
      <c r="L3712" s="5">
        <f>IF(OR(A3712="",B3712=""),"",B3712-WEEKDAY(B3712,2)+1)</f>
        <v/>
      </c>
      <c r="M3712" s="5">
        <f>IF(L3712="","",L3712+6)</f>
        <v/>
      </c>
      <c r="N3712" s="6">
        <f>IF(OR(A3712="",B3712=""),"",DATE(YEAR(B3712),MONTH(B3712),1))</f>
        <v/>
      </c>
      <c r="O3712" s="7">
        <f>IF(COUNTA(A3712:K3712)=0,"",IF(OR(A3712="",B3712=""),"Preencher CPF e entrada",IF(COUNTIFS($A$12:$A$5011,A3712,$B$12:$B$5011,B3712)&gt;1,"CPF + dia duplicado",IF(OR(AND(G3712&lt;&gt;"",G3712&lt;&gt;0,G3712&lt;&gt;1),AND(H3712&lt;&gt;"",H3712&lt;&gt;0,H3712&lt;&gt;1)),"Flags devem ser 0 ou 1",IF(AND(H3712=1,LEN(TRIM(I3712))=0),"Preencher nome do indicante",IF(AND(H3712&lt;&gt;1,I3712&lt;&gt;""),"Nome sem indicação interna",IF(AND(G3712=1,F3712=""),"Fechamento sem conversa",IF(OR(AND(E3712&lt;&gt;"",E3712&lt;B3712),AND(F3712&lt;&gt;"",F3712&lt;B3712)),"Evento anterior à entrada",IF(AND(F3712&lt;&gt;"",E3712=""),"Conversa sem agendamento",IF(OR(E3712&gt;TODAY(),F3712&gt;TODAY()),"Verificar evento futuro","OK"))))))))))</f>
        <v/>
      </c>
    </row>
    <row r="3713" spans="12:15">
      <c r="L3713" s="5">
        <f>IF(OR(A3713="",B3713=""),"",B3713-WEEKDAY(B3713,2)+1)</f>
        <v/>
      </c>
      <c r="M3713" s="5">
        <f>IF(L3713="","",L3713+6)</f>
        <v/>
      </c>
      <c r="N3713" s="6">
        <f>IF(OR(A3713="",B3713=""),"",DATE(YEAR(B3713),MONTH(B3713),1))</f>
        <v/>
      </c>
      <c r="O3713" s="7">
        <f>IF(COUNTA(A3713:K3713)=0,"",IF(OR(A3713="",B3713=""),"Preencher CPF e entrada",IF(COUNTIFS($A$12:$A$5011,A3713,$B$12:$B$5011,B3713)&gt;1,"CPF + dia duplicado",IF(OR(AND(G3713&lt;&gt;"",G3713&lt;&gt;0,G3713&lt;&gt;1),AND(H3713&lt;&gt;"",H3713&lt;&gt;0,H3713&lt;&gt;1)),"Flags devem ser 0 ou 1",IF(AND(H3713=1,LEN(TRIM(I3713))=0),"Preencher nome do indicante",IF(AND(H3713&lt;&gt;1,I3713&lt;&gt;""),"Nome sem indicação interna",IF(AND(G3713=1,F3713=""),"Fechamento sem conversa",IF(OR(AND(E3713&lt;&gt;"",E3713&lt;B3713),AND(F3713&lt;&gt;"",F3713&lt;B3713)),"Evento anterior à entrada",IF(AND(F3713&lt;&gt;"",E3713=""),"Conversa sem agendamento",IF(OR(E3713&gt;TODAY(),F3713&gt;TODAY()),"Verificar evento futuro","OK"))))))))))</f>
        <v/>
      </c>
    </row>
    <row r="3714" spans="12:15">
      <c r="L3714" s="5">
        <f>IF(OR(A3714="",B3714=""),"",B3714-WEEKDAY(B3714,2)+1)</f>
        <v/>
      </c>
      <c r="M3714" s="5">
        <f>IF(L3714="","",L3714+6)</f>
        <v/>
      </c>
      <c r="N3714" s="6">
        <f>IF(OR(A3714="",B3714=""),"",DATE(YEAR(B3714),MONTH(B3714),1))</f>
        <v/>
      </c>
      <c r="O3714" s="7">
        <f>IF(COUNTA(A3714:K3714)=0,"",IF(OR(A3714="",B3714=""),"Preencher CPF e entrada",IF(COUNTIFS($A$12:$A$5011,A3714,$B$12:$B$5011,B3714)&gt;1,"CPF + dia duplicado",IF(OR(AND(G3714&lt;&gt;"",G3714&lt;&gt;0,G3714&lt;&gt;1),AND(H3714&lt;&gt;"",H3714&lt;&gt;0,H3714&lt;&gt;1)),"Flags devem ser 0 ou 1",IF(AND(H3714=1,LEN(TRIM(I3714))=0),"Preencher nome do indicante",IF(AND(H3714&lt;&gt;1,I3714&lt;&gt;""),"Nome sem indicação interna",IF(AND(G3714=1,F3714=""),"Fechamento sem conversa",IF(OR(AND(E3714&lt;&gt;"",E3714&lt;B3714),AND(F3714&lt;&gt;"",F3714&lt;B3714)),"Evento anterior à entrada",IF(AND(F3714&lt;&gt;"",E3714=""),"Conversa sem agendamento",IF(OR(E3714&gt;TODAY(),F3714&gt;TODAY()),"Verificar evento futuro","OK"))))))))))</f>
        <v/>
      </c>
    </row>
    <row r="3715" spans="12:15">
      <c r="L3715" s="5">
        <f>IF(OR(A3715="",B3715=""),"",B3715-WEEKDAY(B3715,2)+1)</f>
        <v/>
      </c>
      <c r="M3715" s="5">
        <f>IF(L3715="","",L3715+6)</f>
        <v/>
      </c>
      <c r="N3715" s="6">
        <f>IF(OR(A3715="",B3715=""),"",DATE(YEAR(B3715),MONTH(B3715),1))</f>
        <v/>
      </c>
      <c r="O3715" s="7">
        <f>IF(COUNTA(A3715:K3715)=0,"",IF(OR(A3715="",B3715=""),"Preencher CPF e entrada",IF(COUNTIFS($A$12:$A$5011,A3715,$B$12:$B$5011,B3715)&gt;1,"CPF + dia duplicado",IF(OR(AND(G3715&lt;&gt;"",G3715&lt;&gt;0,G3715&lt;&gt;1),AND(H3715&lt;&gt;"",H3715&lt;&gt;0,H3715&lt;&gt;1)),"Flags devem ser 0 ou 1",IF(AND(H3715=1,LEN(TRIM(I3715))=0),"Preencher nome do indicante",IF(AND(H3715&lt;&gt;1,I3715&lt;&gt;""),"Nome sem indicação interna",IF(AND(G3715=1,F3715=""),"Fechamento sem conversa",IF(OR(AND(E3715&lt;&gt;"",E3715&lt;B3715),AND(F3715&lt;&gt;"",F3715&lt;B3715)),"Evento anterior à entrada",IF(AND(F3715&lt;&gt;"",E3715=""),"Conversa sem agendamento",IF(OR(E3715&gt;TODAY(),F3715&gt;TODAY()),"Verificar evento futuro","OK"))))))))))</f>
        <v/>
      </c>
    </row>
    <row r="3716" spans="12:15">
      <c r="L3716" s="5">
        <f>IF(OR(A3716="",B3716=""),"",B3716-WEEKDAY(B3716,2)+1)</f>
        <v/>
      </c>
      <c r="M3716" s="5">
        <f>IF(L3716="","",L3716+6)</f>
        <v/>
      </c>
      <c r="N3716" s="6">
        <f>IF(OR(A3716="",B3716=""),"",DATE(YEAR(B3716),MONTH(B3716),1))</f>
        <v/>
      </c>
      <c r="O3716" s="7">
        <f>IF(COUNTA(A3716:K3716)=0,"",IF(OR(A3716="",B3716=""),"Preencher CPF e entrada",IF(COUNTIFS($A$12:$A$5011,A3716,$B$12:$B$5011,B3716)&gt;1,"CPF + dia duplicado",IF(OR(AND(G3716&lt;&gt;"",G3716&lt;&gt;0,G3716&lt;&gt;1),AND(H3716&lt;&gt;"",H3716&lt;&gt;0,H3716&lt;&gt;1)),"Flags devem ser 0 ou 1",IF(AND(H3716=1,LEN(TRIM(I3716))=0),"Preencher nome do indicante",IF(AND(H3716&lt;&gt;1,I3716&lt;&gt;""),"Nome sem indicação interna",IF(AND(G3716=1,F3716=""),"Fechamento sem conversa",IF(OR(AND(E3716&lt;&gt;"",E3716&lt;B3716),AND(F3716&lt;&gt;"",F3716&lt;B3716)),"Evento anterior à entrada",IF(AND(F3716&lt;&gt;"",E3716=""),"Conversa sem agendamento",IF(OR(E3716&gt;TODAY(),F3716&gt;TODAY()),"Verificar evento futuro","OK"))))))))))</f>
        <v/>
      </c>
    </row>
    <row r="3717" spans="12:15">
      <c r="L3717" s="5">
        <f>IF(OR(A3717="",B3717=""),"",B3717-WEEKDAY(B3717,2)+1)</f>
        <v/>
      </c>
      <c r="M3717" s="5">
        <f>IF(L3717="","",L3717+6)</f>
        <v/>
      </c>
      <c r="N3717" s="6">
        <f>IF(OR(A3717="",B3717=""),"",DATE(YEAR(B3717),MONTH(B3717),1))</f>
        <v/>
      </c>
      <c r="O3717" s="7">
        <f>IF(COUNTA(A3717:K3717)=0,"",IF(OR(A3717="",B3717=""),"Preencher CPF e entrada",IF(COUNTIFS($A$12:$A$5011,A3717,$B$12:$B$5011,B3717)&gt;1,"CPF + dia duplicado",IF(OR(AND(G3717&lt;&gt;"",G3717&lt;&gt;0,G3717&lt;&gt;1),AND(H3717&lt;&gt;"",H3717&lt;&gt;0,H3717&lt;&gt;1)),"Flags devem ser 0 ou 1",IF(AND(H3717=1,LEN(TRIM(I3717))=0),"Preencher nome do indicante",IF(AND(H3717&lt;&gt;1,I3717&lt;&gt;""),"Nome sem indicação interna",IF(AND(G3717=1,F3717=""),"Fechamento sem conversa",IF(OR(AND(E3717&lt;&gt;"",E3717&lt;B3717),AND(F3717&lt;&gt;"",F3717&lt;B3717)),"Evento anterior à entrada",IF(AND(F3717&lt;&gt;"",E3717=""),"Conversa sem agendamento",IF(OR(E3717&gt;TODAY(),F3717&gt;TODAY()),"Verificar evento futuro","OK"))))))))))</f>
        <v/>
      </c>
    </row>
    <row r="3718" spans="12:15">
      <c r="L3718" s="5">
        <f>IF(OR(A3718="",B3718=""),"",B3718-WEEKDAY(B3718,2)+1)</f>
        <v/>
      </c>
      <c r="M3718" s="5">
        <f>IF(L3718="","",L3718+6)</f>
        <v/>
      </c>
      <c r="N3718" s="6">
        <f>IF(OR(A3718="",B3718=""),"",DATE(YEAR(B3718),MONTH(B3718),1))</f>
        <v/>
      </c>
      <c r="O3718" s="7">
        <f>IF(COUNTA(A3718:K3718)=0,"",IF(OR(A3718="",B3718=""),"Preencher CPF e entrada",IF(COUNTIFS($A$12:$A$5011,A3718,$B$12:$B$5011,B3718)&gt;1,"CPF + dia duplicado",IF(OR(AND(G3718&lt;&gt;"",G3718&lt;&gt;0,G3718&lt;&gt;1),AND(H3718&lt;&gt;"",H3718&lt;&gt;0,H3718&lt;&gt;1)),"Flags devem ser 0 ou 1",IF(AND(H3718=1,LEN(TRIM(I3718))=0),"Preencher nome do indicante",IF(AND(H3718&lt;&gt;1,I3718&lt;&gt;""),"Nome sem indicação interna",IF(AND(G3718=1,F3718=""),"Fechamento sem conversa",IF(OR(AND(E3718&lt;&gt;"",E3718&lt;B3718),AND(F3718&lt;&gt;"",F3718&lt;B3718)),"Evento anterior à entrada",IF(AND(F3718&lt;&gt;"",E3718=""),"Conversa sem agendamento",IF(OR(E3718&gt;TODAY(),F3718&gt;TODAY()),"Verificar evento futuro","OK"))))))))))</f>
        <v/>
      </c>
    </row>
    <row r="3719" spans="12:15">
      <c r="L3719" s="5">
        <f>IF(OR(A3719="",B3719=""),"",B3719-WEEKDAY(B3719,2)+1)</f>
        <v/>
      </c>
      <c r="M3719" s="5">
        <f>IF(L3719="","",L3719+6)</f>
        <v/>
      </c>
      <c r="N3719" s="6">
        <f>IF(OR(A3719="",B3719=""),"",DATE(YEAR(B3719),MONTH(B3719),1))</f>
        <v/>
      </c>
      <c r="O3719" s="7">
        <f>IF(COUNTA(A3719:K3719)=0,"",IF(OR(A3719="",B3719=""),"Preencher CPF e entrada",IF(COUNTIFS($A$12:$A$5011,A3719,$B$12:$B$5011,B3719)&gt;1,"CPF + dia duplicado",IF(OR(AND(G3719&lt;&gt;"",G3719&lt;&gt;0,G3719&lt;&gt;1),AND(H3719&lt;&gt;"",H3719&lt;&gt;0,H3719&lt;&gt;1)),"Flags devem ser 0 ou 1",IF(AND(H3719=1,LEN(TRIM(I3719))=0),"Preencher nome do indicante",IF(AND(H3719&lt;&gt;1,I3719&lt;&gt;""),"Nome sem indicação interna",IF(AND(G3719=1,F3719=""),"Fechamento sem conversa",IF(OR(AND(E3719&lt;&gt;"",E3719&lt;B3719),AND(F3719&lt;&gt;"",F3719&lt;B3719)),"Evento anterior à entrada",IF(AND(F3719&lt;&gt;"",E3719=""),"Conversa sem agendamento",IF(OR(E3719&gt;TODAY(),F3719&gt;TODAY()),"Verificar evento futuro","OK"))))))))))</f>
        <v/>
      </c>
    </row>
    <row r="3720" spans="12:15">
      <c r="L3720" s="5">
        <f>IF(OR(A3720="",B3720=""),"",B3720-WEEKDAY(B3720,2)+1)</f>
        <v/>
      </c>
      <c r="M3720" s="5">
        <f>IF(L3720="","",L3720+6)</f>
        <v/>
      </c>
      <c r="N3720" s="6">
        <f>IF(OR(A3720="",B3720=""),"",DATE(YEAR(B3720),MONTH(B3720),1))</f>
        <v/>
      </c>
      <c r="O3720" s="7">
        <f>IF(COUNTA(A3720:K3720)=0,"",IF(OR(A3720="",B3720=""),"Preencher CPF e entrada",IF(COUNTIFS($A$12:$A$5011,A3720,$B$12:$B$5011,B3720)&gt;1,"CPF + dia duplicado",IF(OR(AND(G3720&lt;&gt;"",G3720&lt;&gt;0,G3720&lt;&gt;1),AND(H3720&lt;&gt;"",H3720&lt;&gt;0,H3720&lt;&gt;1)),"Flags devem ser 0 ou 1",IF(AND(H3720=1,LEN(TRIM(I3720))=0),"Preencher nome do indicante",IF(AND(H3720&lt;&gt;1,I3720&lt;&gt;""),"Nome sem indicação interna",IF(AND(G3720=1,F3720=""),"Fechamento sem conversa",IF(OR(AND(E3720&lt;&gt;"",E3720&lt;B3720),AND(F3720&lt;&gt;"",F3720&lt;B3720)),"Evento anterior à entrada",IF(AND(F3720&lt;&gt;"",E3720=""),"Conversa sem agendamento",IF(OR(E3720&gt;TODAY(),F3720&gt;TODAY()),"Verificar evento futuro","OK"))))))))))</f>
        <v/>
      </c>
    </row>
    <row r="3721" spans="12:15">
      <c r="L3721" s="5">
        <f>IF(OR(A3721="",B3721=""),"",B3721-WEEKDAY(B3721,2)+1)</f>
        <v/>
      </c>
      <c r="M3721" s="5">
        <f>IF(L3721="","",L3721+6)</f>
        <v/>
      </c>
      <c r="N3721" s="6">
        <f>IF(OR(A3721="",B3721=""),"",DATE(YEAR(B3721),MONTH(B3721),1))</f>
        <v/>
      </c>
      <c r="O3721" s="7">
        <f>IF(COUNTA(A3721:K3721)=0,"",IF(OR(A3721="",B3721=""),"Preencher CPF e entrada",IF(COUNTIFS($A$12:$A$5011,A3721,$B$12:$B$5011,B3721)&gt;1,"CPF + dia duplicado",IF(OR(AND(G3721&lt;&gt;"",G3721&lt;&gt;0,G3721&lt;&gt;1),AND(H3721&lt;&gt;"",H3721&lt;&gt;0,H3721&lt;&gt;1)),"Flags devem ser 0 ou 1",IF(AND(H3721=1,LEN(TRIM(I3721))=0),"Preencher nome do indicante",IF(AND(H3721&lt;&gt;1,I3721&lt;&gt;""),"Nome sem indicação interna",IF(AND(G3721=1,F3721=""),"Fechamento sem conversa",IF(OR(AND(E3721&lt;&gt;"",E3721&lt;B3721),AND(F3721&lt;&gt;"",F3721&lt;B3721)),"Evento anterior à entrada",IF(AND(F3721&lt;&gt;"",E3721=""),"Conversa sem agendamento",IF(OR(E3721&gt;TODAY(),F3721&gt;TODAY()),"Verificar evento futuro","OK"))))))))))</f>
        <v/>
      </c>
    </row>
    <row r="3722" spans="12:15">
      <c r="L3722" s="5">
        <f>IF(OR(A3722="",B3722=""),"",B3722-WEEKDAY(B3722,2)+1)</f>
        <v/>
      </c>
      <c r="M3722" s="5">
        <f>IF(L3722="","",L3722+6)</f>
        <v/>
      </c>
      <c r="N3722" s="6">
        <f>IF(OR(A3722="",B3722=""),"",DATE(YEAR(B3722),MONTH(B3722),1))</f>
        <v/>
      </c>
      <c r="O3722" s="7">
        <f>IF(COUNTA(A3722:K3722)=0,"",IF(OR(A3722="",B3722=""),"Preencher CPF e entrada",IF(COUNTIFS($A$12:$A$5011,A3722,$B$12:$B$5011,B3722)&gt;1,"CPF + dia duplicado",IF(OR(AND(G3722&lt;&gt;"",G3722&lt;&gt;0,G3722&lt;&gt;1),AND(H3722&lt;&gt;"",H3722&lt;&gt;0,H3722&lt;&gt;1)),"Flags devem ser 0 ou 1",IF(AND(H3722=1,LEN(TRIM(I3722))=0),"Preencher nome do indicante",IF(AND(H3722&lt;&gt;1,I3722&lt;&gt;""),"Nome sem indicação interna",IF(AND(G3722=1,F3722=""),"Fechamento sem conversa",IF(OR(AND(E3722&lt;&gt;"",E3722&lt;B3722),AND(F3722&lt;&gt;"",F3722&lt;B3722)),"Evento anterior à entrada",IF(AND(F3722&lt;&gt;"",E3722=""),"Conversa sem agendamento",IF(OR(E3722&gt;TODAY(),F3722&gt;TODAY()),"Verificar evento futuro","OK"))))))))))</f>
        <v/>
      </c>
    </row>
    <row r="3723" spans="12:15">
      <c r="L3723" s="5">
        <f>IF(OR(A3723="",B3723=""),"",B3723-WEEKDAY(B3723,2)+1)</f>
        <v/>
      </c>
      <c r="M3723" s="5">
        <f>IF(L3723="","",L3723+6)</f>
        <v/>
      </c>
      <c r="N3723" s="6">
        <f>IF(OR(A3723="",B3723=""),"",DATE(YEAR(B3723),MONTH(B3723),1))</f>
        <v/>
      </c>
      <c r="O3723" s="7">
        <f>IF(COUNTA(A3723:K3723)=0,"",IF(OR(A3723="",B3723=""),"Preencher CPF e entrada",IF(COUNTIFS($A$12:$A$5011,A3723,$B$12:$B$5011,B3723)&gt;1,"CPF + dia duplicado",IF(OR(AND(G3723&lt;&gt;"",G3723&lt;&gt;0,G3723&lt;&gt;1),AND(H3723&lt;&gt;"",H3723&lt;&gt;0,H3723&lt;&gt;1)),"Flags devem ser 0 ou 1",IF(AND(H3723=1,LEN(TRIM(I3723))=0),"Preencher nome do indicante",IF(AND(H3723&lt;&gt;1,I3723&lt;&gt;""),"Nome sem indicação interna",IF(AND(G3723=1,F3723=""),"Fechamento sem conversa",IF(OR(AND(E3723&lt;&gt;"",E3723&lt;B3723),AND(F3723&lt;&gt;"",F3723&lt;B3723)),"Evento anterior à entrada",IF(AND(F3723&lt;&gt;"",E3723=""),"Conversa sem agendamento",IF(OR(E3723&gt;TODAY(),F3723&gt;TODAY()),"Verificar evento futuro","OK"))))))))))</f>
        <v/>
      </c>
    </row>
    <row r="3724" spans="12:15">
      <c r="L3724" s="5">
        <f>IF(OR(A3724="",B3724=""),"",B3724-WEEKDAY(B3724,2)+1)</f>
        <v/>
      </c>
      <c r="M3724" s="5">
        <f>IF(L3724="","",L3724+6)</f>
        <v/>
      </c>
      <c r="N3724" s="6">
        <f>IF(OR(A3724="",B3724=""),"",DATE(YEAR(B3724),MONTH(B3724),1))</f>
        <v/>
      </c>
      <c r="O3724" s="7">
        <f>IF(COUNTA(A3724:K3724)=0,"",IF(OR(A3724="",B3724=""),"Preencher CPF e entrada",IF(COUNTIFS($A$12:$A$5011,A3724,$B$12:$B$5011,B3724)&gt;1,"CPF + dia duplicado",IF(OR(AND(G3724&lt;&gt;"",G3724&lt;&gt;0,G3724&lt;&gt;1),AND(H3724&lt;&gt;"",H3724&lt;&gt;0,H3724&lt;&gt;1)),"Flags devem ser 0 ou 1",IF(AND(H3724=1,LEN(TRIM(I3724))=0),"Preencher nome do indicante",IF(AND(H3724&lt;&gt;1,I3724&lt;&gt;""),"Nome sem indicação interna",IF(AND(G3724=1,F3724=""),"Fechamento sem conversa",IF(OR(AND(E3724&lt;&gt;"",E3724&lt;B3724),AND(F3724&lt;&gt;"",F3724&lt;B3724)),"Evento anterior à entrada",IF(AND(F3724&lt;&gt;"",E3724=""),"Conversa sem agendamento",IF(OR(E3724&gt;TODAY(),F3724&gt;TODAY()),"Verificar evento futuro","OK"))))))))))</f>
        <v/>
      </c>
    </row>
    <row r="3725" spans="12:15">
      <c r="L3725" s="5">
        <f>IF(OR(A3725="",B3725=""),"",B3725-WEEKDAY(B3725,2)+1)</f>
        <v/>
      </c>
      <c r="M3725" s="5">
        <f>IF(L3725="","",L3725+6)</f>
        <v/>
      </c>
      <c r="N3725" s="6">
        <f>IF(OR(A3725="",B3725=""),"",DATE(YEAR(B3725),MONTH(B3725),1))</f>
        <v/>
      </c>
      <c r="O3725" s="7">
        <f>IF(COUNTA(A3725:K3725)=0,"",IF(OR(A3725="",B3725=""),"Preencher CPF e entrada",IF(COUNTIFS($A$12:$A$5011,A3725,$B$12:$B$5011,B3725)&gt;1,"CPF + dia duplicado",IF(OR(AND(G3725&lt;&gt;"",G3725&lt;&gt;0,G3725&lt;&gt;1),AND(H3725&lt;&gt;"",H3725&lt;&gt;0,H3725&lt;&gt;1)),"Flags devem ser 0 ou 1",IF(AND(H3725=1,LEN(TRIM(I3725))=0),"Preencher nome do indicante",IF(AND(H3725&lt;&gt;1,I3725&lt;&gt;""),"Nome sem indicação interna",IF(AND(G3725=1,F3725=""),"Fechamento sem conversa",IF(OR(AND(E3725&lt;&gt;"",E3725&lt;B3725),AND(F3725&lt;&gt;"",F3725&lt;B3725)),"Evento anterior à entrada",IF(AND(F3725&lt;&gt;"",E3725=""),"Conversa sem agendamento",IF(OR(E3725&gt;TODAY(),F3725&gt;TODAY()),"Verificar evento futuro","OK"))))))))))</f>
        <v/>
      </c>
    </row>
    <row r="3726" spans="12:15">
      <c r="L3726" s="5">
        <f>IF(OR(A3726="",B3726=""),"",B3726-WEEKDAY(B3726,2)+1)</f>
        <v/>
      </c>
      <c r="M3726" s="5">
        <f>IF(L3726="","",L3726+6)</f>
        <v/>
      </c>
      <c r="N3726" s="6">
        <f>IF(OR(A3726="",B3726=""),"",DATE(YEAR(B3726),MONTH(B3726),1))</f>
        <v/>
      </c>
      <c r="O3726" s="7">
        <f>IF(COUNTA(A3726:K3726)=0,"",IF(OR(A3726="",B3726=""),"Preencher CPF e entrada",IF(COUNTIFS($A$12:$A$5011,A3726,$B$12:$B$5011,B3726)&gt;1,"CPF + dia duplicado",IF(OR(AND(G3726&lt;&gt;"",G3726&lt;&gt;0,G3726&lt;&gt;1),AND(H3726&lt;&gt;"",H3726&lt;&gt;0,H3726&lt;&gt;1)),"Flags devem ser 0 ou 1",IF(AND(H3726=1,LEN(TRIM(I3726))=0),"Preencher nome do indicante",IF(AND(H3726&lt;&gt;1,I3726&lt;&gt;""),"Nome sem indicação interna",IF(AND(G3726=1,F3726=""),"Fechamento sem conversa",IF(OR(AND(E3726&lt;&gt;"",E3726&lt;B3726),AND(F3726&lt;&gt;"",F3726&lt;B3726)),"Evento anterior à entrada",IF(AND(F3726&lt;&gt;"",E3726=""),"Conversa sem agendamento",IF(OR(E3726&gt;TODAY(),F3726&gt;TODAY()),"Verificar evento futuro","OK"))))))))))</f>
        <v/>
      </c>
    </row>
    <row r="3727" spans="12:15">
      <c r="L3727" s="5">
        <f>IF(OR(A3727="",B3727=""),"",B3727-WEEKDAY(B3727,2)+1)</f>
        <v/>
      </c>
      <c r="M3727" s="5">
        <f>IF(L3727="","",L3727+6)</f>
        <v/>
      </c>
      <c r="N3727" s="6">
        <f>IF(OR(A3727="",B3727=""),"",DATE(YEAR(B3727),MONTH(B3727),1))</f>
        <v/>
      </c>
      <c r="O3727" s="7">
        <f>IF(COUNTA(A3727:K3727)=0,"",IF(OR(A3727="",B3727=""),"Preencher CPF e entrada",IF(COUNTIFS($A$12:$A$5011,A3727,$B$12:$B$5011,B3727)&gt;1,"CPF + dia duplicado",IF(OR(AND(G3727&lt;&gt;"",G3727&lt;&gt;0,G3727&lt;&gt;1),AND(H3727&lt;&gt;"",H3727&lt;&gt;0,H3727&lt;&gt;1)),"Flags devem ser 0 ou 1",IF(AND(H3727=1,LEN(TRIM(I3727))=0),"Preencher nome do indicante",IF(AND(H3727&lt;&gt;1,I3727&lt;&gt;""),"Nome sem indicação interna",IF(AND(G3727=1,F3727=""),"Fechamento sem conversa",IF(OR(AND(E3727&lt;&gt;"",E3727&lt;B3727),AND(F3727&lt;&gt;"",F3727&lt;B3727)),"Evento anterior à entrada",IF(AND(F3727&lt;&gt;"",E3727=""),"Conversa sem agendamento",IF(OR(E3727&gt;TODAY(),F3727&gt;TODAY()),"Verificar evento futuro","OK"))))))))))</f>
        <v/>
      </c>
    </row>
    <row r="3728" spans="12:15">
      <c r="L3728" s="5">
        <f>IF(OR(A3728="",B3728=""),"",B3728-WEEKDAY(B3728,2)+1)</f>
        <v/>
      </c>
      <c r="M3728" s="5">
        <f>IF(L3728="","",L3728+6)</f>
        <v/>
      </c>
      <c r="N3728" s="6">
        <f>IF(OR(A3728="",B3728=""),"",DATE(YEAR(B3728),MONTH(B3728),1))</f>
        <v/>
      </c>
      <c r="O3728" s="7">
        <f>IF(COUNTA(A3728:K3728)=0,"",IF(OR(A3728="",B3728=""),"Preencher CPF e entrada",IF(COUNTIFS($A$12:$A$5011,A3728,$B$12:$B$5011,B3728)&gt;1,"CPF + dia duplicado",IF(OR(AND(G3728&lt;&gt;"",G3728&lt;&gt;0,G3728&lt;&gt;1),AND(H3728&lt;&gt;"",H3728&lt;&gt;0,H3728&lt;&gt;1)),"Flags devem ser 0 ou 1",IF(AND(H3728=1,LEN(TRIM(I3728))=0),"Preencher nome do indicante",IF(AND(H3728&lt;&gt;1,I3728&lt;&gt;""),"Nome sem indicação interna",IF(AND(G3728=1,F3728=""),"Fechamento sem conversa",IF(OR(AND(E3728&lt;&gt;"",E3728&lt;B3728),AND(F3728&lt;&gt;"",F3728&lt;B3728)),"Evento anterior à entrada",IF(AND(F3728&lt;&gt;"",E3728=""),"Conversa sem agendamento",IF(OR(E3728&gt;TODAY(),F3728&gt;TODAY()),"Verificar evento futuro","OK"))))))))))</f>
        <v/>
      </c>
    </row>
    <row r="3729" spans="12:15">
      <c r="L3729" s="5">
        <f>IF(OR(A3729="",B3729=""),"",B3729-WEEKDAY(B3729,2)+1)</f>
        <v/>
      </c>
      <c r="M3729" s="5">
        <f>IF(L3729="","",L3729+6)</f>
        <v/>
      </c>
      <c r="N3729" s="6">
        <f>IF(OR(A3729="",B3729=""),"",DATE(YEAR(B3729),MONTH(B3729),1))</f>
        <v/>
      </c>
      <c r="O3729" s="7">
        <f>IF(COUNTA(A3729:K3729)=0,"",IF(OR(A3729="",B3729=""),"Preencher CPF e entrada",IF(COUNTIFS($A$12:$A$5011,A3729,$B$12:$B$5011,B3729)&gt;1,"CPF + dia duplicado",IF(OR(AND(G3729&lt;&gt;"",G3729&lt;&gt;0,G3729&lt;&gt;1),AND(H3729&lt;&gt;"",H3729&lt;&gt;0,H3729&lt;&gt;1)),"Flags devem ser 0 ou 1",IF(AND(H3729=1,LEN(TRIM(I3729))=0),"Preencher nome do indicante",IF(AND(H3729&lt;&gt;1,I3729&lt;&gt;""),"Nome sem indicação interna",IF(AND(G3729=1,F3729=""),"Fechamento sem conversa",IF(OR(AND(E3729&lt;&gt;"",E3729&lt;B3729),AND(F3729&lt;&gt;"",F3729&lt;B3729)),"Evento anterior à entrada",IF(AND(F3729&lt;&gt;"",E3729=""),"Conversa sem agendamento",IF(OR(E3729&gt;TODAY(),F3729&gt;TODAY()),"Verificar evento futuro","OK"))))))))))</f>
        <v/>
      </c>
    </row>
    <row r="3730" spans="12:15">
      <c r="L3730" s="5">
        <f>IF(OR(A3730="",B3730=""),"",B3730-WEEKDAY(B3730,2)+1)</f>
        <v/>
      </c>
      <c r="M3730" s="5">
        <f>IF(L3730="","",L3730+6)</f>
        <v/>
      </c>
      <c r="N3730" s="6">
        <f>IF(OR(A3730="",B3730=""),"",DATE(YEAR(B3730),MONTH(B3730),1))</f>
        <v/>
      </c>
      <c r="O3730" s="7">
        <f>IF(COUNTA(A3730:K3730)=0,"",IF(OR(A3730="",B3730=""),"Preencher CPF e entrada",IF(COUNTIFS($A$12:$A$5011,A3730,$B$12:$B$5011,B3730)&gt;1,"CPF + dia duplicado",IF(OR(AND(G3730&lt;&gt;"",G3730&lt;&gt;0,G3730&lt;&gt;1),AND(H3730&lt;&gt;"",H3730&lt;&gt;0,H3730&lt;&gt;1)),"Flags devem ser 0 ou 1",IF(AND(H3730=1,LEN(TRIM(I3730))=0),"Preencher nome do indicante",IF(AND(H3730&lt;&gt;1,I3730&lt;&gt;""),"Nome sem indicação interna",IF(AND(G3730=1,F3730=""),"Fechamento sem conversa",IF(OR(AND(E3730&lt;&gt;"",E3730&lt;B3730),AND(F3730&lt;&gt;"",F3730&lt;B3730)),"Evento anterior à entrada",IF(AND(F3730&lt;&gt;"",E3730=""),"Conversa sem agendamento",IF(OR(E3730&gt;TODAY(),F3730&gt;TODAY()),"Verificar evento futuro","OK"))))))))))</f>
        <v/>
      </c>
    </row>
    <row r="3731" spans="12:15">
      <c r="L3731" s="5">
        <f>IF(OR(A3731="",B3731=""),"",B3731-WEEKDAY(B3731,2)+1)</f>
        <v/>
      </c>
      <c r="M3731" s="5">
        <f>IF(L3731="","",L3731+6)</f>
        <v/>
      </c>
      <c r="N3731" s="6">
        <f>IF(OR(A3731="",B3731=""),"",DATE(YEAR(B3731),MONTH(B3731),1))</f>
        <v/>
      </c>
      <c r="O3731" s="7">
        <f>IF(COUNTA(A3731:K3731)=0,"",IF(OR(A3731="",B3731=""),"Preencher CPF e entrada",IF(COUNTIFS($A$12:$A$5011,A3731,$B$12:$B$5011,B3731)&gt;1,"CPF + dia duplicado",IF(OR(AND(G3731&lt;&gt;"",G3731&lt;&gt;0,G3731&lt;&gt;1),AND(H3731&lt;&gt;"",H3731&lt;&gt;0,H3731&lt;&gt;1)),"Flags devem ser 0 ou 1",IF(AND(H3731=1,LEN(TRIM(I3731))=0),"Preencher nome do indicante",IF(AND(H3731&lt;&gt;1,I3731&lt;&gt;""),"Nome sem indicação interna",IF(AND(G3731=1,F3731=""),"Fechamento sem conversa",IF(OR(AND(E3731&lt;&gt;"",E3731&lt;B3731),AND(F3731&lt;&gt;"",F3731&lt;B3731)),"Evento anterior à entrada",IF(AND(F3731&lt;&gt;"",E3731=""),"Conversa sem agendamento",IF(OR(E3731&gt;TODAY(),F3731&gt;TODAY()),"Verificar evento futuro","OK"))))))))))</f>
        <v/>
      </c>
    </row>
    <row r="3732" spans="12:15">
      <c r="L3732" s="5">
        <f>IF(OR(A3732="",B3732=""),"",B3732-WEEKDAY(B3732,2)+1)</f>
        <v/>
      </c>
      <c r="M3732" s="5">
        <f>IF(L3732="","",L3732+6)</f>
        <v/>
      </c>
      <c r="N3732" s="6">
        <f>IF(OR(A3732="",B3732=""),"",DATE(YEAR(B3732),MONTH(B3732),1))</f>
        <v/>
      </c>
      <c r="O3732" s="7">
        <f>IF(COUNTA(A3732:K3732)=0,"",IF(OR(A3732="",B3732=""),"Preencher CPF e entrada",IF(COUNTIFS($A$12:$A$5011,A3732,$B$12:$B$5011,B3732)&gt;1,"CPF + dia duplicado",IF(OR(AND(G3732&lt;&gt;"",G3732&lt;&gt;0,G3732&lt;&gt;1),AND(H3732&lt;&gt;"",H3732&lt;&gt;0,H3732&lt;&gt;1)),"Flags devem ser 0 ou 1",IF(AND(H3732=1,LEN(TRIM(I3732))=0),"Preencher nome do indicante",IF(AND(H3732&lt;&gt;1,I3732&lt;&gt;""),"Nome sem indicação interna",IF(AND(G3732=1,F3732=""),"Fechamento sem conversa",IF(OR(AND(E3732&lt;&gt;"",E3732&lt;B3732),AND(F3732&lt;&gt;"",F3732&lt;B3732)),"Evento anterior à entrada",IF(AND(F3732&lt;&gt;"",E3732=""),"Conversa sem agendamento",IF(OR(E3732&gt;TODAY(),F3732&gt;TODAY()),"Verificar evento futuro","OK"))))))))))</f>
        <v/>
      </c>
    </row>
    <row r="3733" spans="12:15">
      <c r="L3733" s="5">
        <f>IF(OR(A3733="",B3733=""),"",B3733-WEEKDAY(B3733,2)+1)</f>
        <v/>
      </c>
      <c r="M3733" s="5">
        <f>IF(L3733="","",L3733+6)</f>
        <v/>
      </c>
      <c r="N3733" s="6">
        <f>IF(OR(A3733="",B3733=""),"",DATE(YEAR(B3733),MONTH(B3733),1))</f>
        <v/>
      </c>
      <c r="O3733" s="7">
        <f>IF(COUNTA(A3733:K3733)=0,"",IF(OR(A3733="",B3733=""),"Preencher CPF e entrada",IF(COUNTIFS($A$12:$A$5011,A3733,$B$12:$B$5011,B3733)&gt;1,"CPF + dia duplicado",IF(OR(AND(G3733&lt;&gt;"",G3733&lt;&gt;0,G3733&lt;&gt;1),AND(H3733&lt;&gt;"",H3733&lt;&gt;0,H3733&lt;&gt;1)),"Flags devem ser 0 ou 1",IF(AND(H3733=1,LEN(TRIM(I3733))=0),"Preencher nome do indicante",IF(AND(H3733&lt;&gt;1,I3733&lt;&gt;""),"Nome sem indicação interna",IF(AND(G3733=1,F3733=""),"Fechamento sem conversa",IF(OR(AND(E3733&lt;&gt;"",E3733&lt;B3733),AND(F3733&lt;&gt;"",F3733&lt;B3733)),"Evento anterior à entrada",IF(AND(F3733&lt;&gt;"",E3733=""),"Conversa sem agendamento",IF(OR(E3733&gt;TODAY(),F3733&gt;TODAY()),"Verificar evento futuro","OK"))))))))))</f>
        <v/>
      </c>
    </row>
    <row r="3734" spans="12:15">
      <c r="L3734" s="5">
        <f>IF(OR(A3734="",B3734=""),"",B3734-WEEKDAY(B3734,2)+1)</f>
        <v/>
      </c>
      <c r="M3734" s="5">
        <f>IF(L3734="","",L3734+6)</f>
        <v/>
      </c>
      <c r="N3734" s="6">
        <f>IF(OR(A3734="",B3734=""),"",DATE(YEAR(B3734),MONTH(B3734),1))</f>
        <v/>
      </c>
      <c r="O3734" s="7">
        <f>IF(COUNTA(A3734:K3734)=0,"",IF(OR(A3734="",B3734=""),"Preencher CPF e entrada",IF(COUNTIFS($A$12:$A$5011,A3734,$B$12:$B$5011,B3734)&gt;1,"CPF + dia duplicado",IF(OR(AND(G3734&lt;&gt;"",G3734&lt;&gt;0,G3734&lt;&gt;1),AND(H3734&lt;&gt;"",H3734&lt;&gt;0,H3734&lt;&gt;1)),"Flags devem ser 0 ou 1",IF(AND(H3734=1,LEN(TRIM(I3734))=0),"Preencher nome do indicante",IF(AND(H3734&lt;&gt;1,I3734&lt;&gt;""),"Nome sem indicação interna",IF(AND(G3734=1,F3734=""),"Fechamento sem conversa",IF(OR(AND(E3734&lt;&gt;"",E3734&lt;B3734),AND(F3734&lt;&gt;"",F3734&lt;B3734)),"Evento anterior à entrada",IF(AND(F3734&lt;&gt;"",E3734=""),"Conversa sem agendamento",IF(OR(E3734&gt;TODAY(),F3734&gt;TODAY()),"Verificar evento futuro","OK"))))))))))</f>
        <v/>
      </c>
    </row>
    <row r="3735" spans="12:15">
      <c r="L3735" s="5">
        <f>IF(OR(A3735="",B3735=""),"",B3735-WEEKDAY(B3735,2)+1)</f>
        <v/>
      </c>
      <c r="M3735" s="5">
        <f>IF(L3735="","",L3735+6)</f>
        <v/>
      </c>
      <c r="N3735" s="6">
        <f>IF(OR(A3735="",B3735=""),"",DATE(YEAR(B3735),MONTH(B3735),1))</f>
        <v/>
      </c>
      <c r="O3735" s="7">
        <f>IF(COUNTA(A3735:K3735)=0,"",IF(OR(A3735="",B3735=""),"Preencher CPF e entrada",IF(COUNTIFS($A$12:$A$5011,A3735,$B$12:$B$5011,B3735)&gt;1,"CPF + dia duplicado",IF(OR(AND(G3735&lt;&gt;"",G3735&lt;&gt;0,G3735&lt;&gt;1),AND(H3735&lt;&gt;"",H3735&lt;&gt;0,H3735&lt;&gt;1)),"Flags devem ser 0 ou 1",IF(AND(H3735=1,LEN(TRIM(I3735))=0),"Preencher nome do indicante",IF(AND(H3735&lt;&gt;1,I3735&lt;&gt;""),"Nome sem indicação interna",IF(AND(G3735=1,F3735=""),"Fechamento sem conversa",IF(OR(AND(E3735&lt;&gt;"",E3735&lt;B3735),AND(F3735&lt;&gt;"",F3735&lt;B3735)),"Evento anterior à entrada",IF(AND(F3735&lt;&gt;"",E3735=""),"Conversa sem agendamento",IF(OR(E3735&gt;TODAY(),F3735&gt;TODAY()),"Verificar evento futuro","OK"))))))))))</f>
        <v/>
      </c>
    </row>
    <row r="3736" spans="12:15">
      <c r="L3736" s="5">
        <f>IF(OR(A3736="",B3736=""),"",B3736-WEEKDAY(B3736,2)+1)</f>
        <v/>
      </c>
      <c r="M3736" s="5">
        <f>IF(L3736="","",L3736+6)</f>
        <v/>
      </c>
      <c r="N3736" s="6">
        <f>IF(OR(A3736="",B3736=""),"",DATE(YEAR(B3736),MONTH(B3736),1))</f>
        <v/>
      </c>
      <c r="O3736" s="7">
        <f>IF(COUNTA(A3736:K3736)=0,"",IF(OR(A3736="",B3736=""),"Preencher CPF e entrada",IF(COUNTIFS($A$12:$A$5011,A3736,$B$12:$B$5011,B3736)&gt;1,"CPF + dia duplicado",IF(OR(AND(G3736&lt;&gt;"",G3736&lt;&gt;0,G3736&lt;&gt;1),AND(H3736&lt;&gt;"",H3736&lt;&gt;0,H3736&lt;&gt;1)),"Flags devem ser 0 ou 1",IF(AND(H3736=1,LEN(TRIM(I3736))=0),"Preencher nome do indicante",IF(AND(H3736&lt;&gt;1,I3736&lt;&gt;""),"Nome sem indicação interna",IF(AND(G3736=1,F3736=""),"Fechamento sem conversa",IF(OR(AND(E3736&lt;&gt;"",E3736&lt;B3736),AND(F3736&lt;&gt;"",F3736&lt;B3736)),"Evento anterior à entrada",IF(AND(F3736&lt;&gt;"",E3736=""),"Conversa sem agendamento",IF(OR(E3736&gt;TODAY(),F3736&gt;TODAY()),"Verificar evento futuro","OK"))))))))))</f>
        <v/>
      </c>
    </row>
    <row r="3737" spans="12:15">
      <c r="L3737" s="5">
        <f>IF(OR(A3737="",B3737=""),"",B3737-WEEKDAY(B3737,2)+1)</f>
        <v/>
      </c>
      <c r="M3737" s="5">
        <f>IF(L3737="","",L3737+6)</f>
        <v/>
      </c>
      <c r="N3737" s="6">
        <f>IF(OR(A3737="",B3737=""),"",DATE(YEAR(B3737),MONTH(B3737),1))</f>
        <v/>
      </c>
      <c r="O3737" s="7">
        <f>IF(COUNTA(A3737:K3737)=0,"",IF(OR(A3737="",B3737=""),"Preencher CPF e entrada",IF(COUNTIFS($A$12:$A$5011,A3737,$B$12:$B$5011,B3737)&gt;1,"CPF + dia duplicado",IF(OR(AND(G3737&lt;&gt;"",G3737&lt;&gt;0,G3737&lt;&gt;1),AND(H3737&lt;&gt;"",H3737&lt;&gt;0,H3737&lt;&gt;1)),"Flags devem ser 0 ou 1",IF(AND(H3737=1,LEN(TRIM(I3737))=0),"Preencher nome do indicante",IF(AND(H3737&lt;&gt;1,I3737&lt;&gt;""),"Nome sem indicação interna",IF(AND(G3737=1,F3737=""),"Fechamento sem conversa",IF(OR(AND(E3737&lt;&gt;"",E3737&lt;B3737),AND(F3737&lt;&gt;"",F3737&lt;B3737)),"Evento anterior à entrada",IF(AND(F3737&lt;&gt;"",E3737=""),"Conversa sem agendamento",IF(OR(E3737&gt;TODAY(),F3737&gt;TODAY()),"Verificar evento futuro","OK"))))))))))</f>
        <v/>
      </c>
    </row>
    <row r="3738" spans="12:15">
      <c r="L3738" s="5">
        <f>IF(OR(A3738="",B3738=""),"",B3738-WEEKDAY(B3738,2)+1)</f>
        <v/>
      </c>
      <c r="M3738" s="5">
        <f>IF(L3738="","",L3738+6)</f>
        <v/>
      </c>
      <c r="N3738" s="6">
        <f>IF(OR(A3738="",B3738=""),"",DATE(YEAR(B3738),MONTH(B3738),1))</f>
        <v/>
      </c>
      <c r="O3738" s="7">
        <f>IF(COUNTA(A3738:K3738)=0,"",IF(OR(A3738="",B3738=""),"Preencher CPF e entrada",IF(COUNTIFS($A$12:$A$5011,A3738,$B$12:$B$5011,B3738)&gt;1,"CPF + dia duplicado",IF(OR(AND(G3738&lt;&gt;"",G3738&lt;&gt;0,G3738&lt;&gt;1),AND(H3738&lt;&gt;"",H3738&lt;&gt;0,H3738&lt;&gt;1)),"Flags devem ser 0 ou 1",IF(AND(H3738=1,LEN(TRIM(I3738))=0),"Preencher nome do indicante",IF(AND(H3738&lt;&gt;1,I3738&lt;&gt;""),"Nome sem indicação interna",IF(AND(G3738=1,F3738=""),"Fechamento sem conversa",IF(OR(AND(E3738&lt;&gt;"",E3738&lt;B3738),AND(F3738&lt;&gt;"",F3738&lt;B3738)),"Evento anterior à entrada",IF(AND(F3738&lt;&gt;"",E3738=""),"Conversa sem agendamento",IF(OR(E3738&gt;TODAY(),F3738&gt;TODAY()),"Verificar evento futuro","OK"))))))))))</f>
        <v/>
      </c>
    </row>
    <row r="3739" spans="12:15">
      <c r="L3739" s="5">
        <f>IF(OR(A3739="",B3739=""),"",B3739-WEEKDAY(B3739,2)+1)</f>
        <v/>
      </c>
      <c r="M3739" s="5">
        <f>IF(L3739="","",L3739+6)</f>
        <v/>
      </c>
      <c r="N3739" s="6">
        <f>IF(OR(A3739="",B3739=""),"",DATE(YEAR(B3739),MONTH(B3739),1))</f>
        <v/>
      </c>
      <c r="O3739" s="7">
        <f>IF(COUNTA(A3739:K3739)=0,"",IF(OR(A3739="",B3739=""),"Preencher CPF e entrada",IF(COUNTIFS($A$12:$A$5011,A3739,$B$12:$B$5011,B3739)&gt;1,"CPF + dia duplicado",IF(OR(AND(G3739&lt;&gt;"",G3739&lt;&gt;0,G3739&lt;&gt;1),AND(H3739&lt;&gt;"",H3739&lt;&gt;0,H3739&lt;&gt;1)),"Flags devem ser 0 ou 1",IF(AND(H3739=1,LEN(TRIM(I3739))=0),"Preencher nome do indicante",IF(AND(H3739&lt;&gt;1,I3739&lt;&gt;""),"Nome sem indicação interna",IF(AND(G3739=1,F3739=""),"Fechamento sem conversa",IF(OR(AND(E3739&lt;&gt;"",E3739&lt;B3739),AND(F3739&lt;&gt;"",F3739&lt;B3739)),"Evento anterior à entrada",IF(AND(F3739&lt;&gt;"",E3739=""),"Conversa sem agendamento",IF(OR(E3739&gt;TODAY(),F3739&gt;TODAY()),"Verificar evento futuro","OK"))))))))))</f>
        <v/>
      </c>
    </row>
    <row r="3740" spans="12:15">
      <c r="L3740" s="5">
        <f>IF(OR(A3740="",B3740=""),"",B3740-WEEKDAY(B3740,2)+1)</f>
        <v/>
      </c>
      <c r="M3740" s="5">
        <f>IF(L3740="","",L3740+6)</f>
        <v/>
      </c>
      <c r="N3740" s="6">
        <f>IF(OR(A3740="",B3740=""),"",DATE(YEAR(B3740),MONTH(B3740),1))</f>
        <v/>
      </c>
      <c r="O3740" s="7">
        <f>IF(COUNTA(A3740:K3740)=0,"",IF(OR(A3740="",B3740=""),"Preencher CPF e entrada",IF(COUNTIFS($A$12:$A$5011,A3740,$B$12:$B$5011,B3740)&gt;1,"CPF + dia duplicado",IF(OR(AND(G3740&lt;&gt;"",G3740&lt;&gt;0,G3740&lt;&gt;1),AND(H3740&lt;&gt;"",H3740&lt;&gt;0,H3740&lt;&gt;1)),"Flags devem ser 0 ou 1",IF(AND(H3740=1,LEN(TRIM(I3740))=0),"Preencher nome do indicante",IF(AND(H3740&lt;&gt;1,I3740&lt;&gt;""),"Nome sem indicação interna",IF(AND(G3740=1,F3740=""),"Fechamento sem conversa",IF(OR(AND(E3740&lt;&gt;"",E3740&lt;B3740),AND(F3740&lt;&gt;"",F3740&lt;B3740)),"Evento anterior à entrada",IF(AND(F3740&lt;&gt;"",E3740=""),"Conversa sem agendamento",IF(OR(E3740&gt;TODAY(),F3740&gt;TODAY()),"Verificar evento futuro","OK"))))))))))</f>
        <v/>
      </c>
    </row>
    <row r="3741" spans="12:15">
      <c r="L3741" s="5">
        <f>IF(OR(A3741="",B3741=""),"",B3741-WEEKDAY(B3741,2)+1)</f>
        <v/>
      </c>
      <c r="M3741" s="5">
        <f>IF(L3741="","",L3741+6)</f>
        <v/>
      </c>
      <c r="N3741" s="6">
        <f>IF(OR(A3741="",B3741=""),"",DATE(YEAR(B3741),MONTH(B3741),1))</f>
        <v/>
      </c>
      <c r="O3741" s="7">
        <f>IF(COUNTA(A3741:K3741)=0,"",IF(OR(A3741="",B3741=""),"Preencher CPF e entrada",IF(COUNTIFS($A$12:$A$5011,A3741,$B$12:$B$5011,B3741)&gt;1,"CPF + dia duplicado",IF(OR(AND(G3741&lt;&gt;"",G3741&lt;&gt;0,G3741&lt;&gt;1),AND(H3741&lt;&gt;"",H3741&lt;&gt;0,H3741&lt;&gt;1)),"Flags devem ser 0 ou 1",IF(AND(H3741=1,LEN(TRIM(I3741))=0),"Preencher nome do indicante",IF(AND(H3741&lt;&gt;1,I3741&lt;&gt;""),"Nome sem indicação interna",IF(AND(G3741=1,F3741=""),"Fechamento sem conversa",IF(OR(AND(E3741&lt;&gt;"",E3741&lt;B3741),AND(F3741&lt;&gt;"",F3741&lt;B3741)),"Evento anterior à entrada",IF(AND(F3741&lt;&gt;"",E3741=""),"Conversa sem agendamento",IF(OR(E3741&gt;TODAY(),F3741&gt;TODAY()),"Verificar evento futuro","OK"))))))))))</f>
        <v/>
      </c>
    </row>
    <row r="3742" spans="12:15">
      <c r="L3742" s="5">
        <f>IF(OR(A3742="",B3742=""),"",B3742-WEEKDAY(B3742,2)+1)</f>
        <v/>
      </c>
      <c r="M3742" s="5">
        <f>IF(L3742="","",L3742+6)</f>
        <v/>
      </c>
      <c r="N3742" s="6">
        <f>IF(OR(A3742="",B3742=""),"",DATE(YEAR(B3742),MONTH(B3742),1))</f>
        <v/>
      </c>
      <c r="O3742" s="7">
        <f>IF(COUNTA(A3742:K3742)=0,"",IF(OR(A3742="",B3742=""),"Preencher CPF e entrada",IF(COUNTIFS($A$12:$A$5011,A3742,$B$12:$B$5011,B3742)&gt;1,"CPF + dia duplicado",IF(OR(AND(G3742&lt;&gt;"",G3742&lt;&gt;0,G3742&lt;&gt;1),AND(H3742&lt;&gt;"",H3742&lt;&gt;0,H3742&lt;&gt;1)),"Flags devem ser 0 ou 1",IF(AND(H3742=1,LEN(TRIM(I3742))=0),"Preencher nome do indicante",IF(AND(H3742&lt;&gt;1,I3742&lt;&gt;""),"Nome sem indicação interna",IF(AND(G3742=1,F3742=""),"Fechamento sem conversa",IF(OR(AND(E3742&lt;&gt;"",E3742&lt;B3742),AND(F3742&lt;&gt;"",F3742&lt;B3742)),"Evento anterior à entrada",IF(AND(F3742&lt;&gt;"",E3742=""),"Conversa sem agendamento",IF(OR(E3742&gt;TODAY(),F3742&gt;TODAY()),"Verificar evento futuro","OK"))))))))))</f>
        <v/>
      </c>
    </row>
    <row r="3743" spans="12:15">
      <c r="L3743" s="5">
        <f>IF(OR(A3743="",B3743=""),"",B3743-WEEKDAY(B3743,2)+1)</f>
        <v/>
      </c>
      <c r="M3743" s="5">
        <f>IF(L3743="","",L3743+6)</f>
        <v/>
      </c>
      <c r="N3743" s="6">
        <f>IF(OR(A3743="",B3743=""),"",DATE(YEAR(B3743),MONTH(B3743),1))</f>
        <v/>
      </c>
      <c r="O3743" s="7">
        <f>IF(COUNTA(A3743:K3743)=0,"",IF(OR(A3743="",B3743=""),"Preencher CPF e entrada",IF(COUNTIFS($A$12:$A$5011,A3743,$B$12:$B$5011,B3743)&gt;1,"CPF + dia duplicado",IF(OR(AND(G3743&lt;&gt;"",G3743&lt;&gt;0,G3743&lt;&gt;1),AND(H3743&lt;&gt;"",H3743&lt;&gt;0,H3743&lt;&gt;1)),"Flags devem ser 0 ou 1",IF(AND(H3743=1,LEN(TRIM(I3743))=0),"Preencher nome do indicante",IF(AND(H3743&lt;&gt;1,I3743&lt;&gt;""),"Nome sem indicação interna",IF(AND(G3743=1,F3743=""),"Fechamento sem conversa",IF(OR(AND(E3743&lt;&gt;"",E3743&lt;B3743),AND(F3743&lt;&gt;"",F3743&lt;B3743)),"Evento anterior à entrada",IF(AND(F3743&lt;&gt;"",E3743=""),"Conversa sem agendamento",IF(OR(E3743&gt;TODAY(),F3743&gt;TODAY()),"Verificar evento futuro","OK"))))))))))</f>
        <v/>
      </c>
    </row>
    <row r="3744" spans="12:15">
      <c r="L3744" s="5">
        <f>IF(OR(A3744="",B3744=""),"",B3744-WEEKDAY(B3744,2)+1)</f>
        <v/>
      </c>
      <c r="M3744" s="5">
        <f>IF(L3744="","",L3744+6)</f>
        <v/>
      </c>
      <c r="N3744" s="6">
        <f>IF(OR(A3744="",B3744=""),"",DATE(YEAR(B3744),MONTH(B3744),1))</f>
        <v/>
      </c>
      <c r="O3744" s="7">
        <f>IF(COUNTA(A3744:K3744)=0,"",IF(OR(A3744="",B3744=""),"Preencher CPF e entrada",IF(COUNTIFS($A$12:$A$5011,A3744,$B$12:$B$5011,B3744)&gt;1,"CPF + dia duplicado",IF(OR(AND(G3744&lt;&gt;"",G3744&lt;&gt;0,G3744&lt;&gt;1),AND(H3744&lt;&gt;"",H3744&lt;&gt;0,H3744&lt;&gt;1)),"Flags devem ser 0 ou 1",IF(AND(H3744=1,LEN(TRIM(I3744))=0),"Preencher nome do indicante",IF(AND(H3744&lt;&gt;1,I3744&lt;&gt;""),"Nome sem indicação interna",IF(AND(G3744=1,F3744=""),"Fechamento sem conversa",IF(OR(AND(E3744&lt;&gt;"",E3744&lt;B3744),AND(F3744&lt;&gt;"",F3744&lt;B3744)),"Evento anterior à entrada",IF(AND(F3744&lt;&gt;"",E3744=""),"Conversa sem agendamento",IF(OR(E3744&gt;TODAY(),F3744&gt;TODAY()),"Verificar evento futuro","OK"))))))))))</f>
        <v/>
      </c>
    </row>
    <row r="3745" spans="12:15">
      <c r="L3745" s="5">
        <f>IF(OR(A3745="",B3745=""),"",B3745-WEEKDAY(B3745,2)+1)</f>
        <v/>
      </c>
      <c r="M3745" s="5">
        <f>IF(L3745="","",L3745+6)</f>
        <v/>
      </c>
      <c r="N3745" s="6">
        <f>IF(OR(A3745="",B3745=""),"",DATE(YEAR(B3745),MONTH(B3745),1))</f>
        <v/>
      </c>
      <c r="O3745" s="7">
        <f>IF(COUNTA(A3745:K3745)=0,"",IF(OR(A3745="",B3745=""),"Preencher CPF e entrada",IF(COUNTIFS($A$12:$A$5011,A3745,$B$12:$B$5011,B3745)&gt;1,"CPF + dia duplicado",IF(OR(AND(G3745&lt;&gt;"",G3745&lt;&gt;0,G3745&lt;&gt;1),AND(H3745&lt;&gt;"",H3745&lt;&gt;0,H3745&lt;&gt;1)),"Flags devem ser 0 ou 1",IF(AND(H3745=1,LEN(TRIM(I3745))=0),"Preencher nome do indicante",IF(AND(H3745&lt;&gt;1,I3745&lt;&gt;""),"Nome sem indicação interna",IF(AND(G3745=1,F3745=""),"Fechamento sem conversa",IF(OR(AND(E3745&lt;&gt;"",E3745&lt;B3745),AND(F3745&lt;&gt;"",F3745&lt;B3745)),"Evento anterior à entrada",IF(AND(F3745&lt;&gt;"",E3745=""),"Conversa sem agendamento",IF(OR(E3745&gt;TODAY(),F3745&gt;TODAY()),"Verificar evento futuro","OK"))))))))))</f>
        <v/>
      </c>
    </row>
    <row r="3746" spans="12:15">
      <c r="L3746" s="5">
        <f>IF(OR(A3746="",B3746=""),"",B3746-WEEKDAY(B3746,2)+1)</f>
        <v/>
      </c>
      <c r="M3746" s="5">
        <f>IF(L3746="","",L3746+6)</f>
        <v/>
      </c>
      <c r="N3746" s="6">
        <f>IF(OR(A3746="",B3746=""),"",DATE(YEAR(B3746),MONTH(B3746),1))</f>
        <v/>
      </c>
      <c r="O3746" s="7">
        <f>IF(COUNTA(A3746:K3746)=0,"",IF(OR(A3746="",B3746=""),"Preencher CPF e entrada",IF(COUNTIFS($A$12:$A$5011,A3746,$B$12:$B$5011,B3746)&gt;1,"CPF + dia duplicado",IF(OR(AND(G3746&lt;&gt;"",G3746&lt;&gt;0,G3746&lt;&gt;1),AND(H3746&lt;&gt;"",H3746&lt;&gt;0,H3746&lt;&gt;1)),"Flags devem ser 0 ou 1",IF(AND(H3746=1,LEN(TRIM(I3746))=0),"Preencher nome do indicante",IF(AND(H3746&lt;&gt;1,I3746&lt;&gt;""),"Nome sem indicação interna",IF(AND(G3746=1,F3746=""),"Fechamento sem conversa",IF(OR(AND(E3746&lt;&gt;"",E3746&lt;B3746),AND(F3746&lt;&gt;"",F3746&lt;B3746)),"Evento anterior à entrada",IF(AND(F3746&lt;&gt;"",E3746=""),"Conversa sem agendamento",IF(OR(E3746&gt;TODAY(),F3746&gt;TODAY()),"Verificar evento futuro","OK"))))))))))</f>
        <v/>
      </c>
    </row>
    <row r="3747" spans="12:15">
      <c r="L3747" s="5">
        <f>IF(OR(A3747="",B3747=""),"",B3747-WEEKDAY(B3747,2)+1)</f>
        <v/>
      </c>
      <c r="M3747" s="5">
        <f>IF(L3747="","",L3747+6)</f>
        <v/>
      </c>
      <c r="N3747" s="6">
        <f>IF(OR(A3747="",B3747=""),"",DATE(YEAR(B3747),MONTH(B3747),1))</f>
        <v/>
      </c>
      <c r="O3747" s="7">
        <f>IF(COUNTA(A3747:K3747)=0,"",IF(OR(A3747="",B3747=""),"Preencher CPF e entrada",IF(COUNTIFS($A$12:$A$5011,A3747,$B$12:$B$5011,B3747)&gt;1,"CPF + dia duplicado",IF(OR(AND(G3747&lt;&gt;"",G3747&lt;&gt;0,G3747&lt;&gt;1),AND(H3747&lt;&gt;"",H3747&lt;&gt;0,H3747&lt;&gt;1)),"Flags devem ser 0 ou 1",IF(AND(H3747=1,LEN(TRIM(I3747))=0),"Preencher nome do indicante",IF(AND(H3747&lt;&gt;1,I3747&lt;&gt;""),"Nome sem indicação interna",IF(AND(G3747=1,F3747=""),"Fechamento sem conversa",IF(OR(AND(E3747&lt;&gt;"",E3747&lt;B3747),AND(F3747&lt;&gt;"",F3747&lt;B3747)),"Evento anterior à entrada",IF(AND(F3747&lt;&gt;"",E3747=""),"Conversa sem agendamento",IF(OR(E3747&gt;TODAY(),F3747&gt;TODAY()),"Verificar evento futuro","OK"))))))))))</f>
        <v/>
      </c>
    </row>
    <row r="3748" spans="12:15">
      <c r="L3748" s="5">
        <f>IF(OR(A3748="",B3748=""),"",B3748-WEEKDAY(B3748,2)+1)</f>
        <v/>
      </c>
      <c r="M3748" s="5">
        <f>IF(L3748="","",L3748+6)</f>
        <v/>
      </c>
      <c r="N3748" s="6">
        <f>IF(OR(A3748="",B3748=""),"",DATE(YEAR(B3748),MONTH(B3748),1))</f>
        <v/>
      </c>
      <c r="O3748" s="7">
        <f>IF(COUNTA(A3748:K3748)=0,"",IF(OR(A3748="",B3748=""),"Preencher CPF e entrada",IF(COUNTIFS($A$12:$A$5011,A3748,$B$12:$B$5011,B3748)&gt;1,"CPF + dia duplicado",IF(OR(AND(G3748&lt;&gt;"",G3748&lt;&gt;0,G3748&lt;&gt;1),AND(H3748&lt;&gt;"",H3748&lt;&gt;0,H3748&lt;&gt;1)),"Flags devem ser 0 ou 1",IF(AND(H3748=1,LEN(TRIM(I3748))=0),"Preencher nome do indicante",IF(AND(H3748&lt;&gt;1,I3748&lt;&gt;""),"Nome sem indicação interna",IF(AND(G3748=1,F3748=""),"Fechamento sem conversa",IF(OR(AND(E3748&lt;&gt;"",E3748&lt;B3748),AND(F3748&lt;&gt;"",F3748&lt;B3748)),"Evento anterior à entrada",IF(AND(F3748&lt;&gt;"",E3748=""),"Conversa sem agendamento",IF(OR(E3748&gt;TODAY(),F3748&gt;TODAY()),"Verificar evento futuro","OK"))))))))))</f>
        <v/>
      </c>
    </row>
    <row r="3749" spans="12:15">
      <c r="L3749" s="5">
        <f>IF(OR(A3749="",B3749=""),"",B3749-WEEKDAY(B3749,2)+1)</f>
        <v/>
      </c>
      <c r="M3749" s="5">
        <f>IF(L3749="","",L3749+6)</f>
        <v/>
      </c>
      <c r="N3749" s="6">
        <f>IF(OR(A3749="",B3749=""),"",DATE(YEAR(B3749),MONTH(B3749),1))</f>
        <v/>
      </c>
      <c r="O3749" s="7">
        <f>IF(COUNTA(A3749:K3749)=0,"",IF(OR(A3749="",B3749=""),"Preencher CPF e entrada",IF(COUNTIFS($A$12:$A$5011,A3749,$B$12:$B$5011,B3749)&gt;1,"CPF + dia duplicado",IF(OR(AND(G3749&lt;&gt;"",G3749&lt;&gt;0,G3749&lt;&gt;1),AND(H3749&lt;&gt;"",H3749&lt;&gt;0,H3749&lt;&gt;1)),"Flags devem ser 0 ou 1",IF(AND(H3749=1,LEN(TRIM(I3749))=0),"Preencher nome do indicante",IF(AND(H3749&lt;&gt;1,I3749&lt;&gt;""),"Nome sem indicação interna",IF(AND(G3749=1,F3749=""),"Fechamento sem conversa",IF(OR(AND(E3749&lt;&gt;"",E3749&lt;B3749),AND(F3749&lt;&gt;"",F3749&lt;B3749)),"Evento anterior à entrada",IF(AND(F3749&lt;&gt;"",E3749=""),"Conversa sem agendamento",IF(OR(E3749&gt;TODAY(),F3749&gt;TODAY()),"Verificar evento futuro","OK"))))))))))</f>
        <v/>
      </c>
    </row>
    <row r="3750" spans="12:15">
      <c r="L3750" s="5">
        <f>IF(OR(A3750="",B3750=""),"",B3750-WEEKDAY(B3750,2)+1)</f>
        <v/>
      </c>
      <c r="M3750" s="5">
        <f>IF(L3750="","",L3750+6)</f>
        <v/>
      </c>
      <c r="N3750" s="6">
        <f>IF(OR(A3750="",B3750=""),"",DATE(YEAR(B3750),MONTH(B3750),1))</f>
        <v/>
      </c>
      <c r="O3750" s="7">
        <f>IF(COUNTA(A3750:K3750)=0,"",IF(OR(A3750="",B3750=""),"Preencher CPF e entrada",IF(COUNTIFS($A$12:$A$5011,A3750,$B$12:$B$5011,B3750)&gt;1,"CPF + dia duplicado",IF(OR(AND(G3750&lt;&gt;"",G3750&lt;&gt;0,G3750&lt;&gt;1),AND(H3750&lt;&gt;"",H3750&lt;&gt;0,H3750&lt;&gt;1)),"Flags devem ser 0 ou 1",IF(AND(H3750=1,LEN(TRIM(I3750))=0),"Preencher nome do indicante",IF(AND(H3750&lt;&gt;1,I3750&lt;&gt;""),"Nome sem indicação interna",IF(AND(G3750=1,F3750=""),"Fechamento sem conversa",IF(OR(AND(E3750&lt;&gt;"",E3750&lt;B3750),AND(F3750&lt;&gt;"",F3750&lt;B3750)),"Evento anterior à entrada",IF(AND(F3750&lt;&gt;"",E3750=""),"Conversa sem agendamento",IF(OR(E3750&gt;TODAY(),F3750&gt;TODAY()),"Verificar evento futuro","OK"))))))))))</f>
        <v/>
      </c>
    </row>
    <row r="3751" spans="12:15">
      <c r="L3751" s="5">
        <f>IF(OR(A3751="",B3751=""),"",B3751-WEEKDAY(B3751,2)+1)</f>
        <v/>
      </c>
      <c r="M3751" s="5">
        <f>IF(L3751="","",L3751+6)</f>
        <v/>
      </c>
      <c r="N3751" s="6">
        <f>IF(OR(A3751="",B3751=""),"",DATE(YEAR(B3751),MONTH(B3751),1))</f>
        <v/>
      </c>
      <c r="O3751" s="7">
        <f>IF(COUNTA(A3751:K3751)=0,"",IF(OR(A3751="",B3751=""),"Preencher CPF e entrada",IF(COUNTIFS($A$12:$A$5011,A3751,$B$12:$B$5011,B3751)&gt;1,"CPF + dia duplicado",IF(OR(AND(G3751&lt;&gt;"",G3751&lt;&gt;0,G3751&lt;&gt;1),AND(H3751&lt;&gt;"",H3751&lt;&gt;0,H3751&lt;&gt;1)),"Flags devem ser 0 ou 1",IF(AND(H3751=1,LEN(TRIM(I3751))=0),"Preencher nome do indicante",IF(AND(H3751&lt;&gt;1,I3751&lt;&gt;""),"Nome sem indicação interna",IF(AND(G3751=1,F3751=""),"Fechamento sem conversa",IF(OR(AND(E3751&lt;&gt;"",E3751&lt;B3751),AND(F3751&lt;&gt;"",F3751&lt;B3751)),"Evento anterior à entrada",IF(AND(F3751&lt;&gt;"",E3751=""),"Conversa sem agendamento",IF(OR(E3751&gt;TODAY(),F3751&gt;TODAY()),"Verificar evento futuro","OK"))))))))))</f>
        <v/>
      </c>
    </row>
    <row r="3752" spans="12:15">
      <c r="L3752" s="5">
        <f>IF(OR(A3752="",B3752=""),"",B3752-WEEKDAY(B3752,2)+1)</f>
        <v/>
      </c>
      <c r="M3752" s="5">
        <f>IF(L3752="","",L3752+6)</f>
        <v/>
      </c>
      <c r="N3752" s="6">
        <f>IF(OR(A3752="",B3752=""),"",DATE(YEAR(B3752),MONTH(B3752),1))</f>
        <v/>
      </c>
      <c r="O3752" s="7">
        <f>IF(COUNTA(A3752:K3752)=0,"",IF(OR(A3752="",B3752=""),"Preencher CPF e entrada",IF(COUNTIFS($A$12:$A$5011,A3752,$B$12:$B$5011,B3752)&gt;1,"CPF + dia duplicado",IF(OR(AND(G3752&lt;&gt;"",G3752&lt;&gt;0,G3752&lt;&gt;1),AND(H3752&lt;&gt;"",H3752&lt;&gt;0,H3752&lt;&gt;1)),"Flags devem ser 0 ou 1",IF(AND(H3752=1,LEN(TRIM(I3752))=0),"Preencher nome do indicante",IF(AND(H3752&lt;&gt;1,I3752&lt;&gt;""),"Nome sem indicação interna",IF(AND(G3752=1,F3752=""),"Fechamento sem conversa",IF(OR(AND(E3752&lt;&gt;"",E3752&lt;B3752),AND(F3752&lt;&gt;"",F3752&lt;B3752)),"Evento anterior à entrada",IF(AND(F3752&lt;&gt;"",E3752=""),"Conversa sem agendamento",IF(OR(E3752&gt;TODAY(),F3752&gt;TODAY()),"Verificar evento futuro","OK"))))))))))</f>
        <v/>
      </c>
    </row>
    <row r="3753" spans="12:15">
      <c r="L3753" s="5">
        <f>IF(OR(A3753="",B3753=""),"",B3753-WEEKDAY(B3753,2)+1)</f>
        <v/>
      </c>
      <c r="M3753" s="5">
        <f>IF(L3753="","",L3753+6)</f>
        <v/>
      </c>
      <c r="N3753" s="6">
        <f>IF(OR(A3753="",B3753=""),"",DATE(YEAR(B3753),MONTH(B3753),1))</f>
        <v/>
      </c>
      <c r="O3753" s="7">
        <f>IF(COUNTA(A3753:K3753)=0,"",IF(OR(A3753="",B3753=""),"Preencher CPF e entrada",IF(COUNTIFS($A$12:$A$5011,A3753,$B$12:$B$5011,B3753)&gt;1,"CPF + dia duplicado",IF(OR(AND(G3753&lt;&gt;"",G3753&lt;&gt;0,G3753&lt;&gt;1),AND(H3753&lt;&gt;"",H3753&lt;&gt;0,H3753&lt;&gt;1)),"Flags devem ser 0 ou 1",IF(AND(H3753=1,LEN(TRIM(I3753))=0),"Preencher nome do indicante",IF(AND(H3753&lt;&gt;1,I3753&lt;&gt;""),"Nome sem indicação interna",IF(AND(G3753=1,F3753=""),"Fechamento sem conversa",IF(OR(AND(E3753&lt;&gt;"",E3753&lt;B3753),AND(F3753&lt;&gt;"",F3753&lt;B3753)),"Evento anterior à entrada",IF(AND(F3753&lt;&gt;"",E3753=""),"Conversa sem agendamento",IF(OR(E3753&gt;TODAY(),F3753&gt;TODAY()),"Verificar evento futuro","OK"))))))))))</f>
        <v/>
      </c>
    </row>
    <row r="3754" spans="12:15">
      <c r="L3754" s="5">
        <f>IF(OR(A3754="",B3754=""),"",B3754-WEEKDAY(B3754,2)+1)</f>
        <v/>
      </c>
      <c r="M3754" s="5">
        <f>IF(L3754="","",L3754+6)</f>
        <v/>
      </c>
      <c r="N3754" s="6">
        <f>IF(OR(A3754="",B3754=""),"",DATE(YEAR(B3754),MONTH(B3754),1))</f>
        <v/>
      </c>
      <c r="O3754" s="7">
        <f>IF(COUNTA(A3754:K3754)=0,"",IF(OR(A3754="",B3754=""),"Preencher CPF e entrada",IF(COUNTIFS($A$12:$A$5011,A3754,$B$12:$B$5011,B3754)&gt;1,"CPF + dia duplicado",IF(OR(AND(G3754&lt;&gt;"",G3754&lt;&gt;0,G3754&lt;&gt;1),AND(H3754&lt;&gt;"",H3754&lt;&gt;0,H3754&lt;&gt;1)),"Flags devem ser 0 ou 1",IF(AND(H3754=1,LEN(TRIM(I3754))=0),"Preencher nome do indicante",IF(AND(H3754&lt;&gt;1,I3754&lt;&gt;""),"Nome sem indicação interna",IF(AND(G3754=1,F3754=""),"Fechamento sem conversa",IF(OR(AND(E3754&lt;&gt;"",E3754&lt;B3754),AND(F3754&lt;&gt;"",F3754&lt;B3754)),"Evento anterior à entrada",IF(AND(F3754&lt;&gt;"",E3754=""),"Conversa sem agendamento",IF(OR(E3754&gt;TODAY(),F3754&gt;TODAY()),"Verificar evento futuro","OK"))))))))))</f>
        <v/>
      </c>
    </row>
    <row r="3755" spans="12:15">
      <c r="L3755" s="5">
        <f>IF(OR(A3755="",B3755=""),"",B3755-WEEKDAY(B3755,2)+1)</f>
        <v/>
      </c>
      <c r="M3755" s="5">
        <f>IF(L3755="","",L3755+6)</f>
        <v/>
      </c>
      <c r="N3755" s="6">
        <f>IF(OR(A3755="",B3755=""),"",DATE(YEAR(B3755),MONTH(B3755),1))</f>
        <v/>
      </c>
      <c r="O3755" s="7">
        <f>IF(COUNTA(A3755:K3755)=0,"",IF(OR(A3755="",B3755=""),"Preencher CPF e entrada",IF(COUNTIFS($A$12:$A$5011,A3755,$B$12:$B$5011,B3755)&gt;1,"CPF + dia duplicado",IF(OR(AND(G3755&lt;&gt;"",G3755&lt;&gt;0,G3755&lt;&gt;1),AND(H3755&lt;&gt;"",H3755&lt;&gt;0,H3755&lt;&gt;1)),"Flags devem ser 0 ou 1",IF(AND(H3755=1,LEN(TRIM(I3755))=0),"Preencher nome do indicante",IF(AND(H3755&lt;&gt;1,I3755&lt;&gt;""),"Nome sem indicação interna",IF(AND(G3755=1,F3755=""),"Fechamento sem conversa",IF(OR(AND(E3755&lt;&gt;"",E3755&lt;B3755),AND(F3755&lt;&gt;"",F3755&lt;B3755)),"Evento anterior à entrada",IF(AND(F3755&lt;&gt;"",E3755=""),"Conversa sem agendamento",IF(OR(E3755&gt;TODAY(),F3755&gt;TODAY()),"Verificar evento futuro","OK"))))))))))</f>
        <v/>
      </c>
    </row>
    <row r="3756" spans="12:15">
      <c r="L3756" s="5">
        <f>IF(OR(A3756="",B3756=""),"",B3756-WEEKDAY(B3756,2)+1)</f>
        <v/>
      </c>
      <c r="M3756" s="5">
        <f>IF(L3756="","",L3756+6)</f>
        <v/>
      </c>
      <c r="N3756" s="6">
        <f>IF(OR(A3756="",B3756=""),"",DATE(YEAR(B3756),MONTH(B3756),1))</f>
        <v/>
      </c>
      <c r="O3756" s="7">
        <f>IF(COUNTA(A3756:K3756)=0,"",IF(OR(A3756="",B3756=""),"Preencher CPF e entrada",IF(COUNTIFS($A$12:$A$5011,A3756,$B$12:$B$5011,B3756)&gt;1,"CPF + dia duplicado",IF(OR(AND(G3756&lt;&gt;"",G3756&lt;&gt;0,G3756&lt;&gt;1),AND(H3756&lt;&gt;"",H3756&lt;&gt;0,H3756&lt;&gt;1)),"Flags devem ser 0 ou 1",IF(AND(H3756=1,LEN(TRIM(I3756))=0),"Preencher nome do indicante",IF(AND(H3756&lt;&gt;1,I3756&lt;&gt;""),"Nome sem indicação interna",IF(AND(G3756=1,F3756=""),"Fechamento sem conversa",IF(OR(AND(E3756&lt;&gt;"",E3756&lt;B3756),AND(F3756&lt;&gt;"",F3756&lt;B3756)),"Evento anterior à entrada",IF(AND(F3756&lt;&gt;"",E3756=""),"Conversa sem agendamento",IF(OR(E3756&gt;TODAY(),F3756&gt;TODAY()),"Verificar evento futuro","OK"))))))))))</f>
        <v/>
      </c>
    </row>
    <row r="3757" spans="12:15">
      <c r="L3757" s="5">
        <f>IF(OR(A3757="",B3757=""),"",B3757-WEEKDAY(B3757,2)+1)</f>
        <v/>
      </c>
      <c r="M3757" s="5">
        <f>IF(L3757="","",L3757+6)</f>
        <v/>
      </c>
      <c r="N3757" s="6">
        <f>IF(OR(A3757="",B3757=""),"",DATE(YEAR(B3757),MONTH(B3757),1))</f>
        <v/>
      </c>
      <c r="O3757" s="7">
        <f>IF(COUNTA(A3757:K3757)=0,"",IF(OR(A3757="",B3757=""),"Preencher CPF e entrada",IF(COUNTIFS($A$12:$A$5011,A3757,$B$12:$B$5011,B3757)&gt;1,"CPF + dia duplicado",IF(OR(AND(G3757&lt;&gt;"",G3757&lt;&gt;0,G3757&lt;&gt;1),AND(H3757&lt;&gt;"",H3757&lt;&gt;0,H3757&lt;&gt;1)),"Flags devem ser 0 ou 1",IF(AND(H3757=1,LEN(TRIM(I3757))=0),"Preencher nome do indicante",IF(AND(H3757&lt;&gt;1,I3757&lt;&gt;""),"Nome sem indicação interna",IF(AND(G3757=1,F3757=""),"Fechamento sem conversa",IF(OR(AND(E3757&lt;&gt;"",E3757&lt;B3757),AND(F3757&lt;&gt;"",F3757&lt;B3757)),"Evento anterior à entrada",IF(AND(F3757&lt;&gt;"",E3757=""),"Conversa sem agendamento",IF(OR(E3757&gt;TODAY(),F3757&gt;TODAY()),"Verificar evento futuro","OK"))))))))))</f>
        <v/>
      </c>
    </row>
    <row r="3758" spans="12:15">
      <c r="L3758" s="5">
        <f>IF(OR(A3758="",B3758=""),"",B3758-WEEKDAY(B3758,2)+1)</f>
        <v/>
      </c>
      <c r="M3758" s="5">
        <f>IF(L3758="","",L3758+6)</f>
        <v/>
      </c>
      <c r="N3758" s="6">
        <f>IF(OR(A3758="",B3758=""),"",DATE(YEAR(B3758),MONTH(B3758),1))</f>
        <v/>
      </c>
      <c r="O3758" s="7">
        <f>IF(COUNTA(A3758:K3758)=0,"",IF(OR(A3758="",B3758=""),"Preencher CPF e entrada",IF(COUNTIFS($A$12:$A$5011,A3758,$B$12:$B$5011,B3758)&gt;1,"CPF + dia duplicado",IF(OR(AND(G3758&lt;&gt;"",G3758&lt;&gt;0,G3758&lt;&gt;1),AND(H3758&lt;&gt;"",H3758&lt;&gt;0,H3758&lt;&gt;1)),"Flags devem ser 0 ou 1",IF(AND(H3758=1,LEN(TRIM(I3758))=0),"Preencher nome do indicante",IF(AND(H3758&lt;&gt;1,I3758&lt;&gt;""),"Nome sem indicação interna",IF(AND(G3758=1,F3758=""),"Fechamento sem conversa",IF(OR(AND(E3758&lt;&gt;"",E3758&lt;B3758),AND(F3758&lt;&gt;"",F3758&lt;B3758)),"Evento anterior à entrada",IF(AND(F3758&lt;&gt;"",E3758=""),"Conversa sem agendamento",IF(OR(E3758&gt;TODAY(),F3758&gt;TODAY()),"Verificar evento futuro","OK"))))))))))</f>
        <v/>
      </c>
    </row>
    <row r="3759" spans="12:15">
      <c r="L3759" s="5">
        <f>IF(OR(A3759="",B3759=""),"",B3759-WEEKDAY(B3759,2)+1)</f>
        <v/>
      </c>
      <c r="M3759" s="5">
        <f>IF(L3759="","",L3759+6)</f>
        <v/>
      </c>
      <c r="N3759" s="6">
        <f>IF(OR(A3759="",B3759=""),"",DATE(YEAR(B3759),MONTH(B3759),1))</f>
        <v/>
      </c>
      <c r="O3759" s="7">
        <f>IF(COUNTA(A3759:K3759)=0,"",IF(OR(A3759="",B3759=""),"Preencher CPF e entrada",IF(COUNTIFS($A$12:$A$5011,A3759,$B$12:$B$5011,B3759)&gt;1,"CPF + dia duplicado",IF(OR(AND(G3759&lt;&gt;"",G3759&lt;&gt;0,G3759&lt;&gt;1),AND(H3759&lt;&gt;"",H3759&lt;&gt;0,H3759&lt;&gt;1)),"Flags devem ser 0 ou 1",IF(AND(H3759=1,LEN(TRIM(I3759))=0),"Preencher nome do indicante",IF(AND(H3759&lt;&gt;1,I3759&lt;&gt;""),"Nome sem indicação interna",IF(AND(G3759=1,F3759=""),"Fechamento sem conversa",IF(OR(AND(E3759&lt;&gt;"",E3759&lt;B3759),AND(F3759&lt;&gt;"",F3759&lt;B3759)),"Evento anterior à entrada",IF(AND(F3759&lt;&gt;"",E3759=""),"Conversa sem agendamento",IF(OR(E3759&gt;TODAY(),F3759&gt;TODAY()),"Verificar evento futuro","OK"))))))))))</f>
        <v/>
      </c>
    </row>
    <row r="3760" spans="12:15">
      <c r="L3760" s="5">
        <f>IF(OR(A3760="",B3760=""),"",B3760-WEEKDAY(B3760,2)+1)</f>
        <v/>
      </c>
      <c r="M3760" s="5">
        <f>IF(L3760="","",L3760+6)</f>
        <v/>
      </c>
      <c r="N3760" s="6">
        <f>IF(OR(A3760="",B3760=""),"",DATE(YEAR(B3760),MONTH(B3760),1))</f>
        <v/>
      </c>
      <c r="O3760" s="7">
        <f>IF(COUNTA(A3760:K3760)=0,"",IF(OR(A3760="",B3760=""),"Preencher CPF e entrada",IF(COUNTIFS($A$12:$A$5011,A3760,$B$12:$B$5011,B3760)&gt;1,"CPF + dia duplicado",IF(OR(AND(G3760&lt;&gt;"",G3760&lt;&gt;0,G3760&lt;&gt;1),AND(H3760&lt;&gt;"",H3760&lt;&gt;0,H3760&lt;&gt;1)),"Flags devem ser 0 ou 1",IF(AND(H3760=1,LEN(TRIM(I3760))=0),"Preencher nome do indicante",IF(AND(H3760&lt;&gt;1,I3760&lt;&gt;""),"Nome sem indicação interna",IF(AND(G3760=1,F3760=""),"Fechamento sem conversa",IF(OR(AND(E3760&lt;&gt;"",E3760&lt;B3760),AND(F3760&lt;&gt;"",F3760&lt;B3760)),"Evento anterior à entrada",IF(AND(F3760&lt;&gt;"",E3760=""),"Conversa sem agendamento",IF(OR(E3760&gt;TODAY(),F3760&gt;TODAY()),"Verificar evento futuro","OK"))))))))))</f>
        <v/>
      </c>
    </row>
    <row r="3761" spans="12:15">
      <c r="L3761" s="5">
        <f>IF(OR(A3761="",B3761=""),"",B3761-WEEKDAY(B3761,2)+1)</f>
        <v/>
      </c>
      <c r="M3761" s="5">
        <f>IF(L3761="","",L3761+6)</f>
        <v/>
      </c>
      <c r="N3761" s="6">
        <f>IF(OR(A3761="",B3761=""),"",DATE(YEAR(B3761),MONTH(B3761),1))</f>
        <v/>
      </c>
      <c r="O3761" s="7">
        <f>IF(COUNTA(A3761:K3761)=0,"",IF(OR(A3761="",B3761=""),"Preencher CPF e entrada",IF(COUNTIFS($A$12:$A$5011,A3761,$B$12:$B$5011,B3761)&gt;1,"CPF + dia duplicado",IF(OR(AND(G3761&lt;&gt;"",G3761&lt;&gt;0,G3761&lt;&gt;1),AND(H3761&lt;&gt;"",H3761&lt;&gt;0,H3761&lt;&gt;1)),"Flags devem ser 0 ou 1",IF(AND(H3761=1,LEN(TRIM(I3761))=0),"Preencher nome do indicante",IF(AND(H3761&lt;&gt;1,I3761&lt;&gt;""),"Nome sem indicação interna",IF(AND(G3761=1,F3761=""),"Fechamento sem conversa",IF(OR(AND(E3761&lt;&gt;"",E3761&lt;B3761),AND(F3761&lt;&gt;"",F3761&lt;B3761)),"Evento anterior à entrada",IF(AND(F3761&lt;&gt;"",E3761=""),"Conversa sem agendamento",IF(OR(E3761&gt;TODAY(),F3761&gt;TODAY()),"Verificar evento futuro","OK"))))))))))</f>
        <v/>
      </c>
    </row>
    <row r="3762" spans="12:15">
      <c r="L3762" s="5">
        <f>IF(OR(A3762="",B3762=""),"",B3762-WEEKDAY(B3762,2)+1)</f>
        <v/>
      </c>
      <c r="M3762" s="5">
        <f>IF(L3762="","",L3762+6)</f>
        <v/>
      </c>
      <c r="N3762" s="6">
        <f>IF(OR(A3762="",B3762=""),"",DATE(YEAR(B3762),MONTH(B3762),1))</f>
        <v/>
      </c>
      <c r="O3762" s="7">
        <f>IF(COUNTA(A3762:K3762)=0,"",IF(OR(A3762="",B3762=""),"Preencher CPF e entrada",IF(COUNTIFS($A$12:$A$5011,A3762,$B$12:$B$5011,B3762)&gt;1,"CPF + dia duplicado",IF(OR(AND(G3762&lt;&gt;"",G3762&lt;&gt;0,G3762&lt;&gt;1),AND(H3762&lt;&gt;"",H3762&lt;&gt;0,H3762&lt;&gt;1)),"Flags devem ser 0 ou 1",IF(AND(H3762=1,LEN(TRIM(I3762))=0),"Preencher nome do indicante",IF(AND(H3762&lt;&gt;1,I3762&lt;&gt;""),"Nome sem indicação interna",IF(AND(G3762=1,F3762=""),"Fechamento sem conversa",IF(OR(AND(E3762&lt;&gt;"",E3762&lt;B3762),AND(F3762&lt;&gt;"",F3762&lt;B3762)),"Evento anterior à entrada",IF(AND(F3762&lt;&gt;"",E3762=""),"Conversa sem agendamento",IF(OR(E3762&gt;TODAY(),F3762&gt;TODAY()),"Verificar evento futuro","OK"))))))))))</f>
        <v/>
      </c>
    </row>
    <row r="3763" spans="12:15">
      <c r="L3763" s="5">
        <f>IF(OR(A3763="",B3763=""),"",B3763-WEEKDAY(B3763,2)+1)</f>
        <v/>
      </c>
      <c r="M3763" s="5">
        <f>IF(L3763="","",L3763+6)</f>
        <v/>
      </c>
      <c r="N3763" s="6">
        <f>IF(OR(A3763="",B3763=""),"",DATE(YEAR(B3763),MONTH(B3763),1))</f>
        <v/>
      </c>
      <c r="O3763" s="7">
        <f>IF(COUNTA(A3763:K3763)=0,"",IF(OR(A3763="",B3763=""),"Preencher CPF e entrada",IF(COUNTIFS($A$12:$A$5011,A3763,$B$12:$B$5011,B3763)&gt;1,"CPF + dia duplicado",IF(OR(AND(G3763&lt;&gt;"",G3763&lt;&gt;0,G3763&lt;&gt;1),AND(H3763&lt;&gt;"",H3763&lt;&gt;0,H3763&lt;&gt;1)),"Flags devem ser 0 ou 1",IF(AND(H3763=1,LEN(TRIM(I3763))=0),"Preencher nome do indicante",IF(AND(H3763&lt;&gt;1,I3763&lt;&gt;""),"Nome sem indicação interna",IF(AND(G3763=1,F3763=""),"Fechamento sem conversa",IF(OR(AND(E3763&lt;&gt;"",E3763&lt;B3763),AND(F3763&lt;&gt;"",F3763&lt;B3763)),"Evento anterior à entrada",IF(AND(F3763&lt;&gt;"",E3763=""),"Conversa sem agendamento",IF(OR(E3763&gt;TODAY(),F3763&gt;TODAY()),"Verificar evento futuro","OK"))))))))))</f>
        <v/>
      </c>
    </row>
    <row r="3764" spans="12:15">
      <c r="L3764" s="5">
        <f>IF(OR(A3764="",B3764=""),"",B3764-WEEKDAY(B3764,2)+1)</f>
        <v/>
      </c>
      <c r="M3764" s="5">
        <f>IF(L3764="","",L3764+6)</f>
        <v/>
      </c>
      <c r="N3764" s="6">
        <f>IF(OR(A3764="",B3764=""),"",DATE(YEAR(B3764),MONTH(B3764),1))</f>
        <v/>
      </c>
      <c r="O3764" s="7">
        <f>IF(COUNTA(A3764:K3764)=0,"",IF(OR(A3764="",B3764=""),"Preencher CPF e entrada",IF(COUNTIFS($A$12:$A$5011,A3764,$B$12:$B$5011,B3764)&gt;1,"CPF + dia duplicado",IF(OR(AND(G3764&lt;&gt;"",G3764&lt;&gt;0,G3764&lt;&gt;1),AND(H3764&lt;&gt;"",H3764&lt;&gt;0,H3764&lt;&gt;1)),"Flags devem ser 0 ou 1",IF(AND(H3764=1,LEN(TRIM(I3764))=0),"Preencher nome do indicante",IF(AND(H3764&lt;&gt;1,I3764&lt;&gt;""),"Nome sem indicação interna",IF(AND(G3764=1,F3764=""),"Fechamento sem conversa",IF(OR(AND(E3764&lt;&gt;"",E3764&lt;B3764),AND(F3764&lt;&gt;"",F3764&lt;B3764)),"Evento anterior à entrada",IF(AND(F3764&lt;&gt;"",E3764=""),"Conversa sem agendamento",IF(OR(E3764&gt;TODAY(),F3764&gt;TODAY()),"Verificar evento futuro","OK"))))))))))</f>
        <v/>
      </c>
    </row>
    <row r="3765" spans="12:15">
      <c r="L3765" s="5">
        <f>IF(OR(A3765="",B3765=""),"",B3765-WEEKDAY(B3765,2)+1)</f>
        <v/>
      </c>
      <c r="M3765" s="5">
        <f>IF(L3765="","",L3765+6)</f>
        <v/>
      </c>
      <c r="N3765" s="6">
        <f>IF(OR(A3765="",B3765=""),"",DATE(YEAR(B3765),MONTH(B3765),1))</f>
        <v/>
      </c>
      <c r="O3765" s="7">
        <f>IF(COUNTA(A3765:K3765)=0,"",IF(OR(A3765="",B3765=""),"Preencher CPF e entrada",IF(COUNTIFS($A$12:$A$5011,A3765,$B$12:$B$5011,B3765)&gt;1,"CPF + dia duplicado",IF(OR(AND(G3765&lt;&gt;"",G3765&lt;&gt;0,G3765&lt;&gt;1),AND(H3765&lt;&gt;"",H3765&lt;&gt;0,H3765&lt;&gt;1)),"Flags devem ser 0 ou 1",IF(AND(H3765=1,LEN(TRIM(I3765))=0),"Preencher nome do indicante",IF(AND(H3765&lt;&gt;1,I3765&lt;&gt;""),"Nome sem indicação interna",IF(AND(G3765=1,F3765=""),"Fechamento sem conversa",IF(OR(AND(E3765&lt;&gt;"",E3765&lt;B3765),AND(F3765&lt;&gt;"",F3765&lt;B3765)),"Evento anterior à entrada",IF(AND(F3765&lt;&gt;"",E3765=""),"Conversa sem agendamento",IF(OR(E3765&gt;TODAY(),F3765&gt;TODAY()),"Verificar evento futuro","OK"))))))))))</f>
        <v/>
      </c>
    </row>
    <row r="3766" spans="12:15">
      <c r="L3766" s="5">
        <f>IF(OR(A3766="",B3766=""),"",B3766-WEEKDAY(B3766,2)+1)</f>
        <v/>
      </c>
      <c r="M3766" s="5">
        <f>IF(L3766="","",L3766+6)</f>
        <v/>
      </c>
      <c r="N3766" s="6">
        <f>IF(OR(A3766="",B3766=""),"",DATE(YEAR(B3766),MONTH(B3766),1))</f>
        <v/>
      </c>
      <c r="O3766" s="7">
        <f>IF(COUNTA(A3766:K3766)=0,"",IF(OR(A3766="",B3766=""),"Preencher CPF e entrada",IF(COUNTIFS($A$12:$A$5011,A3766,$B$12:$B$5011,B3766)&gt;1,"CPF + dia duplicado",IF(OR(AND(G3766&lt;&gt;"",G3766&lt;&gt;0,G3766&lt;&gt;1),AND(H3766&lt;&gt;"",H3766&lt;&gt;0,H3766&lt;&gt;1)),"Flags devem ser 0 ou 1",IF(AND(H3766=1,LEN(TRIM(I3766))=0),"Preencher nome do indicante",IF(AND(H3766&lt;&gt;1,I3766&lt;&gt;""),"Nome sem indicação interna",IF(AND(G3766=1,F3766=""),"Fechamento sem conversa",IF(OR(AND(E3766&lt;&gt;"",E3766&lt;B3766),AND(F3766&lt;&gt;"",F3766&lt;B3766)),"Evento anterior à entrada",IF(AND(F3766&lt;&gt;"",E3766=""),"Conversa sem agendamento",IF(OR(E3766&gt;TODAY(),F3766&gt;TODAY()),"Verificar evento futuro","OK"))))))))))</f>
        <v/>
      </c>
    </row>
    <row r="3767" spans="12:15">
      <c r="L3767" s="5">
        <f>IF(OR(A3767="",B3767=""),"",B3767-WEEKDAY(B3767,2)+1)</f>
        <v/>
      </c>
      <c r="M3767" s="5">
        <f>IF(L3767="","",L3767+6)</f>
        <v/>
      </c>
      <c r="N3767" s="6">
        <f>IF(OR(A3767="",B3767=""),"",DATE(YEAR(B3767),MONTH(B3767),1))</f>
        <v/>
      </c>
      <c r="O3767" s="7">
        <f>IF(COUNTA(A3767:K3767)=0,"",IF(OR(A3767="",B3767=""),"Preencher CPF e entrada",IF(COUNTIFS($A$12:$A$5011,A3767,$B$12:$B$5011,B3767)&gt;1,"CPF + dia duplicado",IF(OR(AND(G3767&lt;&gt;"",G3767&lt;&gt;0,G3767&lt;&gt;1),AND(H3767&lt;&gt;"",H3767&lt;&gt;0,H3767&lt;&gt;1)),"Flags devem ser 0 ou 1",IF(AND(H3767=1,LEN(TRIM(I3767))=0),"Preencher nome do indicante",IF(AND(H3767&lt;&gt;1,I3767&lt;&gt;""),"Nome sem indicação interna",IF(AND(G3767=1,F3767=""),"Fechamento sem conversa",IF(OR(AND(E3767&lt;&gt;"",E3767&lt;B3767),AND(F3767&lt;&gt;"",F3767&lt;B3767)),"Evento anterior à entrada",IF(AND(F3767&lt;&gt;"",E3767=""),"Conversa sem agendamento",IF(OR(E3767&gt;TODAY(),F3767&gt;TODAY()),"Verificar evento futuro","OK"))))))))))</f>
        <v/>
      </c>
    </row>
    <row r="3768" spans="12:15">
      <c r="L3768" s="5">
        <f>IF(OR(A3768="",B3768=""),"",B3768-WEEKDAY(B3768,2)+1)</f>
        <v/>
      </c>
      <c r="M3768" s="5">
        <f>IF(L3768="","",L3768+6)</f>
        <v/>
      </c>
      <c r="N3768" s="6">
        <f>IF(OR(A3768="",B3768=""),"",DATE(YEAR(B3768),MONTH(B3768),1))</f>
        <v/>
      </c>
      <c r="O3768" s="7">
        <f>IF(COUNTA(A3768:K3768)=0,"",IF(OR(A3768="",B3768=""),"Preencher CPF e entrada",IF(COUNTIFS($A$12:$A$5011,A3768,$B$12:$B$5011,B3768)&gt;1,"CPF + dia duplicado",IF(OR(AND(G3768&lt;&gt;"",G3768&lt;&gt;0,G3768&lt;&gt;1),AND(H3768&lt;&gt;"",H3768&lt;&gt;0,H3768&lt;&gt;1)),"Flags devem ser 0 ou 1",IF(AND(H3768=1,LEN(TRIM(I3768))=0),"Preencher nome do indicante",IF(AND(H3768&lt;&gt;1,I3768&lt;&gt;""),"Nome sem indicação interna",IF(AND(G3768=1,F3768=""),"Fechamento sem conversa",IF(OR(AND(E3768&lt;&gt;"",E3768&lt;B3768),AND(F3768&lt;&gt;"",F3768&lt;B3768)),"Evento anterior à entrada",IF(AND(F3768&lt;&gt;"",E3768=""),"Conversa sem agendamento",IF(OR(E3768&gt;TODAY(),F3768&gt;TODAY()),"Verificar evento futuro","OK"))))))))))</f>
        <v/>
      </c>
    </row>
    <row r="3769" spans="12:15">
      <c r="L3769" s="5">
        <f>IF(OR(A3769="",B3769=""),"",B3769-WEEKDAY(B3769,2)+1)</f>
        <v/>
      </c>
      <c r="M3769" s="5">
        <f>IF(L3769="","",L3769+6)</f>
        <v/>
      </c>
      <c r="N3769" s="6">
        <f>IF(OR(A3769="",B3769=""),"",DATE(YEAR(B3769),MONTH(B3769),1))</f>
        <v/>
      </c>
      <c r="O3769" s="7">
        <f>IF(COUNTA(A3769:K3769)=0,"",IF(OR(A3769="",B3769=""),"Preencher CPF e entrada",IF(COUNTIFS($A$12:$A$5011,A3769,$B$12:$B$5011,B3769)&gt;1,"CPF + dia duplicado",IF(OR(AND(G3769&lt;&gt;"",G3769&lt;&gt;0,G3769&lt;&gt;1),AND(H3769&lt;&gt;"",H3769&lt;&gt;0,H3769&lt;&gt;1)),"Flags devem ser 0 ou 1",IF(AND(H3769=1,LEN(TRIM(I3769))=0),"Preencher nome do indicante",IF(AND(H3769&lt;&gt;1,I3769&lt;&gt;""),"Nome sem indicação interna",IF(AND(G3769=1,F3769=""),"Fechamento sem conversa",IF(OR(AND(E3769&lt;&gt;"",E3769&lt;B3769),AND(F3769&lt;&gt;"",F3769&lt;B3769)),"Evento anterior à entrada",IF(AND(F3769&lt;&gt;"",E3769=""),"Conversa sem agendamento",IF(OR(E3769&gt;TODAY(),F3769&gt;TODAY()),"Verificar evento futuro","OK"))))))))))</f>
        <v/>
      </c>
    </row>
    <row r="3770" spans="12:15">
      <c r="L3770" s="5">
        <f>IF(OR(A3770="",B3770=""),"",B3770-WEEKDAY(B3770,2)+1)</f>
        <v/>
      </c>
      <c r="M3770" s="5">
        <f>IF(L3770="","",L3770+6)</f>
        <v/>
      </c>
      <c r="N3770" s="6">
        <f>IF(OR(A3770="",B3770=""),"",DATE(YEAR(B3770),MONTH(B3770),1))</f>
        <v/>
      </c>
      <c r="O3770" s="7">
        <f>IF(COUNTA(A3770:K3770)=0,"",IF(OR(A3770="",B3770=""),"Preencher CPF e entrada",IF(COUNTIFS($A$12:$A$5011,A3770,$B$12:$B$5011,B3770)&gt;1,"CPF + dia duplicado",IF(OR(AND(G3770&lt;&gt;"",G3770&lt;&gt;0,G3770&lt;&gt;1),AND(H3770&lt;&gt;"",H3770&lt;&gt;0,H3770&lt;&gt;1)),"Flags devem ser 0 ou 1",IF(AND(H3770=1,LEN(TRIM(I3770))=0),"Preencher nome do indicante",IF(AND(H3770&lt;&gt;1,I3770&lt;&gt;""),"Nome sem indicação interna",IF(AND(G3770=1,F3770=""),"Fechamento sem conversa",IF(OR(AND(E3770&lt;&gt;"",E3770&lt;B3770),AND(F3770&lt;&gt;"",F3770&lt;B3770)),"Evento anterior à entrada",IF(AND(F3770&lt;&gt;"",E3770=""),"Conversa sem agendamento",IF(OR(E3770&gt;TODAY(),F3770&gt;TODAY()),"Verificar evento futuro","OK"))))))))))</f>
        <v/>
      </c>
    </row>
    <row r="3771" spans="12:15">
      <c r="L3771" s="5">
        <f>IF(OR(A3771="",B3771=""),"",B3771-WEEKDAY(B3771,2)+1)</f>
        <v/>
      </c>
      <c r="M3771" s="5">
        <f>IF(L3771="","",L3771+6)</f>
        <v/>
      </c>
      <c r="N3771" s="6">
        <f>IF(OR(A3771="",B3771=""),"",DATE(YEAR(B3771),MONTH(B3771),1))</f>
        <v/>
      </c>
      <c r="O3771" s="7">
        <f>IF(COUNTA(A3771:K3771)=0,"",IF(OR(A3771="",B3771=""),"Preencher CPF e entrada",IF(COUNTIFS($A$12:$A$5011,A3771,$B$12:$B$5011,B3771)&gt;1,"CPF + dia duplicado",IF(OR(AND(G3771&lt;&gt;"",G3771&lt;&gt;0,G3771&lt;&gt;1),AND(H3771&lt;&gt;"",H3771&lt;&gt;0,H3771&lt;&gt;1)),"Flags devem ser 0 ou 1",IF(AND(H3771=1,LEN(TRIM(I3771))=0),"Preencher nome do indicante",IF(AND(H3771&lt;&gt;1,I3771&lt;&gt;""),"Nome sem indicação interna",IF(AND(G3771=1,F3771=""),"Fechamento sem conversa",IF(OR(AND(E3771&lt;&gt;"",E3771&lt;B3771),AND(F3771&lt;&gt;"",F3771&lt;B3771)),"Evento anterior à entrada",IF(AND(F3771&lt;&gt;"",E3771=""),"Conversa sem agendamento",IF(OR(E3771&gt;TODAY(),F3771&gt;TODAY()),"Verificar evento futuro","OK"))))))))))</f>
        <v/>
      </c>
    </row>
    <row r="3772" spans="12:15">
      <c r="L3772" s="5">
        <f>IF(OR(A3772="",B3772=""),"",B3772-WEEKDAY(B3772,2)+1)</f>
        <v/>
      </c>
      <c r="M3772" s="5">
        <f>IF(L3772="","",L3772+6)</f>
        <v/>
      </c>
      <c r="N3772" s="6">
        <f>IF(OR(A3772="",B3772=""),"",DATE(YEAR(B3772),MONTH(B3772),1))</f>
        <v/>
      </c>
      <c r="O3772" s="7">
        <f>IF(COUNTA(A3772:K3772)=0,"",IF(OR(A3772="",B3772=""),"Preencher CPF e entrada",IF(COUNTIFS($A$12:$A$5011,A3772,$B$12:$B$5011,B3772)&gt;1,"CPF + dia duplicado",IF(OR(AND(G3772&lt;&gt;"",G3772&lt;&gt;0,G3772&lt;&gt;1),AND(H3772&lt;&gt;"",H3772&lt;&gt;0,H3772&lt;&gt;1)),"Flags devem ser 0 ou 1",IF(AND(H3772=1,LEN(TRIM(I3772))=0),"Preencher nome do indicante",IF(AND(H3772&lt;&gt;1,I3772&lt;&gt;""),"Nome sem indicação interna",IF(AND(G3772=1,F3772=""),"Fechamento sem conversa",IF(OR(AND(E3772&lt;&gt;"",E3772&lt;B3772),AND(F3772&lt;&gt;"",F3772&lt;B3772)),"Evento anterior à entrada",IF(AND(F3772&lt;&gt;"",E3772=""),"Conversa sem agendamento",IF(OR(E3772&gt;TODAY(),F3772&gt;TODAY()),"Verificar evento futuro","OK"))))))))))</f>
        <v/>
      </c>
    </row>
    <row r="3773" spans="12:15">
      <c r="L3773" s="5">
        <f>IF(OR(A3773="",B3773=""),"",B3773-WEEKDAY(B3773,2)+1)</f>
        <v/>
      </c>
      <c r="M3773" s="5">
        <f>IF(L3773="","",L3773+6)</f>
        <v/>
      </c>
      <c r="N3773" s="6">
        <f>IF(OR(A3773="",B3773=""),"",DATE(YEAR(B3773),MONTH(B3773),1))</f>
        <v/>
      </c>
      <c r="O3773" s="7">
        <f>IF(COUNTA(A3773:K3773)=0,"",IF(OR(A3773="",B3773=""),"Preencher CPF e entrada",IF(COUNTIFS($A$12:$A$5011,A3773,$B$12:$B$5011,B3773)&gt;1,"CPF + dia duplicado",IF(OR(AND(G3773&lt;&gt;"",G3773&lt;&gt;0,G3773&lt;&gt;1),AND(H3773&lt;&gt;"",H3773&lt;&gt;0,H3773&lt;&gt;1)),"Flags devem ser 0 ou 1",IF(AND(H3773=1,LEN(TRIM(I3773))=0),"Preencher nome do indicante",IF(AND(H3773&lt;&gt;1,I3773&lt;&gt;""),"Nome sem indicação interna",IF(AND(G3773=1,F3773=""),"Fechamento sem conversa",IF(OR(AND(E3773&lt;&gt;"",E3773&lt;B3773),AND(F3773&lt;&gt;"",F3773&lt;B3773)),"Evento anterior à entrada",IF(AND(F3773&lt;&gt;"",E3773=""),"Conversa sem agendamento",IF(OR(E3773&gt;TODAY(),F3773&gt;TODAY()),"Verificar evento futuro","OK"))))))))))</f>
        <v/>
      </c>
    </row>
    <row r="3774" spans="12:15">
      <c r="L3774" s="5">
        <f>IF(OR(A3774="",B3774=""),"",B3774-WEEKDAY(B3774,2)+1)</f>
        <v/>
      </c>
      <c r="M3774" s="5">
        <f>IF(L3774="","",L3774+6)</f>
        <v/>
      </c>
      <c r="N3774" s="6">
        <f>IF(OR(A3774="",B3774=""),"",DATE(YEAR(B3774),MONTH(B3774),1))</f>
        <v/>
      </c>
      <c r="O3774" s="7">
        <f>IF(COUNTA(A3774:K3774)=0,"",IF(OR(A3774="",B3774=""),"Preencher CPF e entrada",IF(COUNTIFS($A$12:$A$5011,A3774,$B$12:$B$5011,B3774)&gt;1,"CPF + dia duplicado",IF(OR(AND(G3774&lt;&gt;"",G3774&lt;&gt;0,G3774&lt;&gt;1),AND(H3774&lt;&gt;"",H3774&lt;&gt;0,H3774&lt;&gt;1)),"Flags devem ser 0 ou 1",IF(AND(H3774=1,LEN(TRIM(I3774))=0),"Preencher nome do indicante",IF(AND(H3774&lt;&gt;1,I3774&lt;&gt;""),"Nome sem indicação interna",IF(AND(G3774=1,F3774=""),"Fechamento sem conversa",IF(OR(AND(E3774&lt;&gt;"",E3774&lt;B3774),AND(F3774&lt;&gt;"",F3774&lt;B3774)),"Evento anterior à entrada",IF(AND(F3774&lt;&gt;"",E3774=""),"Conversa sem agendamento",IF(OR(E3774&gt;TODAY(),F3774&gt;TODAY()),"Verificar evento futuro","OK"))))))))))</f>
        <v/>
      </c>
    </row>
    <row r="3775" spans="12:15">
      <c r="L3775" s="5">
        <f>IF(OR(A3775="",B3775=""),"",B3775-WEEKDAY(B3775,2)+1)</f>
        <v/>
      </c>
      <c r="M3775" s="5">
        <f>IF(L3775="","",L3775+6)</f>
        <v/>
      </c>
      <c r="N3775" s="6">
        <f>IF(OR(A3775="",B3775=""),"",DATE(YEAR(B3775),MONTH(B3775),1))</f>
        <v/>
      </c>
      <c r="O3775" s="7">
        <f>IF(COUNTA(A3775:K3775)=0,"",IF(OR(A3775="",B3775=""),"Preencher CPF e entrada",IF(COUNTIFS($A$12:$A$5011,A3775,$B$12:$B$5011,B3775)&gt;1,"CPF + dia duplicado",IF(OR(AND(G3775&lt;&gt;"",G3775&lt;&gt;0,G3775&lt;&gt;1),AND(H3775&lt;&gt;"",H3775&lt;&gt;0,H3775&lt;&gt;1)),"Flags devem ser 0 ou 1",IF(AND(H3775=1,LEN(TRIM(I3775))=0),"Preencher nome do indicante",IF(AND(H3775&lt;&gt;1,I3775&lt;&gt;""),"Nome sem indicação interna",IF(AND(G3775=1,F3775=""),"Fechamento sem conversa",IF(OR(AND(E3775&lt;&gt;"",E3775&lt;B3775),AND(F3775&lt;&gt;"",F3775&lt;B3775)),"Evento anterior à entrada",IF(AND(F3775&lt;&gt;"",E3775=""),"Conversa sem agendamento",IF(OR(E3775&gt;TODAY(),F3775&gt;TODAY()),"Verificar evento futuro","OK"))))))))))</f>
        <v/>
      </c>
    </row>
    <row r="3776" spans="12:15">
      <c r="L3776" s="5">
        <f>IF(OR(A3776="",B3776=""),"",B3776-WEEKDAY(B3776,2)+1)</f>
        <v/>
      </c>
      <c r="M3776" s="5">
        <f>IF(L3776="","",L3776+6)</f>
        <v/>
      </c>
      <c r="N3776" s="6">
        <f>IF(OR(A3776="",B3776=""),"",DATE(YEAR(B3776),MONTH(B3776),1))</f>
        <v/>
      </c>
      <c r="O3776" s="7">
        <f>IF(COUNTA(A3776:K3776)=0,"",IF(OR(A3776="",B3776=""),"Preencher CPF e entrada",IF(COUNTIFS($A$12:$A$5011,A3776,$B$12:$B$5011,B3776)&gt;1,"CPF + dia duplicado",IF(OR(AND(G3776&lt;&gt;"",G3776&lt;&gt;0,G3776&lt;&gt;1),AND(H3776&lt;&gt;"",H3776&lt;&gt;0,H3776&lt;&gt;1)),"Flags devem ser 0 ou 1",IF(AND(H3776=1,LEN(TRIM(I3776))=0),"Preencher nome do indicante",IF(AND(H3776&lt;&gt;1,I3776&lt;&gt;""),"Nome sem indicação interna",IF(AND(G3776=1,F3776=""),"Fechamento sem conversa",IF(OR(AND(E3776&lt;&gt;"",E3776&lt;B3776),AND(F3776&lt;&gt;"",F3776&lt;B3776)),"Evento anterior à entrada",IF(AND(F3776&lt;&gt;"",E3776=""),"Conversa sem agendamento",IF(OR(E3776&gt;TODAY(),F3776&gt;TODAY()),"Verificar evento futuro","OK"))))))))))</f>
        <v/>
      </c>
    </row>
    <row r="3777" spans="12:15">
      <c r="L3777" s="5">
        <f>IF(OR(A3777="",B3777=""),"",B3777-WEEKDAY(B3777,2)+1)</f>
        <v/>
      </c>
      <c r="M3777" s="5">
        <f>IF(L3777="","",L3777+6)</f>
        <v/>
      </c>
      <c r="N3777" s="6">
        <f>IF(OR(A3777="",B3777=""),"",DATE(YEAR(B3777),MONTH(B3777),1))</f>
        <v/>
      </c>
      <c r="O3777" s="7">
        <f>IF(COUNTA(A3777:K3777)=0,"",IF(OR(A3777="",B3777=""),"Preencher CPF e entrada",IF(COUNTIFS($A$12:$A$5011,A3777,$B$12:$B$5011,B3777)&gt;1,"CPF + dia duplicado",IF(OR(AND(G3777&lt;&gt;"",G3777&lt;&gt;0,G3777&lt;&gt;1),AND(H3777&lt;&gt;"",H3777&lt;&gt;0,H3777&lt;&gt;1)),"Flags devem ser 0 ou 1",IF(AND(H3777=1,LEN(TRIM(I3777))=0),"Preencher nome do indicante",IF(AND(H3777&lt;&gt;1,I3777&lt;&gt;""),"Nome sem indicação interna",IF(AND(G3777=1,F3777=""),"Fechamento sem conversa",IF(OR(AND(E3777&lt;&gt;"",E3777&lt;B3777),AND(F3777&lt;&gt;"",F3777&lt;B3777)),"Evento anterior à entrada",IF(AND(F3777&lt;&gt;"",E3777=""),"Conversa sem agendamento",IF(OR(E3777&gt;TODAY(),F3777&gt;TODAY()),"Verificar evento futuro","OK"))))))))))</f>
        <v/>
      </c>
    </row>
    <row r="3778" spans="12:15">
      <c r="L3778" s="5">
        <f>IF(OR(A3778="",B3778=""),"",B3778-WEEKDAY(B3778,2)+1)</f>
        <v/>
      </c>
      <c r="M3778" s="5">
        <f>IF(L3778="","",L3778+6)</f>
        <v/>
      </c>
      <c r="N3778" s="6">
        <f>IF(OR(A3778="",B3778=""),"",DATE(YEAR(B3778),MONTH(B3778),1))</f>
        <v/>
      </c>
      <c r="O3778" s="7">
        <f>IF(COUNTA(A3778:K3778)=0,"",IF(OR(A3778="",B3778=""),"Preencher CPF e entrada",IF(COUNTIFS($A$12:$A$5011,A3778,$B$12:$B$5011,B3778)&gt;1,"CPF + dia duplicado",IF(OR(AND(G3778&lt;&gt;"",G3778&lt;&gt;0,G3778&lt;&gt;1),AND(H3778&lt;&gt;"",H3778&lt;&gt;0,H3778&lt;&gt;1)),"Flags devem ser 0 ou 1",IF(AND(H3778=1,LEN(TRIM(I3778))=0),"Preencher nome do indicante",IF(AND(H3778&lt;&gt;1,I3778&lt;&gt;""),"Nome sem indicação interna",IF(AND(G3778=1,F3778=""),"Fechamento sem conversa",IF(OR(AND(E3778&lt;&gt;"",E3778&lt;B3778),AND(F3778&lt;&gt;"",F3778&lt;B3778)),"Evento anterior à entrada",IF(AND(F3778&lt;&gt;"",E3778=""),"Conversa sem agendamento",IF(OR(E3778&gt;TODAY(),F3778&gt;TODAY()),"Verificar evento futuro","OK"))))))))))</f>
        <v/>
      </c>
    </row>
    <row r="3779" spans="12:15">
      <c r="L3779" s="5">
        <f>IF(OR(A3779="",B3779=""),"",B3779-WEEKDAY(B3779,2)+1)</f>
        <v/>
      </c>
      <c r="M3779" s="5">
        <f>IF(L3779="","",L3779+6)</f>
        <v/>
      </c>
      <c r="N3779" s="6">
        <f>IF(OR(A3779="",B3779=""),"",DATE(YEAR(B3779),MONTH(B3779),1))</f>
        <v/>
      </c>
      <c r="O3779" s="7">
        <f>IF(COUNTA(A3779:K3779)=0,"",IF(OR(A3779="",B3779=""),"Preencher CPF e entrada",IF(COUNTIFS($A$12:$A$5011,A3779,$B$12:$B$5011,B3779)&gt;1,"CPF + dia duplicado",IF(OR(AND(G3779&lt;&gt;"",G3779&lt;&gt;0,G3779&lt;&gt;1),AND(H3779&lt;&gt;"",H3779&lt;&gt;0,H3779&lt;&gt;1)),"Flags devem ser 0 ou 1",IF(AND(H3779=1,LEN(TRIM(I3779))=0),"Preencher nome do indicante",IF(AND(H3779&lt;&gt;1,I3779&lt;&gt;""),"Nome sem indicação interna",IF(AND(G3779=1,F3779=""),"Fechamento sem conversa",IF(OR(AND(E3779&lt;&gt;"",E3779&lt;B3779),AND(F3779&lt;&gt;"",F3779&lt;B3779)),"Evento anterior à entrada",IF(AND(F3779&lt;&gt;"",E3779=""),"Conversa sem agendamento",IF(OR(E3779&gt;TODAY(),F3779&gt;TODAY()),"Verificar evento futuro","OK"))))))))))</f>
        <v/>
      </c>
    </row>
    <row r="3780" spans="12:15">
      <c r="L3780" s="5">
        <f>IF(OR(A3780="",B3780=""),"",B3780-WEEKDAY(B3780,2)+1)</f>
        <v/>
      </c>
      <c r="M3780" s="5">
        <f>IF(L3780="","",L3780+6)</f>
        <v/>
      </c>
      <c r="N3780" s="6">
        <f>IF(OR(A3780="",B3780=""),"",DATE(YEAR(B3780),MONTH(B3780),1))</f>
        <v/>
      </c>
      <c r="O3780" s="7">
        <f>IF(COUNTA(A3780:K3780)=0,"",IF(OR(A3780="",B3780=""),"Preencher CPF e entrada",IF(COUNTIFS($A$12:$A$5011,A3780,$B$12:$B$5011,B3780)&gt;1,"CPF + dia duplicado",IF(OR(AND(G3780&lt;&gt;"",G3780&lt;&gt;0,G3780&lt;&gt;1),AND(H3780&lt;&gt;"",H3780&lt;&gt;0,H3780&lt;&gt;1)),"Flags devem ser 0 ou 1",IF(AND(H3780=1,LEN(TRIM(I3780))=0),"Preencher nome do indicante",IF(AND(H3780&lt;&gt;1,I3780&lt;&gt;""),"Nome sem indicação interna",IF(AND(G3780=1,F3780=""),"Fechamento sem conversa",IF(OR(AND(E3780&lt;&gt;"",E3780&lt;B3780),AND(F3780&lt;&gt;"",F3780&lt;B3780)),"Evento anterior à entrada",IF(AND(F3780&lt;&gt;"",E3780=""),"Conversa sem agendamento",IF(OR(E3780&gt;TODAY(),F3780&gt;TODAY()),"Verificar evento futuro","OK"))))))))))</f>
        <v/>
      </c>
    </row>
    <row r="3781" spans="12:15">
      <c r="L3781" s="5">
        <f>IF(OR(A3781="",B3781=""),"",B3781-WEEKDAY(B3781,2)+1)</f>
        <v/>
      </c>
      <c r="M3781" s="5">
        <f>IF(L3781="","",L3781+6)</f>
        <v/>
      </c>
      <c r="N3781" s="6">
        <f>IF(OR(A3781="",B3781=""),"",DATE(YEAR(B3781),MONTH(B3781),1))</f>
        <v/>
      </c>
      <c r="O3781" s="7">
        <f>IF(COUNTA(A3781:K3781)=0,"",IF(OR(A3781="",B3781=""),"Preencher CPF e entrada",IF(COUNTIFS($A$12:$A$5011,A3781,$B$12:$B$5011,B3781)&gt;1,"CPF + dia duplicado",IF(OR(AND(G3781&lt;&gt;"",G3781&lt;&gt;0,G3781&lt;&gt;1),AND(H3781&lt;&gt;"",H3781&lt;&gt;0,H3781&lt;&gt;1)),"Flags devem ser 0 ou 1",IF(AND(H3781=1,LEN(TRIM(I3781))=0),"Preencher nome do indicante",IF(AND(H3781&lt;&gt;1,I3781&lt;&gt;""),"Nome sem indicação interna",IF(AND(G3781=1,F3781=""),"Fechamento sem conversa",IF(OR(AND(E3781&lt;&gt;"",E3781&lt;B3781),AND(F3781&lt;&gt;"",F3781&lt;B3781)),"Evento anterior à entrada",IF(AND(F3781&lt;&gt;"",E3781=""),"Conversa sem agendamento",IF(OR(E3781&gt;TODAY(),F3781&gt;TODAY()),"Verificar evento futuro","OK"))))))))))</f>
        <v/>
      </c>
    </row>
    <row r="3782" spans="12:15">
      <c r="L3782" s="5">
        <f>IF(OR(A3782="",B3782=""),"",B3782-WEEKDAY(B3782,2)+1)</f>
        <v/>
      </c>
      <c r="M3782" s="5">
        <f>IF(L3782="","",L3782+6)</f>
        <v/>
      </c>
      <c r="N3782" s="6">
        <f>IF(OR(A3782="",B3782=""),"",DATE(YEAR(B3782),MONTH(B3782),1))</f>
        <v/>
      </c>
      <c r="O3782" s="7">
        <f>IF(COUNTA(A3782:K3782)=0,"",IF(OR(A3782="",B3782=""),"Preencher CPF e entrada",IF(COUNTIFS($A$12:$A$5011,A3782,$B$12:$B$5011,B3782)&gt;1,"CPF + dia duplicado",IF(OR(AND(G3782&lt;&gt;"",G3782&lt;&gt;0,G3782&lt;&gt;1),AND(H3782&lt;&gt;"",H3782&lt;&gt;0,H3782&lt;&gt;1)),"Flags devem ser 0 ou 1",IF(AND(H3782=1,LEN(TRIM(I3782))=0),"Preencher nome do indicante",IF(AND(H3782&lt;&gt;1,I3782&lt;&gt;""),"Nome sem indicação interna",IF(AND(G3782=1,F3782=""),"Fechamento sem conversa",IF(OR(AND(E3782&lt;&gt;"",E3782&lt;B3782),AND(F3782&lt;&gt;"",F3782&lt;B3782)),"Evento anterior à entrada",IF(AND(F3782&lt;&gt;"",E3782=""),"Conversa sem agendamento",IF(OR(E3782&gt;TODAY(),F3782&gt;TODAY()),"Verificar evento futuro","OK"))))))))))</f>
        <v/>
      </c>
    </row>
    <row r="3783" spans="12:15">
      <c r="L3783" s="5">
        <f>IF(OR(A3783="",B3783=""),"",B3783-WEEKDAY(B3783,2)+1)</f>
        <v/>
      </c>
      <c r="M3783" s="5">
        <f>IF(L3783="","",L3783+6)</f>
        <v/>
      </c>
      <c r="N3783" s="6">
        <f>IF(OR(A3783="",B3783=""),"",DATE(YEAR(B3783),MONTH(B3783),1))</f>
        <v/>
      </c>
      <c r="O3783" s="7">
        <f>IF(COUNTA(A3783:K3783)=0,"",IF(OR(A3783="",B3783=""),"Preencher CPF e entrada",IF(COUNTIFS($A$12:$A$5011,A3783,$B$12:$B$5011,B3783)&gt;1,"CPF + dia duplicado",IF(OR(AND(G3783&lt;&gt;"",G3783&lt;&gt;0,G3783&lt;&gt;1),AND(H3783&lt;&gt;"",H3783&lt;&gt;0,H3783&lt;&gt;1)),"Flags devem ser 0 ou 1",IF(AND(H3783=1,LEN(TRIM(I3783))=0),"Preencher nome do indicante",IF(AND(H3783&lt;&gt;1,I3783&lt;&gt;""),"Nome sem indicação interna",IF(AND(G3783=1,F3783=""),"Fechamento sem conversa",IF(OR(AND(E3783&lt;&gt;"",E3783&lt;B3783),AND(F3783&lt;&gt;"",F3783&lt;B3783)),"Evento anterior à entrada",IF(AND(F3783&lt;&gt;"",E3783=""),"Conversa sem agendamento",IF(OR(E3783&gt;TODAY(),F3783&gt;TODAY()),"Verificar evento futuro","OK"))))))))))</f>
        <v/>
      </c>
    </row>
    <row r="3784" spans="12:15">
      <c r="L3784" s="5">
        <f>IF(OR(A3784="",B3784=""),"",B3784-WEEKDAY(B3784,2)+1)</f>
        <v/>
      </c>
      <c r="M3784" s="5">
        <f>IF(L3784="","",L3784+6)</f>
        <v/>
      </c>
      <c r="N3784" s="6">
        <f>IF(OR(A3784="",B3784=""),"",DATE(YEAR(B3784),MONTH(B3784),1))</f>
        <v/>
      </c>
      <c r="O3784" s="7">
        <f>IF(COUNTA(A3784:K3784)=0,"",IF(OR(A3784="",B3784=""),"Preencher CPF e entrada",IF(COUNTIFS($A$12:$A$5011,A3784,$B$12:$B$5011,B3784)&gt;1,"CPF + dia duplicado",IF(OR(AND(G3784&lt;&gt;"",G3784&lt;&gt;0,G3784&lt;&gt;1),AND(H3784&lt;&gt;"",H3784&lt;&gt;0,H3784&lt;&gt;1)),"Flags devem ser 0 ou 1",IF(AND(H3784=1,LEN(TRIM(I3784))=0),"Preencher nome do indicante",IF(AND(H3784&lt;&gt;1,I3784&lt;&gt;""),"Nome sem indicação interna",IF(AND(G3784=1,F3784=""),"Fechamento sem conversa",IF(OR(AND(E3784&lt;&gt;"",E3784&lt;B3784),AND(F3784&lt;&gt;"",F3784&lt;B3784)),"Evento anterior à entrada",IF(AND(F3784&lt;&gt;"",E3784=""),"Conversa sem agendamento",IF(OR(E3784&gt;TODAY(),F3784&gt;TODAY()),"Verificar evento futuro","OK"))))))))))</f>
        <v/>
      </c>
    </row>
    <row r="3785" spans="12:15">
      <c r="L3785" s="5">
        <f>IF(OR(A3785="",B3785=""),"",B3785-WEEKDAY(B3785,2)+1)</f>
        <v/>
      </c>
      <c r="M3785" s="5">
        <f>IF(L3785="","",L3785+6)</f>
        <v/>
      </c>
      <c r="N3785" s="6">
        <f>IF(OR(A3785="",B3785=""),"",DATE(YEAR(B3785),MONTH(B3785),1))</f>
        <v/>
      </c>
      <c r="O3785" s="7">
        <f>IF(COUNTA(A3785:K3785)=0,"",IF(OR(A3785="",B3785=""),"Preencher CPF e entrada",IF(COUNTIFS($A$12:$A$5011,A3785,$B$12:$B$5011,B3785)&gt;1,"CPF + dia duplicado",IF(OR(AND(G3785&lt;&gt;"",G3785&lt;&gt;0,G3785&lt;&gt;1),AND(H3785&lt;&gt;"",H3785&lt;&gt;0,H3785&lt;&gt;1)),"Flags devem ser 0 ou 1",IF(AND(H3785=1,LEN(TRIM(I3785))=0),"Preencher nome do indicante",IF(AND(H3785&lt;&gt;1,I3785&lt;&gt;""),"Nome sem indicação interna",IF(AND(G3785=1,F3785=""),"Fechamento sem conversa",IF(OR(AND(E3785&lt;&gt;"",E3785&lt;B3785),AND(F3785&lt;&gt;"",F3785&lt;B3785)),"Evento anterior à entrada",IF(AND(F3785&lt;&gt;"",E3785=""),"Conversa sem agendamento",IF(OR(E3785&gt;TODAY(),F3785&gt;TODAY()),"Verificar evento futuro","OK"))))))))))</f>
        <v/>
      </c>
    </row>
    <row r="3786" spans="12:15">
      <c r="L3786" s="5">
        <f>IF(OR(A3786="",B3786=""),"",B3786-WEEKDAY(B3786,2)+1)</f>
        <v/>
      </c>
      <c r="M3786" s="5">
        <f>IF(L3786="","",L3786+6)</f>
        <v/>
      </c>
      <c r="N3786" s="6">
        <f>IF(OR(A3786="",B3786=""),"",DATE(YEAR(B3786),MONTH(B3786),1))</f>
        <v/>
      </c>
      <c r="O3786" s="7">
        <f>IF(COUNTA(A3786:K3786)=0,"",IF(OR(A3786="",B3786=""),"Preencher CPF e entrada",IF(COUNTIFS($A$12:$A$5011,A3786,$B$12:$B$5011,B3786)&gt;1,"CPF + dia duplicado",IF(OR(AND(G3786&lt;&gt;"",G3786&lt;&gt;0,G3786&lt;&gt;1),AND(H3786&lt;&gt;"",H3786&lt;&gt;0,H3786&lt;&gt;1)),"Flags devem ser 0 ou 1",IF(AND(H3786=1,LEN(TRIM(I3786))=0),"Preencher nome do indicante",IF(AND(H3786&lt;&gt;1,I3786&lt;&gt;""),"Nome sem indicação interna",IF(AND(G3786=1,F3786=""),"Fechamento sem conversa",IF(OR(AND(E3786&lt;&gt;"",E3786&lt;B3786),AND(F3786&lt;&gt;"",F3786&lt;B3786)),"Evento anterior à entrada",IF(AND(F3786&lt;&gt;"",E3786=""),"Conversa sem agendamento",IF(OR(E3786&gt;TODAY(),F3786&gt;TODAY()),"Verificar evento futuro","OK"))))))))))</f>
        <v/>
      </c>
    </row>
    <row r="3787" spans="12:15">
      <c r="L3787" s="5">
        <f>IF(OR(A3787="",B3787=""),"",B3787-WEEKDAY(B3787,2)+1)</f>
        <v/>
      </c>
      <c r="M3787" s="5">
        <f>IF(L3787="","",L3787+6)</f>
        <v/>
      </c>
      <c r="N3787" s="6">
        <f>IF(OR(A3787="",B3787=""),"",DATE(YEAR(B3787),MONTH(B3787),1))</f>
        <v/>
      </c>
      <c r="O3787" s="7">
        <f>IF(COUNTA(A3787:K3787)=0,"",IF(OR(A3787="",B3787=""),"Preencher CPF e entrada",IF(COUNTIFS($A$12:$A$5011,A3787,$B$12:$B$5011,B3787)&gt;1,"CPF + dia duplicado",IF(OR(AND(G3787&lt;&gt;"",G3787&lt;&gt;0,G3787&lt;&gt;1),AND(H3787&lt;&gt;"",H3787&lt;&gt;0,H3787&lt;&gt;1)),"Flags devem ser 0 ou 1",IF(AND(H3787=1,LEN(TRIM(I3787))=0),"Preencher nome do indicante",IF(AND(H3787&lt;&gt;1,I3787&lt;&gt;""),"Nome sem indicação interna",IF(AND(G3787=1,F3787=""),"Fechamento sem conversa",IF(OR(AND(E3787&lt;&gt;"",E3787&lt;B3787),AND(F3787&lt;&gt;"",F3787&lt;B3787)),"Evento anterior à entrada",IF(AND(F3787&lt;&gt;"",E3787=""),"Conversa sem agendamento",IF(OR(E3787&gt;TODAY(),F3787&gt;TODAY()),"Verificar evento futuro","OK"))))))))))</f>
        <v/>
      </c>
    </row>
    <row r="3788" spans="12:15">
      <c r="L3788" s="5">
        <f>IF(OR(A3788="",B3788=""),"",B3788-WEEKDAY(B3788,2)+1)</f>
        <v/>
      </c>
      <c r="M3788" s="5">
        <f>IF(L3788="","",L3788+6)</f>
        <v/>
      </c>
      <c r="N3788" s="6">
        <f>IF(OR(A3788="",B3788=""),"",DATE(YEAR(B3788),MONTH(B3788),1))</f>
        <v/>
      </c>
      <c r="O3788" s="7">
        <f>IF(COUNTA(A3788:K3788)=0,"",IF(OR(A3788="",B3788=""),"Preencher CPF e entrada",IF(COUNTIFS($A$12:$A$5011,A3788,$B$12:$B$5011,B3788)&gt;1,"CPF + dia duplicado",IF(OR(AND(G3788&lt;&gt;"",G3788&lt;&gt;0,G3788&lt;&gt;1),AND(H3788&lt;&gt;"",H3788&lt;&gt;0,H3788&lt;&gt;1)),"Flags devem ser 0 ou 1",IF(AND(H3788=1,LEN(TRIM(I3788))=0),"Preencher nome do indicante",IF(AND(H3788&lt;&gt;1,I3788&lt;&gt;""),"Nome sem indicação interna",IF(AND(G3788=1,F3788=""),"Fechamento sem conversa",IF(OR(AND(E3788&lt;&gt;"",E3788&lt;B3788),AND(F3788&lt;&gt;"",F3788&lt;B3788)),"Evento anterior à entrada",IF(AND(F3788&lt;&gt;"",E3788=""),"Conversa sem agendamento",IF(OR(E3788&gt;TODAY(),F3788&gt;TODAY()),"Verificar evento futuro","OK"))))))))))</f>
        <v/>
      </c>
    </row>
    <row r="3789" spans="12:15">
      <c r="L3789" s="5">
        <f>IF(OR(A3789="",B3789=""),"",B3789-WEEKDAY(B3789,2)+1)</f>
        <v/>
      </c>
      <c r="M3789" s="5">
        <f>IF(L3789="","",L3789+6)</f>
        <v/>
      </c>
      <c r="N3789" s="6">
        <f>IF(OR(A3789="",B3789=""),"",DATE(YEAR(B3789),MONTH(B3789),1))</f>
        <v/>
      </c>
      <c r="O3789" s="7">
        <f>IF(COUNTA(A3789:K3789)=0,"",IF(OR(A3789="",B3789=""),"Preencher CPF e entrada",IF(COUNTIFS($A$12:$A$5011,A3789,$B$12:$B$5011,B3789)&gt;1,"CPF + dia duplicado",IF(OR(AND(G3789&lt;&gt;"",G3789&lt;&gt;0,G3789&lt;&gt;1),AND(H3789&lt;&gt;"",H3789&lt;&gt;0,H3789&lt;&gt;1)),"Flags devem ser 0 ou 1",IF(AND(H3789=1,LEN(TRIM(I3789))=0),"Preencher nome do indicante",IF(AND(H3789&lt;&gt;1,I3789&lt;&gt;""),"Nome sem indicação interna",IF(AND(G3789=1,F3789=""),"Fechamento sem conversa",IF(OR(AND(E3789&lt;&gt;"",E3789&lt;B3789),AND(F3789&lt;&gt;"",F3789&lt;B3789)),"Evento anterior à entrada",IF(AND(F3789&lt;&gt;"",E3789=""),"Conversa sem agendamento",IF(OR(E3789&gt;TODAY(),F3789&gt;TODAY()),"Verificar evento futuro","OK"))))))))))</f>
        <v/>
      </c>
    </row>
    <row r="3790" spans="12:15">
      <c r="L3790" s="5">
        <f>IF(OR(A3790="",B3790=""),"",B3790-WEEKDAY(B3790,2)+1)</f>
        <v/>
      </c>
      <c r="M3790" s="5">
        <f>IF(L3790="","",L3790+6)</f>
        <v/>
      </c>
      <c r="N3790" s="6">
        <f>IF(OR(A3790="",B3790=""),"",DATE(YEAR(B3790),MONTH(B3790),1))</f>
        <v/>
      </c>
      <c r="O3790" s="7">
        <f>IF(COUNTA(A3790:K3790)=0,"",IF(OR(A3790="",B3790=""),"Preencher CPF e entrada",IF(COUNTIFS($A$12:$A$5011,A3790,$B$12:$B$5011,B3790)&gt;1,"CPF + dia duplicado",IF(OR(AND(G3790&lt;&gt;"",G3790&lt;&gt;0,G3790&lt;&gt;1),AND(H3790&lt;&gt;"",H3790&lt;&gt;0,H3790&lt;&gt;1)),"Flags devem ser 0 ou 1",IF(AND(H3790=1,LEN(TRIM(I3790))=0),"Preencher nome do indicante",IF(AND(H3790&lt;&gt;1,I3790&lt;&gt;""),"Nome sem indicação interna",IF(AND(G3790=1,F3790=""),"Fechamento sem conversa",IF(OR(AND(E3790&lt;&gt;"",E3790&lt;B3790),AND(F3790&lt;&gt;"",F3790&lt;B3790)),"Evento anterior à entrada",IF(AND(F3790&lt;&gt;"",E3790=""),"Conversa sem agendamento",IF(OR(E3790&gt;TODAY(),F3790&gt;TODAY()),"Verificar evento futuro","OK"))))))))))</f>
        <v/>
      </c>
    </row>
    <row r="3791" spans="12:15">
      <c r="L3791" s="5">
        <f>IF(OR(A3791="",B3791=""),"",B3791-WEEKDAY(B3791,2)+1)</f>
        <v/>
      </c>
      <c r="M3791" s="5">
        <f>IF(L3791="","",L3791+6)</f>
        <v/>
      </c>
      <c r="N3791" s="6">
        <f>IF(OR(A3791="",B3791=""),"",DATE(YEAR(B3791),MONTH(B3791),1))</f>
        <v/>
      </c>
      <c r="O3791" s="7">
        <f>IF(COUNTA(A3791:K3791)=0,"",IF(OR(A3791="",B3791=""),"Preencher CPF e entrada",IF(COUNTIFS($A$12:$A$5011,A3791,$B$12:$B$5011,B3791)&gt;1,"CPF + dia duplicado",IF(OR(AND(G3791&lt;&gt;"",G3791&lt;&gt;0,G3791&lt;&gt;1),AND(H3791&lt;&gt;"",H3791&lt;&gt;0,H3791&lt;&gt;1)),"Flags devem ser 0 ou 1",IF(AND(H3791=1,LEN(TRIM(I3791))=0),"Preencher nome do indicante",IF(AND(H3791&lt;&gt;1,I3791&lt;&gt;""),"Nome sem indicação interna",IF(AND(G3791=1,F3791=""),"Fechamento sem conversa",IF(OR(AND(E3791&lt;&gt;"",E3791&lt;B3791),AND(F3791&lt;&gt;"",F3791&lt;B3791)),"Evento anterior à entrada",IF(AND(F3791&lt;&gt;"",E3791=""),"Conversa sem agendamento",IF(OR(E3791&gt;TODAY(),F3791&gt;TODAY()),"Verificar evento futuro","OK"))))))))))</f>
        <v/>
      </c>
    </row>
    <row r="3792" spans="12:15">
      <c r="L3792" s="5">
        <f>IF(OR(A3792="",B3792=""),"",B3792-WEEKDAY(B3792,2)+1)</f>
        <v/>
      </c>
      <c r="M3792" s="5">
        <f>IF(L3792="","",L3792+6)</f>
        <v/>
      </c>
      <c r="N3792" s="6">
        <f>IF(OR(A3792="",B3792=""),"",DATE(YEAR(B3792),MONTH(B3792),1))</f>
        <v/>
      </c>
      <c r="O3792" s="7">
        <f>IF(COUNTA(A3792:K3792)=0,"",IF(OR(A3792="",B3792=""),"Preencher CPF e entrada",IF(COUNTIFS($A$12:$A$5011,A3792,$B$12:$B$5011,B3792)&gt;1,"CPF + dia duplicado",IF(OR(AND(G3792&lt;&gt;"",G3792&lt;&gt;0,G3792&lt;&gt;1),AND(H3792&lt;&gt;"",H3792&lt;&gt;0,H3792&lt;&gt;1)),"Flags devem ser 0 ou 1",IF(AND(H3792=1,LEN(TRIM(I3792))=0),"Preencher nome do indicante",IF(AND(H3792&lt;&gt;1,I3792&lt;&gt;""),"Nome sem indicação interna",IF(AND(G3792=1,F3792=""),"Fechamento sem conversa",IF(OR(AND(E3792&lt;&gt;"",E3792&lt;B3792),AND(F3792&lt;&gt;"",F3792&lt;B3792)),"Evento anterior à entrada",IF(AND(F3792&lt;&gt;"",E3792=""),"Conversa sem agendamento",IF(OR(E3792&gt;TODAY(),F3792&gt;TODAY()),"Verificar evento futuro","OK"))))))))))</f>
        <v/>
      </c>
    </row>
    <row r="3793" spans="12:15">
      <c r="L3793" s="5">
        <f>IF(OR(A3793="",B3793=""),"",B3793-WEEKDAY(B3793,2)+1)</f>
        <v/>
      </c>
      <c r="M3793" s="5">
        <f>IF(L3793="","",L3793+6)</f>
        <v/>
      </c>
      <c r="N3793" s="6">
        <f>IF(OR(A3793="",B3793=""),"",DATE(YEAR(B3793),MONTH(B3793),1))</f>
        <v/>
      </c>
      <c r="O3793" s="7">
        <f>IF(COUNTA(A3793:K3793)=0,"",IF(OR(A3793="",B3793=""),"Preencher CPF e entrada",IF(COUNTIFS($A$12:$A$5011,A3793,$B$12:$B$5011,B3793)&gt;1,"CPF + dia duplicado",IF(OR(AND(G3793&lt;&gt;"",G3793&lt;&gt;0,G3793&lt;&gt;1),AND(H3793&lt;&gt;"",H3793&lt;&gt;0,H3793&lt;&gt;1)),"Flags devem ser 0 ou 1",IF(AND(H3793=1,LEN(TRIM(I3793))=0),"Preencher nome do indicante",IF(AND(H3793&lt;&gt;1,I3793&lt;&gt;""),"Nome sem indicação interna",IF(AND(G3793=1,F3793=""),"Fechamento sem conversa",IF(OR(AND(E3793&lt;&gt;"",E3793&lt;B3793),AND(F3793&lt;&gt;"",F3793&lt;B3793)),"Evento anterior à entrada",IF(AND(F3793&lt;&gt;"",E3793=""),"Conversa sem agendamento",IF(OR(E3793&gt;TODAY(),F3793&gt;TODAY()),"Verificar evento futuro","OK"))))))))))</f>
        <v/>
      </c>
    </row>
    <row r="3794" spans="12:15">
      <c r="L3794" s="5">
        <f>IF(OR(A3794="",B3794=""),"",B3794-WEEKDAY(B3794,2)+1)</f>
        <v/>
      </c>
      <c r="M3794" s="5">
        <f>IF(L3794="","",L3794+6)</f>
        <v/>
      </c>
      <c r="N3794" s="6">
        <f>IF(OR(A3794="",B3794=""),"",DATE(YEAR(B3794),MONTH(B3794),1))</f>
        <v/>
      </c>
      <c r="O3794" s="7">
        <f>IF(COUNTA(A3794:K3794)=0,"",IF(OR(A3794="",B3794=""),"Preencher CPF e entrada",IF(COUNTIFS($A$12:$A$5011,A3794,$B$12:$B$5011,B3794)&gt;1,"CPF + dia duplicado",IF(OR(AND(G3794&lt;&gt;"",G3794&lt;&gt;0,G3794&lt;&gt;1),AND(H3794&lt;&gt;"",H3794&lt;&gt;0,H3794&lt;&gt;1)),"Flags devem ser 0 ou 1",IF(AND(H3794=1,LEN(TRIM(I3794))=0),"Preencher nome do indicante",IF(AND(H3794&lt;&gt;1,I3794&lt;&gt;""),"Nome sem indicação interna",IF(AND(G3794=1,F3794=""),"Fechamento sem conversa",IF(OR(AND(E3794&lt;&gt;"",E3794&lt;B3794),AND(F3794&lt;&gt;"",F3794&lt;B3794)),"Evento anterior à entrada",IF(AND(F3794&lt;&gt;"",E3794=""),"Conversa sem agendamento",IF(OR(E3794&gt;TODAY(),F3794&gt;TODAY()),"Verificar evento futuro","OK"))))))))))</f>
        <v/>
      </c>
    </row>
    <row r="3795" spans="12:15">
      <c r="L3795" s="5">
        <f>IF(OR(A3795="",B3795=""),"",B3795-WEEKDAY(B3795,2)+1)</f>
        <v/>
      </c>
      <c r="M3795" s="5">
        <f>IF(L3795="","",L3795+6)</f>
        <v/>
      </c>
      <c r="N3795" s="6">
        <f>IF(OR(A3795="",B3795=""),"",DATE(YEAR(B3795),MONTH(B3795),1))</f>
        <v/>
      </c>
      <c r="O3795" s="7">
        <f>IF(COUNTA(A3795:K3795)=0,"",IF(OR(A3795="",B3795=""),"Preencher CPF e entrada",IF(COUNTIFS($A$12:$A$5011,A3795,$B$12:$B$5011,B3795)&gt;1,"CPF + dia duplicado",IF(OR(AND(G3795&lt;&gt;"",G3795&lt;&gt;0,G3795&lt;&gt;1),AND(H3795&lt;&gt;"",H3795&lt;&gt;0,H3795&lt;&gt;1)),"Flags devem ser 0 ou 1",IF(AND(H3795=1,LEN(TRIM(I3795))=0),"Preencher nome do indicante",IF(AND(H3795&lt;&gt;1,I3795&lt;&gt;""),"Nome sem indicação interna",IF(AND(G3795=1,F3795=""),"Fechamento sem conversa",IF(OR(AND(E3795&lt;&gt;"",E3795&lt;B3795),AND(F3795&lt;&gt;"",F3795&lt;B3795)),"Evento anterior à entrada",IF(AND(F3795&lt;&gt;"",E3795=""),"Conversa sem agendamento",IF(OR(E3795&gt;TODAY(),F3795&gt;TODAY()),"Verificar evento futuro","OK"))))))))))</f>
        <v/>
      </c>
    </row>
    <row r="3796" spans="12:15">
      <c r="L3796" s="5">
        <f>IF(OR(A3796="",B3796=""),"",B3796-WEEKDAY(B3796,2)+1)</f>
        <v/>
      </c>
      <c r="M3796" s="5">
        <f>IF(L3796="","",L3796+6)</f>
        <v/>
      </c>
      <c r="N3796" s="6">
        <f>IF(OR(A3796="",B3796=""),"",DATE(YEAR(B3796),MONTH(B3796),1))</f>
        <v/>
      </c>
      <c r="O3796" s="7">
        <f>IF(COUNTA(A3796:K3796)=0,"",IF(OR(A3796="",B3796=""),"Preencher CPF e entrada",IF(COUNTIFS($A$12:$A$5011,A3796,$B$12:$B$5011,B3796)&gt;1,"CPF + dia duplicado",IF(OR(AND(G3796&lt;&gt;"",G3796&lt;&gt;0,G3796&lt;&gt;1),AND(H3796&lt;&gt;"",H3796&lt;&gt;0,H3796&lt;&gt;1)),"Flags devem ser 0 ou 1",IF(AND(H3796=1,LEN(TRIM(I3796))=0),"Preencher nome do indicante",IF(AND(H3796&lt;&gt;1,I3796&lt;&gt;""),"Nome sem indicação interna",IF(AND(G3796=1,F3796=""),"Fechamento sem conversa",IF(OR(AND(E3796&lt;&gt;"",E3796&lt;B3796),AND(F3796&lt;&gt;"",F3796&lt;B3796)),"Evento anterior à entrada",IF(AND(F3796&lt;&gt;"",E3796=""),"Conversa sem agendamento",IF(OR(E3796&gt;TODAY(),F3796&gt;TODAY()),"Verificar evento futuro","OK"))))))))))</f>
        <v/>
      </c>
    </row>
    <row r="3797" spans="12:15">
      <c r="L3797" s="5">
        <f>IF(OR(A3797="",B3797=""),"",B3797-WEEKDAY(B3797,2)+1)</f>
        <v/>
      </c>
      <c r="M3797" s="5">
        <f>IF(L3797="","",L3797+6)</f>
        <v/>
      </c>
      <c r="N3797" s="6">
        <f>IF(OR(A3797="",B3797=""),"",DATE(YEAR(B3797),MONTH(B3797),1))</f>
        <v/>
      </c>
      <c r="O3797" s="7">
        <f>IF(COUNTA(A3797:K3797)=0,"",IF(OR(A3797="",B3797=""),"Preencher CPF e entrada",IF(COUNTIFS($A$12:$A$5011,A3797,$B$12:$B$5011,B3797)&gt;1,"CPF + dia duplicado",IF(OR(AND(G3797&lt;&gt;"",G3797&lt;&gt;0,G3797&lt;&gt;1),AND(H3797&lt;&gt;"",H3797&lt;&gt;0,H3797&lt;&gt;1)),"Flags devem ser 0 ou 1",IF(AND(H3797=1,LEN(TRIM(I3797))=0),"Preencher nome do indicante",IF(AND(H3797&lt;&gt;1,I3797&lt;&gt;""),"Nome sem indicação interna",IF(AND(G3797=1,F3797=""),"Fechamento sem conversa",IF(OR(AND(E3797&lt;&gt;"",E3797&lt;B3797),AND(F3797&lt;&gt;"",F3797&lt;B3797)),"Evento anterior à entrada",IF(AND(F3797&lt;&gt;"",E3797=""),"Conversa sem agendamento",IF(OR(E3797&gt;TODAY(),F3797&gt;TODAY()),"Verificar evento futuro","OK"))))))))))</f>
        <v/>
      </c>
    </row>
    <row r="3798" spans="12:15">
      <c r="L3798" s="5">
        <f>IF(OR(A3798="",B3798=""),"",B3798-WEEKDAY(B3798,2)+1)</f>
        <v/>
      </c>
      <c r="M3798" s="5">
        <f>IF(L3798="","",L3798+6)</f>
        <v/>
      </c>
      <c r="N3798" s="6">
        <f>IF(OR(A3798="",B3798=""),"",DATE(YEAR(B3798),MONTH(B3798),1))</f>
        <v/>
      </c>
      <c r="O3798" s="7">
        <f>IF(COUNTA(A3798:K3798)=0,"",IF(OR(A3798="",B3798=""),"Preencher CPF e entrada",IF(COUNTIFS($A$12:$A$5011,A3798,$B$12:$B$5011,B3798)&gt;1,"CPF + dia duplicado",IF(OR(AND(G3798&lt;&gt;"",G3798&lt;&gt;0,G3798&lt;&gt;1),AND(H3798&lt;&gt;"",H3798&lt;&gt;0,H3798&lt;&gt;1)),"Flags devem ser 0 ou 1",IF(AND(H3798=1,LEN(TRIM(I3798))=0),"Preencher nome do indicante",IF(AND(H3798&lt;&gt;1,I3798&lt;&gt;""),"Nome sem indicação interna",IF(AND(G3798=1,F3798=""),"Fechamento sem conversa",IF(OR(AND(E3798&lt;&gt;"",E3798&lt;B3798),AND(F3798&lt;&gt;"",F3798&lt;B3798)),"Evento anterior à entrada",IF(AND(F3798&lt;&gt;"",E3798=""),"Conversa sem agendamento",IF(OR(E3798&gt;TODAY(),F3798&gt;TODAY()),"Verificar evento futuro","OK"))))))))))</f>
        <v/>
      </c>
    </row>
    <row r="3799" spans="12:15">
      <c r="L3799" s="5">
        <f>IF(OR(A3799="",B3799=""),"",B3799-WEEKDAY(B3799,2)+1)</f>
        <v/>
      </c>
      <c r="M3799" s="5">
        <f>IF(L3799="","",L3799+6)</f>
        <v/>
      </c>
      <c r="N3799" s="6">
        <f>IF(OR(A3799="",B3799=""),"",DATE(YEAR(B3799),MONTH(B3799),1))</f>
        <v/>
      </c>
      <c r="O3799" s="7">
        <f>IF(COUNTA(A3799:K3799)=0,"",IF(OR(A3799="",B3799=""),"Preencher CPF e entrada",IF(COUNTIFS($A$12:$A$5011,A3799,$B$12:$B$5011,B3799)&gt;1,"CPF + dia duplicado",IF(OR(AND(G3799&lt;&gt;"",G3799&lt;&gt;0,G3799&lt;&gt;1),AND(H3799&lt;&gt;"",H3799&lt;&gt;0,H3799&lt;&gt;1)),"Flags devem ser 0 ou 1",IF(AND(H3799=1,LEN(TRIM(I3799))=0),"Preencher nome do indicante",IF(AND(H3799&lt;&gt;1,I3799&lt;&gt;""),"Nome sem indicação interna",IF(AND(G3799=1,F3799=""),"Fechamento sem conversa",IF(OR(AND(E3799&lt;&gt;"",E3799&lt;B3799),AND(F3799&lt;&gt;"",F3799&lt;B3799)),"Evento anterior à entrada",IF(AND(F3799&lt;&gt;"",E3799=""),"Conversa sem agendamento",IF(OR(E3799&gt;TODAY(),F3799&gt;TODAY()),"Verificar evento futuro","OK"))))))))))</f>
        <v/>
      </c>
    </row>
    <row r="3800" spans="12:15">
      <c r="L3800" s="5">
        <f>IF(OR(A3800="",B3800=""),"",B3800-WEEKDAY(B3800,2)+1)</f>
        <v/>
      </c>
      <c r="M3800" s="5">
        <f>IF(L3800="","",L3800+6)</f>
        <v/>
      </c>
      <c r="N3800" s="6">
        <f>IF(OR(A3800="",B3800=""),"",DATE(YEAR(B3800),MONTH(B3800),1))</f>
        <v/>
      </c>
      <c r="O3800" s="7">
        <f>IF(COUNTA(A3800:K3800)=0,"",IF(OR(A3800="",B3800=""),"Preencher CPF e entrada",IF(COUNTIFS($A$12:$A$5011,A3800,$B$12:$B$5011,B3800)&gt;1,"CPF + dia duplicado",IF(OR(AND(G3800&lt;&gt;"",G3800&lt;&gt;0,G3800&lt;&gt;1),AND(H3800&lt;&gt;"",H3800&lt;&gt;0,H3800&lt;&gt;1)),"Flags devem ser 0 ou 1",IF(AND(H3800=1,LEN(TRIM(I3800))=0),"Preencher nome do indicante",IF(AND(H3800&lt;&gt;1,I3800&lt;&gt;""),"Nome sem indicação interna",IF(AND(G3800=1,F3800=""),"Fechamento sem conversa",IF(OR(AND(E3800&lt;&gt;"",E3800&lt;B3800),AND(F3800&lt;&gt;"",F3800&lt;B3800)),"Evento anterior à entrada",IF(AND(F3800&lt;&gt;"",E3800=""),"Conversa sem agendamento",IF(OR(E3800&gt;TODAY(),F3800&gt;TODAY()),"Verificar evento futuro","OK"))))))))))</f>
        <v/>
      </c>
    </row>
    <row r="3801" spans="12:15">
      <c r="L3801" s="5">
        <f>IF(OR(A3801="",B3801=""),"",B3801-WEEKDAY(B3801,2)+1)</f>
        <v/>
      </c>
      <c r="M3801" s="5">
        <f>IF(L3801="","",L3801+6)</f>
        <v/>
      </c>
      <c r="N3801" s="6">
        <f>IF(OR(A3801="",B3801=""),"",DATE(YEAR(B3801),MONTH(B3801),1))</f>
        <v/>
      </c>
      <c r="O3801" s="7">
        <f>IF(COUNTA(A3801:K3801)=0,"",IF(OR(A3801="",B3801=""),"Preencher CPF e entrada",IF(COUNTIFS($A$12:$A$5011,A3801,$B$12:$B$5011,B3801)&gt;1,"CPF + dia duplicado",IF(OR(AND(G3801&lt;&gt;"",G3801&lt;&gt;0,G3801&lt;&gt;1),AND(H3801&lt;&gt;"",H3801&lt;&gt;0,H3801&lt;&gt;1)),"Flags devem ser 0 ou 1",IF(AND(H3801=1,LEN(TRIM(I3801))=0),"Preencher nome do indicante",IF(AND(H3801&lt;&gt;1,I3801&lt;&gt;""),"Nome sem indicação interna",IF(AND(G3801=1,F3801=""),"Fechamento sem conversa",IF(OR(AND(E3801&lt;&gt;"",E3801&lt;B3801),AND(F3801&lt;&gt;"",F3801&lt;B3801)),"Evento anterior à entrada",IF(AND(F3801&lt;&gt;"",E3801=""),"Conversa sem agendamento",IF(OR(E3801&gt;TODAY(),F3801&gt;TODAY()),"Verificar evento futuro","OK"))))))))))</f>
        <v/>
      </c>
    </row>
    <row r="3802" spans="12:15">
      <c r="L3802" s="5">
        <f>IF(OR(A3802="",B3802=""),"",B3802-WEEKDAY(B3802,2)+1)</f>
        <v/>
      </c>
      <c r="M3802" s="5">
        <f>IF(L3802="","",L3802+6)</f>
        <v/>
      </c>
      <c r="N3802" s="6">
        <f>IF(OR(A3802="",B3802=""),"",DATE(YEAR(B3802),MONTH(B3802),1))</f>
        <v/>
      </c>
      <c r="O3802" s="7">
        <f>IF(COUNTA(A3802:K3802)=0,"",IF(OR(A3802="",B3802=""),"Preencher CPF e entrada",IF(COUNTIFS($A$12:$A$5011,A3802,$B$12:$B$5011,B3802)&gt;1,"CPF + dia duplicado",IF(OR(AND(G3802&lt;&gt;"",G3802&lt;&gt;0,G3802&lt;&gt;1),AND(H3802&lt;&gt;"",H3802&lt;&gt;0,H3802&lt;&gt;1)),"Flags devem ser 0 ou 1",IF(AND(H3802=1,LEN(TRIM(I3802))=0),"Preencher nome do indicante",IF(AND(H3802&lt;&gt;1,I3802&lt;&gt;""),"Nome sem indicação interna",IF(AND(G3802=1,F3802=""),"Fechamento sem conversa",IF(OR(AND(E3802&lt;&gt;"",E3802&lt;B3802),AND(F3802&lt;&gt;"",F3802&lt;B3802)),"Evento anterior à entrada",IF(AND(F3802&lt;&gt;"",E3802=""),"Conversa sem agendamento",IF(OR(E3802&gt;TODAY(),F3802&gt;TODAY()),"Verificar evento futuro","OK"))))))))))</f>
        <v/>
      </c>
    </row>
    <row r="3803" spans="12:15">
      <c r="L3803" s="5">
        <f>IF(OR(A3803="",B3803=""),"",B3803-WEEKDAY(B3803,2)+1)</f>
        <v/>
      </c>
      <c r="M3803" s="5">
        <f>IF(L3803="","",L3803+6)</f>
        <v/>
      </c>
      <c r="N3803" s="6">
        <f>IF(OR(A3803="",B3803=""),"",DATE(YEAR(B3803),MONTH(B3803),1))</f>
        <v/>
      </c>
      <c r="O3803" s="7">
        <f>IF(COUNTA(A3803:K3803)=0,"",IF(OR(A3803="",B3803=""),"Preencher CPF e entrada",IF(COUNTIFS($A$12:$A$5011,A3803,$B$12:$B$5011,B3803)&gt;1,"CPF + dia duplicado",IF(OR(AND(G3803&lt;&gt;"",G3803&lt;&gt;0,G3803&lt;&gt;1),AND(H3803&lt;&gt;"",H3803&lt;&gt;0,H3803&lt;&gt;1)),"Flags devem ser 0 ou 1",IF(AND(H3803=1,LEN(TRIM(I3803))=0),"Preencher nome do indicante",IF(AND(H3803&lt;&gt;1,I3803&lt;&gt;""),"Nome sem indicação interna",IF(AND(G3803=1,F3803=""),"Fechamento sem conversa",IF(OR(AND(E3803&lt;&gt;"",E3803&lt;B3803),AND(F3803&lt;&gt;"",F3803&lt;B3803)),"Evento anterior à entrada",IF(AND(F3803&lt;&gt;"",E3803=""),"Conversa sem agendamento",IF(OR(E3803&gt;TODAY(),F3803&gt;TODAY()),"Verificar evento futuro","OK"))))))))))</f>
        <v/>
      </c>
    </row>
    <row r="3804" spans="12:15">
      <c r="L3804" s="5">
        <f>IF(OR(A3804="",B3804=""),"",B3804-WEEKDAY(B3804,2)+1)</f>
        <v/>
      </c>
      <c r="M3804" s="5">
        <f>IF(L3804="","",L3804+6)</f>
        <v/>
      </c>
      <c r="N3804" s="6">
        <f>IF(OR(A3804="",B3804=""),"",DATE(YEAR(B3804),MONTH(B3804),1))</f>
        <v/>
      </c>
      <c r="O3804" s="7">
        <f>IF(COUNTA(A3804:K3804)=0,"",IF(OR(A3804="",B3804=""),"Preencher CPF e entrada",IF(COUNTIFS($A$12:$A$5011,A3804,$B$12:$B$5011,B3804)&gt;1,"CPF + dia duplicado",IF(OR(AND(G3804&lt;&gt;"",G3804&lt;&gt;0,G3804&lt;&gt;1),AND(H3804&lt;&gt;"",H3804&lt;&gt;0,H3804&lt;&gt;1)),"Flags devem ser 0 ou 1",IF(AND(H3804=1,LEN(TRIM(I3804))=0),"Preencher nome do indicante",IF(AND(H3804&lt;&gt;1,I3804&lt;&gt;""),"Nome sem indicação interna",IF(AND(G3804=1,F3804=""),"Fechamento sem conversa",IF(OR(AND(E3804&lt;&gt;"",E3804&lt;B3804),AND(F3804&lt;&gt;"",F3804&lt;B3804)),"Evento anterior à entrada",IF(AND(F3804&lt;&gt;"",E3804=""),"Conversa sem agendamento",IF(OR(E3804&gt;TODAY(),F3804&gt;TODAY()),"Verificar evento futuro","OK"))))))))))</f>
        <v/>
      </c>
    </row>
    <row r="3805" spans="12:15">
      <c r="L3805" s="5">
        <f>IF(OR(A3805="",B3805=""),"",B3805-WEEKDAY(B3805,2)+1)</f>
        <v/>
      </c>
      <c r="M3805" s="5">
        <f>IF(L3805="","",L3805+6)</f>
        <v/>
      </c>
      <c r="N3805" s="6">
        <f>IF(OR(A3805="",B3805=""),"",DATE(YEAR(B3805),MONTH(B3805),1))</f>
        <v/>
      </c>
      <c r="O3805" s="7">
        <f>IF(COUNTA(A3805:K3805)=0,"",IF(OR(A3805="",B3805=""),"Preencher CPF e entrada",IF(COUNTIFS($A$12:$A$5011,A3805,$B$12:$B$5011,B3805)&gt;1,"CPF + dia duplicado",IF(OR(AND(G3805&lt;&gt;"",G3805&lt;&gt;0,G3805&lt;&gt;1),AND(H3805&lt;&gt;"",H3805&lt;&gt;0,H3805&lt;&gt;1)),"Flags devem ser 0 ou 1",IF(AND(H3805=1,LEN(TRIM(I3805))=0),"Preencher nome do indicante",IF(AND(H3805&lt;&gt;1,I3805&lt;&gt;""),"Nome sem indicação interna",IF(AND(G3805=1,F3805=""),"Fechamento sem conversa",IF(OR(AND(E3805&lt;&gt;"",E3805&lt;B3805),AND(F3805&lt;&gt;"",F3805&lt;B3805)),"Evento anterior à entrada",IF(AND(F3805&lt;&gt;"",E3805=""),"Conversa sem agendamento",IF(OR(E3805&gt;TODAY(),F3805&gt;TODAY()),"Verificar evento futuro","OK"))))))))))</f>
        <v/>
      </c>
    </row>
    <row r="3806" spans="12:15">
      <c r="L3806" s="5">
        <f>IF(OR(A3806="",B3806=""),"",B3806-WEEKDAY(B3806,2)+1)</f>
        <v/>
      </c>
      <c r="M3806" s="5">
        <f>IF(L3806="","",L3806+6)</f>
        <v/>
      </c>
      <c r="N3806" s="6">
        <f>IF(OR(A3806="",B3806=""),"",DATE(YEAR(B3806),MONTH(B3806),1))</f>
        <v/>
      </c>
      <c r="O3806" s="7">
        <f>IF(COUNTA(A3806:K3806)=0,"",IF(OR(A3806="",B3806=""),"Preencher CPF e entrada",IF(COUNTIFS($A$12:$A$5011,A3806,$B$12:$B$5011,B3806)&gt;1,"CPF + dia duplicado",IF(OR(AND(G3806&lt;&gt;"",G3806&lt;&gt;0,G3806&lt;&gt;1),AND(H3806&lt;&gt;"",H3806&lt;&gt;0,H3806&lt;&gt;1)),"Flags devem ser 0 ou 1",IF(AND(H3806=1,LEN(TRIM(I3806))=0),"Preencher nome do indicante",IF(AND(H3806&lt;&gt;1,I3806&lt;&gt;""),"Nome sem indicação interna",IF(AND(G3806=1,F3806=""),"Fechamento sem conversa",IF(OR(AND(E3806&lt;&gt;"",E3806&lt;B3806),AND(F3806&lt;&gt;"",F3806&lt;B3806)),"Evento anterior à entrada",IF(AND(F3806&lt;&gt;"",E3806=""),"Conversa sem agendamento",IF(OR(E3806&gt;TODAY(),F3806&gt;TODAY()),"Verificar evento futuro","OK"))))))))))</f>
        <v/>
      </c>
    </row>
    <row r="3807" spans="12:15">
      <c r="L3807" s="5">
        <f>IF(OR(A3807="",B3807=""),"",B3807-WEEKDAY(B3807,2)+1)</f>
        <v/>
      </c>
      <c r="M3807" s="5">
        <f>IF(L3807="","",L3807+6)</f>
        <v/>
      </c>
      <c r="N3807" s="6">
        <f>IF(OR(A3807="",B3807=""),"",DATE(YEAR(B3807),MONTH(B3807),1))</f>
        <v/>
      </c>
      <c r="O3807" s="7">
        <f>IF(COUNTA(A3807:K3807)=0,"",IF(OR(A3807="",B3807=""),"Preencher CPF e entrada",IF(COUNTIFS($A$12:$A$5011,A3807,$B$12:$B$5011,B3807)&gt;1,"CPF + dia duplicado",IF(OR(AND(G3807&lt;&gt;"",G3807&lt;&gt;0,G3807&lt;&gt;1),AND(H3807&lt;&gt;"",H3807&lt;&gt;0,H3807&lt;&gt;1)),"Flags devem ser 0 ou 1",IF(AND(H3807=1,LEN(TRIM(I3807))=0),"Preencher nome do indicante",IF(AND(H3807&lt;&gt;1,I3807&lt;&gt;""),"Nome sem indicação interna",IF(AND(G3807=1,F3807=""),"Fechamento sem conversa",IF(OR(AND(E3807&lt;&gt;"",E3807&lt;B3807),AND(F3807&lt;&gt;"",F3807&lt;B3807)),"Evento anterior à entrada",IF(AND(F3807&lt;&gt;"",E3807=""),"Conversa sem agendamento",IF(OR(E3807&gt;TODAY(),F3807&gt;TODAY()),"Verificar evento futuro","OK"))))))))))</f>
        <v/>
      </c>
    </row>
    <row r="3808" spans="12:15">
      <c r="L3808" s="5">
        <f>IF(OR(A3808="",B3808=""),"",B3808-WEEKDAY(B3808,2)+1)</f>
        <v/>
      </c>
      <c r="M3808" s="5">
        <f>IF(L3808="","",L3808+6)</f>
        <v/>
      </c>
      <c r="N3808" s="6">
        <f>IF(OR(A3808="",B3808=""),"",DATE(YEAR(B3808),MONTH(B3808),1))</f>
        <v/>
      </c>
      <c r="O3808" s="7">
        <f>IF(COUNTA(A3808:K3808)=0,"",IF(OR(A3808="",B3808=""),"Preencher CPF e entrada",IF(COUNTIFS($A$12:$A$5011,A3808,$B$12:$B$5011,B3808)&gt;1,"CPF + dia duplicado",IF(OR(AND(G3808&lt;&gt;"",G3808&lt;&gt;0,G3808&lt;&gt;1),AND(H3808&lt;&gt;"",H3808&lt;&gt;0,H3808&lt;&gt;1)),"Flags devem ser 0 ou 1",IF(AND(H3808=1,LEN(TRIM(I3808))=0),"Preencher nome do indicante",IF(AND(H3808&lt;&gt;1,I3808&lt;&gt;""),"Nome sem indicação interna",IF(AND(G3808=1,F3808=""),"Fechamento sem conversa",IF(OR(AND(E3808&lt;&gt;"",E3808&lt;B3808),AND(F3808&lt;&gt;"",F3808&lt;B3808)),"Evento anterior à entrada",IF(AND(F3808&lt;&gt;"",E3808=""),"Conversa sem agendamento",IF(OR(E3808&gt;TODAY(),F3808&gt;TODAY()),"Verificar evento futuro","OK"))))))))))</f>
        <v/>
      </c>
    </row>
    <row r="3809" spans="12:15">
      <c r="L3809" s="5">
        <f>IF(OR(A3809="",B3809=""),"",B3809-WEEKDAY(B3809,2)+1)</f>
        <v/>
      </c>
      <c r="M3809" s="5">
        <f>IF(L3809="","",L3809+6)</f>
        <v/>
      </c>
      <c r="N3809" s="6">
        <f>IF(OR(A3809="",B3809=""),"",DATE(YEAR(B3809),MONTH(B3809),1))</f>
        <v/>
      </c>
      <c r="O3809" s="7">
        <f>IF(COUNTA(A3809:K3809)=0,"",IF(OR(A3809="",B3809=""),"Preencher CPF e entrada",IF(COUNTIFS($A$12:$A$5011,A3809,$B$12:$B$5011,B3809)&gt;1,"CPF + dia duplicado",IF(OR(AND(G3809&lt;&gt;"",G3809&lt;&gt;0,G3809&lt;&gt;1),AND(H3809&lt;&gt;"",H3809&lt;&gt;0,H3809&lt;&gt;1)),"Flags devem ser 0 ou 1",IF(AND(H3809=1,LEN(TRIM(I3809))=0),"Preencher nome do indicante",IF(AND(H3809&lt;&gt;1,I3809&lt;&gt;""),"Nome sem indicação interna",IF(AND(G3809=1,F3809=""),"Fechamento sem conversa",IF(OR(AND(E3809&lt;&gt;"",E3809&lt;B3809),AND(F3809&lt;&gt;"",F3809&lt;B3809)),"Evento anterior à entrada",IF(AND(F3809&lt;&gt;"",E3809=""),"Conversa sem agendamento",IF(OR(E3809&gt;TODAY(),F3809&gt;TODAY()),"Verificar evento futuro","OK"))))))))))</f>
        <v/>
      </c>
    </row>
    <row r="3810" spans="12:15">
      <c r="L3810" s="5">
        <f>IF(OR(A3810="",B3810=""),"",B3810-WEEKDAY(B3810,2)+1)</f>
        <v/>
      </c>
      <c r="M3810" s="5">
        <f>IF(L3810="","",L3810+6)</f>
        <v/>
      </c>
      <c r="N3810" s="6">
        <f>IF(OR(A3810="",B3810=""),"",DATE(YEAR(B3810),MONTH(B3810),1))</f>
        <v/>
      </c>
      <c r="O3810" s="7">
        <f>IF(COUNTA(A3810:K3810)=0,"",IF(OR(A3810="",B3810=""),"Preencher CPF e entrada",IF(COUNTIFS($A$12:$A$5011,A3810,$B$12:$B$5011,B3810)&gt;1,"CPF + dia duplicado",IF(OR(AND(G3810&lt;&gt;"",G3810&lt;&gt;0,G3810&lt;&gt;1),AND(H3810&lt;&gt;"",H3810&lt;&gt;0,H3810&lt;&gt;1)),"Flags devem ser 0 ou 1",IF(AND(H3810=1,LEN(TRIM(I3810))=0),"Preencher nome do indicante",IF(AND(H3810&lt;&gt;1,I3810&lt;&gt;""),"Nome sem indicação interna",IF(AND(G3810=1,F3810=""),"Fechamento sem conversa",IF(OR(AND(E3810&lt;&gt;"",E3810&lt;B3810),AND(F3810&lt;&gt;"",F3810&lt;B3810)),"Evento anterior à entrada",IF(AND(F3810&lt;&gt;"",E3810=""),"Conversa sem agendamento",IF(OR(E3810&gt;TODAY(),F3810&gt;TODAY()),"Verificar evento futuro","OK"))))))))))</f>
        <v/>
      </c>
    </row>
    <row r="3811" spans="12:15">
      <c r="L3811" s="5">
        <f>IF(OR(A3811="",B3811=""),"",B3811-WEEKDAY(B3811,2)+1)</f>
        <v/>
      </c>
      <c r="M3811" s="5">
        <f>IF(L3811="","",L3811+6)</f>
        <v/>
      </c>
      <c r="N3811" s="6">
        <f>IF(OR(A3811="",B3811=""),"",DATE(YEAR(B3811),MONTH(B3811),1))</f>
        <v/>
      </c>
      <c r="O3811" s="7">
        <f>IF(COUNTA(A3811:K3811)=0,"",IF(OR(A3811="",B3811=""),"Preencher CPF e entrada",IF(COUNTIFS($A$12:$A$5011,A3811,$B$12:$B$5011,B3811)&gt;1,"CPF + dia duplicado",IF(OR(AND(G3811&lt;&gt;"",G3811&lt;&gt;0,G3811&lt;&gt;1),AND(H3811&lt;&gt;"",H3811&lt;&gt;0,H3811&lt;&gt;1)),"Flags devem ser 0 ou 1",IF(AND(H3811=1,LEN(TRIM(I3811))=0),"Preencher nome do indicante",IF(AND(H3811&lt;&gt;1,I3811&lt;&gt;""),"Nome sem indicação interna",IF(AND(G3811=1,F3811=""),"Fechamento sem conversa",IF(OR(AND(E3811&lt;&gt;"",E3811&lt;B3811),AND(F3811&lt;&gt;"",F3811&lt;B3811)),"Evento anterior à entrada",IF(AND(F3811&lt;&gt;"",E3811=""),"Conversa sem agendamento",IF(OR(E3811&gt;TODAY(),F3811&gt;TODAY()),"Verificar evento futuro","OK"))))))))))</f>
        <v/>
      </c>
    </row>
    <row r="3812" spans="12:15">
      <c r="L3812" s="5">
        <f>IF(OR(A3812="",B3812=""),"",B3812-WEEKDAY(B3812,2)+1)</f>
        <v/>
      </c>
      <c r="M3812" s="5">
        <f>IF(L3812="","",L3812+6)</f>
        <v/>
      </c>
      <c r="N3812" s="6">
        <f>IF(OR(A3812="",B3812=""),"",DATE(YEAR(B3812),MONTH(B3812),1))</f>
        <v/>
      </c>
      <c r="O3812" s="7">
        <f>IF(COUNTA(A3812:K3812)=0,"",IF(OR(A3812="",B3812=""),"Preencher CPF e entrada",IF(COUNTIFS($A$12:$A$5011,A3812,$B$12:$B$5011,B3812)&gt;1,"CPF + dia duplicado",IF(OR(AND(G3812&lt;&gt;"",G3812&lt;&gt;0,G3812&lt;&gt;1),AND(H3812&lt;&gt;"",H3812&lt;&gt;0,H3812&lt;&gt;1)),"Flags devem ser 0 ou 1",IF(AND(H3812=1,LEN(TRIM(I3812))=0),"Preencher nome do indicante",IF(AND(H3812&lt;&gt;1,I3812&lt;&gt;""),"Nome sem indicação interna",IF(AND(G3812=1,F3812=""),"Fechamento sem conversa",IF(OR(AND(E3812&lt;&gt;"",E3812&lt;B3812),AND(F3812&lt;&gt;"",F3812&lt;B3812)),"Evento anterior à entrada",IF(AND(F3812&lt;&gt;"",E3812=""),"Conversa sem agendamento",IF(OR(E3812&gt;TODAY(),F3812&gt;TODAY()),"Verificar evento futuro","OK"))))))))))</f>
        <v/>
      </c>
    </row>
    <row r="3813" spans="12:15">
      <c r="L3813" s="5">
        <f>IF(OR(A3813="",B3813=""),"",B3813-WEEKDAY(B3813,2)+1)</f>
        <v/>
      </c>
      <c r="M3813" s="5">
        <f>IF(L3813="","",L3813+6)</f>
        <v/>
      </c>
      <c r="N3813" s="6">
        <f>IF(OR(A3813="",B3813=""),"",DATE(YEAR(B3813),MONTH(B3813),1))</f>
        <v/>
      </c>
      <c r="O3813" s="7">
        <f>IF(COUNTA(A3813:K3813)=0,"",IF(OR(A3813="",B3813=""),"Preencher CPF e entrada",IF(COUNTIFS($A$12:$A$5011,A3813,$B$12:$B$5011,B3813)&gt;1,"CPF + dia duplicado",IF(OR(AND(G3813&lt;&gt;"",G3813&lt;&gt;0,G3813&lt;&gt;1),AND(H3813&lt;&gt;"",H3813&lt;&gt;0,H3813&lt;&gt;1)),"Flags devem ser 0 ou 1",IF(AND(H3813=1,LEN(TRIM(I3813))=0),"Preencher nome do indicante",IF(AND(H3813&lt;&gt;1,I3813&lt;&gt;""),"Nome sem indicação interna",IF(AND(G3813=1,F3813=""),"Fechamento sem conversa",IF(OR(AND(E3813&lt;&gt;"",E3813&lt;B3813),AND(F3813&lt;&gt;"",F3813&lt;B3813)),"Evento anterior à entrada",IF(AND(F3813&lt;&gt;"",E3813=""),"Conversa sem agendamento",IF(OR(E3813&gt;TODAY(),F3813&gt;TODAY()),"Verificar evento futuro","OK"))))))))))</f>
        <v/>
      </c>
    </row>
    <row r="3814" spans="12:15">
      <c r="L3814" s="5">
        <f>IF(OR(A3814="",B3814=""),"",B3814-WEEKDAY(B3814,2)+1)</f>
        <v/>
      </c>
      <c r="M3814" s="5">
        <f>IF(L3814="","",L3814+6)</f>
        <v/>
      </c>
      <c r="N3814" s="6">
        <f>IF(OR(A3814="",B3814=""),"",DATE(YEAR(B3814),MONTH(B3814),1))</f>
        <v/>
      </c>
      <c r="O3814" s="7">
        <f>IF(COUNTA(A3814:K3814)=0,"",IF(OR(A3814="",B3814=""),"Preencher CPF e entrada",IF(COUNTIFS($A$12:$A$5011,A3814,$B$12:$B$5011,B3814)&gt;1,"CPF + dia duplicado",IF(OR(AND(G3814&lt;&gt;"",G3814&lt;&gt;0,G3814&lt;&gt;1),AND(H3814&lt;&gt;"",H3814&lt;&gt;0,H3814&lt;&gt;1)),"Flags devem ser 0 ou 1",IF(AND(H3814=1,LEN(TRIM(I3814))=0),"Preencher nome do indicante",IF(AND(H3814&lt;&gt;1,I3814&lt;&gt;""),"Nome sem indicação interna",IF(AND(G3814=1,F3814=""),"Fechamento sem conversa",IF(OR(AND(E3814&lt;&gt;"",E3814&lt;B3814),AND(F3814&lt;&gt;"",F3814&lt;B3814)),"Evento anterior à entrada",IF(AND(F3814&lt;&gt;"",E3814=""),"Conversa sem agendamento",IF(OR(E3814&gt;TODAY(),F3814&gt;TODAY()),"Verificar evento futuro","OK"))))))))))</f>
        <v/>
      </c>
    </row>
    <row r="3815" spans="12:15">
      <c r="L3815" s="5">
        <f>IF(OR(A3815="",B3815=""),"",B3815-WEEKDAY(B3815,2)+1)</f>
        <v/>
      </c>
      <c r="M3815" s="5">
        <f>IF(L3815="","",L3815+6)</f>
        <v/>
      </c>
      <c r="N3815" s="6">
        <f>IF(OR(A3815="",B3815=""),"",DATE(YEAR(B3815),MONTH(B3815),1))</f>
        <v/>
      </c>
      <c r="O3815" s="7">
        <f>IF(COUNTA(A3815:K3815)=0,"",IF(OR(A3815="",B3815=""),"Preencher CPF e entrada",IF(COUNTIFS($A$12:$A$5011,A3815,$B$12:$B$5011,B3815)&gt;1,"CPF + dia duplicado",IF(OR(AND(G3815&lt;&gt;"",G3815&lt;&gt;0,G3815&lt;&gt;1),AND(H3815&lt;&gt;"",H3815&lt;&gt;0,H3815&lt;&gt;1)),"Flags devem ser 0 ou 1",IF(AND(H3815=1,LEN(TRIM(I3815))=0),"Preencher nome do indicante",IF(AND(H3815&lt;&gt;1,I3815&lt;&gt;""),"Nome sem indicação interna",IF(AND(G3815=1,F3815=""),"Fechamento sem conversa",IF(OR(AND(E3815&lt;&gt;"",E3815&lt;B3815),AND(F3815&lt;&gt;"",F3815&lt;B3815)),"Evento anterior à entrada",IF(AND(F3815&lt;&gt;"",E3815=""),"Conversa sem agendamento",IF(OR(E3815&gt;TODAY(),F3815&gt;TODAY()),"Verificar evento futuro","OK"))))))))))</f>
        <v/>
      </c>
    </row>
    <row r="3816" spans="12:15">
      <c r="L3816" s="5">
        <f>IF(OR(A3816="",B3816=""),"",B3816-WEEKDAY(B3816,2)+1)</f>
        <v/>
      </c>
      <c r="M3816" s="5">
        <f>IF(L3816="","",L3816+6)</f>
        <v/>
      </c>
      <c r="N3816" s="6">
        <f>IF(OR(A3816="",B3816=""),"",DATE(YEAR(B3816),MONTH(B3816),1))</f>
        <v/>
      </c>
      <c r="O3816" s="7">
        <f>IF(COUNTA(A3816:K3816)=0,"",IF(OR(A3816="",B3816=""),"Preencher CPF e entrada",IF(COUNTIFS($A$12:$A$5011,A3816,$B$12:$B$5011,B3816)&gt;1,"CPF + dia duplicado",IF(OR(AND(G3816&lt;&gt;"",G3816&lt;&gt;0,G3816&lt;&gt;1),AND(H3816&lt;&gt;"",H3816&lt;&gt;0,H3816&lt;&gt;1)),"Flags devem ser 0 ou 1",IF(AND(H3816=1,LEN(TRIM(I3816))=0),"Preencher nome do indicante",IF(AND(H3816&lt;&gt;1,I3816&lt;&gt;""),"Nome sem indicação interna",IF(AND(G3816=1,F3816=""),"Fechamento sem conversa",IF(OR(AND(E3816&lt;&gt;"",E3816&lt;B3816),AND(F3816&lt;&gt;"",F3816&lt;B3816)),"Evento anterior à entrada",IF(AND(F3816&lt;&gt;"",E3816=""),"Conversa sem agendamento",IF(OR(E3816&gt;TODAY(),F3816&gt;TODAY()),"Verificar evento futuro","OK"))))))))))</f>
        <v/>
      </c>
    </row>
    <row r="3817" spans="12:15">
      <c r="L3817" s="5">
        <f>IF(OR(A3817="",B3817=""),"",B3817-WEEKDAY(B3817,2)+1)</f>
        <v/>
      </c>
      <c r="M3817" s="5">
        <f>IF(L3817="","",L3817+6)</f>
        <v/>
      </c>
      <c r="N3817" s="6">
        <f>IF(OR(A3817="",B3817=""),"",DATE(YEAR(B3817),MONTH(B3817),1))</f>
        <v/>
      </c>
      <c r="O3817" s="7">
        <f>IF(COUNTA(A3817:K3817)=0,"",IF(OR(A3817="",B3817=""),"Preencher CPF e entrada",IF(COUNTIFS($A$12:$A$5011,A3817,$B$12:$B$5011,B3817)&gt;1,"CPF + dia duplicado",IF(OR(AND(G3817&lt;&gt;"",G3817&lt;&gt;0,G3817&lt;&gt;1),AND(H3817&lt;&gt;"",H3817&lt;&gt;0,H3817&lt;&gt;1)),"Flags devem ser 0 ou 1",IF(AND(H3817=1,LEN(TRIM(I3817))=0),"Preencher nome do indicante",IF(AND(H3817&lt;&gt;1,I3817&lt;&gt;""),"Nome sem indicação interna",IF(AND(G3817=1,F3817=""),"Fechamento sem conversa",IF(OR(AND(E3817&lt;&gt;"",E3817&lt;B3817),AND(F3817&lt;&gt;"",F3817&lt;B3817)),"Evento anterior à entrada",IF(AND(F3817&lt;&gt;"",E3817=""),"Conversa sem agendamento",IF(OR(E3817&gt;TODAY(),F3817&gt;TODAY()),"Verificar evento futuro","OK"))))))))))</f>
        <v/>
      </c>
    </row>
    <row r="3818" spans="12:15">
      <c r="L3818" s="5">
        <f>IF(OR(A3818="",B3818=""),"",B3818-WEEKDAY(B3818,2)+1)</f>
        <v/>
      </c>
      <c r="M3818" s="5">
        <f>IF(L3818="","",L3818+6)</f>
        <v/>
      </c>
      <c r="N3818" s="6">
        <f>IF(OR(A3818="",B3818=""),"",DATE(YEAR(B3818),MONTH(B3818),1))</f>
        <v/>
      </c>
      <c r="O3818" s="7">
        <f>IF(COUNTA(A3818:K3818)=0,"",IF(OR(A3818="",B3818=""),"Preencher CPF e entrada",IF(COUNTIFS($A$12:$A$5011,A3818,$B$12:$B$5011,B3818)&gt;1,"CPF + dia duplicado",IF(OR(AND(G3818&lt;&gt;"",G3818&lt;&gt;0,G3818&lt;&gt;1),AND(H3818&lt;&gt;"",H3818&lt;&gt;0,H3818&lt;&gt;1)),"Flags devem ser 0 ou 1",IF(AND(H3818=1,LEN(TRIM(I3818))=0),"Preencher nome do indicante",IF(AND(H3818&lt;&gt;1,I3818&lt;&gt;""),"Nome sem indicação interna",IF(AND(G3818=1,F3818=""),"Fechamento sem conversa",IF(OR(AND(E3818&lt;&gt;"",E3818&lt;B3818),AND(F3818&lt;&gt;"",F3818&lt;B3818)),"Evento anterior à entrada",IF(AND(F3818&lt;&gt;"",E3818=""),"Conversa sem agendamento",IF(OR(E3818&gt;TODAY(),F3818&gt;TODAY()),"Verificar evento futuro","OK"))))))))))</f>
        <v/>
      </c>
    </row>
    <row r="3819" spans="12:15">
      <c r="L3819" s="5">
        <f>IF(OR(A3819="",B3819=""),"",B3819-WEEKDAY(B3819,2)+1)</f>
        <v/>
      </c>
      <c r="M3819" s="5">
        <f>IF(L3819="","",L3819+6)</f>
        <v/>
      </c>
      <c r="N3819" s="6">
        <f>IF(OR(A3819="",B3819=""),"",DATE(YEAR(B3819),MONTH(B3819),1))</f>
        <v/>
      </c>
      <c r="O3819" s="7">
        <f>IF(COUNTA(A3819:K3819)=0,"",IF(OR(A3819="",B3819=""),"Preencher CPF e entrada",IF(COUNTIFS($A$12:$A$5011,A3819,$B$12:$B$5011,B3819)&gt;1,"CPF + dia duplicado",IF(OR(AND(G3819&lt;&gt;"",G3819&lt;&gt;0,G3819&lt;&gt;1),AND(H3819&lt;&gt;"",H3819&lt;&gt;0,H3819&lt;&gt;1)),"Flags devem ser 0 ou 1",IF(AND(H3819=1,LEN(TRIM(I3819))=0),"Preencher nome do indicante",IF(AND(H3819&lt;&gt;1,I3819&lt;&gt;""),"Nome sem indicação interna",IF(AND(G3819=1,F3819=""),"Fechamento sem conversa",IF(OR(AND(E3819&lt;&gt;"",E3819&lt;B3819),AND(F3819&lt;&gt;"",F3819&lt;B3819)),"Evento anterior à entrada",IF(AND(F3819&lt;&gt;"",E3819=""),"Conversa sem agendamento",IF(OR(E3819&gt;TODAY(),F3819&gt;TODAY()),"Verificar evento futuro","OK"))))))))))</f>
        <v/>
      </c>
    </row>
    <row r="3820" spans="12:15">
      <c r="L3820" s="5">
        <f>IF(OR(A3820="",B3820=""),"",B3820-WEEKDAY(B3820,2)+1)</f>
        <v/>
      </c>
      <c r="M3820" s="5">
        <f>IF(L3820="","",L3820+6)</f>
        <v/>
      </c>
      <c r="N3820" s="6">
        <f>IF(OR(A3820="",B3820=""),"",DATE(YEAR(B3820),MONTH(B3820),1))</f>
        <v/>
      </c>
      <c r="O3820" s="7">
        <f>IF(COUNTA(A3820:K3820)=0,"",IF(OR(A3820="",B3820=""),"Preencher CPF e entrada",IF(COUNTIFS($A$12:$A$5011,A3820,$B$12:$B$5011,B3820)&gt;1,"CPF + dia duplicado",IF(OR(AND(G3820&lt;&gt;"",G3820&lt;&gt;0,G3820&lt;&gt;1),AND(H3820&lt;&gt;"",H3820&lt;&gt;0,H3820&lt;&gt;1)),"Flags devem ser 0 ou 1",IF(AND(H3820=1,LEN(TRIM(I3820))=0),"Preencher nome do indicante",IF(AND(H3820&lt;&gt;1,I3820&lt;&gt;""),"Nome sem indicação interna",IF(AND(G3820=1,F3820=""),"Fechamento sem conversa",IF(OR(AND(E3820&lt;&gt;"",E3820&lt;B3820),AND(F3820&lt;&gt;"",F3820&lt;B3820)),"Evento anterior à entrada",IF(AND(F3820&lt;&gt;"",E3820=""),"Conversa sem agendamento",IF(OR(E3820&gt;TODAY(),F3820&gt;TODAY()),"Verificar evento futuro","OK"))))))))))</f>
        <v/>
      </c>
    </row>
    <row r="3821" spans="12:15">
      <c r="L3821" s="5">
        <f>IF(OR(A3821="",B3821=""),"",B3821-WEEKDAY(B3821,2)+1)</f>
        <v/>
      </c>
      <c r="M3821" s="5">
        <f>IF(L3821="","",L3821+6)</f>
        <v/>
      </c>
      <c r="N3821" s="6">
        <f>IF(OR(A3821="",B3821=""),"",DATE(YEAR(B3821),MONTH(B3821),1))</f>
        <v/>
      </c>
      <c r="O3821" s="7">
        <f>IF(COUNTA(A3821:K3821)=0,"",IF(OR(A3821="",B3821=""),"Preencher CPF e entrada",IF(COUNTIFS($A$12:$A$5011,A3821,$B$12:$B$5011,B3821)&gt;1,"CPF + dia duplicado",IF(OR(AND(G3821&lt;&gt;"",G3821&lt;&gt;0,G3821&lt;&gt;1),AND(H3821&lt;&gt;"",H3821&lt;&gt;0,H3821&lt;&gt;1)),"Flags devem ser 0 ou 1",IF(AND(H3821=1,LEN(TRIM(I3821))=0),"Preencher nome do indicante",IF(AND(H3821&lt;&gt;1,I3821&lt;&gt;""),"Nome sem indicação interna",IF(AND(G3821=1,F3821=""),"Fechamento sem conversa",IF(OR(AND(E3821&lt;&gt;"",E3821&lt;B3821),AND(F3821&lt;&gt;"",F3821&lt;B3821)),"Evento anterior à entrada",IF(AND(F3821&lt;&gt;"",E3821=""),"Conversa sem agendamento",IF(OR(E3821&gt;TODAY(),F3821&gt;TODAY()),"Verificar evento futuro","OK"))))))))))</f>
        <v/>
      </c>
    </row>
    <row r="3822" spans="12:15">
      <c r="L3822" s="5">
        <f>IF(OR(A3822="",B3822=""),"",B3822-WEEKDAY(B3822,2)+1)</f>
        <v/>
      </c>
      <c r="M3822" s="5">
        <f>IF(L3822="","",L3822+6)</f>
        <v/>
      </c>
      <c r="N3822" s="6">
        <f>IF(OR(A3822="",B3822=""),"",DATE(YEAR(B3822),MONTH(B3822),1))</f>
        <v/>
      </c>
      <c r="O3822" s="7">
        <f>IF(COUNTA(A3822:K3822)=0,"",IF(OR(A3822="",B3822=""),"Preencher CPF e entrada",IF(COUNTIFS($A$12:$A$5011,A3822,$B$12:$B$5011,B3822)&gt;1,"CPF + dia duplicado",IF(OR(AND(G3822&lt;&gt;"",G3822&lt;&gt;0,G3822&lt;&gt;1),AND(H3822&lt;&gt;"",H3822&lt;&gt;0,H3822&lt;&gt;1)),"Flags devem ser 0 ou 1",IF(AND(H3822=1,LEN(TRIM(I3822))=0),"Preencher nome do indicante",IF(AND(H3822&lt;&gt;1,I3822&lt;&gt;""),"Nome sem indicação interna",IF(AND(G3822=1,F3822=""),"Fechamento sem conversa",IF(OR(AND(E3822&lt;&gt;"",E3822&lt;B3822),AND(F3822&lt;&gt;"",F3822&lt;B3822)),"Evento anterior à entrada",IF(AND(F3822&lt;&gt;"",E3822=""),"Conversa sem agendamento",IF(OR(E3822&gt;TODAY(),F3822&gt;TODAY()),"Verificar evento futuro","OK"))))))))))</f>
        <v/>
      </c>
    </row>
    <row r="3823" spans="12:15">
      <c r="L3823" s="5">
        <f>IF(OR(A3823="",B3823=""),"",B3823-WEEKDAY(B3823,2)+1)</f>
        <v/>
      </c>
      <c r="M3823" s="5">
        <f>IF(L3823="","",L3823+6)</f>
        <v/>
      </c>
      <c r="N3823" s="6">
        <f>IF(OR(A3823="",B3823=""),"",DATE(YEAR(B3823),MONTH(B3823),1))</f>
        <v/>
      </c>
      <c r="O3823" s="7">
        <f>IF(COUNTA(A3823:K3823)=0,"",IF(OR(A3823="",B3823=""),"Preencher CPF e entrada",IF(COUNTIFS($A$12:$A$5011,A3823,$B$12:$B$5011,B3823)&gt;1,"CPF + dia duplicado",IF(OR(AND(G3823&lt;&gt;"",G3823&lt;&gt;0,G3823&lt;&gt;1),AND(H3823&lt;&gt;"",H3823&lt;&gt;0,H3823&lt;&gt;1)),"Flags devem ser 0 ou 1",IF(AND(H3823=1,LEN(TRIM(I3823))=0),"Preencher nome do indicante",IF(AND(H3823&lt;&gt;1,I3823&lt;&gt;""),"Nome sem indicação interna",IF(AND(G3823=1,F3823=""),"Fechamento sem conversa",IF(OR(AND(E3823&lt;&gt;"",E3823&lt;B3823),AND(F3823&lt;&gt;"",F3823&lt;B3823)),"Evento anterior à entrada",IF(AND(F3823&lt;&gt;"",E3823=""),"Conversa sem agendamento",IF(OR(E3823&gt;TODAY(),F3823&gt;TODAY()),"Verificar evento futuro","OK"))))))))))</f>
        <v/>
      </c>
    </row>
    <row r="3824" spans="12:15">
      <c r="L3824" s="5">
        <f>IF(OR(A3824="",B3824=""),"",B3824-WEEKDAY(B3824,2)+1)</f>
        <v/>
      </c>
      <c r="M3824" s="5">
        <f>IF(L3824="","",L3824+6)</f>
        <v/>
      </c>
      <c r="N3824" s="6">
        <f>IF(OR(A3824="",B3824=""),"",DATE(YEAR(B3824),MONTH(B3824),1))</f>
        <v/>
      </c>
      <c r="O3824" s="7">
        <f>IF(COUNTA(A3824:K3824)=0,"",IF(OR(A3824="",B3824=""),"Preencher CPF e entrada",IF(COUNTIFS($A$12:$A$5011,A3824,$B$12:$B$5011,B3824)&gt;1,"CPF + dia duplicado",IF(OR(AND(G3824&lt;&gt;"",G3824&lt;&gt;0,G3824&lt;&gt;1),AND(H3824&lt;&gt;"",H3824&lt;&gt;0,H3824&lt;&gt;1)),"Flags devem ser 0 ou 1",IF(AND(H3824=1,LEN(TRIM(I3824))=0),"Preencher nome do indicante",IF(AND(H3824&lt;&gt;1,I3824&lt;&gt;""),"Nome sem indicação interna",IF(AND(G3824=1,F3824=""),"Fechamento sem conversa",IF(OR(AND(E3824&lt;&gt;"",E3824&lt;B3824),AND(F3824&lt;&gt;"",F3824&lt;B3824)),"Evento anterior à entrada",IF(AND(F3824&lt;&gt;"",E3824=""),"Conversa sem agendamento",IF(OR(E3824&gt;TODAY(),F3824&gt;TODAY()),"Verificar evento futuro","OK"))))))))))</f>
        <v/>
      </c>
    </row>
    <row r="3825" spans="12:15">
      <c r="L3825" s="5">
        <f>IF(OR(A3825="",B3825=""),"",B3825-WEEKDAY(B3825,2)+1)</f>
        <v/>
      </c>
      <c r="M3825" s="5">
        <f>IF(L3825="","",L3825+6)</f>
        <v/>
      </c>
      <c r="N3825" s="6">
        <f>IF(OR(A3825="",B3825=""),"",DATE(YEAR(B3825),MONTH(B3825),1))</f>
        <v/>
      </c>
      <c r="O3825" s="7">
        <f>IF(COUNTA(A3825:K3825)=0,"",IF(OR(A3825="",B3825=""),"Preencher CPF e entrada",IF(COUNTIFS($A$12:$A$5011,A3825,$B$12:$B$5011,B3825)&gt;1,"CPF + dia duplicado",IF(OR(AND(G3825&lt;&gt;"",G3825&lt;&gt;0,G3825&lt;&gt;1),AND(H3825&lt;&gt;"",H3825&lt;&gt;0,H3825&lt;&gt;1)),"Flags devem ser 0 ou 1",IF(AND(H3825=1,LEN(TRIM(I3825))=0),"Preencher nome do indicante",IF(AND(H3825&lt;&gt;1,I3825&lt;&gt;""),"Nome sem indicação interna",IF(AND(G3825=1,F3825=""),"Fechamento sem conversa",IF(OR(AND(E3825&lt;&gt;"",E3825&lt;B3825),AND(F3825&lt;&gt;"",F3825&lt;B3825)),"Evento anterior à entrada",IF(AND(F3825&lt;&gt;"",E3825=""),"Conversa sem agendamento",IF(OR(E3825&gt;TODAY(),F3825&gt;TODAY()),"Verificar evento futuro","OK"))))))))))</f>
        <v/>
      </c>
    </row>
    <row r="3826" spans="12:15">
      <c r="L3826" s="5">
        <f>IF(OR(A3826="",B3826=""),"",B3826-WEEKDAY(B3826,2)+1)</f>
        <v/>
      </c>
      <c r="M3826" s="5">
        <f>IF(L3826="","",L3826+6)</f>
        <v/>
      </c>
      <c r="N3826" s="6">
        <f>IF(OR(A3826="",B3826=""),"",DATE(YEAR(B3826),MONTH(B3826),1))</f>
        <v/>
      </c>
      <c r="O3826" s="7">
        <f>IF(COUNTA(A3826:K3826)=0,"",IF(OR(A3826="",B3826=""),"Preencher CPF e entrada",IF(COUNTIFS($A$12:$A$5011,A3826,$B$12:$B$5011,B3826)&gt;1,"CPF + dia duplicado",IF(OR(AND(G3826&lt;&gt;"",G3826&lt;&gt;0,G3826&lt;&gt;1),AND(H3826&lt;&gt;"",H3826&lt;&gt;0,H3826&lt;&gt;1)),"Flags devem ser 0 ou 1",IF(AND(H3826=1,LEN(TRIM(I3826))=0),"Preencher nome do indicante",IF(AND(H3826&lt;&gt;1,I3826&lt;&gt;""),"Nome sem indicação interna",IF(AND(G3826=1,F3826=""),"Fechamento sem conversa",IF(OR(AND(E3826&lt;&gt;"",E3826&lt;B3826),AND(F3826&lt;&gt;"",F3826&lt;B3826)),"Evento anterior à entrada",IF(AND(F3826&lt;&gt;"",E3826=""),"Conversa sem agendamento",IF(OR(E3826&gt;TODAY(),F3826&gt;TODAY()),"Verificar evento futuro","OK"))))))))))</f>
        <v/>
      </c>
    </row>
    <row r="3827" spans="12:15">
      <c r="L3827" s="5">
        <f>IF(OR(A3827="",B3827=""),"",B3827-WEEKDAY(B3827,2)+1)</f>
        <v/>
      </c>
      <c r="M3827" s="5">
        <f>IF(L3827="","",L3827+6)</f>
        <v/>
      </c>
      <c r="N3827" s="6">
        <f>IF(OR(A3827="",B3827=""),"",DATE(YEAR(B3827),MONTH(B3827),1))</f>
        <v/>
      </c>
      <c r="O3827" s="7">
        <f>IF(COUNTA(A3827:K3827)=0,"",IF(OR(A3827="",B3827=""),"Preencher CPF e entrada",IF(COUNTIFS($A$12:$A$5011,A3827,$B$12:$B$5011,B3827)&gt;1,"CPF + dia duplicado",IF(OR(AND(G3827&lt;&gt;"",G3827&lt;&gt;0,G3827&lt;&gt;1),AND(H3827&lt;&gt;"",H3827&lt;&gt;0,H3827&lt;&gt;1)),"Flags devem ser 0 ou 1",IF(AND(H3827=1,LEN(TRIM(I3827))=0),"Preencher nome do indicante",IF(AND(H3827&lt;&gt;1,I3827&lt;&gt;""),"Nome sem indicação interna",IF(AND(G3827=1,F3827=""),"Fechamento sem conversa",IF(OR(AND(E3827&lt;&gt;"",E3827&lt;B3827),AND(F3827&lt;&gt;"",F3827&lt;B3827)),"Evento anterior à entrada",IF(AND(F3827&lt;&gt;"",E3827=""),"Conversa sem agendamento",IF(OR(E3827&gt;TODAY(),F3827&gt;TODAY()),"Verificar evento futuro","OK"))))))))))</f>
        <v/>
      </c>
    </row>
    <row r="3828" spans="12:15">
      <c r="L3828" s="5">
        <f>IF(OR(A3828="",B3828=""),"",B3828-WEEKDAY(B3828,2)+1)</f>
        <v/>
      </c>
      <c r="M3828" s="5">
        <f>IF(L3828="","",L3828+6)</f>
        <v/>
      </c>
      <c r="N3828" s="6">
        <f>IF(OR(A3828="",B3828=""),"",DATE(YEAR(B3828),MONTH(B3828),1))</f>
        <v/>
      </c>
      <c r="O3828" s="7">
        <f>IF(COUNTA(A3828:K3828)=0,"",IF(OR(A3828="",B3828=""),"Preencher CPF e entrada",IF(COUNTIFS($A$12:$A$5011,A3828,$B$12:$B$5011,B3828)&gt;1,"CPF + dia duplicado",IF(OR(AND(G3828&lt;&gt;"",G3828&lt;&gt;0,G3828&lt;&gt;1),AND(H3828&lt;&gt;"",H3828&lt;&gt;0,H3828&lt;&gt;1)),"Flags devem ser 0 ou 1",IF(AND(H3828=1,LEN(TRIM(I3828))=0),"Preencher nome do indicante",IF(AND(H3828&lt;&gt;1,I3828&lt;&gt;""),"Nome sem indicação interna",IF(AND(G3828=1,F3828=""),"Fechamento sem conversa",IF(OR(AND(E3828&lt;&gt;"",E3828&lt;B3828),AND(F3828&lt;&gt;"",F3828&lt;B3828)),"Evento anterior à entrada",IF(AND(F3828&lt;&gt;"",E3828=""),"Conversa sem agendamento",IF(OR(E3828&gt;TODAY(),F3828&gt;TODAY()),"Verificar evento futuro","OK"))))))))))</f>
        <v/>
      </c>
    </row>
    <row r="3829" spans="12:15">
      <c r="L3829" s="5">
        <f>IF(OR(A3829="",B3829=""),"",B3829-WEEKDAY(B3829,2)+1)</f>
        <v/>
      </c>
      <c r="M3829" s="5">
        <f>IF(L3829="","",L3829+6)</f>
        <v/>
      </c>
      <c r="N3829" s="6">
        <f>IF(OR(A3829="",B3829=""),"",DATE(YEAR(B3829),MONTH(B3829),1))</f>
        <v/>
      </c>
      <c r="O3829" s="7">
        <f>IF(COUNTA(A3829:K3829)=0,"",IF(OR(A3829="",B3829=""),"Preencher CPF e entrada",IF(COUNTIFS($A$12:$A$5011,A3829,$B$12:$B$5011,B3829)&gt;1,"CPF + dia duplicado",IF(OR(AND(G3829&lt;&gt;"",G3829&lt;&gt;0,G3829&lt;&gt;1),AND(H3829&lt;&gt;"",H3829&lt;&gt;0,H3829&lt;&gt;1)),"Flags devem ser 0 ou 1",IF(AND(H3829=1,LEN(TRIM(I3829))=0),"Preencher nome do indicante",IF(AND(H3829&lt;&gt;1,I3829&lt;&gt;""),"Nome sem indicação interna",IF(AND(G3829=1,F3829=""),"Fechamento sem conversa",IF(OR(AND(E3829&lt;&gt;"",E3829&lt;B3829),AND(F3829&lt;&gt;"",F3829&lt;B3829)),"Evento anterior à entrada",IF(AND(F3829&lt;&gt;"",E3829=""),"Conversa sem agendamento",IF(OR(E3829&gt;TODAY(),F3829&gt;TODAY()),"Verificar evento futuro","OK"))))))))))</f>
        <v/>
      </c>
    </row>
    <row r="3830" spans="12:15">
      <c r="L3830" s="5">
        <f>IF(OR(A3830="",B3830=""),"",B3830-WEEKDAY(B3830,2)+1)</f>
        <v/>
      </c>
      <c r="M3830" s="5">
        <f>IF(L3830="","",L3830+6)</f>
        <v/>
      </c>
      <c r="N3830" s="6">
        <f>IF(OR(A3830="",B3830=""),"",DATE(YEAR(B3830),MONTH(B3830),1))</f>
        <v/>
      </c>
      <c r="O3830" s="7">
        <f>IF(COUNTA(A3830:K3830)=0,"",IF(OR(A3830="",B3830=""),"Preencher CPF e entrada",IF(COUNTIFS($A$12:$A$5011,A3830,$B$12:$B$5011,B3830)&gt;1,"CPF + dia duplicado",IF(OR(AND(G3830&lt;&gt;"",G3830&lt;&gt;0,G3830&lt;&gt;1),AND(H3830&lt;&gt;"",H3830&lt;&gt;0,H3830&lt;&gt;1)),"Flags devem ser 0 ou 1",IF(AND(H3830=1,LEN(TRIM(I3830))=0),"Preencher nome do indicante",IF(AND(H3830&lt;&gt;1,I3830&lt;&gt;""),"Nome sem indicação interna",IF(AND(G3830=1,F3830=""),"Fechamento sem conversa",IF(OR(AND(E3830&lt;&gt;"",E3830&lt;B3830),AND(F3830&lt;&gt;"",F3830&lt;B3830)),"Evento anterior à entrada",IF(AND(F3830&lt;&gt;"",E3830=""),"Conversa sem agendamento",IF(OR(E3830&gt;TODAY(),F3830&gt;TODAY()),"Verificar evento futuro","OK"))))))))))</f>
        <v/>
      </c>
    </row>
    <row r="3831" spans="12:15">
      <c r="L3831" s="5">
        <f>IF(OR(A3831="",B3831=""),"",B3831-WEEKDAY(B3831,2)+1)</f>
        <v/>
      </c>
      <c r="M3831" s="5">
        <f>IF(L3831="","",L3831+6)</f>
        <v/>
      </c>
      <c r="N3831" s="6">
        <f>IF(OR(A3831="",B3831=""),"",DATE(YEAR(B3831),MONTH(B3831),1))</f>
        <v/>
      </c>
      <c r="O3831" s="7">
        <f>IF(COUNTA(A3831:K3831)=0,"",IF(OR(A3831="",B3831=""),"Preencher CPF e entrada",IF(COUNTIFS($A$12:$A$5011,A3831,$B$12:$B$5011,B3831)&gt;1,"CPF + dia duplicado",IF(OR(AND(G3831&lt;&gt;"",G3831&lt;&gt;0,G3831&lt;&gt;1),AND(H3831&lt;&gt;"",H3831&lt;&gt;0,H3831&lt;&gt;1)),"Flags devem ser 0 ou 1",IF(AND(H3831=1,LEN(TRIM(I3831))=0),"Preencher nome do indicante",IF(AND(H3831&lt;&gt;1,I3831&lt;&gt;""),"Nome sem indicação interna",IF(AND(G3831=1,F3831=""),"Fechamento sem conversa",IF(OR(AND(E3831&lt;&gt;"",E3831&lt;B3831),AND(F3831&lt;&gt;"",F3831&lt;B3831)),"Evento anterior à entrada",IF(AND(F3831&lt;&gt;"",E3831=""),"Conversa sem agendamento",IF(OR(E3831&gt;TODAY(),F3831&gt;TODAY()),"Verificar evento futuro","OK"))))))))))</f>
        <v/>
      </c>
    </row>
    <row r="3832" spans="12:15">
      <c r="L3832" s="5">
        <f>IF(OR(A3832="",B3832=""),"",B3832-WEEKDAY(B3832,2)+1)</f>
        <v/>
      </c>
      <c r="M3832" s="5">
        <f>IF(L3832="","",L3832+6)</f>
        <v/>
      </c>
      <c r="N3832" s="6">
        <f>IF(OR(A3832="",B3832=""),"",DATE(YEAR(B3832),MONTH(B3832),1))</f>
        <v/>
      </c>
      <c r="O3832" s="7">
        <f>IF(COUNTA(A3832:K3832)=0,"",IF(OR(A3832="",B3832=""),"Preencher CPF e entrada",IF(COUNTIFS($A$12:$A$5011,A3832,$B$12:$B$5011,B3832)&gt;1,"CPF + dia duplicado",IF(OR(AND(G3832&lt;&gt;"",G3832&lt;&gt;0,G3832&lt;&gt;1),AND(H3832&lt;&gt;"",H3832&lt;&gt;0,H3832&lt;&gt;1)),"Flags devem ser 0 ou 1",IF(AND(H3832=1,LEN(TRIM(I3832))=0),"Preencher nome do indicante",IF(AND(H3832&lt;&gt;1,I3832&lt;&gt;""),"Nome sem indicação interna",IF(AND(G3832=1,F3832=""),"Fechamento sem conversa",IF(OR(AND(E3832&lt;&gt;"",E3832&lt;B3832),AND(F3832&lt;&gt;"",F3832&lt;B3832)),"Evento anterior à entrada",IF(AND(F3832&lt;&gt;"",E3832=""),"Conversa sem agendamento",IF(OR(E3832&gt;TODAY(),F3832&gt;TODAY()),"Verificar evento futuro","OK"))))))))))</f>
        <v/>
      </c>
    </row>
    <row r="3833" spans="12:15">
      <c r="L3833" s="5">
        <f>IF(OR(A3833="",B3833=""),"",B3833-WEEKDAY(B3833,2)+1)</f>
        <v/>
      </c>
      <c r="M3833" s="5">
        <f>IF(L3833="","",L3833+6)</f>
        <v/>
      </c>
      <c r="N3833" s="6">
        <f>IF(OR(A3833="",B3833=""),"",DATE(YEAR(B3833),MONTH(B3833),1))</f>
        <v/>
      </c>
      <c r="O3833" s="7">
        <f>IF(COUNTA(A3833:K3833)=0,"",IF(OR(A3833="",B3833=""),"Preencher CPF e entrada",IF(COUNTIFS($A$12:$A$5011,A3833,$B$12:$B$5011,B3833)&gt;1,"CPF + dia duplicado",IF(OR(AND(G3833&lt;&gt;"",G3833&lt;&gt;0,G3833&lt;&gt;1),AND(H3833&lt;&gt;"",H3833&lt;&gt;0,H3833&lt;&gt;1)),"Flags devem ser 0 ou 1",IF(AND(H3833=1,LEN(TRIM(I3833))=0),"Preencher nome do indicante",IF(AND(H3833&lt;&gt;1,I3833&lt;&gt;""),"Nome sem indicação interna",IF(AND(G3833=1,F3833=""),"Fechamento sem conversa",IF(OR(AND(E3833&lt;&gt;"",E3833&lt;B3833),AND(F3833&lt;&gt;"",F3833&lt;B3833)),"Evento anterior à entrada",IF(AND(F3833&lt;&gt;"",E3833=""),"Conversa sem agendamento",IF(OR(E3833&gt;TODAY(),F3833&gt;TODAY()),"Verificar evento futuro","OK"))))))))))</f>
        <v/>
      </c>
    </row>
    <row r="3834" spans="12:15">
      <c r="L3834" s="5">
        <f>IF(OR(A3834="",B3834=""),"",B3834-WEEKDAY(B3834,2)+1)</f>
        <v/>
      </c>
      <c r="M3834" s="5">
        <f>IF(L3834="","",L3834+6)</f>
        <v/>
      </c>
      <c r="N3834" s="6">
        <f>IF(OR(A3834="",B3834=""),"",DATE(YEAR(B3834),MONTH(B3834),1))</f>
        <v/>
      </c>
      <c r="O3834" s="7">
        <f>IF(COUNTA(A3834:K3834)=0,"",IF(OR(A3834="",B3834=""),"Preencher CPF e entrada",IF(COUNTIFS($A$12:$A$5011,A3834,$B$12:$B$5011,B3834)&gt;1,"CPF + dia duplicado",IF(OR(AND(G3834&lt;&gt;"",G3834&lt;&gt;0,G3834&lt;&gt;1),AND(H3834&lt;&gt;"",H3834&lt;&gt;0,H3834&lt;&gt;1)),"Flags devem ser 0 ou 1",IF(AND(H3834=1,LEN(TRIM(I3834))=0),"Preencher nome do indicante",IF(AND(H3834&lt;&gt;1,I3834&lt;&gt;""),"Nome sem indicação interna",IF(AND(G3834=1,F3834=""),"Fechamento sem conversa",IF(OR(AND(E3834&lt;&gt;"",E3834&lt;B3834),AND(F3834&lt;&gt;"",F3834&lt;B3834)),"Evento anterior à entrada",IF(AND(F3834&lt;&gt;"",E3834=""),"Conversa sem agendamento",IF(OR(E3834&gt;TODAY(),F3834&gt;TODAY()),"Verificar evento futuro","OK"))))))))))</f>
        <v/>
      </c>
    </row>
    <row r="3835" spans="12:15">
      <c r="L3835" s="5">
        <f>IF(OR(A3835="",B3835=""),"",B3835-WEEKDAY(B3835,2)+1)</f>
        <v/>
      </c>
      <c r="M3835" s="5">
        <f>IF(L3835="","",L3835+6)</f>
        <v/>
      </c>
      <c r="N3835" s="6">
        <f>IF(OR(A3835="",B3835=""),"",DATE(YEAR(B3835),MONTH(B3835),1))</f>
        <v/>
      </c>
      <c r="O3835" s="7">
        <f>IF(COUNTA(A3835:K3835)=0,"",IF(OR(A3835="",B3835=""),"Preencher CPF e entrada",IF(COUNTIFS($A$12:$A$5011,A3835,$B$12:$B$5011,B3835)&gt;1,"CPF + dia duplicado",IF(OR(AND(G3835&lt;&gt;"",G3835&lt;&gt;0,G3835&lt;&gt;1),AND(H3835&lt;&gt;"",H3835&lt;&gt;0,H3835&lt;&gt;1)),"Flags devem ser 0 ou 1",IF(AND(H3835=1,LEN(TRIM(I3835))=0),"Preencher nome do indicante",IF(AND(H3835&lt;&gt;1,I3835&lt;&gt;""),"Nome sem indicação interna",IF(AND(G3835=1,F3835=""),"Fechamento sem conversa",IF(OR(AND(E3835&lt;&gt;"",E3835&lt;B3835),AND(F3835&lt;&gt;"",F3835&lt;B3835)),"Evento anterior à entrada",IF(AND(F3835&lt;&gt;"",E3835=""),"Conversa sem agendamento",IF(OR(E3835&gt;TODAY(),F3835&gt;TODAY()),"Verificar evento futuro","OK"))))))))))</f>
        <v/>
      </c>
    </row>
    <row r="3836" spans="12:15">
      <c r="L3836" s="5">
        <f>IF(OR(A3836="",B3836=""),"",B3836-WEEKDAY(B3836,2)+1)</f>
        <v/>
      </c>
      <c r="M3836" s="5">
        <f>IF(L3836="","",L3836+6)</f>
        <v/>
      </c>
      <c r="N3836" s="6">
        <f>IF(OR(A3836="",B3836=""),"",DATE(YEAR(B3836),MONTH(B3836),1))</f>
        <v/>
      </c>
      <c r="O3836" s="7">
        <f>IF(COUNTA(A3836:K3836)=0,"",IF(OR(A3836="",B3836=""),"Preencher CPF e entrada",IF(COUNTIFS($A$12:$A$5011,A3836,$B$12:$B$5011,B3836)&gt;1,"CPF + dia duplicado",IF(OR(AND(G3836&lt;&gt;"",G3836&lt;&gt;0,G3836&lt;&gt;1),AND(H3836&lt;&gt;"",H3836&lt;&gt;0,H3836&lt;&gt;1)),"Flags devem ser 0 ou 1",IF(AND(H3836=1,LEN(TRIM(I3836))=0),"Preencher nome do indicante",IF(AND(H3836&lt;&gt;1,I3836&lt;&gt;""),"Nome sem indicação interna",IF(AND(G3836=1,F3836=""),"Fechamento sem conversa",IF(OR(AND(E3836&lt;&gt;"",E3836&lt;B3836),AND(F3836&lt;&gt;"",F3836&lt;B3836)),"Evento anterior à entrada",IF(AND(F3836&lt;&gt;"",E3836=""),"Conversa sem agendamento",IF(OR(E3836&gt;TODAY(),F3836&gt;TODAY()),"Verificar evento futuro","OK"))))))))))</f>
        <v/>
      </c>
    </row>
    <row r="3837" spans="12:15">
      <c r="L3837" s="5">
        <f>IF(OR(A3837="",B3837=""),"",B3837-WEEKDAY(B3837,2)+1)</f>
        <v/>
      </c>
      <c r="M3837" s="5">
        <f>IF(L3837="","",L3837+6)</f>
        <v/>
      </c>
      <c r="N3837" s="6">
        <f>IF(OR(A3837="",B3837=""),"",DATE(YEAR(B3837),MONTH(B3837),1))</f>
        <v/>
      </c>
      <c r="O3837" s="7">
        <f>IF(COUNTA(A3837:K3837)=0,"",IF(OR(A3837="",B3837=""),"Preencher CPF e entrada",IF(COUNTIFS($A$12:$A$5011,A3837,$B$12:$B$5011,B3837)&gt;1,"CPF + dia duplicado",IF(OR(AND(G3837&lt;&gt;"",G3837&lt;&gt;0,G3837&lt;&gt;1),AND(H3837&lt;&gt;"",H3837&lt;&gt;0,H3837&lt;&gt;1)),"Flags devem ser 0 ou 1",IF(AND(H3837=1,LEN(TRIM(I3837))=0),"Preencher nome do indicante",IF(AND(H3837&lt;&gt;1,I3837&lt;&gt;""),"Nome sem indicação interna",IF(AND(G3837=1,F3837=""),"Fechamento sem conversa",IF(OR(AND(E3837&lt;&gt;"",E3837&lt;B3837),AND(F3837&lt;&gt;"",F3837&lt;B3837)),"Evento anterior à entrada",IF(AND(F3837&lt;&gt;"",E3837=""),"Conversa sem agendamento",IF(OR(E3837&gt;TODAY(),F3837&gt;TODAY()),"Verificar evento futuro","OK"))))))))))</f>
        <v/>
      </c>
    </row>
    <row r="3838" spans="12:15">
      <c r="L3838" s="5">
        <f>IF(OR(A3838="",B3838=""),"",B3838-WEEKDAY(B3838,2)+1)</f>
        <v/>
      </c>
      <c r="M3838" s="5">
        <f>IF(L3838="","",L3838+6)</f>
        <v/>
      </c>
      <c r="N3838" s="6">
        <f>IF(OR(A3838="",B3838=""),"",DATE(YEAR(B3838),MONTH(B3838),1))</f>
        <v/>
      </c>
      <c r="O3838" s="7">
        <f>IF(COUNTA(A3838:K3838)=0,"",IF(OR(A3838="",B3838=""),"Preencher CPF e entrada",IF(COUNTIFS($A$12:$A$5011,A3838,$B$12:$B$5011,B3838)&gt;1,"CPF + dia duplicado",IF(OR(AND(G3838&lt;&gt;"",G3838&lt;&gt;0,G3838&lt;&gt;1),AND(H3838&lt;&gt;"",H3838&lt;&gt;0,H3838&lt;&gt;1)),"Flags devem ser 0 ou 1",IF(AND(H3838=1,LEN(TRIM(I3838))=0),"Preencher nome do indicante",IF(AND(H3838&lt;&gt;1,I3838&lt;&gt;""),"Nome sem indicação interna",IF(AND(G3838=1,F3838=""),"Fechamento sem conversa",IF(OR(AND(E3838&lt;&gt;"",E3838&lt;B3838),AND(F3838&lt;&gt;"",F3838&lt;B3838)),"Evento anterior à entrada",IF(AND(F3838&lt;&gt;"",E3838=""),"Conversa sem agendamento",IF(OR(E3838&gt;TODAY(),F3838&gt;TODAY()),"Verificar evento futuro","OK"))))))))))</f>
        <v/>
      </c>
    </row>
    <row r="3839" spans="12:15">
      <c r="L3839" s="5">
        <f>IF(OR(A3839="",B3839=""),"",B3839-WEEKDAY(B3839,2)+1)</f>
        <v/>
      </c>
      <c r="M3839" s="5">
        <f>IF(L3839="","",L3839+6)</f>
        <v/>
      </c>
      <c r="N3839" s="6">
        <f>IF(OR(A3839="",B3839=""),"",DATE(YEAR(B3839),MONTH(B3839),1))</f>
        <v/>
      </c>
      <c r="O3839" s="7">
        <f>IF(COUNTA(A3839:K3839)=0,"",IF(OR(A3839="",B3839=""),"Preencher CPF e entrada",IF(COUNTIFS($A$12:$A$5011,A3839,$B$12:$B$5011,B3839)&gt;1,"CPF + dia duplicado",IF(OR(AND(G3839&lt;&gt;"",G3839&lt;&gt;0,G3839&lt;&gt;1),AND(H3839&lt;&gt;"",H3839&lt;&gt;0,H3839&lt;&gt;1)),"Flags devem ser 0 ou 1",IF(AND(H3839=1,LEN(TRIM(I3839))=0),"Preencher nome do indicante",IF(AND(H3839&lt;&gt;1,I3839&lt;&gt;""),"Nome sem indicação interna",IF(AND(G3839=1,F3839=""),"Fechamento sem conversa",IF(OR(AND(E3839&lt;&gt;"",E3839&lt;B3839),AND(F3839&lt;&gt;"",F3839&lt;B3839)),"Evento anterior à entrada",IF(AND(F3839&lt;&gt;"",E3839=""),"Conversa sem agendamento",IF(OR(E3839&gt;TODAY(),F3839&gt;TODAY()),"Verificar evento futuro","OK"))))))))))</f>
        <v/>
      </c>
    </row>
    <row r="3840" spans="12:15">
      <c r="L3840" s="5">
        <f>IF(OR(A3840="",B3840=""),"",B3840-WEEKDAY(B3840,2)+1)</f>
        <v/>
      </c>
      <c r="M3840" s="5">
        <f>IF(L3840="","",L3840+6)</f>
        <v/>
      </c>
      <c r="N3840" s="6">
        <f>IF(OR(A3840="",B3840=""),"",DATE(YEAR(B3840),MONTH(B3840),1))</f>
        <v/>
      </c>
      <c r="O3840" s="7">
        <f>IF(COUNTA(A3840:K3840)=0,"",IF(OR(A3840="",B3840=""),"Preencher CPF e entrada",IF(COUNTIFS($A$12:$A$5011,A3840,$B$12:$B$5011,B3840)&gt;1,"CPF + dia duplicado",IF(OR(AND(G3840&lt;&gt;"",G3840&lt;&gt;0,G3840&lt;&gt;1),AND(H3840&lt;&gt;"",H3840&lt;&gt;0,H3840&lt;&gt;1)),"Flags devem ser 0 ou 1",IF(AND(H3840=1,LEN(TRIM(I3840))=0),"Preencher nome do indicante",IF(AND(H3840&lt;&gt;1,I3840&lt;&gt;""),"Nome sem indicação interna",IF(AND(G3840=1,F3840=""),"Fechamento sem conversa",IF(OR(AND(E3840&lt;&gt;"",E3840&lt;B3840),AND(F3840&lt;&gt;"",F3840&lt;B3840)),"Evento anterior à entrada",IF(AND(F3840&lt;&gt;"",E3840=""),"Conversa sem agendamento",IF(OR(E3840&gt;TODAY(),F3840&gt;TODAY()),"Verificar evento futuro","OK"))))))))))</f>
        <v/>
      </c>
    </row>
    <row r="3841" spans="12:15">
      <c r="L3841" s="5">
        <f>IF(OR(A3841="",B3841=""),"",B3841-WEEKDAY(B3841,2)+1)</f>
        <v/>
      </c>
      <c r="M3841" s="5">
        <f>IF(L3841="","",L3841+6)</f>
        <v/>
      </c>
      <c r="N3841" s="6">
        <f>IF(OR(A3841="",B3841=""),"",DATE(YEAR(B3841),MONTH(B3841),1))</f>
        <v/>
      </c>
      <c r="O3841" s="7">
        <f>IF(COUNTA(A3841:K3841)=0,"",IF(OR(A3841="",B3841=""),"Preencher CPF e entrada",IF(COUNTIFS($A$12:$A$5011,A3841,$B$12:$B$5011,B3841)&gt;1,"CPF + dia duplicado",IF(OR(AND(G3841&lt;&gt;"",G3841&lt;&gt;0,G3841&lt;&gt;1),AND(H3841&lt;&gt;"",H3841&lt;&gt;0,H3841&lt;&gt;1)),"Flags devem ser 0 ou 1",IF(AND(H3841=1,LEN(TRIM(I3841))=0),"Preencher nome do indicante",IF(AND(H3841&lt;&gt;1,I3841&lt;&gt;""),"Nome sem indicação interna",IF(AND(G3841=1,F3841=""),"Fechamento sem conversa",IF(OR(AND(E3841&lt;&gt;"",E3841&lt;B3841),AND(F3841&lt;&gt;"",F3841&lt;B3841)),"Evento anterior à entrada",IF(AND(F3841&lt;&gt;"",E3841=""),"Conversa sem agendamento",IF(OR(E3841&gt;TODAY(),F3841&gt;TODAY()),"Verificar evento futuro","OK"))))))))))</f>
        <v/>
      </c>
    </row>
    <row r="3842" spans="12:15">
      <c r="L3842" s="5">
        <f>IF(OR(A3842="",B3842=""),"",B3842-WEEKDAY(B3842,2)+1)</f>
        <v/>
      </c>
      <c r="M3842" s="5">
        <f>IF(L3842="","",L3842+6)</f>
        <v/>
      </c>
      <c r="N3842" s="6">
        <f>IF(OR(A3842="",B3842=""),"",DATE(YEAR(B3842),MONTH(B3842),1))</f>
        <v/>
      </c>
      <c r="O3842" s="7">
        <f>IF(COUNTA(A3842:K3842)=0,"",IF(OR(A3842="",B3842=""),"Preencher CPF e entrada",IF(COUNTIFS($A$12:$A$5011,A3842,$B$12:$B$5011,B3842)&gt;1,"CPF + dia duplicado",IF(OR(AND(G3842&lt;&gt;"",G3842&lt;&gt;0,G3842&lt;&gt;1),AND(H3842&lt;&gt;"",H3842&lt;&gt;0,H3842&lt;&gt;1)),"Flags devem ser 0 ou 1",IF(AND(H3842=1,LEN(TRIM(I3842))=0),"Preencher nome do indicante",IF(AND(H3842&lt;&gt;1,I3842&lt;&gt;""),"Nome sem indicação interna",IF(AND(G3842=1,F3842=""),"Fechamento sem conversa",IF(OR(AND(E3842&lt;&gt;"",E3842&lt;B3842),AND(F3842&lt;&gt;"",F3842&lt;B3842)),"Evento anterior à entrada",IF(AND(F3842&lt;&gt;"",E3842=""),"Conversa sem agendamento",IF(OR(E3842&gt;TODAY(),F3842&gt;TODAY()),"Verificar evento futuro","OK"))))))))))</f>
        <v/>
      </c>
    </row>
    <row r="3843" spans="12:15">
      <c r="L3843" s="5">
        <f>IF(OR(A3843="",B3843=""),"",B3843-WEEKDAY(B3843,2)+1)</f>
        <v/>
      </c>
      <c r="M3843" s="5">
        <f>IF(L3843="","",L3843+6)</f>
        <v/>
      </c>
      <c r="N3843" s="6">
        <f>IF(OR(A3843="",B3843=""),"",DATE(YEAR(B3843),MONTH(B3843),1))</f>
        <v/>
      </c>
      <c r="O3843" s="7">
        <f>IF(COUNTA(A3843:K3843)=0,"",IF(OR(A3843="",B3843=""),"Preencher CPF e entrada",IF(COUNTIFS($A$12:$A$5011,A3843,$B$12:$B$5011,B3843)&gt;1,"CPF + dia duplicado",IF(OR(AND(G3843&lt;&gt;"",G3843&lt;&gt;0,G3843&lt;&gt;1),AND(H3843&lt;&gt;"",H3843&lt;&gt;0,H3843&lt;&gt;1)),"Flags devem ser 0 ou 1",IF(AND(H3843=1,LEN(TRIM(I3843))=0),"Preencher nome do indicante",IF(AND(H3843&lt;&gt;1,I3843&lt;&gt;""),"Nome sem indicação interna",IF(AND(G3843=1,F3843=""),"Fechamento sem conversa",IF(OR(AND(E3843&lt;&gt;"",E3843&lt;B3843),AND(F3843&lt;&gt;"",F3843&lt;B3843)),"Evento anterior à entrada",IF(AND(F3843&lt;&gt;"",E3843=""),"Conversa sem agendamento",IF(OR(E3843&gt;TODAY(),F3843&gt;TODAY()),"Verificar evento futuro","OK"))))))))))</f>
        <v/>
      </c>
    </row>
    <row r="3844" spans="12:15">
      <c r="L3844" s="5">
        <f>IF(OR(A3844="",B3844=""),"",B3844-WEEKDAY(B3844,2)+1)</f>
        <v/>
      </c>
      <c r="M3844" s="5">
        <f>IF(L3844="","",L3844+6)</f>
        <v/>
      </c>
      <c r="N3844" s="6">
        <f>IF(OR(A3844="",B3844=""),"",DATE(YEAR(B3844),MONTH(B3844),1))</f>
        <v/>
      </c>
      <c r="O3844" s="7">
        <f>IF(COUNTA(A3844:K3844)=0,"",IF(OR(A3844="",B3844=""),"Preencher CPF e entrada",IF(COUNTIFS($A$12:$A$5011,A3844,$B$12:$B$5011,B3844)&gt;1,"CPF + dia duplicado",IF(OR(AND(G3844&lt;&gt;"",G3844&lt;&gt;0,G3844&lt;&gt;1),AND(H3844&lt;&gt;"",H3844&lt;&gt;0,H3844&lt;&gt;1)),"Flags devem ser 0 ou 1",IF(AND(H3844=1,LEN(TRIM(I3844))=0),"Preencher nome do indicante",IF(AND(H3844&lt;&gt;1,I3844&lt;&gt;""),"Nome sem indicação interna",IF(AND(G3844=1,F3844=""),"Fechamento sem conversa",IF(OR(AND(E3844&lt;&gt;"",E3844&lt;B3844),AND(F3844&lt;&gt;"",F3844&lt;B3844)),"Evento anterior à entrada",IF(AND(F3844&lt;&gt;"",E3844=""),"Conversa sem agendamento",IF(OR(E3844&gt;TODAY(),F3844&gt;TODAY()),"Verificar evento futuro","OK"))))))))))</f>
        <v/>
      </c>
    </row>
    <row r="3845" spans="12:15">
      <c r="L3845" s="5">
        <f>IF(OR(A3845="",B3845=""),"",B3845-WEEKDAY(B3845,2)+1)</f>
        <v/>
      </c>
      <c r="M3845" s="5">
        <f>IF(L3845="","",L3845+6)</f>
        <v/>
      </c>
      <c r="N3845" s="6">
        <f>IF(OR(A3845="",B3845=""),"",DATE(YEAR(B3845),MONTH(B3845),1))</f>
        <v/>
      </c>
      <c r="O3845" s="7">
        <f>IF(COUNTA(A3845:K3845)=0,"",IF(OR(A3845="",B3845=""),"Preencher CPF e entrada",IF(COUNTIFS($A$12:$A$5011,A3845,$B$12:$B$5011,B3845)&gt;1,"CPF + dia duplicado",IF(OR(AND(G3845&lt;&gt;"",G3845&lt;&gt;0,G3845&lt;&gt;1),AND(H3845&lt;&gt;"",H3845&lt;&gt;0,H3845&lt;&gt;1)),"Flags devem ser 0 ou 1",IF(AND(H3845=1,LEN(TRIM(I3845))=0),"Preencher nome do indicante",IF(AND(H3845&lt;&gt;1,I3845&lt;&gt;""),"Nome sem indicação interna",IF(AND(G3845=1,F3845=""),"Fechamento sem conversa",IF(OR(AND(E3845&lt;&gt;"",E3845&lt;B3845),AND(F3845&lt;&gt;"",F3845&lt;B3845)),"Evento anterior à entrada",IF(AND(F3845&lt;&gt;"",E3845=""),"Conversa sem agendamento",IF(OR(E3845&gt;TODAY(),F3845&gt;TODAY()),"Verificar evento futuro","OK"))))))))))</f>
        <v/>
      </c>
    </row>
    <row r="3846" spans="12:15">
      <c r="L3846" s="5">
        <f>IF(OR(A3846="",B3846=""),"",B3846-WEEKDAY(B3846,2)+1)</f>
        <v/>
      </c>
      <c r="M3846" s="5">
        <f>IF(L3846="","",L3846+6)</f>
        <v/>
      </c>
      <c r="N3846" s="6">
        <f>IF(OR(A3846="",B3846=""),"",DATE(YEAR(B3846),MONTH(B3846),1))</f>
        <v/>
      </c>
      <c r="O3846" s="7">
        <f>IF(COUNTA(A3846:K3846)=0,"",IF(OR(A3846="",B3846=""),"Preencher CPF e entrada",IF(COUNTIFS($A$12:$A$5011,A3846,$B$12:$B$5011,B3846)&gt;1,"CPF + dia duplicado",IF(OR(AND(G3846&lt;&gt;"",G3846&lt;&gt;0,G3846&lt;&gt;1),AND(H3846&lt;&gt;"",H3846&lt;&gt;0,H3846&lt;&gt;1)),"Flags devem ser 0 ou 1",IF(AND(H3846=1,LEN(TRIM(I3846))=0),"Preencher nome do indicante",IF(AND(H3846&lt;&gt;1,I3846&lt;&gt;""),"Nome sem indicação interna",IF(AND(G3846=1,F3846=""),"Fechamento sem conversa",IF(OR(AND(E3846&lt;&gt;"",E3846&lt;B3846),AND(F3846&lt;&gt;"",F3846&lt;B3846)),"Evento anterior à entrada",IF(AND(F3846&lt;&gt;"",E3846=""),"Conversa sem agendamento",IF(OR(E3846&gt;TODAY(),F3846&gt;TODAY()),"Verificar evento futuro","OK"))))))))))</f>
        <v/>
      </c>
    </row>
    <row r="3847" spans="12:15">
      <c r="L3847" s="5">
        <f>IF(OR(A3847="",B3847=""),"",B3847-WEEKDAY(B3847,2)+1)</f>
        <v/>
      </c>
      <c r="M3847" s="5">
        <f>IF(L3847="","",L3847+6)</f>
        <v/>
      </c>
      <c r="N3847" s="6">
        <f>IF(OR(A3847="",B3847=""),"",DATE(YEAR(B3847),MONTH(B3847),1))</f>
        <v/>
      </c>
      <c r="O3847" s="7">
        <f>IF(COUNTA(A3847:K3847)=0,"",IF(OR(A3847="",B3847=""),"Preencher CPF e entrada",IF(COUNTIFS($A$12:$A$5011,A3847,$B$12:$B$5011,B3847)&gt;1,"CPF + dia duplicado",IF(OR(AND(G3847&lt;&gt;"",G3847&lt;&gt;0,G3847&lt;&gt;1),AND(H3847&lt;&gt;"",H3847&lt;&gt;0,H3847&lt;&gt;1)),"Flags devem ser 0 ou 1",IF(AND(H3847=1,LEN(TRIM(I3847))=0),"Preencher nome do indicante",IF(AND(H3847&lt;&gt;1,I3847&lt;&gt;""),"Nome sem indicação interna",IF(AND(G3847=1,F3847=""),"Fechamento sem conversa",IF(OR(AND(E3847&lt;&gt;"",E3847&lt;B3847),AND(F3847&lt;&gt;"",F3847&lt;B3847)),"Evento anterior à entrada",IF(AND(F3847&lt;&gt;"",E3847=""),"Conversa sem agendamento",IF(OR(E3847&gt;TODAY(),F3847&gt;TODAY()),"Verificar evento futuro","OK"))))))))))</f>
        <v/>
      </c>
    </row>
    <row r="3848" spans="12:15">
      <c r="L3848" s="5">
        <f>IF(OR(A3848="",B3848=""),"",B3848-WEEKDAY(B3848,2)+1)</f>
        <v/>
      </c>
      <c r="M3848" s="5">
        <f>IF(L3848="","",L3848+6)</f>
        <v/>
      </c>
      <c r="N3848" s="6">
        <f>IF(OR(A3848="",B3848=""),"",DATE(YEAR(B3848),MONTH(B3848),1))</f>
        <v/>
      </c>
      <c r="O3848" s="7">
        <f>IF(COUNTA(A3848:K3848)=0,"",IF(OR(A3848="",B3848=""),"Preencher CPF e entrada",IF(COUNTIFS($A$12:$A$5011,A3848,$B$12:$B$5011,B3848)&gt;1,"CPF + dia duplicado",IF(OR(AND(G3848&lt;&gt;"",G3848&lt;&gt;0,G3848&lt;&gt;1),AND(H3848&lt;&gt;"",H3848&lt;&gt;0,H3848&lt;&gt;1)),"Flags devem ser 0 ou 1",IF(AND(H3848=1,LEN(TRIM(I3848))=0),"Preencher nome do indicante",IF(AND(H3848&lt;&gt;1,I3848&lt;&gt;""),"Nome sem indicação interna",IF(AND(G3848=1,F3848=""),"Fechamento sem conversa",IF(OR(AND(E3848&lt;&gt;"",E3848&lt;B3848),AND(F3848&lt;&gt;"",F3848&lt;B3848)),"Evento anterior à entrada",IF(AND(F3848&lt;&gt;"",E3848=""),"Conversa sem agendamento",IF(OR(E3848&gt;TODAY(),F3848&gt;TODAY()),"Verificar evento futuro","OK"))))))))))</f>
        <v/>
      </c>
    </row>
    <row r="3849" spans="12:15">
      <c r="L3849" s="5">
        <f>IF(OR(A3849="",B3849=""),"",B3849-WEEKDAY(B3849,2)+1)</f>
        <v/>
      </c>
      <c r="M3849" s="5">
        <f>IF(L3849="","",L3849+6)</f>
        <v/>
      </c>
      <c r="N3849" s="6">
        <f>IF(OR(A3849="",B3849=""),"",DATE(YEAR(B3849),MONTH(B3849),1))</f>
        <v/>
      </c>
      <c r="O3849" s="7">
        <f>IF(COUNTA(A3849:K3849)=0,"",IF(OR(A3849="",B3849=""),"Preencher CPF e entrada",IF(COUNTIFS($A$12:$A$5011,A3849,$B$12:$B$5011,B3849)&gt;1,"CPF + dia duplicado",IF(OR(AND(G3849&lt;&gt;"",G3849&lt;&gt;0,G3849&lt;&gt;1),AND(H3849&lt;&gt;"",H3849&lt;&gt;0,H3849&lt;&gt;1)),"Flags devem ser 0 ou 1",IF(AND(H3849=1,LEN(TRIM(I3849))=0),"Preencher nome do indicante",IF(AND(H3849&lt;&gt;1,I3849&lt;&gt;""),"Nome sem indicação interna",IF(AND(G3849=1,F3849=""),"Fechamento sem conversa",IF(OR(AND(E3849&lt;&gt;"",E3849&lt;B3849),AND(F3849&lt;&gt;"",F3849&lt;B3849)),"Evento anterior à entrada",IF(AND(F3849&lt;&gt;"",E3849=""),"Conversa sem agendamento",IF(OR(E3849&gt;TODAY(),F3849&gt;TODAY()),"Verificar evento futuro","OK"))))))))))</f>
        <v/>
      </c>
    </row>
    <row r="3850" spans="12:15">
      <c r="L3850" s="5">
        <f>IF(OR(A3850="",B3850=""),"",B3850-WEEKDAY(B3850,2)+1)</f>
        <v/>
      </c>
      <c r="M3850" s="5">
        <f>IF(L3850="","",L3850+6)</f>
        <v/>
      </c>
      <c r="N3850" s="6">
        <f>IF(OR(A3850="",B3850=""),"",DATE(YEAR(B3850),MONTH(B3850),1))</f>
        <v/>
      </c>
      <c r="O3850" s="7">
        <f>IF(COUNTA(A3850:K3850)=0,"",IF(OR(A3850="",B3850=""),"Preencher CPF e entrada",IF(COUNTIFS($A$12:$A$5011,A3850,$B$12:$B$5011,B3850)&gt;1,"CPF + dia duplicado",IF(OR(AND(G3850&lt;&gt;"",G3850&lt;&gt;0,G3850&lt;&gt;1),AND(H3850&lt;&gt;"",H3850&lt;&gt;0,H3850&lt;&gt;1)),"Flags devem ser 0 ou 1",IF(AND(H3850=1,LEN(TRIM(I3850))=0),"Preencher nome do indicante",IF(AND(H3850&lt;&gt;1,I3850&lt;&gt;""),"Nome sem indicação interna",IF(AND(G3850=1,F3850=""),"Fechamento sem conversa",IF(OR(AND(E3850&lt;&gt;"",E3850&lt;B3850),AND(F3850&lt;&gt;"",F3850&lt;B3850)),"Evento anterior à entrada",IF(AND(F3850&lt;&gt;"",E3850=""),"Conversa sem agendamento",IF(OR(E3850&gt;TODAY(),F3850&gt;TODAY()),"Verificar evento futuro","OK"))))))))))</f>
        <v/>
      </c>
    </row>
    <row r="3851" spans="12:15">
      <c r="L3851" s="5">
        <f>IF(OR(A3851="",B3851=""),"",B3851-WEEKDAY(B3851,2)+1)</f>
        <v/>
      </c>
      <c r="M3851" s="5">
        <f>IF(L3851="","",L3851+6)</f>
        <v/>
      </c>
      <c r="N3851" s="6">
        <f>IF(OR(A3851="",B3851=""),"",DATE(YEAR(B3851),MONTH(B3851),1))</f>
        <v/>
      </c>
      <c r="O3851" s="7">
        <f>IF(COUNTA(A3851:K3851)=0,"",IF(OR(A3851="",B3851=""),"Preencher CPF e entrada",IF(COUNTIFS($A$12:$A$5011,A3851,$B$12:$B$5011,B3851)&gt;1,"CPF + dia duplicado",IF(OR(AND(G3851&lt;&gt;"",G3851&lt;&gt;0,G3851&lt;&gt;1),AND(H3851&lt;&gt;"",H3851&lt;&gt;0,H3851&lt;&gt;1)),"Flags devem ser 0 ou 1",IF(AND(H3851=1,LEN(TRIM(I3851))=0),"Preencher nome do indicante",IF(AND(H3851&lt;&gt;1,I3851&lt;&gt;""),"Nome sem indicação interna",IF(AND(G3851=1,F3851=""),"Fechamento sem conversa",IF(OR(AND(E3851&lt;&gt;"",E3851&lt;B3851),AND(F3851&lt;&gt;"",F3851&lt;B3851)),"Evento anterior à entrada",IF(AND(F3851&lt;&gt;"",E3851=""),"Conversa sem agendamento",IF(OR(E3851&gt;TODAY(),F3851&gt;TODAY()),"Verificar evento futuro","OK"))))))))))</f>
        <v/>
      </c>
    </row>
    <row r="3852" spans="12:15">
      <c r="L3852" s="5">
        <f>IF(OR(A3852="",B3852=""),"",B3852-WEEKDAY(B3852,2)+1)</f>
        <v/>
      </c>
      <c r="M3852" s="5">
        <f>IF(L3852="","",L3852+6)</f>
        <v/>
      </c>
      <c r="N3852" s="6">
        <f>IF(OR(A3852="",B3852=""),"",DATE(YEAR(B3852),MONTH(B3852),1))</f>
        <v/>
      </c>
      <c r="O3852" s="7">
        <f>IF(COUNTA(A3852:K3852)=0,"",IF(OR(A3852="",B3852=""),"Preencher CPF e entrada",IF(COUNTIFS($A$12:$A$5011,A3852,$B$12:$B$5011,B3852)&gt;1,"CPF + dia duplicado",IF(OR(AND(G3852&lt;&gt;"",G3852&lt;&gt;0,G3852&lt;&gt;1),AND(H3852&lt;&gt;"",H3852&lt;&gt;0,H3852&lt;&gt;1)),"Flags devem ser 0 ou 1",IF(AND(H3852=1,LEN(TRIM(I3852))=0),"Preencher nome do indicante",IF(AND(H3852&lt;&gt;1,I3852&lt;&gt;""),"Nome sem indicação interna",IF(AND(G3852=1,F3852=""),"Fechamento sem conversa",IF(OR(AND(E3852&lt;&gt;"",E3852&lt;B3852),AND(F3852&lt;&gt;"",F3852&lt;B3852)),"Evento anterior à entrada",IF(AND(F3852&lt;&gt;"",E3852=""),"Conversa sem agendamento",IF(OR(E3852&gt;TODAY(),F3852&gt;TODAY()),"Verificar evento futuro","OK"))))))))))</f>
        <v/>
      </c>
    </row>
    <row r="3853" spans="12:15">
      <c r="L3853" s="5">
        <f>IF(OR(A3853="",B3853=""),"",B3853-WEEKDAY(B3853,2)+1)</f>
        <v/>
      </c>
      <c r="M3853" s="5">
        <f>IF(L3853="","",L3853+6)</f>
        <v/>
      </c>
      <c r="N3853" s="6">
        <f>IF(OR(A3853="",B3853=""),"",DATE(YEAR(B3853),MONTH(B3853),1))</f>
        <v/>
      </c>
      <c r="O3853" s="7">
        <f>IF(COUNTA(A3853:K3853)=0,"",IF(OR(A3853="",B3853=""),"Preencher CPF e entrada",IF(COUNTIFS($A$12:$A$5011,A3853,$B$12:$B$5011,B3853)&gt;1,"CPF + dia duplicado",IF(OR(AND(G3853&lt;&gt;"",G3853&lt;&gt;0,G3853&lt;&gt;1),AND(H3853&lt;&gt;"",H3853&lt;&gt;0,H3853&lt;&gt;1)),"Flags devem ser 0 ou 1",IF(AND(H3853=1,LEN(TRIM(I3853))=0),"Preencher nome do indicante",IF(AND(H3853&lt;&gt;1,I3853&lt;&gt;""),"Nome sem indicação interna",IF(AND(G3853=1,F3853=""),"Fechamento sem conversa",IF(OR(AND(E3853&lt;&gt;"",E3853&lt;B3853),AND(F3853&lt;&gt;"",F3853&lt;B3853)),"Evento anterior à entrada",IF(AND(F3853&lt;&gt;"",E3853=""),"Conversa sem agendamento",IF(OR(E3853&gt;TODAY(),F3853&gt;TODAY()),"Verificar evento futuro","OK"))))))))))</f>
        <v/>
      </c>
    </row>
    <row r="3854" spans="12:15">
      <c r="L3854" s="5">
        <f>IF(OR(A3854="",B3854=""),"",B3854-WEEKDAY(B3854,2)+1)</f>
        <v/>
      </c>
      <c r="M3854" s="5">
        <f>IF(L3854="","",L3854+6)</f>
        <v/>
      </c>
      <c r="N3854" s="6">
        <f>IF(OR(A3854="",B3854=""),"",DATE(YEAR(B3854),MONTH(B3854),1))</f>
        <v/>
      </c>
      <c r="O3854" s="7">
        <f>IF(COUNTA(A3854:K3854)=0,"",IF(OR(A3854="",B3854=""),"Preencher CPF e entrada",IF(COUNTIFS($A$12:$A$5011,A3854,$B$12:$B$5011,B3854)&gt;1,"CPF + dia duplicado",IF(OR(AND(G3854&lt;&gt;"",G3854&lt;&gt;0,G3854&lt;&gt;1),AND(H3854&lt;&gt;"",H3854&lt;&gt;0,H3854&lt;&gt;1)),"Flags devem ser 0 ou 1",IF(AND(H3854=1,LEN(TRIM(I3854))=0),"Preencher nome do indicante",IF(AND(H3854&lt;&gt;1,I3854&lt;&gt;""),"Nome sem indicação interna",IF(AND(G3854=1,F3854=""),"Fechamento sem conversa",IF(OR(AND(E3854&lt;&gt;"",E3854&lt;B3854),AND(F3854&lt;&gt;"",F3854&lt;B3854)),"Evento anterior à entrada",IF(AND(F3854&lt;&gt;"",E3854=""),"Conversa sem agendamento",IF(OR(E3854&gt;TODAY(),F3854&gt;TODAY()),"Verificar evento futuro","OK"))))))))))</f>
        <v/>
      </c>
    </row>
    <row r="3855" spans="12:15">
      <c r="L3855" s="5">
        <f>IF(OR(A3855="",B3855=""),"",B3855-WEEKDAY(B3855,2)+1)</f>
        <v/>
      </c>
      <c r="M3855" s="5">
        <f>IF(L3855="","",L3855+6)</f>
        <v/>
      </c>
      <c r="N3855" s="6">
        <f>IF(OR(A3855="",B3855=""),"",DATE(YEAR(B3855),MONTH(B3855),1))</f>
        <v/>
      </c>
      <c r="O3855" s="7">
        <f>IF(COUNTA(A3855:K3855)=0,"",IF(OR(A3855="",B3855=""),"Preencher CPF e entrada",IF(COUNTIFS($A$12:$A$5011,A3855,$B$12:$B$5011,B3855)&gt;1,"CPF + dia duplicado",IF(OR(AND(G3855&lt;&gt;"",G3855&lt;&gt;0,G3855&lt;&gt;1),AND(H3855&lt;&gt;"",H3855&lt;&gt;0,H3855&lt;&gt;1)),"Flags devem ser 0 ou 1",IF(AND(H3855=1,LEN(TRIM(I3855))=0),"Preencher nome do indicante",IF(AND(H3855&lt;&gt;1,I3855&lt;&gt;""),"Nome sem indicação interna",IF(AND(G3855=1,F3855=""),"Fechamento sem conversa",IF(OR(AND(E3855&lt;&gt;"",E3855&lt;B3855),AND(F3855&lt;&gt;"",F3855&lt;B3855)),"Evento anterior à entrada",IF(AND(F3855&lt;&gt;"",E3855=""),"Conversa sem agendamento",IF(OR(E3855&gt;TODAY(),F3855&gt;TODAY()),"Verificar evento futuro","OK"))))))))))</f>
        <v/>
      </c>
    </row>
    <row r="3856" spans="12:15">
      <c r="L3856" s="5">
        <f>IF(OR(A3856="",B3856=""),"",B3856-WEEKDAY(B3856,2)+1)</f>
        <v/>
      </c>
      <c r="M3856" s="5">
        <f>IF(L3856="","",L3856+6)</f>
        <v/>
      </c>
      <c r="N3856" s="6">
        <f>IF(OR(A3856="",B3856=""),"",DATE(YEAR(B3856),MONTH(B3856),1))</f>
        <v/>
      </c>
      <c r="O3856" s="7">
        <f>IF(COUNTA(A3856:K3856)=0,"",IF(OR(A3856="",B3856=""),"Preencher CPF e entrada",IF(COUNTIFS($A$12:$A$5011,A3856,$B$12:$B$5011,B3856)&gt;1,"CPF + dia duplicado",IF(OR(AND(G3856&lt;&gt;"",G3856&lt;&gt;0,G3856&lt;&gt;1),AND(H3856&lt;&gt;"",H3856&lt;&gt;0,H3856&lt;&gt;1)),"Flags devem ser 0 ou 1",IF(AND(H3856=1,LEN(TRIM(I3856))=0),"Preencher nome do indicante",IF(AND(H3856&lt;&gt;1,I3856&lt;&gt;""),"Nome sem indicação interna",IF(AND(G3856=1,F3856=""),"Fechamento sem conversa",IF(OR(AND(E3856&lt;&gt;"",E3856&lt;B3856),AND(F3856&lt;&gt;"",F3856&lt;B3856)),"Evento anterior à entrada",IF(AND(F3856&lt;&gt;"",E3856=""),"Conversa sem agendamento",IF(OR(E3856&gt;TODAY(),F3856&gt;TODAY()),"Verificar evento futuro","OK"))))))))))</f>
        <v/>
      </c>
    </row>
    <row r="3857" spans="12:15">
      <c r="L3857" s="5">
        <f>IF(OR(A3857="",B3857=""),"",B3857-WEEKDAY(B3857,2)+1)</f>
        <v/>
      </c>
      <c r="M3857" s="5">
        <f>IF(L3857="","",L3857+6)</f>
        <v/>
      </c>
      <c r="N3857" s="6">
        <f>IF(OR(A3857="",B3857=""),"",DATE(YEAR(B3857),MONTH(B3857),1))</f>
        <v/>
      </c>
      <c r="O3857" s="7">
        <f>IF(COUNTA(A3857:K3857)=0,"",IF(OR(A3857="",B3857=""),"Preencher CPF e entrada",IF(COUNTIFS($A$12:$A$5011,A3857,$B$12:$B$5011,B3857)&gt;1,"CPF + dia duplicado",IF(OR(AND(G3857&lt;&gt;"",G3857&lt;&gt;0,G3857&lt;&gt;1),AND(H3857&lt;&gt;"",H3857&lt;&gt;0,H3857&lt;&gt;1)),"Flags devem ser 0 ou 1",IF(AND(H3857=1,LEN(TRIM(I3857))=0),"Preencher nome do indicante",IF(AND(H3857&lt;&gt;1,I3857&lt;&gt;""),"Nome sem indicação interna",IF(AND(G3857=1,F3857=""),"Fechamento sem conversa",IF(OR(AND(E3857&lt;&gt;"",E3857&lt;B3857),AND(F3857&lt;&gt;"",F3857&lt;B3857)),"Evento anterior à entrada",IF(AND(F3857&lt;&gt;"",E3857=""),"Conversa sem agendamento",IF(OR(E3857&gt;TODAY(),F3857&gt;TODAY()),"Verificar evento futuro","OK"))))))))))</f>
        <v/>
      </c>
    </row>
    <row r="3858" spans="12:15">
      <c r="L3858" s="5">
        <f>IF(OR(A3858="",B3858=""),"",B3858-WEEKDAY(B3858,2)+1)</f>
        <v/>
      </c>
      <c r="M3858" s="5">
        <f>IF(L3858="","",L3858+6)</f>
        <v/>
      </c>
      <c r="N3858" s="6">
        <f>IF(OR(A3858="",B3858=""),"",DATE(YEAR(B3858),MONTH(B3858),1))</f>
        <v/>
      </c>
      <c r="O3858" s="7">
        <f>IF(COUNTA(A3858:K3858)=0,"",IF(OR(A3858="",B3858=""),"Preencher CPF e entrada",IF(COUNTIFS($A$12:$A$5011,A3858,$B$12:$B$5011,B3858)&gt;1,"CPF + dia duplicado",IF(OR(AND(G3858&lt;&gt;"",G3858&lt;&gt;0,G3858&lt;&gt;1),AND(H3858&lt;&gt;"",H3858&lt;&gt;0,H3858&lt;&gt;1)),"Flags devem ser 0 ou 1",IF(AND(H3858=1,LEN(TRIM(I3858))=0),"Preencher nome do indicante",IF(AND(H3858&lt;&gt;1,I3858&lt;&gt;""),"Nome sem indicação interna",IF(AND(G3858=1,F3858=""),"Fechamento sem conversa",IF(OR(AND(E3858&lt;&gt;"",E3858&lt;B3858),AND(F3858&lt;&gt;"",F3858&lt;B3858)),"Evento anterior à entrada",IF(AND(F3858&lt;&gt;"",E3858=""),"Conversa sem agendamento",IF(OR(E3858&gt;TODAY(),F3858&gt;TODAY()),"Verificar evento futuro","OK"))))))))))</f>
        <v/>
      </c>
    </row>
    <row r="3859" spans="12:15">
      <c r="L3859" s="5">
        <f>IF(OR(A3859="",B3859=""),"",B3859-WEEKDAY(B3859,2)+1)</f>
        <v/>
      </c>
      <c r="M3859" s="5">
        <f>IF(L3859="","",L3859+6)</f>
        <v/>
      </c>
      <c r="N3859" s="6">
        <f>IF(OR(A3859="",B3859=""),"",DATE(YEAR(B3859),MONTH(B3859),1))</f>
        <v/>
      </c>
      <c r="O3859" s="7">
        <f>IF(COUNTA(A3859:K3859)=0,"",IF(OR(A3859="",B3859=""),"Preencher CPF e entrada",IF(COUNTIFS($A$12:$A$5011,A3859,$B$12:$B$5011,B3859)&gt;1,"CPF + dia duplicado",IF(OR(AND(G3859&lt;&gt;"",G3859&lt;&gt;0,G3859&lt;&gt;1),AND(H3859&lt;&gt;"",H3859&lt;&gt;0,H3859&lt;&gt;1)),"Flags devem ser 0 ou 1",IF(AND(H3859=1,LEN(TRIM(I3859))=0),"Preencher nome do indicante",IF(AND(H3859&lt;&gt;1,I3859&lt;&gt;""),"Nome sem indicação interna",IF(AND(G3859=1,F3859=""),"Fechamento sem conversa",IF(OR(AND(E3859&lt;&gt;"",E3859&lt;B3859),AND(F3859&lt;&gt;"",F3859&lt;B3859)),"Evento anterior à entrada",IF(AND(F3859&lt;&gt;"",E3859=""),"Conversa sem agendamento",IF(OR(E3859&gt;TODAY(),F3859&gt;TODAY()),"Verificar evento futuro","OK"))))))))))</f>
        <v/>
      </c>
    </row>
    <row r="3860" spans="12:15">
      <c r="L3860" s="5">
        <f>IF(OR(A3860="",B3860=""),"",B3860-WEEKDAY(B3860,2)+1)</f>
        <v/>
      </c>
      <c r="M3860" s="5">
        <f>IF(L3860="","",L3860+6)</f>
        <v/>
      </c>
      <c r="N3860" s="6">
        <f>IF(OR(A3860="",B3860=""),"",DATE(YEAR(B3860),MONTH(B3860),1))</f>
        <v/>
      </c>
      <c r="O3860" s="7">
        <f>IF(COUNTA(A3860:K3860)=0,"",IF(OR(A3860="",B3860=""),"Preencher CPF e entrada",IF(COUNTIFS($A$12:$A$5011,A3860,$B$12:$B$5011,B3860)&gt;1,"CPF + dia duplicado",IF(OR(AND(G3860&lt;&gt;"",G3860&lt;&gt;0,G3860&lt;&gt;1),AND(H3860&lt;&gt;"",H3860&lt;&gt;0,H3860&lt;&gt;1)),"Flags devem ser 0 ou 1",IF(AND(H3860=1,LEN(TRIM(I3860))=0),"Preencher nome do indicante",IF(AND(H3860&lt;&gt;1,I3860&lt;&gt;""),"Nome sem indicação interna",IF(AND(G3860=1,F3860=""),"Fechamento sem conversa",IF(OR(AND(E3860&lt;&gt;"",E3860&lt;B3860),AND(F3860&lt;&gt;"",F3860&lt;B3860)),"Evento anterior à entrada",IF(AND(F3860&lt;&gt;"",E3860=""),"Conversa sem agendamento",IF(OR(E3860&gt;TODAY(),F3860&gt;TODAY()),"Verificar evento futuro","OK"))))))))))</f>
        <v/>
      </c>
    </row>
    <row r="3861" spans="12:15">
      <c r="L3861" s="5">
        <f>IF(OR(A3861="",B3861=""),"",B3861-WEEKDAY(B3861,2)+1)</f>
        <v/>
      </c>
      <c r="M3861" s="5">
        <f>IF(L3861="","",L3861+6)</f>
        <v/>
      </c>
      <c r="N3861" s="6">
        <f>IF(OR(A3861="",B3861=""),"",DATE(YEAR(B3861),MONTH(B3861),1))</f>
        <v/>
      </c>
      <c r="O3861" s="7">
        <f>IF(COUNTA(A3861:K3861)=0,"",IF(OR(A3861="",B3861=""),"Preencher CPF e entrada",IF(COUNTIFS($A$12:$A$5011,A3861,$B$12:$B$5011,B3861)&gt;1,"CPF + dia duplicado",IF(OR(AND(G3861&lt;&gt;"",G3861&lt;&gt;0,G3861&lt;&gt;1),AND(H3861&lt;&gt;"",H3861&lt;&gt;0,H3861&lt;&gt;1)),"Flags devem ser 0 ou 1",IF(AND(H3861=1,LEN(TRIM(I3861))=0),"Preencher nome do indicante",IF(AND(H3861&lt;&gt;1,I3861&lt;&gt;""),"Nome sem indicação interna",IF(AND(G3861=1,F3861=""),"Fechamento sem conversa",IF(OR(AND(E3861&lt;&gt;"",E3861&lt;B3861),AND(F3861&lt;&gt;"",F3861&lt;B3861)),"Evento anterior à entrada",IF(AND(F3861&lt;&gt;"",E3861=""),"Conversa sem agendamento",IF(OR(E3861&gt;TODAY(),F3861&gt;TODAY()),"Verificar evento futuro","OK"))))))))))</f>
        <v/>
      </c>
    </row>
    <row r="3862" spans="12:15">
      <c r="L3862" s="5">
        <f>IF(OR(A3862="",B3862=""),"",B3862-WEEKDAY(B3862,2)+1)</f>
        <v/>
      </c>
      <c r="M3862" s="5">
        <f>IF(L3862="","",L3862+6)</f>
        <v/>
      </c>
      <c r="N3862" s="6">
        <f>IF(OR(A3862="",B3862=""),"",DATE(YEAR(B3862),MONTH(B3862),1))</f>
        <v/>
      </c>
      <c r="O3862" s="7">
        <f>IF(COUNTA(A3862:K3862)=0,"",IF(OR(A3862="",B3862=""),"Preencher CPF e entrada",IF(COUNTIFS($A$12:$A$5011,A3862,$B$12:$B$5011,B3862)&gt;1,"CPF + dia duplicado",IF(OR(AND(G3862&lt;&gt;"",G3862&lt;&gt;0,G3862&lt;&gt;1),AND(H3862&lt;&gt;"",H3862&lt;&gt;0,H3862&lt;&gt;1)),"Flags devem ser 0 ou 1",IF(AND(H3862=1,LEN(TRIM(I3862))=0),"Preencher nome do indicante",IF(AND(H3862&lt;&gt;1,I3862&lt;&gt;""),"Nome sem indicação interna",IF(AND(G3862=1,F3862=""),"Fechamento sem conversa",IF(OR(AND(E3862&lt;&gt;"",E3862&lt;B3862),AND(F3862&lt;&gt;"",F3862&lt;B3862)),"Evento anterior à entrada",IF(AND(F3862&lt;&gt;"",E3862=""),"Conversa sem agendamento",IF(OR(E3862&gt;TODAY(),F3862&gt;TODAY()),"Verificar evento futuro","OK"))))))))))</f>
        <v/>
      </c>
    </row>
    <row r="3863" spans="12:15">
      <c r="L3863" s="5">
        <f>IF(OR(A3863="",B3863=""),"",B3863-WEEKDAY(B3863,2)+1)</f>
        <v/>
      </c>
      <c r="M3863" s="5">
        <f>IF(L3863="","",L3863+6)</f>
        <v/>
      </c>
      <c r="N3863" s="6">
        <f>IF(OR(A3863="",B3863=""),"",DATE(YEAR(B3863),MONTH(B3863),1))</f>
        <v/>
      </c>
      <c r="O3863" s="7">
        <f>IF(COUNTA(A3863:K3863)=0,"",IF(OR(A3863="",B3863=""),"Preencher CPF e entrada",IF(COUNTIFS($A$12:$A$5011,A3863,$B$12:$B$5011,B3863)&gt;1,"CPF + dia duplicado",IF(OR(AND(G3863&lt;&gt;"",G3863&lt;&gt;0,G3863&lt;&gt;1),AND(H3863&lt;&gt;"",H3863&lt;&gt;0,H3863&lt;&gt;1)),"Flags devem ser 0 ou 1",IF(AND(H3863=1,LEN(TRIM(I3863))=0),"Preencher nome do indicante",IF(AND(H3863&lt;&gt;1,I3863&lt;&gt;""),"Nome sem indicação interna",IF(AND(G3863=1,F3863=""),"Fechamento sem conversa",IF(OR(AND(E3863&lt;&gt;"",E3863&lt;B3863),AND(F3863&lt;&gt;"",F3863&lt;B3863)),"Evento anterior à entrada",IF(AND(F3863&lt;&gt;"",E3863=""),"Conversa sem agendamento",IF(OR(E3863&gt;TODAY(),F3863&gt;TODAY()),"Verificar evento futuro","OK"))))))))))</f>
        <v/>
      </c>
    </row>
    <row r="3864" spans="12:15">
      <c r="L3864" s="5">
        <f>IF(OR(A3864="",B3864=""),"",B3864-WEEKDAY(B3864,2)+1)</f>
        <v/>
      </c>
      <c r="M3864" s="5">
        <f>IF(L3864="","",L3864+6)</f>
        <v/>
      </c>
      <c r="N3864" s="6">
        <f>IF(OR(A3864="",B3864=""),"",DATE(YEAR(B3864),MONTH(B3864),1))</f>
        <v/>
      </c>
      <c r="O3864" s="7">
        <f>IF(COUNTA(A3864:K3864)=0,"",IF(OR(A3864="",B3864=""),"Preencher CPF e entrada",IF(COUNTIFS($A$12:$A$5011,A3864,$B$12:$B$5011,B3864)&gt;1,"CPF + dia duplicado",IF(OR(AND(G3864&lt;&gt;"",G3864&lt;&gt;0,G3864&lt;&gt;1),AND(H3864&lt;&gt;"",H3864&lt;&gt;0,H3864&lt;&gt;1)),"Flags devem ser 0 ou 1",IF(AND(H3864=1,LEN(TRIM(I3864))=0),"Preencher nome do indicante",IF(AND(H3864&lt;&gt;1,I3864&lt;&gt;""),"Nome sem indicação interna",IF(AND(G3864=1,F3864=""),"Fechamento sem conversa",IF(OR(AND(E3864&lt;&gt;"",E3864&lt;B3864),AND(F3864&lt;&gt;"",F3864&lt;B3864)),"Evento anterior à entrada",IF(AND(F3864&lt;&gt;"",E3864=""),"Conversa sem agendamento",IF(OR(E3864&gt;TODAY(),F3864&gt;TODAY()),"Verificar evento futuro","OK"))))))))))</f>
        <v/>
      </c>
    </row>
    <row r="3865" spans="12:15">
      <c r="L3865" s="5">
        <f>IF(OR(A3865="",B3865=""),"",B3865-WEEKDAY(B3865,2)+1)</f>
        <v/>
      </c>
      <c r="M3865" s="5">
        <f>IF(L3865="","",L3865+6)</f>
        <v/>
      </c>
      <c r="N3865" s="6">
        <f>IF(OR(A3865="",B3865=""),"",DATE(YEAR(B3865),MONTH(B3865),1))</f>
        <v/>
      </c>
      <c r="O3865" s="7">
        <f>IF(COUNTA(A3865:K3865)=0,"",IF(OR(A3865="",B3865=""),"Preencher CPF e entrada",IF(COUNTIFS($A$12:$A$5011,A3865,$B$12:$B$5011,B3865)&gt;1,"CPF + dia duplicado",IF(OR(AND(G3865&lt;&gt;"",G3865&lt;&gt;0,G3865&lt;&gt;1),AND(H3865&lt;&gt;"",H3865&lt;&gt;0,H3865&lt;&gt;1)),"Flags devem ser 0 ou 1",IF(AND(H3865=1,LEN(TRIM(I3865))=0),"Preencher nome do indicante",IF(AND(H3865&lt;&gt;1,I3865&lt;&gt;""),"Nome sem indicação interna",IF(AND(G3865=1,F3865=""),"Fechamento sem conversa",IF(OR(AND(E3865&lt;&gt;"",E3865&lt;B3865),AND(F3865&lt;&gt;"",F3865&lt;B3865)),"Evento anterior à entrada",IF(AND(F3865&lt;&gt;"",E3865=""),"Conversa sem agendamento",IF(OR(E3865&gt;TODAY(),F3865&gt;TODAY()),"Verificar evento futuro","OK"))))))))))</f>
        <v/>
      </c>
    </row>
    <row r="3866" spans="12:15">
      <c r="L3866" s="5">
        <f>IF(OR(A3866="",B3866=""),"",B3866-WEEKDAY(B3866,2)+1)</f>
        <v/>
      </c>
      <c r="M3866" s="5">
        <f>IF(L3866="","",L3866+6)</f>
        <v/>
      </c>
      <c r="N3866" s="6">
        <f>IF(OR(A3866="",B3866=""),"",DATE(YEAR(B3866),MONTH(B3866),1))</f>
        <v/>
      </c>
      <c r="O3866" s="7">
        <f>IF(COUNTA(A3866:K3866)=0,"",IF(OR(A3866="",B3866=""),"Preencher CPF e entrada",IF(COUNTIFS($A$12:$A$5011,A3866,$B$12:$B$5011,B3866)&gt;1,"CPF + dia duplicado",IF(OR(AND(G3866&lt;&gt;"",G3866&lt;&gt;0,G3866&lt;&gt;1),AND(H3866&lt;&gt;"",H3866&lt;&gt;0,H3866&lt;&gt;1)),"Flags devem ser 0 ou 1",IF(AND(H3866=1,LEN(TRIM(I3866))=0),"Preencher nome do indicante",IF(AND(H3866&lt;&gt;1,I3866&lt;&gt;""),"Nome sem indicação interna",IF(AND(G3866=1,F3866=""),"Fechamento sem conversa",IF(OR(AND(E3866&lt;&gt;"",E3866&lt;B3866),AND(F3866&lt;&gt;"",F3866&lt;B3866)),"Evento anterior à entrada",IF(AND(F3866&lt;&gt;"",E3866=""),"Conversa sem agendamento",IF(OR(E3866&gt;TODAY(),F3866&gt;TODAY()),"Verificar evento futuro","OK"))))))))))</f>
        <v/>
      </c>
    </row>
    <row r="3867" spans="12:15">
      <c r="L3867" s="5">
        <f>IF(OR(A3867="",B3867=""),"",B3867-WEEKDAY(B3867,2)+1)</f>
        <v/>
      </c>
      <c r="M3867" s="5">
        <f>IF(L3867="","",L3867+6)</f>
        <v/>
      </c>
      <c r="N3867" s="6">
        <f>IF(OR(A3867="",B3867=""),"",DATE(YEAR(B3867),MONTH(B3867),1))</f>
        <v/>
      </c>
      <c r="O3867" s="7">
        <f>IF(COUNTA(A3867:K3867)=0,"",IF(OR(A3867="",B3867=""),"Preencher CPF e entrada",IF(COUNTIFS($A$12:$A$5011,A3867,$B$12:$B$5011,B3867)&gt;1,"CPF + dia duplicado",IF(OR(AND(G3867&lt;&gt;"",G3867&lt;&gt;0,G3867&lt;&gt;1),AND(H3867&lt;&gt;"",H3867&lt;&gt;0,H3867&lt;&gt;1)),"Flags devem ser 0 ou 1",IF(AND(H3867=1,LEN(TRIM(I3867))=0),"Preencher nome do indicante",IF(AND(H3867&lt;&gt;1,I3867&lt;&gt;""),"Nome sem indicação interna",IF(AND(G3867=1,F3867=""),"Fechamento sem conversa",IF(OR(AND(E3867&lt;&gt;"",E3867&lt;B3867),AND(F3867&lt;&gt;"",F3867&lt;B3867)),"Evento anterior à entrada",IF(AND(F3867&lt;&gt;"",E3867=""),"Conversa sem agendamento",IF(OR(E3867&gt;TODAY(),F3867&gt;TODAY()),"Verificar evento futuro","OK"))))))))))</f>
        <v/>
      </c>
    </row>
    <row r="3868" spans="12:15">
      <c r="L3868" s="5">
        <f>IF(OR(A3868="",B3868=""),"",B3868-WEEKDAY(B3868,2)+1)</f>
        <v/>
      </c>
      <c r="M3868" s="5">
        <f>IF(L3868="","",L3868+6)</f>
        <v/>
      </c>
      <c r="N3868" s="6">
        <f>IF(OR(A3868="",B3868=""),"",DATE(YEAR(B3868),MONTH(B3868),1))</f>
        <v/>
      </c>
      <c r="O3868" s="7">
        <f>IF(COUNTA(A3868:K3868)=0,"",IF(OR(A3868="",B3868=""),"Preencher CPF e entrada",IF(COUNTIFS($A$12:$A$5011,A3868,$B$12:$B$5011,B3868)&gt;1,"CPF + dia duplicado",IF(OR(AND(G3868&lt;&gt;"",G3868&lt;&gt;0,G3868&lt;&gt;1),AND(H3868&lt;&gt;"",H3868&lt;&gt;0,H3868&lt;&gt;1)),"Flags devem ser 0 ou 1",IF(AND(H3868=1,LEN(TRIM(I3868))=0),"Preencher nome do indicante",IF(AND(H3868&lt;&gt;1,I3868&lt;&gt;""),"Nome sem indicação interna",IF(AND(G3868=1,F3868=""),"Fechamento sem conversa",IF(OR(AND(E3868&lt;&gt;"",E3868&lt;B3868),AND(F3868&lt;&gt;"",F3868&lt;B3868)),"Evento anterior à entrada",IF(AND(F3868&lt;&gt;"",E3868=""),"Conversa sem agendamento",IF(OR(E3868&gt;TODAY(),F3868&gt;TODAY()),"Verificar evento futuro","OK"))))))))))</f>
        <v/>
      </c>
    </row>
    <row r="3869" spans="12:15">
      <c r="L3869" s="5">
        <f>IF(OR(A3869="",B3869=""),"",B3869-WEEKDAY(B3869,2)+1)</f>
        <v/>
      </c>
      <c r="M3869" s="5">
        <f>IF(L3869="","",L3869+6)</f>
        <v/>
      </c>
      <c r="N3869" s="6">
        <f>IF(OR(A3869="",B3869=""),"",DATE(YEAR(B3869),MONTH(B3869),1))</f>
        <v/>
      </c>
      <c r="O3869" s="7">
        <f>IF(COUNTA(A3869:K3869)=0,"",IF(OR(A3869="",B3869=""),"Preencher CPF e entrada",IF(COUNTIFS($A$12:$A$5011,A3869,$B$12:$B$5011,B3869)&gt;1,"CPF + dia duplicado",IF(OR(AND(G3869&lt;&gt;"",G3869&lt;&gt;0,G3869&lt;&gt;1),AND(H3869&lt;&gt;"",H3869&lt;&gt;0,H3869&lt;&gt;1)),"Flags devem ser 0 ou 1",IF(AND(H3869=1,LEN(TRIM(I3869))=0),"Preencher nome do indicante",IF(AND(H3869&lt;&gt;1,I3869&lt;&gt;""),"Nome sem indicação interna",IF(AND(G3869=1,F3869=""),"Fechamento sem conversa",IF(OR(AND(E3869&lt;&gt;"",E3869&lt;B3869),AND(F3869&lt;&gt;"",F3869&lt;B3869)),"Evento anterior à entrada",IF(AND(F3869&lt;&gt;"",E3869=""),"Conversa sem agendamento",IF(OR(E3869&gt;TODAY(),F3869&gt;TODAY()),"Verificar evento futuro","OK"))))))))))</f>
        <v/>
      </c>
    </row>
    <row r="3870" spans="12:15">
      <c r="L3870" s="5">
        <f>IF(OR(A3870="",B3870=""),"",B3870-WEEKDAY(B3870,2)+1)</f>
        <v/>
      </c>
      <c r="M3870" s="5">
        <f>IF(L3870="","",L3870+6)</f>
        <v/>
      </c>
      <c r="N3870" s="6">
        <f>IF(OR(A3870="",B3870=""),"",DATE(YEAR(B3870),MONTH(B3870),1))</f>
        <v/>
      </c>
      <c r="O3870" s="7">
        <f>IF(COUNTA(A3870:K3870)=0,"",IF(OR(A3870="",B3870=""),"Preencher CPF e entrada",IF(COUNTIFS($A$12:$A$5011,A3870,$B$12:$B$5011,B3870)&gt;1,"CPF + dia duplicado",IF(OR(AND(G3870&lt;&gt;"",G3870&lt;&gt;0,G3870&lt;&gt;1),AND(H3870&lt;&gt;"",H3870&lt;&gt;0,H3870&lt;&gt;1)),"Flags devem ser 0 ou 1",IF(AND(H3870=1,LEN(TRIM(I3870))=0),"Preencher nome do indicante",IF(AND(H3870&lt;&gt;1,I3870&lt;&gt;""),"Nome sem indicação interna",IF(AND(G3870=1,F3870=""),"Fechamento sem conversa",IF(OR(AND(E3870&lt;&gt;"",E3870&lt;B3870),AND(F3870&lt;&gt;"",F3870&lt;B3870)),"Evento anterior à entrada",IF(AND(F3870&lt;&gt;"",E3870=""),"Conversa sem agendamento",IF(OR(E3870&gt;TODAY(),F3870&gt;TODAY()),"Verificar evento futuro","OK"))))))))))</f>
        <v/>
      </c>
    </row>
    <row r="3871" spans="12:15">
      <c r="L3871" s="5">
        <f>IF(OR(A3871="",B3871=""),"",B3871-WEEKDAY(B3871,2)+1)</f>
        <v/>
      </c>
      <c r="M3871" s="5">
        <f>IF(L3871="","",L3871+6)</f>
        <v/>
      </c>
      <c r="N3871" s="6">
        <f>IF(OR(A3871="",B3871=""),"",DATE(YEAR(B3871),MONTH(B3871),1))</f>
        <v/>
      </c>
      <c r="O3871" s="7">
        <f>IF(COUNTA(A3871:K3871)=0,"",IF(OR(A3871="",B3871=""),"Preencher CPF e entrada",IF(COUNTIFS($A$12:$A$5011,A3871,$B$12:$B$5011,B3871)&gt;1,"CPF + dia duplicado",IF(OR(AND(G3871&lt;&gt;"",G3871&lt;&gt;0,G3871&lt;&gt;1),AND(H3871&lt;&gt;"",H3871&lt;&gt;0,H3871&lt;&gt;1)),"Flags devem ser 0 ou 1",IF(AND(H3871=1,LEN(TRIM(I3871))=0),"Preencher nome do indicante",IF(AND(H3871&lt;&gt;1,I3871&lt;&gt;""),"Nome sem indicação interna",IF(AND(G3871=1,F3871=""),"Fechamento sem conversa",IF(OR(AND(E3871&lt;&gt;"",E3871&lt;B3871),AND(F3871&lt;&gt;"",F3871&lt;B3871)),"Evento anterior à entrada",IF(AND(F3871&lt;&gt;"",E3871=""),"Conversa sem agendamento",IF(OR(E3871&gt;TODAY(),F3871&gt;TODAY()),"Verificar evento futuro","OK"))))))))))</f>
        <v/>
      </c>
    </row>
    <row r="3872" spans="12:15">
      <c r="L3872" s="5">
        <f>IF(OR(A3872="",B3872=""),"",B3872-WEEKDAY(B3872,2)+1)</f>
        <v/>
      </c>
      <c r="M3872" s="5">
        <f>IF(L3872="","",L3872+6)</f>
        <v/>
      </c>
      <c r="N3872" s="6">
        <f>IF(OR(A3872="",B3872=""),"",DATE(YEAR(B3872),MONTH(B3872),1))</f>
        <v/>
      </c>
      <c r="O3872" s="7">
        <f>IF(COUNTA(A3872:K3872)=0,"",IF(OR(A3872="",B3872=""),"Preencher CPF e entrada",IF(COUNTIFS($A$12:$A$5011,A3872,$B$12:$B$5011,B3872)&gt;1,"CPF + dia duplicado",IF(OR(AND(G3872&lt;&gt;"",G3872&lt;&gt;0,G3872&lt;&gt;1),AND(H3872&lt;&gt;"",H3872&lt;&gt;0,H3872&lt;&gt;1)),"Flags devem ser 0 ou 1",IF(AND(H3872=1,LEN(TRIM(I3872))=0),"Preencher nome do indicante",IF(AND(H3872&lt;&gt;1,I3872&lt;&gt;""),"Nome sem indicação interna",IF(AND(G3872=1,F3872=""),"Fechamento sem conversa",IF(OR(AND(E3872&lt;&gt;"",E3872&lt;B3872),AND(F3872&lt;&gt;"",F3872&lt;B3872)),"Evento anterior à entrada",IF(AND(F3872&lt;&gt;"",E3872=""),"Conversa sem agendamento",IF(OR(E3872&gt;TODAY(),F3872&gt;TODAY()),"Verificar evento futuro","OK"))))))))))</f>
        <v/>
      </c>
    </row>
    <row r="3873" spans="12:15">
      <c r="L3873" s="5">
        <f>IF(OR(A3873="",B3873=""),"",B3873-WEEKDAY(B3873,2)+1)</f>
        <v/>
      </c>
      <c r="M3873" s="5">
        <f>IF(L3873="","",L3873+6)</f>
        <v/>
      </c>
      <c r="N3873" s="6">
        <f>IF(OR(A3873="",B3873=""),"",DATE(YEAR(B3873),MONTH(B3873),1))</f>
        <v/>
      </c>
      <c r="O3873" s="7">
        <f>IF(COUNTA(A3873:K3873)=0,"",IF(OR(A3873="",B3873=""),"Preencher CPF e entrada",IF(COUNTIFS($A$12:$A$5011,A3873,$B$12:$B$5011,B3873)&gt;1,"CPF + dia duplicado",IF(OR(AND(G3873&lt;&gt;"",G3873&lt;&gt;0,G3873&lt;&gt;1),AND(H3873&lt;&gt;"",H3873&lt;&gt;0,H3873&lt;&gt;1)),"Flags devem ser 0 ou 1",IF(AND(H3873=1,LEN(TRIM(I3873))=0),"Preencher nome do indicante",IF(AND(H3873&lt;&gt;1,I3873&lt;&gt;""),"Nome sem indicação interna",IF(AND(G3873=1,F3873=""),"Fechamento sem conversa",IF(OR(AND(E3873&lt;&gt;"",E3873&lt;B3873),AND(F3873&lt;&gt;"",F3873&lt;B3873)),"Evento anterior à entrada",IF(AND(F3873&lt;&gt;"",E3873=""),"Conversa sem agendamento",IF(OR(E3873&gt;TODAY(),F3873&gt;TODAY()),"Verificar evento futuro","OK"))))))))))</f>
        <v/>
      </c>
    </row>
    <row r="3874" spans="12:15">
      <c r="L3874" s="5">
        <f>IF(OR(A3874="",B3874=""),"",B3874-WEEKDAY(B3874,2)+1)</f>
        <v/>
      </c>
      <c r="M3874" s="5">
        <f>IF(L3874="","",L3874+6)</f>
        <v/>
      </c>
      <c r="N3874" s="6">
        <f>IF(OR(A3874="",B3874=""),"",DATE(YEAR(B3874),MONTH(B3874),1))</f>
        <v/>
      </c>
      <c r="O3874" s="7">
        <f>IF(COUNTA(A3874:K3874)=0,"",IF(OR(A3874="",B3874=""),"Preencher CPF e entrada",IF(COUNTIFS($A$12:$A$5011,A3874,$B$12:$B$5011,B3874)&gt;1,"CPF + dia duplicado",IF(OR(AND(G3874&lt;&gt;"",G3874&lt;&gt;0,G3874&lt;&gt;1),AND(H3874&lt;&gt;"",H3874&lt;&gt;0,H3874&lt;&gt;1)),"Flags devem ser 0 ou 1",IF(AND(H3874=1,LEN(TRIM(I3874))=0),"Preencher nome do indicante",IF(AND(H3874&lt;&gt;1,I3874&lt;&gt;""),"Nome sem indicação interna",IF(AND(G3874=1,F3874=""),"Fechamento sem conversa",IF(OR(AND(E3874&lt;&gt;"",E3874&lt;B3874),AND(F3874&lt;&gt;"",F3874&lt;B3874)),"Evento anterior à entrada",IF(AND(F3874&lt;&gt;"",E3874=""),"Conversa sem agendamento",IF(OR(E3874&gt;TODAY(),F3874&gt;TODAY()),"Verificar evento futuro","OK"))))))))))</f>
        <v/>
      </c>
    </row>
    <row r="3875" spans="12:15">
      <c r="L3875" s="5">
        <f>IF(OR(A3875="",B3875=""),"",B3875-WEEKDAY(B3875,2)+1)</f>
        <v/>
      </c>
      <c r="M3875" s="5">
        <f>IF(L3875="","",L3875+6)</f>
        <v/>
      </c>
      <c r="N3875" s="6">
        <f>IF(OR(A3875="",B3875=""),"",DATE(YEAR(B3875),MONTH(B3875),1))</f>
        <v/>
      </c>
      <c r="O3875" s="7">
        <f>IF(COUNTA(A3875:K3875)=0,"",IF(OR(A3875="",B3875=""),"Preencher CPF e entrada",IF(COUNTIFS($A$12:$A$5011,A3875,$B$12:$B$5011,B3875)&gt;1,"CPF + dia duplicado",IF(OR(AND(G3875&lt;&gt;"",G3875&lt;&gt;0,G3875&lt;&gt;1),AND(H3875&lt;&gt;"",H3875&lt;&gt;0,H3875&lt;&gt;1)),"Flags devem ser 0 ou 1",IF(AND(H3875=1,LEN(TRIM(I3875))=0),"Preencher nome do indicante",IF(AND(H3875&lt;&gt;1,I3875&lt;&gt;""),"Nome sem indicação interna",IF(AND(G3875=1,F3875=""),"Fechamento sem conversa",IF(OR(AND(E3875&lt;&gt;"",E3875&lt;B3875),AND(F3875&lt;&gt;"",F3875&lt;B3875)),"Evento anterior à entrada",IF(AND(F3875&lt;&gt;"",E3875=""),"Conversa sem agendamento",IF(OR(E3875&gt;TODAY(),F3875&gt;TODAY()),"Verificar evento futuro","OK"))))))))))</f>
        <v/>
      </c>
    </row>
    <row r="3876" spans="12:15">
      <c r="L3876" s="5">
        <f>IF(OR(A3876="",B3876=""),"",B3876-WEEKDAY(B3876,2)+1)</f>
        <v/>
      </c>
      <c r="M3876" s="5">
        <f>IF(L3876="","",L3876+6)</f>
        <v/>
      </c>
      <c r="N3876" s="6">
        <f>IF(OR(A3876="",B3876=""),"",DATE(YEAR(B3876),MONTH(B3876),1))</f>
        <v/>
      </c>
      <c r="O3876" s="7">
        <f>IF(COUNTA(A3876:K3876)=0,"",IF(OR(A3876="",B3876=""),"Preencher CPF e entrada",IF(COUNTIFS($A$12:$A$5011,A3876,$B$12:$B$5011,B3876)&gt;1,"CPF + dia duplicado",IF(OR(AND(G3876&lt;&gt;"",G3876&lt;&gt;0,G3876&lt;&gt;1),AND(H3876&lt;&gt;"",H3876&lt;&gt;0,H3876&lt;&gt;1)),"Flags devem ser 0 ou 1",IF(AND(H3876=1,LEN(TRIM(I3876))=0),"Preencher nome do indicante",IF(AND(H3876&lt;&gt;1,I3876&lt;&gt;""),"Nome sem indicação interna",IF(AND(G3876=1,F3876=""),"Fechamento sem conversa",IF(OR(AND(E3876&lt;&gt;"",E3876&lt;B3876),AND(F3876&lt;&gt;"",F3876&lt;B3876)),"Evento anterior à entrada",IF(AND(F3876&lt;&gt;"",E3876=""),"Conversa sem agendamento",IF(OR(E3876&gt;TODAY(),F3876&gt;TODAY()),"Verificar evento futuro","OK"))))))))))</f>
        <v/>
      </c>
    </row>
    <row r="3877" spans="12:15">
      <c r="L3877" s="5">
        <f>IF(OR(A3877="",B3877=""),"",B3877-WEEKDAY(B3877,2)+1)</f>
        <v/>
      </c>
      <c r="M3877" s="5">
        <f>IF(L3877="","",L3877+6)</f>
        <v/>
      </c>
      <c r="N3877" s="6">
        <f>IF(OR(A3877="",B3877=""),"",DATE(YEAR(B3877),MONTH(B3877),1))</f>
        <v/>
      </c>
      <c r="O3877" s="7">
        <f>IF(COUNTA(A3877:K3877)=0,"",IF(OR(A3877="",B3877=""),"Preencher CPF e entrada",IF(COUNTIFS($A$12:$A$5011,A3877,$B$12:$B$5011,B3877)&gt;1,"CPF + dia duplicado",IF(OR(AND(G3877&lt;&gt;"",G3877&lt;&gt;0,G3877&lt;&gt;1),AND(H3877&lt;&gt;"",H3877&lt;&gt;0,H3877&lt;&gt;1)),"Flags devem ser 0 ou 1",IF(AND(H3877=1,LEN(TRIM(I3877))=0),"Preencher nome do indicante",IF(AND(H3877&lt;&gt;1,I3877&lt;&gt;""),"Nome sem indicação interna",IF(AND(G3877=1,F3877=""),"Fechamento sem conversa",IF(OR(AND(E3877&lt;&gt;"",E3877&lt;B3877),AND(F3877&lt;&gt;"",F3877&lt;B3877)),"Evento anterior à entrada",IF(AND(F3877&lt;&gt;"",E3877=""),"Conversa sem agendamento",IF(OR(E3877&gt;TODAY(),F3877&gt;TODAY()),"Verificar evento futuro","OK"))))))))))</f>
        <v/>
      </c>
    </row>
    <row r="3878" spans="12:15">
      <c r="L3878" s="5">
        <f>IF(OR(A3878="",B3878=""),"",B3878-WEEKDAY(B3878,2)+1)</f>
        <v/>
      </c>
      <c r="M3878" s="5">
        <f>IF(L3878="","",L3878+6)</f>
        <v/>
      </c>
      <c r="N3878" s="6">
        <f>IF(OR(A3878="",B3878=""),"",DATE(YEAR(B3878),MONTH(B3878),1))</f>
        <v/>
      </c>
      <c r="O3878" s="7">
        <f>IF(COUNTA(A3878:K3878)=0,"",IF(OR(A3878="",B3878=""),"Preencher CPF e entrada",IF(COUNTIFS($A$12:$A$5011,A3878,$B$12:$B$5011,B3878)&gt;1,"CPF + dia duplicado",IF(OR(AND(G3878&lt;&gt;"",G3878&lt;&gt;0,G3878&lt;&gt;1),AND(H3878&lt;&gt;"",H3878&lt;&gt;0,H3878&lt;&gt;1)),"Flags devem ser 0 ou 1",IF(AND(H3878=1,LEN(TRIM(I3878))=0),"Preencher nome do indicante",IF(AND(H3878&lt;&gt;1,I3878&lt;&gt;""),"Nome sem indicação interna",IF(AND(G3878=1,F3878=""),"Fechamento sem conversa",IF(OR(AND(E3878&lt;&gt;"",E3878&lt;B3878),AND(F3878&lt;&gt;"",F3878&lt;B3878)),"Evento anterior à entrada",IF(AND(F3878&lt;&gt;"",E3878=""),"Conversa sem agendamento",IF(OR(E3878&gt;TODAY(),F3878&gt;TODAY()),"Verificar evento futuro","OK"))))))))))</f>
        <v/>
      </c>
    </row>
    <row r="3879" spans="12:15">
      <c r="L3879" s="5">
        <f>IF(OR(A3879="",B3879=""),"",B3879-WEEKDAY(B3879,2)+1)</f>
        <v/>
      </c>
      <c r="M3879" s="5">
        <f>IF(L3879="","",L3879+6)</f>
        <v/>
      </c>
      <c r="N3879" s="6">
        <f>IF(OR(A3879="",B3879=""),"",DATE(YEAR(B3879),MONTH(B3879),1))</f>
        <v/>
      </c>
      <c r="O3879" s="7">
        <f>IF(COUNTA(A3879:K3879)=0,"",IF(OR(A3879="",B3879=""),"Preencher CPF e entrada",IF(COUNTIFS($A$12:$A$5011,A3879,$B$12:$B$5011,B3879)&gt;1,"CPF + dia duplicado",IF(OR(AND(G3879&lt;&gt;"",G3879&lt;&gt;0,G3879&lt;&gt;1),AND(H3879&lt;&gt;"",H3879&lt;&gt;0,H3879&lt;&gt;1)),"Flags devem ser 0 ou 1",IF(AND(H3879=1,LEN(TRIM(I3879))=0),"Preencher nome do indicante",IF(AND(H3879&lt;&gt;1,I3879&lt;&gt;""),"Nome sem indicação interna",IF(AND(G3879=1,F3879=""),"Fechamento sem conversa",IF(OR(AND(E3879&lt;&gt;"",E3879&lt;B3879),AND(F3879&lt;&gt;"",F3879&lt;B3879)),"Evento anterior à entrada",IF(AND(F3879&lt;&gt;"",E3879=""),"Conversa sem agendamento",IF(OR(E3879&gt;TODAY(),F3879&gt;TODAY()),"Verificar evento futuro","OK"))))))))))</f>
        <v/>
      </c>
    </row>
    <row r="3880" spans="12:15">
      <c r="L3880" s="5">
        <f>IF(OR(A3880="",B3880=""),"",B3880-WEEKDAY(B3880,2)+1)</f>
        <v/>
      </c>
      <c r="M3880" s="5">
        <f>IF(L3880="","",L3880+6)</f>
        <v/>
      </c>
      <c r="N3880" s="6">
        <f>IF(OR(A3880="",B3880=""),"",DATE(YEAR(B3880),MONTH(B3880),1))</f>
        <v/>
      </c>
      <c r="O3880" s="7">
        <f>IF(COUNTA(A3880:K3880)=0,"",IF(OR(A3880="",B3880=""),"Preencher CPF e entrada",IF(COUNTIFS($A$12:$A$5011,A3880,$B$12:$B$5011,B3880)&gt;1,"CPF + dia duplicado",IF(OR(AND(G3880&lt;&gt;"",G3880&lt;&gt;0,G3880&lt;&gt;1),AND(H3880&lt;&gt;"",H3880&lt;&gt;0,H3880&lt;&gt;1)),"Flags devem ser 0 ou 1",IF(AND(H3880=1,LEN(TRIM(I3880))=0),"Preencher nome do indicante",IF(AND(H3880&lt;&gt;1,I3880&lt;&gt;""),"Nome sem indicação interna",IF(AND(G3880=1,F3880=""),"Fechamento sem conversa",IF(OR(AND(E3880&lt;&gt;"",E3880&lt;B3880),AND(F3880&lt;&gt;"",F3880&lt;B3880)),"Evento anterior à entrada",IF(AND(F3880&lt;&gt;"",E3880=""),"Conversa sem agendamento",IF(OR(E3880&gt;TODAY(),F3880&gt;TODAY()),"Verificar evento futuro","OK"))))))))))</f>
        <v/>
      </c>
    </row>
    <row r="3881" spans="12:15">
      <c r="L3881" s="5">
        <f>IF(OR(A3881="",B3881=""),"",B3881-WEEKDAY(B3881,2)+1)</f>
        <v/>
      </c>
      <c r="M3881" s="5">
        <f>IF(L3881="","",L3881+6)</f>
        <v/>
      </c>
      <c r="N3881" s="6">
        <f>IF(OR(A3881="",B3881=""),"",DATE(YEAR(B3881),MONTH(B3881),1))</f>
        <v/>
      </c>
      <c r="O3881" s="7">
        <f>IF(COUNTA(A3881:K3881)=0,"",IF(OR(A3881="",B3881=""),"Preencher CPF e entrada",IF(COUNTIFS($A$12:$A$5011,A3881,$B$12:$B$5011,B3881)&gt;1,"CPF + dia duplicado",IF(OR(AND(G3881&lt;&gt;"",G3881&lt;&gt;0,G3881&lt;&gt;1),AND(H3881&lt;&gt;"",H3881&lt;&gt;0,H3881&lt;&gt;1)),"Flags devem ser 0 ou 1",IF(AND(H3881=1,LEN(TRIM(I3881))=0),"Preencher nome do indicante",IF(AND(H3881&lt;&gt;1,I3881&lt;&gt;""),"Nome sem indicação interna",IF(AND(G3881=1,F3881=""),"Fechamento sem conversa",IF(OR(AND(E3881&lt;&gt;"",E3881&lt;B3881),AND(F3881&lt;&gt;"",F3881&lt;B3881)),"Evento anterior à entrada",IF(AND(F3881&lt;&gt;"",E3881=""),"Conversa sem agendamento",IF(OR(E3881&gt;TODAY(),F3881&gt;TODAY()),"Verificar evento futuro","OK"))))))))))</f>
        <v/>
      </c>
    </row>
    <row r="3882" spans="12:15">
      <c r="L3882" s="5">
        <f>IF(OR(A3882="",B3882=""),"",B3882-WEEKDAY(B3882,2)+1)</f>
        <v/>
      </c>
      <c r="M3882" s="5">
        <f>IF(L3882="","",L3882+6)</f>
        <v/>
      </c>
      <c r="N3882" s="6">
        <f>IF(OR(A3882="",B3882=""),"",DATE(YEAR(B3882),MONTH(B3882),1))</f>
        <v/>
      </c>
      <c r="O3882" s="7">
        <f>IF(COUNTA(A3882:K3882)=0,"",IF(OR(A3882="",B3882=""),"Preencher CPF e entrada",IF(COUNTIFS($A$12:$A$5011,A3882,$B$12:$B$5011,B3882)&gt;1,"CPF + dia duplicado",IF(OR(AND(G3882&lt;&gt;"",G3882&lt;&gt;0,G3882&lt;&gt;1),AND(H3882&lt;&gt;"",H3882&lt;&gt;0,H3882&lt;&gt;1)),"Flags devem ser 0 ou 1",IF(AND(H3882=1,LEN(TRIM(I3882))=0),"Preencher nome do indicante",IF(AND(H3882&lt;&gt;1,I3882&lt;&gt;""),"Nome sem indicação interna",IF(AND(G3882=1,F3882=""),"Fechamento sem conversa",IF(OR(AND(E3882&lt;&gt;"",E3882&lt;B3882),AND(F3882&lt;&gt;"",F3882&lt;B3882)),"Evento anterior à entrada",IF(AND(F3882&lt;&gt;"",E3882=""),"Conversa sem agendamento",IF(OR(E3882&gt;TODAY(),F3882&gt;TODAY()),"Verificar evento futuro","OK"))))))))))</f>
        <v/>
      </c>
    </row>
    <row r="3883" spans="12:15">
      <c r="L3883" s="5">
        <f>IF(OR(A3883="",B3883=""),"",B3883-WEEKDAY(B3883,2)+1)</f>
        <v/>
      </c>
      <c r="M3883" s="5">
        <f>IF(L3883="","",L3883+6)</f>
        <v/>
      </c>
      <c r="N3883" s="6">
        <f>IF(OR(A3883="",B3883=""),"",DATE(YEAR(B3883),MONTH(B3883),1))</f>
        <v/>
      </c>
      <c r="O3883" s="7">
        <f>IF(COUNTA(A3883:K3883)=0,"",IF(OR(A3883="",B3883=""),"Preencher CPF e entrada",IF(COUNTIFS($A$12:$A$5011,A3883,$B$12:$B$5011,B3883)&gt;1,"CPF + dia duplicado",IF(OR(AND(G3883&lt;&gt;"",G3883&lt;&gt;0,G3883&lt;&gt;1),AND(H3883&lt;&gt;"",H3883&lt;&gt;0,H3883&lt;&gt;1)),"Flags devem ser 0 ou 1",IF(AND(H3883=1,LEN(TRIM(I3883))=0),"Preencher nome do indicante",IF(AND(H3883&lt;&gt;1,I3883&lt;&gt;""),"Nome sem indicação interna",IF(AND(G3883=1,F3883=""),"Fechamento sem conversa",IF(OR(AND(E3883&lt;&gt;"",E3883&lt;B3883),AND(F3883&lt;&gt;"",F3883&lt;B3883)),"Evento anterior à entrada",IF(AND(F3883&lt;&gt;"",E3883=""),"Conversa sem agendamento",IF(OR(E3883&gt;TODAY(),F3883&gt;TODAY()),"Verificar evento futuro","OK"))))))))))</f>
        <v/>
      </c>
    </row>
    <row r="3884" spans="12:15">
      <c r="L3884" s="5">
        <f>IF(OR(A3884="",B3884=""),"",B3884-WEEKDAY(B3884,2)+1)</f>
        <v/>
      </c>
      <c r="M3884" s="5">
        <f>IF(L3884="","",L3884+6)</f>
        <v/>
      </c>
      <c r="N3884" s="6">
        <f>IF(OR(A3884="",B3884=""),"",DATE(YEAR(B3884),MONTH(B3884),1))</f>
        <v/>
      </c>
      <c r="O3884" s="7">
        <f>IF(COUNTA(A3884:K3884)=0,"",IF(OR(A3884="",B3884=""),"Preencher CPF e entrada",IF(COUNTIFS($A$12:$A$5011,A3884,$B$12:$B$5011,B3884)&gt;1,"CPF + dia duplicado",IF(OR(AND(G3884&lt;&gt;"",G3884&lt;&gt;0,G3884&lt;&gt;1),AND(H3884&lt;&gt;"",H3884&lt;&gt;0,H3884&lt;&gt;1)),"Flags devem ser 0 ou 1",IF(AND(H3884=1,LEN(TRIM(I3884))=0),"Preencher nome do indicante",IF(AND(H3884&lt;&gt;1,I3884&lt;&gt;""),"Nome sem indicação interna",IF(AND(G3884=1,F3884=""),"Fechamento sem conversa",IF(OR(AND(E3884&lt;&gt;"",E3884&lt;B3884),AND(F3884&lt;&gt;"",F3884&lt;B3884)),"Evento anterior à entrada",IF(AND(F3884&lt;&gt;"",E3884=""),"Conversa sem agendamento",IF(OR(E3884&gt;TODAY(),F3884&gt;TODAY()),"Verificar evento futuro","OK"))))))))))</f>
        <v/>
      </c>
    </row>
    <row r="3885" spans="12:15">
      <c r="L3885" s="5">
        <f>IF(OR(A3885="",B3885=""),"",B3885-WEEKDAY(B3885,2)+1)</f>
        <v/>
      </c>
      <c r="M3885" s="5">
        <f>IF(L3885="","",L3885+6)</f>
        <v/>
      </c>
      <c r="N3885" s="6">
        <f>IF(OR(A3885="",B3885=""),"",DATE(YEAR(B3885),MONTH(B3885),1))</f>
        <v/>
      </c>
      <c r="O3885" s="7">
        <f>IF(COUNTA(A3885:K3885)=0,"",IF(OR(A3885="",B3885=""),"Preencher CPF e entrada",IF(COUNTIFS($A$12:$A$5011,A3885,$B$12:$B$5011,B3885)&gt;1,"CPF + dia duplicado",IF(OR(AND(G3885&lt;&gt;"",G3885&lt;&gt;0,G3885&lt;&gt;1),AND(H3885&lt;&gt;"",H3885&lt;&gt;0,H3885&lt;&gt;1)),"Flags devem ser 0 ou 1",IF(AND(H3885=1,LEN(TRIM(I3885))=0),"Preencher nome do indicante",IF(AND(H3885&lt;&gt;1,I3885&lt;&gt;""),"Nome sem indicação interna",IF(AND(G3885=1,F3885=""),"Fechamento sem conversa",IF(OR(AND(E3885&lt;&gt;"",E3885&lt;B3885),AND(F3885&lt;&gt;"",F3885&lt;B3885)),"Evento anterior à entrada",IF(AND(F3885&lt;&gt;"",E3885=""),"Conversa sem agendamento",IF(OR(E3885&gt;TODAY(),F3885&gt;TODAY()),"Verificar evento futuro","OK"))))))))))</f>
        <v/>
      </c>
    </row>
    <row r="3886" spans="12:15">
      <c r="L3886" s="5">
        <f>IF(OR(A3886="",B3886=""),"",B3886-WEEKDAY(B3886,2)+1)</f>
        <v/>
      </c>
      <c r="M3886" s="5">
        <f>IF(L3886="","",L3886+6)</f>
        <v/>
      </c>
      <c r="N3886" s="6">
        <f>IF(OR(A3886="",B3886=""),"",DATE(YEAR(B3886),MONTH(B3886),1))</f>
        <v/>
      </c>
      <c r="O3886" s="7">
        <f>IF(COUNTA(A3886:K3886)=0,"",IF(OR(A3886="",B3886=""),"Preencher CPF e entrada",IF(COUNTIFS($A$12:$A$5011,A3886,$B$12:$B$5011,B3886)&gt;1,"CPF + dia duplicado",IF(OR(AND(G3886&lt;&gt;"",G3886&lt;&gt;0,G3886&lt;&gt;1),AND(H3886&lt;&gt;"",H3886&lt;&gt;0,H3886&lt;&gt;1)),"Flags devem ser 0 ou 1",IF(AND(H3886=1,LEN(TRIM(I3886))=0),"Preencher nome do indicante",IF(AND(H3886&lt;&gt;1,I3886&lt;&gt;""),"Nome sem indicação interna",IF(AND(G3886=1,F3886=""),"Fechamento sem conversa",IF(OR(AND(E3886&lt;&gt;"",E3886&lt;B3886),AND(F3886&lt;&gt;"",F3886&lt;B3886)),"Evento anterior à entrada",IF(AND(F3886&lt;&gt;"",E3886=""),"Conversa sem agendamento",IF(OR(E3886&gt;TODAY(),F3886&gt;TODAY()),"Verificar evento futuro","OK"))))))))))</f>
        <v/>
      </c>
    </row>
    <row r="3887" spans="12:15">
      <c r="L3887" s="5">
        <f>IF(OR(A3887="",B3887=""),"",B3887-WEEKDAY(B3887,2)+1)</f>
        <v/>
      </c>
      <c r="M3887" s="5">
        <f>IF(L3887="","",L3887+6)</f>
        <v/>
      </c>
      <c r="N3887" s="6">
        <f>IF(OR(A3887="",B3887=""),"",DATE(YEAR(B3887),MONTH(B3887),1))</f>
        <v/>
      </c>
      <c r="O3887" s="7">
        <f>IF(COUNTA(A3887:K3887)=0,"",IF(OR(A3887="",B3887=""),"Preencher CPF e entrada",IF(COUNTIFS($A$12:$A$5011,A3887,$B$12:$B$5011,B3887)&gt;1,"CPF + dia duplicado",IF(OR(AND(G3887&lt;&gt;"",G3887&lt;&gt;0,G3887&lt;&gt;1),AND(H3887&lt;&gt;"",H3887&lt;&gt;0,H3887&lt;&gt;1)),"Flags devem ser 0 ou 1",IF(AND(H3887=1,LEN(TRIM(I3887))=0),"Preencher nome do indicante",IF(AND(H3887&lt;&gt;1,I3887&lt;&gt;""),"Nome sem indicação interna",IF(AND(G3887=1,F3887=""),"Fechamento sem conversa",IF(OR(AND(E3887&lt;&gt;"",E3887&lt;B3887),AND(F3887&lt;&gt;"",F3887&lt;B3887)),"Evento anterior à entrada",IF(AND(F3887&lt;&gt;"",E3887=""),"Conversa sem agendamento",IF(OR(E3887&gt;TODAY(),F3887&gt;TODAY()),"Verificar evento futuro","OK"))))))))))</f>
        <v/>
      </c>
    </row>
    <row r="3888" spans="12:15">
      <c r="L3888" s="5">
        <f>IF(OR(A3888="",B3888=""),"",B3888-WEEKDAY(B3888,2)+1)</f>
        <v/>
      </c>
      <c r="M3888" s="5">
        <f>IF(L3888="","",L3888+6)</f>
        <v/>
      </c>
      <c r="N3888" s="6">
        <f>IF(OR(A3888="",B3888=""),"",DATE(YEAR(B3888),MONTH(B3888),1))</f>
        <v/>
      </c>
      <c r="O3888" s="7">
        <f>IF(COUNTA(A3888:K3888)=0,"",IF(OR(A3888="",B3888=""),"Preencher CPF e entrada",IF(COUNTIFS($A$12:$A$5011,A3888,$B$12:$B$5011,B3888)&gt;1,"CPF + dia duplicado",IF(OR(AND(G3888&lt;&gt;"",G3888&lt;&gt;0,G3888&lt;&gt;1),AND(H3888&lt;&gt;"",H3888&lt;&gt;0,H3888&lt;&gt;1)),"Flags devem ser 0 ou 1",IF(AND(H3888=1,LEN(TRIM(I3888))=0),"Preencher nome do indicante",IF(AND(H3888&lt;&gt;1,I3888&lt;&gt;""),"Nome sem indicação interna",IF(AND(G3888=1,F3888=""),"Fechamento sem conversa",IF(OR(AND(E3888&lt;&gt;"",E3888&lt;B3888),AND(F3888&lt;&gt;"",F3888&lt;B3888)),"Evento anterior à entrada",IF(AND(F3888&lt;&gt;"",E3888=""),"Conversa sem agendamento",IF(OR(E3888&gt;TODAY(),F3888&gt;TODAY()),"Verificar evento futuro","OK"))))))))))</f>
        <v/>
      </c>
    </row>
    <row r="3889" spans="12:15">
      <c r="L3889" s="5">
        <f>IF(OR(A3889="",B3889=""),"",B3889-WEEKDAY(B3889,2)+1)</f>
        <v/>
      </c>
      <c r="M3889" s="5">
        <f>IF(L3889="","",L3889+6)</f>
        <v/>
      </c>
      <c r="N3889" s="6">
        <f>IF(OR(A3889="",B3889=""),"",DATE(YEAR(B3889),MONTH(B3889),1))</f>
        <v/>
      </c>
      <c r="O3889" s="7">
        <f>IF(COUNTA(A3889:K3889)=0,"",IF(OR(A3889="",B3889=""),"Preencher CPF e entrada",IF(COUNTIFS($A$12:$A$5011,A3889,$B$12:$B$5011,B3889)&gt;1,"CPF + dia duplicado",IF(OR(AND(G3889&lt;&gt;"",G3889&lt;&gt;0,G3889&lt;&gt;1),AND(H3889&lt;&gt;"",H3889&lt;&gt;0,H3889&lt;&gt;1)),"Flags devem ser 0 ou 1",IF(AND(H3889=1,LEN(TRIM(I3889))=0),"Preencher nome do indicante",IF(AND(H3889&lt;&gt;1,I3889&lt;&gt;""),"Nome sem indicação interna",IF(AND(G3889=1,F3889=""),"Fechamento sem conversa",IF(OR(AND(E3889&lt;&gt;"",E3889&lt;B3889),AND(F3889&lt;&gt;"",F3889&lt;B3889)),"Evento anterior à entrada",IF(AND(F3889&lt;&gt;"",E3889=""),"Conversa sem agendamento",IF(OR(E3889&gt;TODAY(),F3889&gt;TODAY()),"Verificar evento futuro","OK"))))))))))</f>
        <v/>
      </c>
    </row>
    <row r="3890" spans="12:15">
      <c r="L3890" s="5">
        <f>IF(OR(A3890="",B3890=""),"",B3890-WEEKDAY(B3890,2)+1)</f>
        <v/>
      </c>
      <c r="M3890" s="5">
        <f>IF(L3890="","",L3890+6)</f>
        <v/>
      </c>
      <c r="N3890" s="6">
        <f>IF(OR(A3890="",B3890=""),"",DATE(YEAR(B3890),MONTH(B3890),1))</f>
        <v/>
      </c>
      <c r="O3890" s="7">
        <f>IF(COUNTA(A3890:K3890)=0,"",IF(OR(A3890="",B3890=""),"Preencher CPF e entrada",IF(COUNTIFS($A$12:$A$5011,A3890,$B$12:$B$5011,B3890)&gt;1,"CPF + dia duplicado",IF(OR(AND(G3890&lt;&gt;"",G3890&lt;&gt;0,G3890&lt;&gt;1),AND(H3890&lt;&gt;"",H3890&lt;&gt;0,H3890&lt;&gt;1)),"Flags devem ser 0 ou 1",IF(AND(H3890=1,LEN(TRIM(I3890))=0),"Preencher nome do indicante",IF(AND(H3890&lt;&gt;1,I3890&lt;&gt;""),"Nome sem indicação interna",IF(AND(G3890=1,F3890=""),"Fechamento sem conversa",IF(OR(AND(E3890&lt;&gt;"",E3890&lt;B3890),AND(F3890&lt;&gt;"",F3890&lt;B3890)),"Evento anterior à entrada",IF(AND(F3890&lt;&gt;"",E3890=""),"Conversa sem agendamento",IF(OR(E3890&gt;TODAY(),F3890&gt;TODAY()),"Verificar evento futuro","OK"))))))))))</f>
        <v/>
      </c>
    </row>
    <row r="3891" spans="12:15">
      <c r="L3891" s="5">
        <f>IF(OR(A3891="",B3891=""),"",B3891-WEEKDAY(B3891,2)+1)</f>
        <v/>
      </c>
      <c r="M3891" s="5">
        <f>IF(L3891="","",L3891+6)</f>
        <v/>
      </c>
      <c r="N3891" s="6">
        <f>IF(OR(A3891="",B3891=""),"",DATE(YEAR(B3891),MONTH(B3891),1))</f>
        <v/>
      </c>
      <c r="O3891" s="7">
        <f>IF(COUNTA(A3891:K3891)=0,"",IF(OR(A3891="",B3891=""),"Preencher CPF e entrada",IF(COUNTIFS($A$12:$A$5011,A3891,$B$12:$B$5011,B3891)&gt;1,"CPF + dia duplicado",IF(OR(AND(G3891&lt;&gt;"",G3891&lt;&gt;0,G3891&lt;&gt;1),AND(H3891&lt;&gt;"",H3891&lt;&gt;0,H3891&lt;&gt;1)),"Flags devem ser 0 ou 1",IF(AND(H3891=1,LEN(TRIM(I3891))=0),"Preencher nome do indicante",IF(AND(H3891&lt;&gt;1,I3891&lt;&gt;""),"Nome sem indicação interna",IF(AND(G3891=1,F3891=""),"Fechamento sem conversa",IF(OR(AND(E3891&lt;&gt;"",E3891&lt;B3891),AND(F3891&lt;&gt;"",F3891&lt;B3891)),"Evento anterior à entrada",IF(AND(F3891&lt;&gt;"",E3891=""),"Conversa sem agendamento",IF(OR(E3891&gt;TODAY(),F3891&gt;TODAY()),"Verificar evento futuro","OK"))))))))))</f>
        <v/>
      </c>
    </row>
    <row r="3892" spans="12:15">
      <c r="L3892" s="5">
        <f>IF(OR(A3892="",B3892=""),"",B3892-WEEKDAY(B3892,2)+1)</f>
        <v/>
      </c>
      <c r="M3892" s="5">
        <f>IF(L3892="","",L3892+6)</f>
        <v/>
      </c>
      <c r="N3892" s="6">
        <f>IF(OR(A3892="",B3892=""),"",DATE(YEAR(B3892),MONTH(B3892),1))</f>
        <v/>
      </c>
      <c r="O3892" s="7">
        <f>IF(COUNTA(A3892:K3892)=0,"",IF(OR(A3892="",B3892=""),"Preencher CPF e entrada",IF(COUNTIFS($A$12:$A$5011,A3892,$B$12:$B$5011,B3892)&gt;1,"CPF + dia duplicado",IF(OR(AND(G3892&lt;&gt;"",G3892&lt;&gt;0,G3892&lt;&gt;1),AND(H3892&lt;&gt;"",H3892&lt;&gt;0,H3892&lt;&gt;1)),"Flags devem ser 0 ou 1",IF(AND(H3892=1,LEN(TRIM(I3892))=0),"Preencher nome do indicante",IF(AND(H3892&lt;&gt;1,I3892&lt;&gt;""),"Nome sem indicação interna",IF(AND(G3892=1,F3892=""),"Fechamento sem conversa",IF(OR(AND(E3892&lt;&gt;"",E3892&lt;B3892),AND(F3892&lt;&gt;"",F3892&lt;B3892)),"Evento anterior à entrada",IF(AND(F3892&lt;&gt;"",E3892=""),"Conversa sem agendamento",IF(OR(E3892&gt;TODAY(),F3892&gt;TODAY()),"Verificar evento futuro","OK"))))))))))</f>
        <v/>
      </c>
    </row>
    <row r="3893" spans="12:15">
      <c r="L3893" s="5">
        <f>IF(OR(A3893="",B3893=""),"",B3893-WEEKDAY(B3893,2)+1)</f>
        <v/>
      </c>
      <c r="M3893" s="5">
        <f>IF(L3893="","",L3893+6)</f>
        <v/>
      </c>
      <c r="N3893" s="6">
        <f>IF(OR(A3893="",B3893=""),"",DATE(YEAR(B3893),MONTH(B3893),1))</f>
        <v/>
      </c>
      <c r="O3893" s="7">
        <f>IF(COUNTA(A3893:K3893)=0,"",IF(OR(A3893="",B3893=""),"Preencher CPF e entrada",IF(COUNTIFS($A$12:$A$5011,A3893,$B$12:$B$5011,B3893)&gt;1,"CPF + dia duplicado",IF(OR(AND(G3893&lt;&gt;"",G3893&lt;&gt;0,G3893&lt;&gt;1),AND(H3893&lt;&gt;"",H3893&lt;&gt;0,H3893&lt;&gt;1)),"Flags devem ser 0 ou 1",IF(AND(H3893=1,LEN(TRIM(I3893))=0),"Preencher nome do indicante",IF(AND(H3893&lt;&gt;1,I3893&lt;&gt;""),"Nome sem indicação interna",IF(AND(G3893=1,F3893=""),"Fechamento sem conversa",IF(OR(AND(E3893&lt;&gt;"",E3893&lt;B3893),AND(F3893&lt;&gt;"",F3893&lt;B3893)),"Evento anterior à entrada",IF(AND(F3893&lt;&gt;"",E3893=""),"Conversa sem agendamento",IF(OR(E3893&gt;TODAY(),F3893&gt;TODAY()),"Verificar evento futuro","OK"))))))))))</f>
        <v/>
      </c>
    </row>
    <row r="3894" spans="12:15">
      <c r="L3894" s="5">
        <f>IF(OR(A3894="",B3894=""),"",B3894-WEEKDAY(B3894,2)+1)</f>
        <v/>
      </c>
      <c r="M3894" s="5">
        <f>IF(L3894="","",L3894+6)</f>
        <v/>
      </c>
      <c r="N3894" s="6">
        <f>IF(OR(A3894="",B3894=""),"",DATE(YEAR(B3894),MONTH(B3894),1))</f>
        <v/>
      </c>
      <c r="O3894" s="7">
        <f>IF(COUNTA(A3894:K3894)=0,"",IF(OR(A3894="",B3894=""),"Preencher CPF e entrada",IF(COUNTIFS($A$12:$A$5011,A3894,$B$12:$B$5011,B3894)&gt;1,"CPF + dia duplicado",IF(OR(AND(G3894&lt;&gt;"",G3894&lt;&gt;0,G3894&lt;&gt;1),AND(H3894&lt;&gt;"",H3894&lt;&gt;0,H3894&lt;&gt;1)),"Flags devem ser 0 ou 1",IF(AND(H3894=1,LEN(TRIM(I3894))=0),"Preencher nome do indicante",IF(AND(H3894&lt;&gt;1,I3894&lt;&gt;""),"Nome sem indicação interna",IF(AND(G3894=1,F3894=""),"Fechamento sem conversa",IF(OR(AND(E3894&lt;&gt;"",E3894&lt;B3894),AND(F3894&lt;&gt;"",F3894&lt;B3894)),"Evento anterior à entrada",IF(AND(F3894&lt;&gt;"",E3894=""),"Conversa sem agendamento",IF(OR(E3894&gt;TODAY(),F3894&gt;TODAY()),"Verificar evento futuro","OK"))))))))))</f>
        <v/>
      </c>
    </row>
    <row r="3895" spans="12:15">
      <c r="L3895" s="5">
        <f>IF(OR(A3895="",B3895=""),"",B3895-WEEKDAY(B3895,2)+1)</f>
        <v/>
      </c>
      <c r="M3895" s="5">
        <f>IF(L3895="","",L3895+6)</f>
        <v/>
      </c>
      <c r="N3895" s="6">
        <f>IF(OR(A3895="",B3895=""),"",DATE(YEAR(B3895),MONTH(B3895),1))</f>
        <v/>
      </c>
      <c r="O3895" s="7">
        <f>IF(COUNTA(A3895:K3895)=0,"",IF(OR(A3895="",B3895=""),"Preencher CPF e entrada",IF(COUNTIFS($A$12:$A$5011,A3895,$B$12:$B$5011,B3895)&gt;1,"CPF + dia duplicado",IF(OR(AND(G3895&lt;&gt;"",G3895&lt;&gt;0,G3895&lt;&gt;1),AND(H3895&lt;&gt;"",H3895&lt;&gt;0,H3895&lt;&gt;1)),"Flags devem ser 0 ou 1",IF(AND(H3895=1,LEN(TRIM(I3895))=0),"Preencher nome do indicante",IF(AND(H3895&lt;&gt;1,I3895&lt;&gt;""),"Nome sem indicação interna",IF(AND(G3895=1,F3895=""),"Fechamento sem conversa",IF(OR(AND(E3895&lt;&gt;"",E3895&lt;B3895),AND(F3895&lt;&gt;"",F3895&lt;B3895)),"Evento anterior à entrada",IF(AND(F3895&lt;&gt;"",E3895=""),"Conversa sem agendamento",IF(OR(E3895&gt;TODAY(),F3895&gt;TODAY()),"Verificar evento futuro","OK"))))))))))</f>
        <v/>
      </c>
    </row>
    <row r="3896" spans="12:15">
      <c r="L3896" s="5">
        <f>IF(OR(A3896="",B3896=""),"",B3896-WEEKDAY(B3896,2)+1)</f>
        <v/>
      </c>
      <c r="M3896" s="5">
        <f>IF(L3896="","",L3896+6)</f>
        <v/>
      </c>
      <c r="N3896" s="6">
        <f>IF(OR(A3896="",B3896=""),"",DATE(YEAR(B3896),MONTH(B3896),1))</f>
        <v/>
      </c>
      <c r="O3896" s="7">
        <f>IF(COUNTA(A3896:K3896)=0,"",IF(OR(A3896="",B3896=""),"Preencher CPF e entrada",IF(COUNTIFS($A$12:$A$5011,A3896,$B$12:$B$5011,B3896)&gt;1,"CPF + dia duplicado",IF(OR(AND(G3896&lt;&gt;"",G3896&lt;&gt;0,G3896&lt;&gt;1),AND(H3896&lt;&gt;"",H3896&lt;&gt;0,H3896&lt;&gt;1)),"Flags devem ser 0 ou 1",IF(AND(H3896=1,LEN(TRIM(I3896))=0),"Preencher nome do indicante",IF(AND(H3896&lt;&gt;1,I3896&lt;&gt;""),"Nome sem indicação interna",IF(AND(G3896=1,F3896=""),"Fechamento sem conversa",IF(OR(AND(E3896&lt;&gt;"",E3896&lt;B3896),AND(F3896&lt;&gt;"",F3896&lt;B3896)),"Evento anterior à entrada",IF(AND(F3896&lt;&gt;"",E3896=""),"Conversa sem agendamento",IF(OR(E3896&gt;TODAY(),F3896&gt;TODAY()),"Verificar evento futuro","OK"))))))))))</f>
        <v/>
      </c>
    </row>
    <row r="3897" spans="12:15">
      <c r="L3897" s="5">
        <f>IF(OR(A3897="",B3897=""),"",B3897-WEEKDAY(B3897,2)+1)</f>
        <v/>
      </c>
      <c r="M3897" s="5">
        <f>IF(L3897="","",L3897+6)</f>
        <v/>
      </c>
      <c r="N3897" s="6">
        <f>IF(OR(A3897="",B3897=""),"",DATE(YEAR(B3897),MONTH(B3897),1))</f>
        <v/>
      </c>
      <c r="O3897" s="7">
        <f>IF(COUNTA(A3897:K3897)=0,"",IF(OR(A3897="",B3897=""),"Preencher CPF e entrada",IF(COUNTIFS($A$12:$A$5011,A3897,$B$12:$B$5011,B3897)&gt;1,"CPF + dia duplicado",IF(OR(AND(G3897&lt;&gt;"",G3897&lt;&gt;0,G3897&lt;&gt;1),AND(H3897&lt;&gt;"",H3897&lt;&gt;0,H3897&lt;&gt;1)),"Flags devem ser 0 ou 1",IF(AND(H3897=1,LEN(TRIM(I3897))=0),"Preencher nome do indicante",IF(AND(H3897&lt;&gt;1,I3897&lt;&gt;""),"Nome sem indicação interna",IF(AND(G3897=1,F3897=""),"Fechamento sem conversa",IF(OR(AND(E3897&lt;&gt;"",E3897&lt;B3897),AND(F3897&lt;&gt;"",F3897&lt;B3897)),"Evento anterior à entrada",IF(AND(F3897&lt;&gt;"",E3897=""),"Conversa sem agendamento",IF(OR(E3897&gt;TODAY(),F3897&gt;TODAY()),"Verificar evento futuro","OK"))))))))))</f>
        <v/>
      </c>
    </row>
    <row r="3898" spans="12:15">
      <c r="L3898" s="5">
        <f>IF(OR(A3898="",B3898=""),"",B3898-WEEKDAY(B3898,2)+1)</f>
        <v/>
      </c>
      <c r="M3898" s="5">
        <f>IF(L3898="","",L3898+6)</f>
        <v/>
      </c>
      <c r="N3898" s="6">
        <f>IF(OR(A3898="",B3898=""),"",DATE(YEAR(B3898),MONTH(B3898),1))</f>
        <v/>
      </c>
      <c r="O3898" s="7">
        <f>IF(COUNTA(A3898:K3898)=0,"",IF(OR(A3898="",B3898=""),"Preencher CPF e entrada",IF(COUNTIFS($A$12:$A$5011,A3898,$B$12:$B$5011,B3898)&gt;1,"CPF + dia duplicado",IF(OR(AND(G3898&lt;&gt;"",G3898&lt;&gt;0,G3898&lt;&gt;1),AND(H3898&lt;&gt;"",H3898&lt;&gt;0,H3898&lt;&gt;1)),"Flags devem ser 0 ou 1",IF(AND(H3898=1,LEN(TRIM(I3898))=0),"Preencher nome do indicante",IF(AND(H3898&lt;&gt;1,I3898&lt;&gt;""),"Nome sem indicação interna",IF(AND(G3898=1,F3898=""),"Fechamento sem conversa",IF(OR(AND(E3898&lt;&gt;"",E3898&lt;B3898),AND(F3898&lt;&gt;"",F3898&lt;B3898)),"Evento anterior à entrada",IF(AND(F3898&lt;&gt;"",E3898=""),"Conversa sem agendamento",IF(OR(E3898&gt;TODAY(),F3898&gt;TODAY()),"Verificar evento futuro","OK"))))))))))</f>
        <v/>
      </c>
    </row>
    <row r="3899" spans="12:15">
      <c r="L3899" s="5">
        <f>IF(OR(A3899="",B3899=""),"",B3899-WEEKDAY(B3899,2)+1)</f>
        <v/>
      </c>
      <c r="M3899" s="5">
        <f>IF(L3899="","",L3899+6)</f>
        <v/>
      </c>
      <c r="N3899" s="6">
        <f>IF(OR(A3899="",B3899=""),"",DATE(YEAR(B3899),MONTH(B3899),1))</f>
        <v/>
      </c>
      <c r="O3899" s="7">
        <f>IF(COUNTA(A3899:K3899)=0,"",IF(OR(A3899="",B3899=""),"Preencher CPF e entrada",IF(COUNTIFS($A$12:$A$5011,A3899,$B$12:$B$5011,B3899)&gt;1,"CPF + dia duplicado",IF(OR(AND(G3899&lt;&gt;"",G3899&lt;&gt;0,G3899&lt;&gt;1),AND(H3899&lt;&gt;"",H3899&lt;&gt;0,H3899&lt;&gt;1)),"Flags devem ser 0 ou 1",IF(AND(H3899=1,LEN(TRIM(I3899))=0),"Preencher nome do indicante",IF(AND(H3899&lt;&gt;1,I3899&lt;&gt;""),"Nome sem indicação interna",IF(AND(G3899=1,F3899=""),"Fechamento sem conversa",IF(OR(AND(E3899&lt;&gt;"",E3899&lt;B3899),AND(F3899&lt;&gt;"",F3899&lt;B3899)),"Evento anterior à entrada",IF(AND(F3899&lt;&gt;"",E3899=""),"Conversa sem agendamento",IF(OR(E3899&gt;TODAY(),F3899&gt;TODAY()),"Verificar evento futuro","OK"))))))))))</f>
        <v/>
      </c>
    </row>
    <row r="3900" spans="12:15">
      <c r="L3900" s="5">
        <f>IF(OR(A3900="",B3900=""),"",B3900-WEEKDAY(B3900,2)+1)</f>
        <v/>
      </c>
      <c r="M3900" s="5">
        <f>IF(L3900="","",L3900+6)</f>
        <v/>
      </c>
      <c r="N3900" s="6">
        <f>IF(OR(A3900="",B3900=""),"",DATE(YEAR(B3900),MONTH(B3900),1))</f>
        <v/>
      </c>
      <c r="O3900" s="7">
        <f>IF(COUNTA(A3900:K3900)=0,"",IF(OR(A3900="",B3900=""),"Preencher CPF e entrada",IF(COUNTIFS($A$12:$A$5011,A3900,$B$12:$B$5011,B3900)&gt;1,"CPF + dia duplicado",IF(OR(AND(G3900&lt;&gt;"",G3900&lt;&gt;0,G3900&lt;&gt;1),AND(H3900&lt;&gt;"",H3900&lt;&gt;0,H3900&lt;&gt;1)),"Flags devem ser 0 ou 1",IF(AND(H3900=1,LEN(TRIM(I3900))=0),"Preencher nome do indicante",IF(AND(H3900&lt;&gt;1,I3900&lt;&gt;""),"Nome sem indicação interna",IF(AND(G3900=1,F3900=""),"Fechamento sem conversa",IF(OR(AND(E3900&lt;&gt;"",E3900&lt;B3900),AND(F3900&lt;&gt;"",F3900&lt;B3900)),"Evento anterior à entrada",IF(AND(F3900&lt;&gt;"",E3900=""),"Conversa sem agendamento",IF(OR(E3900&gt;TODAY(),F3900&gt;TODAY()),"Verificar evento futuro","OK"))))))))))</f>
        <v/>
      </c>
    </row>
    <row r="3901" spans="12:15">
      <c r="L3901" s="5">
        <f>IF(OR(A3901="",B3901=""),"",B3901-WEEKDAY(B3901,2)+1)</f>
        <v/>
      </c>
      <c r="M3901" s="5">
        <f>IF(L3901="","",L3901+6)</f>
        <v/>
      </c>
      <c r="N3901" s="6">
        <f>IF(OR(A3901="",B3901=""),"",DATE(YEAR(B3901),MONTH(B3901),1))</f>
        <v/>
      </c>
      <c r="O3901" s="7">
        <f>IF(COUNTA(A3901:K3901)=0,"",IF(OR(A3901="",B3901=""),"Preencher CPF e entrada",IF(COUNTIFS($A$12:$A$5011,A3901,$B$12:$B$5011,B3901)&gt;1,"CPF + dia duplicado",IF(OR(AND(G3901&lt;&gt;"",G3901&lt;&gt;0,G3901&lt;&gt;1),AND(H3901&lt;&gt;"",H3901&lt;&gt;0,H3901&lt;&gt;1)),"Flags devem ser 0 ou 1",IF(AND(H3901=1,LEN(TRIM(I3901))=0),"Preencher nome do indicante",IF(AND(H3901&lt;&gt;1,I3901&lt;&gt;""),"Nome sem indicação interna",IF(AND(G3901=1,F3901=""),"Fechamento sem conversa",IF(OR(AND(E3901&lt;&gt;"",E3901&lt;B3901),AND(F3901&lt;&gt;"",F3901&lt;B3901)),"Evento anterior à entrada",IF(AND(F3901&lt;&gt;"",E3901=""),"Conversa sem agendamento",IF(OR(E3901&gt;TODAY(),F3901&gt;TODAY()),"Verificar evento futuro","OK"))))))))))</f>
        <v/>
      </c>
    </row>
    <row r="3902" spans="12:15">
      <c r="L3902" s="5">
        <f>IF(OR(A3902="",B3902=""),"",B3902-WEEKDAY(B3902,2)+1)</f>
        <v/>
      </c>
      <c r="M3902" s="5">
        <f>IF(L3902="","",L3902+6)</f>
        <v/>
      </c>
      <c r="N3902" s="6">
        <f>IF(OR(A3902="",B3902=""),"",DATE(YEAR(B3902),MONTH(B3902),1))</f>
        <v/>
      </c>
      <c r="O3902" s="7">
        <f>IF(COUNTA(A3902:K3902)=0,"",IF(OR(A3902="",B3902=""),"Preencher CPF e entrada",IF(COUNTIFS($A$12:$A$5011,A3902,$B$12:$B$5011,B3902)&gt;1,"CPF + dia duplicado",IF(OR(AND(G3902&lt;&gt;"",G3902&lt;&gt;0,G3902&lt;&gt;1),AND(H3902&lt;&gt;"",H3902&lt;&gt;0,H3902&lt;&gt;1)),"Flags devem ser 0 ou 1",IF(AND(H3902=1,LEN(TRIM(I3902))=0),"Preencher nome do indicante",IF(AND(H3902&lt;&gt;1,I3902&lt;&gt;""),"Nome sem indicação interna",IF(AND(G3902=1,F3902=""),"Fechamento sem conversa",IF(OR(AND(E3902&lt;&gt;"",E3902&lt;B3902),AND(F3902&lt;&gt;"",F3902&lt;B3902)),"Evento anterior à entrada",IF(AND(F3902&lt;&gt;"",E3902=""),"Conversa sem agendamento",IF(OR(E3902&gt;TODAY(),F3902&gt;TODAY()),"Verificar evento futuro","OK"))))))))))</f>
        <v/>
      </c>
    </row>
    <row r="3903" spans="12:15">
      <c r="L3903" s="5">
        <f>IF(OR(A3903="",B3903=""),"",B3903-WEEKDAY(B3903,2)+1)</f>
        <v/>
      </c>
      <c r="M3903" s="5">
        <f>IF(L3903="","",L3903+6)</f>
        <v/>
      </c>
      <c r="N3903" s="6">
        <f>IF(OR(A3903="",B3903=""),"",DATE(YEAR(B3903),MONTH(B3903),1))</f>
        <v/>
      </c>
      <c r="O3903" s="7">
        <f>IF(COUNTA(A3903:K3903)=0,"",IF(OR(A3903="",B3903=""),"Preencher CPF e entrada",IF(COUNTIFS($A$12:$A$5011,A3903,$B$12:$B$5011,B3903)&gt;1,"CPF + dia duplicado",IF(OR(AND(G3903&lt;&gt;"",G3903&lt;&gt;0,G3903&lt;&gt;1),AND(H3903&lt;&gt;"",H3903&lt;&gt;0,H3903&lt;&gt;1)),"Flags devem ser 0 ou 1",IF(AND(H3903=1,LEN(TRIM(I3903))=0),"Preencher nome do indicante",IF(AND(H3903&lt;&gt;1,I3903&lt;&gt;""),"Nome sem indicação interna",IF(AND(G3903=1,F3903=""),"Fechamento sem conversa",IF(OR(AND(E3903&lt;&gt;"",E3903&lt;B3903),AND(F3903&lt;&gt;"",F3903&lt;B3903)),"Evento anterior à entrada",IF(AND(F3903&lt;&gt;"",E3903=""),"Conversa sem agendamento",IF(OR(E3903&gt;TODAY(),F3903&gt;TODAY()),"Verificar evento futuro","OK"))))))))))</f>
        <v/>
      </c>
    </row>
    <row r="3904" spans="12:15">
      <c r="L3904" s="5">
        <f>IF(OR(A3904="",B3904=""),"",B3904-WEEKDAY(B3904,2)+1)</f>
        <v/>
      </c>
      <c r="M3904" s="5">
        <f>IF(L3904="","",L3904+6)</f>
        <v/>
      </c>
      <c r="N3904" s="6">
        <f>IF(OR(A3904="",B3904=""),"",DATE(YEAR(B3904),MONTH(B3904),1))</f>
        <v/>
      </c>
      <c r="O3904" s="7">
        <f>IF(COUNTA(A3904:K3904)=0,"",IF(OR(A3904="",B3904=""),"Preencher CPF e entrada",IF(COUNTIFS($A$12:$A$5011,A3904,$B$12:$B$5011,B3904)&gt;1,"CPF + dia duplicado",IF(OR(AND(G3904&lt;&gt;"",G3904&lt;&gt;0,G3904&lt;&gt;1),AND(H3904&lt;&gt;"",H3904&lt;&gt;0,H3904&lt;&gt;1)),"Flags devem ser 0 ou 1",IF(AND(H3904=1,LEN(TRIM(I3904))=0),"Preencher nome do indicante",IF(AND(H3904&lt;&gt;1,I3904&lt;&gt;""),"Nome sem indicação interna",IF(AND(G3904=1,F3904=""),"Fechamento sem conversa",IF(OR(AND(E3904&lt;&gt;"",E3904&lt;B3904),AND(F3904&lt;&gt;"",F3904&lt;B3904)),"Evento anterior à entrada",IF(AND(F3904&lt;&gt;"",E3904=""),"Conversa sem agendamento",IF(OR(E3904&gt;TODAY(),F3904&gt;TODAY()),"Verificar evento futuro","OK"))))))))))</f>
        <v/>
      </c>
    </row>
    <row r="3905" spans="12:15">
      <c r="L3905" s="5">
        <f>IF(OR(A3905="",B3905=""),"",B3905-WEEKDAY(B3905,2)+1)</f>
        <v/>
      </c>
      <c r="M3905" s="5">
        <f>IF(L3905="","",L3905+6)</f>
        <v/>
      </c>
      <c r="N3905" s="6">
        <f>IF(OR(A3905="",B3905=""),"",DATE(YEAR(B3905),MONTH(B3905),1))</f>
        <v/>
      </c>
      <c r="O3905" s="7">
        <f>IF(COUNTA(A3905:K3905)=0,"",IF(OR(A3905="",B3905=""),"Preencher CPF e entrada",IF(COUNTIFS($A$12:$A$5011,A3905,$B$12:$B$5011,B3905)&gt;1,"CPF + dia duplicado",IF(OR(AND(G3905&lt;&gt;"",G3905&lt;&gt;0,G3905&lt;&gt;1),AND(H3905&lt;&gt;"",H3905&lt;&gt;0,H3905&lt;&gt;1)),"Flags devem ser 0 ou 1",IF(AND(H3905=1,LEN(TRIM(I3905))=0),"Preencher nome do indicante",IF(AND(H3905&lt;&gt;1,I3905&lt;&gt;""),"Nome sem indicação interna",IF(AND(G3905=1,F3905=""),"Fechamento sem conversa",IF(OR(AND(E3905&lt;&gt;"",E3905&lt;B3905),AND(F3905&lt;&gt;"",F3905&lt;B3905)),"Evento anterior à entrada",IF(AND(F3905&lt;&gt;"",E3905=""),"Conversa sem agendamento",IF(OR(E3905&gt;TODAY(),F3905&gt;TODAY()),"Verificar evento futuro","OK"))))))))))</f>
        <v/>
      </c>
    </row>
    <row r="3906" spans="12:15">
      <c r="L3906" s="5">
        <f>IF(OR(A3906="",B3906=""),"",B3906-WEEKDAY(B3906,2)+1)</f>
        <v/>
      </c>
      <c r="M3906" s="5">
        <f>IF(L3906="","",L3906+6)</f>
        <v/>
      </c>
      <c r="N3906" s="6">
        <f>IF(OR(A3906="",B3906=""),"",DATE(YEAR(B3906),MONTH(B3906),1))</f>
        <v/>
      </c>
      <c r="O3906" s="7">
        <f>IF(COUNTA(A3906:K3906)=0,"",IF(OR(A3906="",B3906=""),"Preencher CPF e entrada",IF(COUNTIFS($A$12:$A$5011,A3906,$B$12:$B$5011,B3906)&gt;1,"CPF + dia duplicado",IF(OR(AND(G3906&lt;&gt;"",G3906&lt;&gt;0,G3906&lt;&gt;1),AND(H3906&lt;&gt;"",H3906&lt;&gt;0,H3906&lt;&gt;1)),"Flags devem ser 0 ou 1",IF(AND(H3906=1,LEN(TRIM(I3906))=0),"Preencher nome do indicante",IF(AND(H3906&lt;&gt;1,I3906&lt;&gt;""),"Nome sem indicação interna",IF(AND(G3906=1,F3906=""),"Fechamento sem conversa",IF(OR(AND(E3906&lt;&gt;"",E3906&lt;B3906),AND(F3906&lt;&gt;"",F3906&lt;B3906)),"Evento anterior à entrada",IF(AND(F3906&lt;&gt;"",E3906=""),"Conversa sem agendamento",IF(OR(E3906&gt;TODAY(),F3906&gt;TODAY()),"Verificar evento futuro","OK"))))))))))</f>
        <v/>
      </c>
    </row>
    <row r="3907" spans="12:15">
      <c r="L3907" s="5">
        <f>IF(OR(A3907="",B3907=""),"",B3907-WEEKDAY(B3907,2)+1)</f>
        <v/>
      </c>
      <c r="M3907" s="5">
        <f>IF(L3907="","",L3907+6)</f>
        <v/>
      </c>
      <c r="N3907" s="6">
        <f>IF(OR(A3907="",B3907=""),"",DATE(YEAR(B3907),MONTH(B3907),1))</f>
        <v/>
      </c>
      <c r="O3907" s="7">
        <f>IF(COUNTA(A3907:K3907)=0,"",IF(OR(A3907="",B3907=""),"Preencher CPF e entrada",IF(COUNTIFS($A$12:$A$5011,A3907,$B$12:$B$5011,B3907)&gt;1,"CPF + dia duplicado",IF(OR(AND(G3907&lt;&gt;"",G3907&lt;&gt;0,G3907&lt;&gt;1),AND(H3907&lt;&gt;"",H3907&lt;&gt;0,H3907&lt;&gt;1)),"Flags devem ser 0 ou 1",IF(AND(H3907=1,LEN(TRIM(I3907))=0),"Preencher nome do indicante",IF(AND(H3907&lt;&gt;1,I3907&lt;&gt;""),"Nome sem indicação interna",IF(AND(G3907=1,F3907=""),"Fechamento sem conversa",IF(OR(AND(E3907&lt;&gt;"",E3907&lt;B3907),AND(F3907&lt;&gt;"",F3907&lt;B3907)),"Evento anterior à entrada",IF(AND(F3907&lt;&gt;"",E3907=""),"Conversa sem agendamento",IF(OR(E3907&gt;TODAY(),F3907&gt;TODAY()),"Verificar evento futuro","OK"))))))))))</f>
        <v/>
      </c>
    </row>
    <row r="3908" spans="12:15">
      <c r="L3908" s="5">
        <f>IF(OR(A3908="",B3908=""),"",B3908-WEEKDAY(B3908,2)+1)</f>
        <v/>
      </c>
      <c r="M3908" s="5">
        <f>IF(L3908="","",L3908+6)</f>
        <v/>
      </c>
      <c r="N3908" s="6">
        <f>IF(OR(A3908="",B3908=""),"",DATE(YEAR(B3908),MONTH(B3908),1))</f>
        <v/>
      </c>
      <c r="O3908" s="7">
        <f>IF(COUNTA(A3908:K3908)=0,"",IF(OR(A3908="",B3908=""),"Preencher CPF e entrada",IF(COUNTIFS($A$12:$A$5011,A3908,$B$12:$B$5011,B3908)&gt;1,"CPF + dia duplicado",IF(OR(AND(G3908&lt;&gt;"",G3908&lt;&gt;0,G3908&lt;&gt;1),AND(H3908&lt;&gt;"",H3908&lt;&gt;0,H3908&lt;&gt;1)),"Flags devem ser 0 ou 1",IF(AND(H3908=1,LEN(TRIM(I3908))=0),"Preencher nome do indicante",IF(AND(H3908&lt;&gt;1,I3908&lt;&gt;""),"Nome sem indicação interna",IF(AND(G3908=1,F3908=""),"Fechamento sem conversa",IF(OR(AND(E3908&lt;&gt;"",E3908&lt;B3908),AND(F3908&lt;&gt;"",F3908&lt;B3908)),"Evento anterior à entrada",IF(AND(F3908&lt;&gt;"",E3908=""),"Conversa sem agendamento",IF(OR(E3908&gt;TODAY(),F3908&gt;TODAY()),"Verificar evento futuro","OK"))))))))))</f>
        <v/>
      </c>
    </row>
    <row r="3909" spans="12:15">
      <c r="L3909" s="5">
        <f>IF(OR(A3909="",B3909=""),"",B3909-WEEKDAY(B3909,2)+1)</f>
        <v/>
      </c>
      <c r="M3909" s="5">
        <f>IF(L3909="","",L3909+6)</f>
        <v/>
      </c>
      <c r="N3909" s="6">
        <f>IF(OR(A3909="",B3909=""),"",DATE(YEAR(B3909),MONTH(B3909),1))</f>
        <v/>
      </c>
      <c r="O3909" s="7">
        <f>IF(COUNTA(A3909:K3909)=0,"",IF(OR(A3909="",B3909=""),"Preencher CPF e entrada",IF(COUNTIFS($A$12:$A$5011,A3909,$B$12:$B$5011,B3909)&gt;1,"CPF + dia duplicado",IF(OR(AND(G3909&lt;&gt;"",G3909&lt;&gt;0,G3909&lt;&gt;1),AND(H3909&lt;&gt;"",H3909&lt;&gt;0,H3909&lt;&gt;1)),"Flags devem ser 0 ou 1",IF(AND(H3909=1,LEN(TRIM(I3909))=0),"Preencher nome do indicante",IF(AND(H3909&lt;&gt;1,I3909&lt;&gt;""),"Nome sem indicação interna",IF(AND(G3909=1,F3909=""),"Fechamento sem conversa",IF(OR(AND(E3909&lt;&gt;"",E3909&lt;B3909),AND(F3909&lt;&gt;"",F3909&lt;B3909)),"Evento anterior à entrada",IF(AND(F3909&lt;&gt;"",E3909=""),"Conversa sem agendamento",IF(OR(E3909&gt;TODAY(),F3909&gt;TODAY()),"Verificar evento futuro","OK"))))))))))</f>
        <v/>
      </c>
    </row>
    <row r="3910" spans="12:15">
      <c r="L3910" s="5">
        <f>IF(OR(A3910="",B3910=""),"",B3910-WEEKDAY(B3910,2)+1)</f>
        <v/>
      </c>
      <c r="M3910" s="5">
        <f>IF(L3910="","",L3910+6)</f>
        <v/>
      </c>
      <c r="N3910" s="6">
        <f>IF(OR(A3910="",B3910=""),"",DATE(YEAR(B3910),MONTH(B3910),1))</f>
        <v/>
      </c>
      <c r="O3910" s="7">
        <f>IF(COUNTA(A3910:K3910)=0,"",IF(OR(A3910="",B3910=""),"Preencher CPF e entrada",IF(COUNTIFS($A$12:$A$5011,A3910,$B$12:$B$5011,B3910)&gt;1,"CPF + dia duplicado",IF(OR(AND(G3910&lt;&gt;"",G3910&lt;&gt;0,G3910&lt;&gt;1),AND(H3910&lt;&gt;"",H3910&lt;&gt;0,H3910&lt;&gt;1)),"Flags devem ser 0 ou 1",IF(AND(H3910=1,LEN(TRIM(I3910))=0),"Preencher nome do indicante",IF(AND(H3910&lt;&gt;1,I3910&lt;&gt;""),"Nome sem indicação interna",IF(AND(G3910=1,F3910=""),"Fechamento sem conversa",IF(OR(AND(E3910&lt;&gt;"",E3910&lt;B3910),AND(F3910&lt;&gt;"",F3910&lt;B3910)),"Evento anterior à entrada",IF(AND(F3910&lt;&gt;"",E3910=""),"Conversa sem agendamento",IF(OR(E3910&gt;TODAY(),F3910&gt;TODAY()),"Verificar evento futuro","OK"))))))))))</f>
        <v/>
      </c>
    </row>
    <row r="3911" spans="12:15">
      <c r="L3911" s="5">
        <f>IF(OR(A3911="",B3911=""),"",B3911-WEEKDAY(B3911,2)+1)</f>
        <v/>
      </c>
      <c r="M3911" s="5">
        <f>IF(L3911="","",L3911+6)</f>
        <v/>
      </c>
      <c r="N3911" s="6">
        <f>IF(OR(A3911="",B3911=""),"",DATE(YEAR(B3911),MONTH(B3911),1))</f>
        <v/>
      </c>
      <c r="O3911" s="7">
        <f>IF(COUNTA(A3911:K3911)=0,"",IF(OR(A3911="",B3911=""),"Preencher CPF e entrada",IF(COUNTIFS($A$12:$A$5011,A3911,$B$12:$B$5011,B3911)&gt;1,"CPF + dia duplicado",IF(OR(AND(G3911&lt;&gt;"",G3911&lt;&gt;0,G3911&lt;&gt;1),AND(H3911&lt;&gt;"",H3911&lt;&gt;0,H3911&lt;&gt;1)),"Flags devem ser 0 ou 1",IF(AND(H3911=1,LEN(TRIM(I3911))=0),"Preencher nome do indicante",IF(AND(H3911&lt;&gt;1,I3911&lt;&gt;""),"Nome sem indicação interna",IF(AND(G3911=1,F3911=""),"Fechamento sem conversa",IF(OR(AND(E3911&lt;&gt;"",E3911&lt;B3911),AND(F3911&lt;&gt;"",F3911&lt;B3911)),"Evento anterior à entrada",IF(AND(F3911&lt;&gt;"",E3911=""),"Conversa sem agendamento",IF(OR(E3911&gt;TODAY(),F3911&gt;TODAY()),"Verificar evento futuro","OK"))))))))))</f>
        <v/>
      </c>
    </row>
    <row r="3912" spans="12:15">
      <c r="L3912" s="5">
        <f>IF(OR(A3912="",B3912=""),"",B3912-WEEKDAY(B3912,2)+1)</f>
        <v/>
      </c>
      <c r="M3912" s="5">
        <f>IF(L3912="","",L3912+6)</f>
        <v/>
      </c>
      <c r="N3912" s="6">
        <f>IF(OR(A3912="",B3912=""),"",DATE(YEAR(B3912),MONTH(B3912),1))</f>
        <v/>
      </c>
      <c r="O3912" s="7">
        <f>IF(COUNTA(A3912:K3912)=0,"",IF(OR(A3912="",B3912=""),"Preencher CPF e entrada",IF(COUNTIFS($A$12:$A$5011,A3912,$B$12:$B$5011,B3912)&gt;1,"CPF + dia duplicado",IF(OR(AND(G3912&lt;&gt;"",G3912&lt;&gt;0,G3912&lt;&gt;1),AND(H3912&lt;&gt;"",H3912&lt;&gt;0,H3912&lt;&gt;1)),"Flags devem ser 0 ou 1",IF(AND(H3912=1,LEN(TRIM(I3912))=0),"Preencher nome do indicante",IF(AND(H3912&lt;&gt;1,I3912&lt;&gt;""),"Nome sem indicação interna",IF(AND(G3912=1,F3912=""),"Fechamento sem conversa",IF(OR(AND(E3912&lt;&gt;"",E3912&lt;B3912),AND(F3912&lt;&gt;"",F3912&lt;B3912)),"Evento anterior à entrada",IF(AND(F3912&lt;&gt;"",E3912=""),"Conversa sem agendamento",IF(OR(E3912&gt;TODAY(),F3912&gt;TODAY()),"Verificar evento futuro","OK"))))))))))</f>
        <v/>
      </c>
    </row>
    <row r="3913" spans="12:15">
      <c r="L3913" s="5">
        <f>IF(OR(A3913="",B3913=""),"",B3913-WEEKDAY(B3913,2)+1)</f>
        <v/>
      </c>
      <c r="M3913" s="5">
        <f>IF(L3913="","",L3913+6)</f>
        <v/>
      </c>
      <c r="N3913" s="6">
        <f>IF(OR(A3913="",B3913=""),"",DATE(YEAR(B3913),MONTH(B3913),1))</f>
        <v/>
      </c>
      <c r="O3913" s="7">
        <f>IF(COUNTA(A3913:K3913)=0,"",IF(OR(A3913="",B3913=""),"Preencher CPF e entrada",IF(COUNTIFS($A$12:$A$5011,A3913,$B$12:$B$5011,B3913)&gt;1,"CPF + dia duplicado",IF(OR(AND(G3913&lt;&gt;"",G3913&lt;&gt;0,G3913&lt;&gt;1),AND(H3913&lt;&gt;"",H3913&lt;&gt;0,H3913&lt;&gt;1)),"Flags devem ser 0 ou 1",IF(AND(H3913=1,LEN(TRIM(I3913))=0),"Preencher nome do indicante",IF(AND(H3913&lt;&gt;1,I3913&lt;&gt;""),"Nome sem indicação interna",IF(AND(G3913=1,F3913=""),"Fechamento sem conversa",IF(OR(AND(E3913&lt;&gt;"",E3913&lt;B3913),AND(F3913&lt;&gt;"",F3913&lt;B3913)),"Evento anterior à entrada",IF(AND(F3913&lt;&gt;"",E3913=""),"Conversa sem agendamento",IF(OR(E3913&gt;TODAY(),F3913&gt;TODAY()),"Verificar evento futuro","OK"))))))))))</f>
        <v/>
      </c>
    </row>
    <row r="3914" spans="12:15">
      <c r="L3914" s="5">
        <f>IF(OR(A3914="",B3914=""),"",B3914-WEEKDAY(B3914,2)+1)</f>
        <v/>
      </c>
      <c r="M3914" s="5">
        <f>IF(L3914="","",L3914+6)</f>
        <v/>
      </c>
      <c r="N3914" s="6">
        <f>IF(OR(A3914="",B3914=""),"",DATE(YEAR(B3914),MONTH(B3914),1))</f>
        <v/>
      </c>
      <c r="O3914" s="7">
        <f>IF(COUNTA(A3914:K3914)=0,"",IF(OR(A3914="",B3914=""),"Preencher CPF e entrada",IF(COUNTIFS($A$12:$A$5011,A3914,$B$12:$B$5011,B3914)&gt;1,"CPF + dia duplicado",IF(OR(AND(G3914&lt;&gt;"",G3914&lt;&gt;0,G3914&lt;&gt;1),AND(H3914&lt;&gt;"",H3914&lt;&gt;0,H3914&lt;&gt;1)),"Flags devem ser 0 ou 1",IF(AND(H3914=1,LEN(TRIM(I3914))=0),"Preencher nome do indicante",IF(AND(H3914&lt;&gt;1,I3914&lt;&gt;""),"Nome sem indicação interna",IF(AND(G3914=1,F3914=""),"Fechamento sem conversa",IF(OR(AND(E3914&lt;&gt;"",E3914&lt;B3914),AND(F3914&lt;&gt;"",F3914&lt;B3914)),"Evento anterior à entrada",IF(AND(F3914&lt;&gt;"",E3914=""),"Conversa sem agendamento",IF(OR(E3914&gt;TODAY(),F3914&gt;TODAY()),"Verificar evento futuro","OK"))))))))))</f>
        <v/>
      </c>
    </row>
    <row r="3915" spans="12:15">
      <c r="L3915" s="5">
        <f>IF(OR(A3915="",B3915=""),"",B3915-WEEKDAY(B3915,2)+1)</f>
        <v/>
      </c>
      <c r="M3915" s="5">
        <f>IF(L3915="","",L3915+6)</f>
        <v/>
      </c>
      <c r="N3915" s="6">
        <f>IF(OR(A3915="",B3915=""),"",DATE(YEAR(B3915),MONTH(B3915),1))</f>
        <v/>
      </c>
      <c r="O3915" s="7">
        <f>IF(COUNTA(A3915:K3915)=0,"",IF(OR(A3915="",B3915=""),"Preencher CPF e entrada",IF(COUNTIFS($A$12:$A$5011,A3915,$B$12:$B$5011,B3915)&gt;1,"CPF + dia duplicado",IF(OR(AND(G3915&lt;&gt;"",G3915&lt;&gt;0,G3915&lt;&gt;1),AND(H3915&lt;&gt;"",H3915&lt;&gt;0,H3915&lt;&gt;1)),"Flags devem ser 0 ou 1",IF(AND(H3915=1,LEN(TRIM(I3915))=0),"Preencher nome do indicante",IF(AND(H3915&lt;&gt;1,I3915&lt;&gt;""),"Nome sem indicação interna",IF(AND(G3915=1,F3915=""),"Fechamento sem conversa",IF(OR(AND(E3915&lt;&gt;"",E3915&lt;B3915),AND(F3915&lt;&gt;"",F3915&lt;B3915)),"Evento anterior à entrada",IF(AND(F3915&lt;&gt;"",E3915=""),"Conversa sem agendamento",IF(OR(E3915&gt;TODAY(),F3915&gt;TODAY()),"Verificar evento futuro","OK"))))))))))</f>
        <v/>
      </c>
    </row>
    <row r="3916" spans="12:15">
      <c r="L3916" s="5">
        <f>IF(OR(A3916="",B3916=""),"",B3916-WEEKDAY(B3916,2)+1)</f>
        <v/>
      </c>
      <c r="M3916" s="5">
        <f>IF(L3916="","",L3916+6)</f>
        <v/>
      </c>
      <c r="N3916" s="6">
        <f>IF(OR(A3916="",B3916=""),"",DATE(YEAR(B3916),MONTH(B3916),1))</f>
        <v/>
      </c>
      <c r="O3916" s="7">
        <f>IF(COUNTA(A3916:K3916)=0,"",IF(OR(A3916="",B3916=""),"Preencher CPF e entrada",IF(COUNTIFS($A$12:$A$5011,A3916,$B$12:$B$5011,B3916)&gt;1,"CPF + dia duplicado",IF(OR(AND(G3916&lt;&gt;"",G3916&lt;&gt;0,G3916&lt;&gt;1),AND(H3916&lt;&gt;"",H3916&lt;&gt;0,H3916&lt;&gt;1)),"Flags devem ser 0 ou 1",IF(AND(H3916=1,LEN(TRIM(I3916))=0),"Preencher nome do indicante",IF(AND(H3916&lt;&gt;1,I3916&lt;&gt;""),"Nome sem indicação interna",IF(AND(G3916=1,F3916=""),"Fechamento sem conversa",IF(OR(AND(E3916&lt;&gt;"",E3916&lt;B3916),AND(F3916&lt;&gt;"",F3916&lt;B3916)),"Evento anterior à entrada",IF(AND(F3916&lt;&gt;"",E3916=""),"Conversa sem agendamento",IF(OR(E3916&gt;TODAY(),F3916&gt;TODAY()),"Verificar evento futuro","OK"))))))))))</f>
        <v/>
      </c>
    </row>
    <row r="3917" spans="12:15">
      <c r="L3917" s="5">
        <f>IF(OR(A3917="",B3917=""),"",B3917-WEEKDAY(B3917,2)+1)</f>
        <v/>
      </c>
      <c r="M3917" s="5">
        <f>IF(L3917="","",L3917+6)</f>
        <v/>
      </c>
      <c r="N3917" s="6">
        <f>IF(OR(A3917="",B3917=""),"",DATE(YEAR(B3917),MONTH(B3917),1))</f>
        <v/>
      </c>
      <c r="O3917" s="7">
        <f>IF(COUNTA(A3917:K3917)=0,"",IF(OR(A3917="",B3917=""),"Preencher CPF e entrada",IF(COUNTIFS($A$12:$A$5011,A3917,$B$12:$B$5011,B3917)&gt;1,"CPF + dia duplicado",IF(OR(AND(G3917&lt;&gt;"",G3917&lt;&gt;0,G3917&lt;&gt;1),AND(H3917&lt;&gt;"",H3917&lt;&gt;0,H3917&lt;&gt;1)),"Flags devem ser 0 ou 1",IF(AND(H3917=1,LEN(TRIM(I3917))=0),"Preencher nome do indicante",IF(AND(H3917&lt;&gt;1,I3917&lt;&gt;""),"Nome sem indicação interna",IF(AND(G3917=1,F3917=""),"Fechamento sem conversa",IF(OR(AND(E3917&lt;&gt;"",E3917&lt;B3917),AND(F3917&lt;&gt;"",F3917&lt;B3917)),"Evento anterior à entrada",IF(AND(F3917&lt;&gt;"",E3917=""),"Conversa sem agendamento",IF(OR(E3917&gt;TODAY(),F3917&gt;TODAY()),"Verificar evento futuro","OK"))))))))))</f>
        <v/>
      </c>
    </row>
    <row r="3918" spans="12:15">
      <c r="L3918" s="5">
        <f>IF(OR(A3918="",B3918=""),"",B3918-WEEKDAY(B3918,2)+1)</f>
        <v/>
      </c>
      <c r="M3918" s="5">
        <f>IF(L3918="","",L3918+6)</f>
        <v/>
      </c>
      <c r="N3918" s="6">
        <f>IF(OR(A3918="",B3918=""),"",DATE(YEAR(B3918),MONTH(B3918),1))</f>
        <v/>
      </c>
      <c r="O3918" s="7">
        <f>IF(COUNTA(A3918:K3918)=0,"",IF(OR(A3918="",B3918=""),"Preencher CPF e entrada",IF(COUNTIFS($A$12:$A$5011,A3918,$B$12:$B$5011,B3918)&gt;1,"CPF + dia duplicado",IF(OR(AND(G3918&lt;&gt;"",G3918&lt;&gt;0,G3918&lt;&gt;1),AND(H3918&lt;&gt;"",H3918&lt;&gt;0,H3918&lt;&gt;1)),"Flags devem ser 0 ou 1",IF(AND(H3918=1,LEN(TRIM(I3918))=0),"Preencher nome do indicante",IF(AND(H3918&lt;&gt;1,I3918&lt;&gt;""),"Nome sem indicação interna",IF(AND(G3918=1,F3918=""),"Fechamento sem conversa",IF(OR(AND(E3918&lt;&gt;"",E3918&lt;B3918),AND(F3918&lt;&gt;"",F3918&lt;B3918)),"Evento anterior à entrada",IF(AND(F3918&lt;&gt;"",E3918=""),"Conversa sem agendamento",IF(OR(E3918&gt;TODAY(),F3918&gt;TODAY()),"Verificar evento futuro","OK"))))))))))</f>
        <v/>
      </c>
    </row>
    <row r="3919" spans="12:15">
      <c r="L3919" s="5">
        <f>IF(OR(A3919="",B3919=""),"",B3919-WEEKDAY(B3919,2)+1)</f>
        <v/>
      </c>
      <c r="M3919" s="5">
        <f>IF(L3919="","",L3919+6)</f>
        <v/>
      </c>
      <c r="N3919" s="6">
        <f>IF(OR(A3919="",B3919=""),"",DATE(YEAR(B3919),MONTH(B3919),1))</f>
        <v/>
      </c>
      <c r="O3919" s="7">
        <f>IF(COUNTA(A3919:K3919)=0,"",IF(OR(A3919="",B3919=""),"Preencher CPF e entrada",IF(COUNTIFS($A$12:$A$5011,A3919,$B$12:$B$5011,B3919)&gt;1,"CPF + dia duplicado",IF(OR(AND(G3919&lt;&gt;"",G3919&lt;&gt;0,G3919&lt;&gt;1),AND(H3919&lt;&gt;"",H3919&lt;&gt;0,H3919&lt;&gt;1)),"Flags devem ser 0 ou 1",IF(AND(H3919=1,LEN(TRIM(I3919))=0),"Preencher nome do indicante",IF(AND(H3919&lt;&gt;1,I3919&lt;&gt;""),"Nome sem indicação interna",IF(AND(G3919=1,F3919=""),"Fechamento sem conversa",IF(OR(AND(E3919&lt;&gt;"",E3919&lt;B3919),AND(F3919&lt;&gt;"",F3919&lt;B3919)),"Evento anterior à entrada",IF(AND(F3919&lt;&gt;"",E3919=""),"Conversa sem agendamento",IF(OR(E3919&gt;TODAY(),F3919&gt;TODAY()),"Verificar evento futuro","OK"))))))))))</f>
        <v/>
      </c>
    </row>
    <row r="3920" spans="12:15">
      <c r="L3920" s="5">
        <f>IF(OR(A3920="",B3920=""),"",B3920-WEEKDAY(B3920,2)+1)</f>
        <v/>
      </c>
      <c r="M3920" s="5">
        <f>IF(L3920="","",L3920+6)</f>
        <v/>
      </c>
      <c r="N3920" s="6">
        <f>IF(OR(A3920="",B3920=""),"",DATE(YEAR(B3920),MONTH(B3920),1))</f>
        <v/>
      </c>
      <c r="O3920" s="7">
        <f>IF(COUNTA(A3920:K3920)=0,"",IF(OR(A3920="",B3920=""),"Preencher CPF e entrada",IF(COUNTIFS($A$12:$A$5011,A3920,$B$12:$B$5011,B3920)&gt;1,"CPF + dia duplicado",IF(OR(AND(G3920&lt;&gt;"",G3920&lt;&gt;0,G3920&lt;&gt;1),AND(H3920&lt;&gt;"",H3920&lt;&gt;0,H3920&lt;&gt;1)),"Flags devem ser 0 ou 1",IF(AND(H3920=1,LEN(TRIM(I3920))=0),"Preencher nome do indicante",IF(AND(H3920&lt;&gt;1,I3920&lt;&gt;""),"Nome sem indicação interna",IF(AND(G3920=1,F3920=""),"Fechamento sem conversa",IF(OR(AND(E3920&lt;&gt;"",E3920&lt;B3920),AND(F3920&lt;&gt;"",F3920&lt;B3920)),"Evento anterior à entrada",IF(AND(F3920&lt;&gt;"",E3920=""),"Conversa sem agendamento",IF(OR(E3920&gt;TODAY(),F3920&gt;TODAY()),"Verificar evento futuro","OK"))))))))))</f>
        <v/>
      </c>
    </row>
    <row r="3921" spans="12:15">
      <c r="L3921" s="5">
        <f>IF(OR(A3921="",B3921=""),"",B3921-WEEKDAY(B3921,2)+1)</f>
        <v/>
      </c>
      <c r="M3921" s="5">
        <f>IF(L3921="","",L3921+6)</f>
        <v/>
      </c>
      <c r="N3921" s="6">
        <f>IF(OR(A3921="",B3921=""),"",DATE(YEAR(B3921),MONTH(B3921),1))</f>
        <v/>
      </c>
      <c r="O3921" s="7">
        <f>IF(COUNTA(A3921:K3921)=0,"",IF(OR(A3921="",B3921=""),"Preencher CPF e entrada",IF(COUNTIFS($A$12:$A$5011,A3921,$B$12:$B$5011,B3921)&gt;1,"CPF + dia duplicado",IF(OR(AND(G3921&lt;&gt;"",G3921&lt;&gt;0,G3921&lt;&gt;1),AND(H3921&lt;&gt;"",H3921&lt;&gt;0,H3921&lt;&gt;1)),"Flags devem ser 0 ou 1",IF(AND(H3921=1,LEN(TRIM(I3921))=0),"Preencher nome do indicante",IF(AND(H3921&lt;&gt;1,I3921&lt;&gt;""),"Nome sem indicação interna",IF(AND(G3921=1,F3921=""),"Fechamento sem conversa",IF(OR(AND(E3921&lt;&gt;"",E3921&lt;B3921),AND(F3921&lt;&gt;"",F3921&lt;B3921)),"Evento anterior à entrada",IF(AND(F3921&lt;&gt;"",E3921=""),"Conversa sem agendamento",IF(OR(E3921&gt;TODAY(),F3921&gt;TODAY()),"Verificar evento futuro","OK"))))))))))</f>
        <v/>
      </c>
    </row>
    <row r="3922" spans="12:15">
      <c r="L3922" s="5">
        <f>IF(OR(A3922="",B3922=""),"",B3922-WEEKDAY(B3922,2)+1)</f>
        <v/>
      </c>
      <c r="M3922" s="5">
        <f>IF(L3922="","",L3922+6)</f>
        <v/>
      </c>
      <c r="N3922" s="6">
        <f>IF(OR(A3922="",B3922=""),"",DATE(YEAR(B3922),MONTH(B3922),1))</f>
        <v/>
      </c>
      <c r="O3922" s="7">
        <f>IF(COUNTA(A3922:K3922)=0,"",IF(OR(A3922="",B3922=""),"Preencher CPF e entrada",IF(COUNTIFS($A$12:$A$5011,A3922,$B$12:$B$5011,B3922)&gt;1,"CPF + dia duplicado",IF(OR(AND(G3922&lt;&gt;"",G3922&lt;&gt;0,G3922&lt;&gt;1),AND(H3922&lt;&gt;"",H3922&lt;&gt;0,H3922&lt;&gt;1)),"Flags devem ser 0 ou 1",IF(AND(H3922=1,LEN(TRIM(I3922))=0),"Preencher nome do indicante",IF(AND(H3922&lt;&gt;1,I3922&lt;&gt;""),"Nome sem indicação interna",IF(AND(G3922=1,F3922=""),"Fechamento sem conversa",IF(OR(AND(E3922&lt;&gt;"",E3922&lt;B3922),AND(F3922&lt;&gt;"",F3922&lt;B3922)),"Evento anterior à entrada",IF(AND(F3922&lt;&gt;"",E3922=""),"Conversa sem agendamento",IF(OR(E3922&gt;TODAY(),F3922&gt;TODAY()),"Verificar evento futuro","OK"))))))))))</f>
        <v/>
      </c>
    </row>
    <row r="3923" spans="12:15">
      <c r="L3923" s="5">
        <f>IF(OR(A3923="",B3923=""),"",B3923-WEEKDAY(B3923,2)+1)</f>
        <v/>
      </c>
      <c r="M3923" s="5">
        <f>IF(L3923="","",L3923+6)</f>
        <v/>
      </c>
      <c r="N3923" s="6">
        <f>IF(OR(A3923="",B3923=""),"",DATE(YEAR(B3923),MONTH(B3923),1))</f>
        <v/>
      </c>
      <c r="O3923" s="7">
        <f>IF(COUNTA(A3923:K3923)=0,"",IF(OR(A3923="",B3923=""),"Preencher CPF e entrada",IF(COUNTIFS($A$12:$A$5011,A3923,$B$12:$B$5011,B3923)&gt;1,"CPF + dia duplicado",IF(OR(AND(G3923&lt;&gt;"",G3923&lt;&gt;0,G3923&lt;&gt;1),AND(H3923&lt;&gt;"",H3923&lt;&gt;0,H3923&lt;&gt;1)),"Flags devem ser 0 ou 1",IF(AND(H3923=1,LEN(TRIM(I3923))=0),"Preencher nome do indicante",IF(AND(H3923&lt;&gt;1,I3923&lt;&gt;""),"Nome sem indicação interna",IF(AND(G3923=1,F3923=""),"Fechamento sem conversa",IF(OR(AND(E3923&lt;&gt;"",E3923&lt;B3923),AND(F3923&lt;&gt;"",F3923&lt;B3923)),"Evento anterior à entrada",IF(AND(F3923&lt;&gt;"",E3923=""),"Conversa sem agendamento",IF(OR(E3923&gt;TODAY(),F3923&gt;TODAY()),"Verificar evento futuro","OK"))))))))))</f>
        <v/>
      </c>
    </row>
    <row r="3924" spans="12:15">
      <c r="L3924" s="5">
        <f>IF(OR(A3924="",B3924=""),"",B3924-WEEKDAY(B3924,2)+1)</f>
        <v/>
      </c>
      <c r="M3924" s="5">
        <f>IF(L3924="","",L3924+6)</f>
        <v/>
      </c>
      <c r="N3924" s="6">
        <f>IF(OR(A3924="",B3924=""),"",DATE(YEAR(B3924),MONTH(B3924),1))</f>
        <v/>
      </c>
      <c r="O3924" s="7">
        <f>IF(COUNTA(A3924:K3924)=0,"",IF(OR(A3924="",B3924=""),"Preencher CPF e entrada",IF(COUNTIFS($A$12:$A$5011,A3924,$B$12:$B$5011,B3924)&gt;1,"CPF + dia duplicado",IF(OR(AND(G3924&lt;&gt;"",G3924&lt;&gt;0,G3924&lt;&gt;1),AND(H3924&lt;&gt;"",H3924&lt;&gt;0,H3924&lt;&gt;1)),"Flags devem ser 0 ou 1",IF(AND(H3924=1,LEN(TRIM(I3924))=0),"Preencher nome do indicante",IF(AND(H3924&lt;&gt;1,I3924&lt;&gt;""),"Nome sem indicação interna",IF(AND(G3924=1,F3924=""),"Fechamento sem conversa",IF(OR(AND(E3924&lt;&gt;"",E3924&lt;B3924),AND(F3924&lt;&gt;"",F3924&lt;B3924)),"Evento anterior à entrada",IF(AND(F3924&lt;&gt;"",E3924=""),"Conversa sem agendamento",IF(OR(E3924&gt;TODAY(),F3924&gt;TODAY()),"Verificar evento futuro","OK"))))))))))</f>
        <v/>
      </c>
    </row>
    <row r="3925" spans="12:15">
      <c r="L3925" s="5">
        <f>IF(OR(A3925="",B3925=""),"",B3925-WEEKDAY(B3925,2)+1)</f>
        <v/>
      </c>
      <c r="M3925" s="5">
        <f>IF(L3925="","",L3925+6)</f>
        <v/>
      </c>
      <c r="N3925" s="6">
        <f>IF(OR(A3925="",B3925=""),"",DATE(YEAR(B3925),MONTH(B3925),1))</f>
        <v/>
      </c>
      <c r="O3925" s="7">
        <f>IF(COUNTA(A3925:K3925)=0,"",IF(OR(A3925="",B3925=""),"Preencher CPF e entrada",IF(COUNTIFS($A$12:$A$5011,A3925,$B$12:$B$5011,B3925)&gt;1,"CPF + dia duplicado",IF(OR(AND(G3925&lt;&gt;"",G3925&lt;&gt;0,G3925&lt;&gt;1),AND(H3925&lt;&gt;"",H3925&lt;&gt;0,H3925&lt;&gt;1)),"Flags devem ser 0 ou 1",IF(AND(H3925=1,LEN(TRIM(I3925))=0),"Preencher nome do indicante",IF(AND(H3925&lt;&gt;1,I3925&lt;&gt;""),"Nome sem indicação interna",IF(AND(G3925=1,F3925=""),"Fechamento sem conversa",IF(OR(AND(E3925&lt;&gt;"",E3925&lt;B3925),AND(F3925&lt;&gt;"",F3925&lt;B3925)),"Evento anterior à entrada",IF(AND(F3925&lt;&gt;"",E3925=""),"Conversa sem agendamento",IF(OR(E3925&gt;TODAY(),F3925&gt;TODAY()),"Verificar evento futuro","OK"))))))))))</f>
        <v/>
      </c>
    </row>
    <row r="3926" spans="12:15">
      <c r="L3926" s="5">
        <f>IF(OR(A3926="",B3926=""),"",B3926-WEEKDAY(B3926,2)+1)</f>
        <v/>
      </c>
      <c r="M3926" s="5">
        <f>IF(L3926="","",L3926+6)</f>
        <v/>
      </c>
      <c r="N3926" s="6">
        <f>IF(OR(A3926="",B3926=""),"",DATE(YEAR(B3926),MONTH(B3926),1))</f>
        <v/>
      </c>
      <c r="O3926" s="7">
        <f>IF(COUNTA(A3926:K3926)=0,"",IF(OR(A3926="",B3926=""),"Preencher CPF e entrada",IF(COUNTIFS($A$12:$A$5011,A3926,$B$12:$B$5011,B3926)&gt;1,"CPF + dia duplicado",IF(OR(AND(G3926&lt;&gt;"",G3926&lt;&gt;0,G3926&lt;&gt;1),AND(H3926&lt;&gt;"",H3926&lt;&gt;0,H3926&lt;&gt;1)),"Flags devem ser 0 ou 1",IF(AND(H3926=1,LEN(TRIM(I3926))=0),"Preencher nome do indicante",IF(AND(H3926&lt;&gt;1,I3926&lt;&gt;""),"Nome sem indicação interna",IF(AND(G3926=1,F3926=""),"Fechamento sem conversa",IF(OR(AND(E3926&lt;&gt;"",E3926&lt;B3926),AND(F3926&lt;&gt;"",F3926&lt;B3926)),"Evento anterior à entrada",IF(AND(F3926&lt;&gt;"",E3926=""),"Conversa sem agendamento",IF(OR(E3926&gt;TODAY(),F3926&gt;TODAY()),"Verificar evento futuro","OK"))))))))))</f>
        <v/>
      </c>
    </row>
    <row r="3927" spans="12:15">
      <c r="L3927" s="5">
        <f>IF(OR(A3927="",B3927=""),"",B3927-WEEKDAY(B3927,2)+1)</f>
        <v/>
      </c>
      <c r="M3927" s="5">
        <f>IF(L3927="","",L3927+6)</f>
        <v/>
      </c>
      <c r="N3927" s="6">
        <f>IF(OR(A3927="",B3927=""),"",DATE(YEAR(B3927),MONTH(B3927),1))</f>
        <v/>
      </c>
      <c r="O3927" s="7">
        <f>IF(COUNTA(A3927:K3927)=0,"",IF(OR(A3927="",B3927=""),"Preencher CPF e entrada",IF(COUNTIFS($A$12:$A$5011,A3927,$B$12:$B$5011,B3927)&gt;1,"CPF + dia duplicado",IF(OR(AND(G3927&lt;&gt;"",G3927&lt;&gt;0,G3927&lt;&gt;1),AND(H3927&lt;&gt;"",H3927&lt;&gt;0,H3927&lt;&gt;1)),"Flags devem ser 0 ou 1",IF(AND(H3927=1,LEN(TRIM(I3927))=0),"Preencher nome do indicante",IF(AND(H3927&lt;&gt;1,I3927&lt;&gt;""),"Nome sem indicação interna",IF(AND(G3927=1,F3927=""),"Fechamento sem conversa",IF(OR(AND(E3927&lt;&gt;"",E3927&lt;B3927),AND(F3927&lt;&gt;"",F3927&lt;B3927)),"Evento anterior à entrada",IF(AND(F3927&lt;&gt;"",E3927=""),"Conversa sem agendamento",IF(OR(E3927&gt;TODAY(),F3927&gt;TODAY()),"Verificar evento futuro","OK"))))))))))</f>
        <v/>
      </c>
    </row>
    <row r="3928" spans="12:15">
      <c r="L3928" s="5">
        <f>IF(OR(A3928="",B3928=""),"",B3928-WEEKDAY(B3928,2)+1)</f>
        <v/>
      </c>
      <c r="M3928" s="5">
        <f>IF(L3928="","",L3928+6)</f>
        <v/>
      </c>
      <c r="N3928" s="6">
        <f>IF(OR(A3928="",B3928=""),"",DATE(YEAR(B3928),MONTH(B3928),1))</f>
        <v/>
      </c>
      <c r="O3928" s="7">
        <f>IF(COUNTA(A3928:K3928)=0,"",IF(OR(A3928="",B3928=""),"Preencher CPF e entrada",IF(COUNTIFS($A$12:$A$5011,A3928,$B$12:$B$5011,B3928)&gt;1,"CPF + dia duplicado",IF(OR(AND(G3928&lt;&gt;"",G3928&lt;&gt;0,G3928&lt;&gt;1),AND(H3928&lt;&gt;"",H3928&lt;&gt;0,H3928&lt;&gt;1)),"Flags devem ser 0 ou 1",IF(AND(H3928=1,LEN(TRIM(I3928))=0),"Preencher nome do indicante",IF(AND(H3928&lt;&gt;1,I3928&lt;&gt;""),"Nome sem indicação interna",IF(AND(G3928=1,F3928=""),"Fechamento sem conversa",IF(OR(AND(E3928&lt;&gt;"",E3928&lt;B3928),AND(F3928&lt;&gt;"",F3928&lt;B3928)),"Evento anterior à entrada",IF(AND(F3928&lt;&gt;"",E3928=""),"Conversa sem agendamento",IF(OR(E3928&gt;TODAY(),F3928&gt;TODAY()),"Verificar evento futuro","OK"))))))))))</f>
        <v/>
      </c>
    </row>
    <row r="3929" spans="12:15">
      <c r="L3929" s="5">
        <f>IF(OR(A3929="",B3929=""),"",B3929-WEEKDAY(B3929,2)+1)</f>
        <v/>
      </c>
      <c r="M3929" s="5">
        <f>IF(L3929="","",L3929+6)</f>
        <v/>
      </c>
      <c r="N3929" s="6">
        <f>IF(OR(A3929="",B3929=""),"",DATE(YEAR(B3929),MONTH(B3929),1))</f>
        <v/>
      </c>
      <c r="O3929" s="7">
        <f>IF(COUNTA(A3929:K3929)=0,"",IF(OR(A3929="",B3929=""),"Preencher CPF e entrada",IF(COUNTIFS($A$12:$A$5011,A3929,$B$12:$B$5011,B3929)&gt;1,"CPF + dia duplicado",IF(OR(AND(G3929&lt;&gt;"",G3929&lt;&gt;0,G3929&lt;&gt;1),AND(H3929&lt;&gt;"",H3929&lt;&gt;0,H3929&lt;&gt;1)),"Flags devem ser 0 ou 1",IF(AND(H3929=1,LEN(TRIM(I3929))=0),"Preencher nome do indicante",IF(AND(H3929&lt;&gt;1,I3929&lt;&gt;""),"Nome sem indicação interna",IF(AND(G3929=1,F3929=""),"Fechamento sem conversa",IF(OR(AND(E3929&lt;&gt;"",E3929&lt;B3929),AND(F3929&lt;&gt;"",F3929&lt;B3929)),"Evento anterior à entrada",IF(AND(F3929&lt;&gt;"",E3929=""),"Conversa sem agendamento",IF(OR(E3929&gt;TODAY(),F3929&gt;TODAY()),"Verificar evento futuro","OK"))))))))))</f>
        <v/>
      </c>
    </row>
    <row r="3930" spans="12:15">
      <c r="L3930" s="5">
        <f>IF(OR(A3930="",B3930=""),"",B3930-WEEKDAY(B3930,2)+1)</f>
        <v/>
      </c>
      <c r="M3930" s="5">
        <f>IF(L3930="","",L3930+6)</f>
        <v/>
      </c>
      <c r="N3930" s="6">
        <f>IF(OR(A3930="",B3930=""),"",DATE(YEAR(B3930),MONTH(B3930),1))</f>
        <v/>
      </c>
      <c r="O3930" s="7">
        <f>IF(COUNTA(A3930:K3930)=0,"",IF(OR(A3930="",B3930=""),"Preencher CPF e entrada",IF(COUNTIFS($A$12:$A$5011,A3930,$B$12:$B$5011,B3930)&gt;1,"CPF + dia duplicado",IF(OR(AND(G3930&lt;&gt;"",G3930&lt;&gt;0,G3930&lt;&gt;1),AND(H3930&lt;&gt;"",H3930&lt;&gt;0,H3930&lt;&gt;1)),"Flags devem ser 0 ou 1",IF(AND(H3930=1,LEN(TRIM(I3930))=0),"Preencher nome do indicante",IF(AND(H3930&lt;&gt;1,I3930&lt;&gt;""),"Nome sem indicação interna",IF(AND(G3930=1,F3930=""),"Fechamento sem conversa",IF(OR(AND(E3930&lt;&gt;"",E3930&lt;B3930),AND(F3930&lt;&gt;"",F3930&lt;B3930)),"Evento anterior à entrada",IF(AND(F3930&lt;&gt;"",E3930=""),"Conversa sem agendamento",IF(OR(E3930&gt;TODAY(),F3930&gt;TODAY()),"Verificar evento futuro","OK"))))))))))</f>
        <v/>
      </c>
    </row>
    <row r="3931" spans="12:15">
      <c r="L3931" s="5">
        <f>IF(OR(A3931="",B3931=""),"",B3931-WEEKDAY(B3931,2)+1)</f>
        <v/>
      </c>
      <c r="M3931" s="5">
        <f>IF(L3931="","",L3931+6)</f>
        <v/>
      </c>
      <c r="N3931" s="6">
        <f>IF(OR(A3931="",B3931=""),"",DATE(YEAR(B3931),MONTH(B3931),1))</f>
        <v/>
      </c>
      <c r="O3931" s="7">
        <f>IF(COUNTA(A3931:K3931)=0,"",IF(OR(A3931="",B3931=""),"Preencher CPF e entrada",IF(COUNTIFS($A$12:$A$5011,A3931,$B$12:$B$5011,B3931)&gt;1,"CPF + dia duplicado",IF(OR(AND(G3931&lt;&gt;"",G3931&lt;&gt;0,G3931&lt;&gt;1),AND(H3931&lt;&gt;"",H3931&lt;&gt;0,H3931&lt;&gt;1)),"Flags devem ser 0 ou 1",IF(AND(H3931=1,LEN(TRIM(I3931))=0),"Preencher nome do indicante",IF(AND(H3931&lt;&gt;1,I3931&lt;&gt;""),"Nome sem indicação interna",IF(AND(G3931=1,F3931=""),"Fechamento sem conversa",IF(OR(AND(E3931&lt;&gt;"",E3931&lt;B3931),AND(F3931&lt;&gt;"",F3931&lt;B3931)),"Evento anterior à entrada",IF(AND(F3931&lt;&gt;"",E3931=""),"Conversa sem agendamento",IF(OR(E3931&gt;TODAY(),F3931&gt;TODAY()),"Verificar evento futuro","OK"))))))))))</f>
        <v/>
      </c>
    </row>
    <row r="3932" spans="12:15">
      <c r="L3932" s="5">
        <f>IF(OR(A3932="",B3932=""),"",B3932-WEEKDAY(B3932,2)+1)</f>
        <v/>
      </c>
      <c r="M3932" s="5">
        <f>IF(L3932="","",L3932+6)</f>
        <v/>
      </c>
      <c r="N3932" s="6">
        <f>IF(OR(A3932="",B3932=""),"",DATE(YEAR(B3932),MONTH(B3932),1))</f>
        <v/>
      </c>
      <c r="O3932" s="7">
        <f>IF(COUNTA(A3932:K3932)=0,"",IF(OR(A3932="",B3932=""),"Preencher CPF e entrada",IF(COUNTIFS($A$12:$A$5011,A3932,$B$12:$B$5011,B3932)&gt;1,"CPF + dia duplicado",IF(OR(AND(G3932&lt;&gt;"",G3932&lt;&gt;0,G3932&lt;&gt;1),AND(H3932&lt;&gt;"",H3932&lt;&gt;0,H3932&lt;&gt;1)),"Flags devem ser 0 ou 1",IF(AND(H3932=1,LEN(TRIM(I3932))=0),"Preencher nome do indicante",IF(AND(H3932&lt;&gt;1,I3932&lt;&gt;""),"Nome sem indicação interna",IF(AND(G3932=1,F3932=""),"Fechamento sem conversa",IF(OR(AND(E3932&lt;&gt;"",E3932&lt;B3932),AND(F3932&lt;&gt;"",F3932&lt;B3932)),"Evento anterior à entrada",IF(AND(F3932&lt;&gt;"",E3932=""),"Conversa sem agendamento",IF(OR(E3932&gt;TODAY(),F3932&gt;TODAY()),"Verificar evento futuro","OK"))))))))))</f>
        <v/>
      </c>
    </row>
    <row r="3933" spans="12:15">
      <c r="L3933" s="5">
        <f>IF(OR(A3933="",B3933=""),"",B3933-WEEKDAY(B3933,2)+1)</f>
        <v/>
      </c>
      <c r="M3933" s="5">
        <f>IF(L3933="","",L3933+6)</f>
        <v/>
      </c>
      <c r="N3933" s="6">
        <f>IF(OR(A3933="",B3933=""),"",DATE(YEAR(B3933),MONTH(B3933),1))</f>
        <v/>
      </c>
      <c r="O3933" s="7">
        <f>IF(COUNTA(A3933:K3933)=0,"",IF(OR(A3933="",B3933=""),"Preencher CPF e entrada",IF(COUNTIFS($A$12:$A$5011,A3933,$B$12:$B$5011,B3933)&gt;1,"CPF + dia duplicado",IF(OR(AND(G3933&lt;&gt;"",G3933&lt;&gt;0,G3933&lt;&gt;1),AND(H3933&lt;&gt;"",H3933&lt;&gt;0,H3933&lt;&gt;1)),"Flags devem ser 0 ou 1",IF(AND(H3933=1,LEN(TRIM(I3933))=0),"Preencher nome do indicante",IF(AND(H3933&lt;&gt;1,I3933&lt;&gt;""),"Nome sem indicação interna",IF(AND(G3933=1,F3933=""),"Fechamento sem conversa",IF(OR(AND(E3933&lt;&gt;"",E3933&lt;B3933),AND(F3933&lt;&gt;"",F3933&lt;B3933)),"Evento anterior à entrada",IF(AND(F3933&lt;&gt;"",E3933=""),"Conversa sem agendamento",IF(OR(E3933&gt;TODAY(),F3933&gt;TODAY()),"Verificar evento futuro","OK"))))))))))</f>
        <v/>
      </c>
    </row>
    <row r="3934" spans="12:15">
      <c r="L3934" s="5">
        <f>IF(OR(A3934="",B3934=""),"",B3934-WEEKDAY(B3934,2)+1)</f>
        <v/>
      </c>
      <c r="M3934" s="5">
        <f>IF(L3934="","",L3934+6)</f>
        <v/>
      </c>
      <c r="N3934" s="6">
        <f>IF(OR(A3934="",B3934=""),"",DATE(YEAR(B3934),MONTH(B3934),1))</f>
        <v/>
      </c>
      <c r="O3934" s="7">
        <f>IF(COUNTA(A3934:K3934)=0,"",IF(OR(A3934="",B3934=""),"Preencher CPF e entrada",IF(COUNTIFS($A$12:$A$5011,A3934,$B$12:$B$5011,B3934)&gt;1,"CPF + dia duplicado",IF(OR(AND(G3934&lt;&gt;"",G3934&lt;&gt;0,G3934&lt;&gt;1),AND(H3934&lt;&gt;"",H3934&lt;&gt;0,H3934&lt;&gt;1)),"Flags devem ser 0 ou 1",IF(AND(H3934=1,LEN(TRIM(I3934))=0),"Preencher nome do indicante",IF(AND(H3934&lt;&gt;1,I3934&lt;&gt;""),"Nome sem indicação interna",IF(AND(G3934=1,F3934=""),"Fechamento sem conversa",IF(OR(AND(E3934&lt;&gt;"",E3934&lt;B3934),AND(F3934&lt;&gt;"",F3934&lt;B3934)),"Evento anterior à entrada",IF(AND(F3934&lt;&gt;"",E3934=""),"Conversa sem agendamento",IF(OR(E3934&gt;TODAY(),F3934&gt;TODAY()),"Verificar evento futuro","OK"))))))))))</f>
        <v/>
      </c>
    </row>
    <row r="3935" spans="12:15">
      <c r="L3935" s="5">
        <f>IF(OR(A3935="",B3935=""),"",B3935-WEEKDAY(B3935,2)+1)</f>
        <v/>
      </c>
      <c r="M3935" s="5">
        <f>IF(L3935="","",L3935+6)</f>
        <v/>
      </c>
      <c r="N3935" s="6">
        <f>IF(OR(A3935="",B3935=""),"",DATE(YEAR(B3935),MONTH(B3935),1))</f>
        <v/>
      </c>
      <c r="O3935" s="7">
        <f>IF(COUNTA(A3935:K3935)=0,"",IF(OR(A3935="",B3935=""),"Preencher CPF e entrada",IF(COUNTIFS($A$12:$A$5011,A3935,$B$12:$B$5011,B3935)&gt;1,"CPF + dia duplicado",IF(OR(AND(G3935&lt;&gt;"",G3935&lt;&gt;0,G3935&lt;&gt;1),AND(H3935&lt;&gt;"",H3935&lt;&gt;0,H3935&lt;&gt;1)),"Flags devem ser 0 ou 1",IF(AND(H3935=1,LEN(TRIM(I3935))=0),"Preencher nome do indicante",IF(AND(H3935&lt;&gt;1,I3935&lt;&gt;""),"Nome sem indicação interna",IF(AND(G3935=1,F3935=""),"Fechamento sem conversa",IF(OR(AND(E3935&lt;&gt;"",E3935&lt;B3935),AND(F3935&lt;&gt;"",F3935&lt;B3935)),"Evento anterior à entrada",IF(AND(F3935&lt;&gt;"",E3935=""),"Conversa sem agendamento",IF(OR(E3935&gt;TODAY(),F3935&gt;TODAY()),"Verificar evento futuro","OK"))))))))))</f>
        <v/>
      </c>
    </row>
    <row r="3936" spans="12:15">
      <c r="L3936" s="5">
        <f>IF(OR(A3936="",B3936=""),"",B3936-WEEKDAY(B3936,2)+1)</f>
        <v/>
      </c>
      <c r="M3936" s="5">
        <f>IF(L3936="","",L3936+6)</f>
        <v/>
      </c>
      <c r="N3936" s="6">
        <f>IF(OR(A3936="",B3936=""),"",DATE(YEAR(B3936),MONTH(B3936),1))</f>
        <v/>
      </c>
      <c r="O3936" s="7">
        <f>IF(COUNTA(A3936:K3936)=0,"",IF(OR(A3936="",B3936=""),"Preencher CPF e entrada",IF(COUNTIFS($A$12:$A$5011,A3936,$B$12:$B$5011,B3936)&gt;1,"CPF + dia duplicado",IF(OR(AND(G3936&lt;&gt;"",G3936&lt;&gt;0,G3936&lt;&gt;1),AND(H3936&lt;&gt;"",H3936&lt;&gt;0,H3936&lt;&gt;1)),"Flags devem ser 0 ou 1",IF(AND(H3936=1,LEN(TRIM(I3936))=0),"Preencher nome do indicante",IF(AND(H3936&lt;&gt;1,I3936&lt;&gt;""),"Nome sem indicação interna",IF(AND(G3936=1,F3936=""),"Fechamento sem conversa",IF(OR(AND(E3936&lt;&gt;"",E3936&lt;B3936),AND(F3936&lt;&gt;"",F3936&lt;B3936)),"Evento anterior à entrada",IF(AND(F3936&lt;&gt;"",E3936=""),"Conversa sem agendamento",IF(OR(E3936&gt;TODAY(),F3936&gt;TODAY()),"Verificar evento futuro","OK"))))))))))</f>
        <v/>
      </c>
    </row>
    <row r="3937" spans="12:15">
      <c r="L3937" s="5">
        <f>IF(OR(A3937="",B3937=""),"",B3937-WEEKDAY(B3937,2)+1)</f>
        <v/>
      </c>
      <c r="M3937" s="5">
        <f>IF(L3937="","",L3937+6)</f>
        <v/>
      </c>
      <c r="N3937" s="6">
        <f>IF(OR(A3937="",B3937=""),"",DATE(YEAR(B3937),MONTH(B3937),1))</f>
        <v/>
      </c>
      <c r="O3937" s="7">
        <f>IF(COUNTA(A3937:K3937)=0,"",IF(OR(A3937="",B3937=""),"Preencher CPF e entrada",IF(COUNTIFS($A$12:$A$5011,A3937,$B$12:$B$5011,B3937)&gt;1,"CPF + dia duplicado",IF(OR(AND(G3937&lt;&gt;"",G3937&lt;&gt;0,G3937&lt;&gt;1),AND(H3937&lt;&gt;"",H3937&lt;&gt;0,H3937&lt;&gt;1)),"Flags devem ser 0 ou 1",IF(AND(H3937=1,LEN(TRIM(I3937))=0),"Preencher nome do indicante",IF(AND(H3937&lt;&gt;1,I3937&lt;&gt;""),"Nome sem indicação interna",IF(AND(G3937=1,F3937=""),"Fechamento sem conversa",IF(OR(AND(E3937&lt;&gt;"",E3937&lt;B3937),AND(F3937&lt;&gt;"",F3937&lt;B3937)),"Evento anterior à entrada",IF(AND(F3937&lt;&gt;"",E3937=""),"Conversa sem agendamento",IF(OR(E3937&gt;TODAY(),F3937&gt;TODAY()),"Verificar evento futuro","OK"))))))))))</f>
        <v/>
      </c>
    </row>
    <row r="3938" spans="12:15">
      <c r="L3938" s="5">
        <f>IF(OR(A3938="",B3938=""),"",B3938-WEEKDAY(B3938,2)+1)</f>
        <v/>
      </c>
      <c r="M3938" s="5">
        <f>IF(L3938="","",L3938+6)</f>
        <v/>
      </c>
      <c r="N3938" s="6">
        <f>IF(OR(A3938="",B3938=""),"",DATE(YEAR(B3938),MONTH(B3938),1))</f>
        <v/>
      </c>
      <c r="O3938" s="7">
        <f>IF(COUNTA(A3938:K3938)=0,"",IF(OR(A3938="",B3938=""),"Preencher CPF e entrada",IF(COUNTIFS($A$12:$A$5011,A3938,$B$12:$B$5011,B3938)&gt;1,"CPF + dia duplicado",IF(OR(AND(G3938&lt;&gt;"",G3938&lt;&gt;0,G3938&lt;&gt;1),AND(H3938&lt;&gt;"",H3938&lt;&gt;0,H3938&lt;&gt;1)),"Flags devem ser 0 ou 1",IF(AND(H3938=1,LEN(TRIM(I3938))=0),"Preencher nome do indicante",IF(AND(H3938&lt;&gt;1,I3938&lt;&gt;""),"Nome sem indicação interna",IF(AND(G3938=1,F3938=""),"Fechamento sem conversa",IF(OR(AND(E3938&lt;&gt;"",E3938&lt;B3938),AND(F3938&lt;&gt;"",F3938&lt;B3938)),"Evento anterior à entrada",IF(AND(F3938&lt;&gt;"",E3938=""),"Conversa sem agendamento",IF(OR(E3938&gt;TODAY(),F3938&gt;TODAY()),"Verificar evento futuro","OK"))))))))))</f>
        <v/>
      </c>
    </row>
    <row r="3939" spans="12:15">
      <c r="L3939" s="5">
        <f>IF(OR(A3939="",B3939=""),"",B3939-WEEKDAY(B3939,2)+1)</f>
        <v/>
      </c>
      <c r="M3939" s="5">
        <f>IF(L3939="","",L3939+6)</f>
        <v/>
      </c>
      <c r="N3939" s="6">
        <f>IF(OR(A3939="",B3939=""),"",DATE(YEAR(B3939),MONTH(B3939),1))</f>
        <v/>
      </c>
      <c r="O3939" s="7">
        <f>IF(COUNTA(A3939:K3939)=0,"",IF(OR(A3939="",B3939=""),"Preencher CPF e entrada",IF(COUNTIFS($A$12:$A$5011,A3939,$B$12:$B$5011,B3939)&gt;1,"CPF + dia duplicado",IF(OR(AND(G3939&lt;&gt;"",G3939&lt;&gt;0,G3939&lt;&gt;1),AND(H3939&lt;&gt;"",H3939&lt;&gt;0,H3939&lt;&gt;1)),"Flags devem ser 0 ou 1",IF(AND(H3939=1,LEN(TRIM(I3939))=0),"Preencher nome do indicante",IF(AND(H3939&lt;&gt;1,I3939&lt;&gt;""),"Nome sem indicação interna",IF(AND(G3939=1,F3939=""),"Fechamento sem conversa",IF(OR(AND(E3939&lt;&gt;"",E3939&lt;B3939),AND(F3939&lt;&gt;"",F3939&lt;B3939)),"Evento anterior à entrada",IF(AND(F3939&lt;&gt;"",E3939=""),"Conversa sem agendamento",IF(OR(E3939&gt;TODAY(),F3939&gt;TODAY()),"Verificar evento futuro","OK"))))))))))</f>
        <v/>
      </c>
    </row>
    <row r="3940" spans="12:15">
      <c r="L3940" s="5">
        <f>IF(OR(A3940="",B3940=""),"",B3940-WEEKDAY(B3940,2)+1)</f>
        <v/>
      </c>
      <c r="M3940" s="5">
        <f>IF(L3940="","",L3940+6)</f>
        <v/>
      </c>
      <c r="N3940" s="6">
        <f>IF(OR(A3940="",B3940=""),"",DATE(YEAR(B3940),MONTH(B3940),1))</f>
        <v/>
      </c>
      <c r="O3940" s="7">
        <f>IF(COUNTA(A3940:K3940)=0,"",IF(OR(A3940="",B3940=""),"Preencher CPF e entrada",IF(COUNTIFS($A$12:$A$5011,A3940,$B$12:$B$5011,B3940)&gt;1,"CPF + dia duplicado",IF(OR(AND(G3940&lt;&gt;"",G3940&lt;&gt;0,G3940&lt;&gt;1),AND(H3940&lt;&gt;"",H3940&lt;&gt;0,H3940&lt;&gt;1)),"Flags devem ser 0 ou 1",IF(AND(H3940=1,LEN(TRIM(I3940))=0),"Preencher nome do indicante",IF(AND(H3940&lt;&gt;1,I3940&lt;&gt;""),"Nome sem indicação interna",IF(AND(G3940=1,F3940=""),"Fechamento sem conversa",IF(OR(AND(E3940&lt;&gt;"",E3940&lt;B3940),AND(F3940&lt;&gt;"",F3940&lt;B3940)),"Evento anterior à entrada",IF(AND(F3940&lt;&gt;"",E3940=""),"Conversa sem agendamento",IF(OR(E3940&gt;TODAY(),F3940&gt;TODAY()),"Verificar evento futuro","OK"))))))))))</f>
        <v/>
      </c>
    </row>
    <row r="3941" spans="12:15">
      <c r="L3941" s="5">
        <f>IF(OR(A3941="",B3941=""),"",B3941-WEEKDAY(B3941,2)+1)</f>
        <v/>
      </c>
      <c r="M3941" s="5">
        <f>IF(L3941="","",L3941+6)</f>
        <v/>
      </c>
      <c r="N3941" s="6">
        <f>IF(OR(A3941="",B3941=""),"",DATE(YEAR(B3941),MONTH(B3941),1))</f>
        <v/>
      </c>
      <c r="O3941" s="7">
        <f>IF(COUNTA(A3941:K3941)=0,"",IF(OR(A3941="",B3941=""),"Preencher CPF e entrada",IF(COUNTIFS($A$12:$A$5011,A3941,$B$12:$B$5011,B3941)&gt;1,"CPF + dia duplicado",IF(OR(AND(G3941&lt;&gt;"",G3941&lt;&gt;0,G3941&lt;&gt;1),AND(H3941&lt;&gt;"",H3941&lt;&gt;0,H3941&lt;&gt;1)),"Flags devem ser 0 ou 1",IF(AND(H3941=1,LEN(TRIM(I3941))=0),"Preencher nome do indicante",IF(AND(H3941&lt;&gt;1,I3941&lt;&gt;""),"Nome sem indicação interna",IF(AND(G3941=1,F3941=""),"Fechamento sem conversa",IF(OR(AND(E3941&lt;&gt;"",E3941&lt;B3941),AND(F3941&lt;&gt;"",F3941&lt;B3941)),"Evento anterior à entrada",IF(AND(F3941&lt;&gt;"",E3941=""),"Conversa sem agendamento",IF(OR(E3941&gt;TODAY(),F3941&gt;TODAY()),"Verificar evento futuro","OK"))))))))))</f>
        <v/>
      </c>
    </row>
    <row r="3942" spans="12:15">
      <c r="L3942" s="5">
        <f>IF(OR(A3942="",B3942=""),"",B3942-WEEKDAY(B3942,2)+1)</f>
        <v/>
      </c>
      <c r="M3942" s="5">
        <f>IF(L3942="","",L3942+6)</f>
        <v/>
      </c>
      <c r="N3942" s="6">
        <f>IF(OR(A3942="",B3942=""),"",DATE(YEAR(B3942),MONTH(B3942),1))</f>
        <v/>
      </c>
      <c r="O3942" s="7">
        <f>IF(COUNTA(A3942:K3942)=0,"",IF(OR(A3942="",B3942=""),"Preencher CPF e entrada",IF(COUNTIFS($A$12:$A$5011,A3942,$B$12:$B$5011,B3942)&gt;1,"CPF + dia duplicado",IF(OR(AND(G3942&lt;&gt;"",G3942&lt;&gt;0,G3942&lt;&gt;1),AND(H3942&lt;&gt;"",H3942&lt;&gt;0,H3942&lt;&gt;1)),"Flags devem ser 0 ou 1",IF(AND(H3942=1,LEN(TRIM(I3942))=0),"Preencher nome do indicante",IF(AND(H3942&lt;&gt;1,I3942&lt;&gt;""),"Nome sem indicação interna",IF(AND(G3942=1,F3942=""),"Fechamento sem conversa",IF(OR(AND(E3942&lt;&gt;"",E3942&lt;B3942),AND(F3942&lt;&gt;"",F3942&lt;B3942)),"Evento anterior à entrada",IF(AND(F3942&lt;&gt;"",E3942=""),"Conversa sem agendamento",IF(OR(E3942&gt;TODAY(),F3942&gt;TODAY()),"Verificar evento futuro","OK"))))))))))</f>
        <v/>
      </c>
    </row>
    <row r="3943" spans="12:15">
      <c r="L3943" s="5">
        <f>IF(OR(A3943="",B3943=""),"",B3943-WEEKDAY(B3943,2)+1)</f>
        <v/>
      </c>
      <c r="M3943" s="5">
        <f>IF(L3943="","",L3943+6)</f>
        <v/>
      </c>
      <c r="N3943" s="6">
        <f>IF(OR(A3943="",B3943=""),"",DATE(YEAR(B3943),MONTH(B3943),1))</f>
        <v/>
      </c>
      <c r="O3943" s="7">
        <f>IF(COUNTA(A3943:K3943)=0,"",IF(OR(A3943="",B3943=""),"Preencher CPF e entrada",IF(COUNTIFS($A$12:$A$5011,A3943,$B$12:$B$5011,B3943)&gt;1,"CPF + dia duplicado",IF(OR(AND(G3943&lt;&gt;"",G3943&lt;&gt;0,G3943&lt;&gt;1),AND(H3943&lt;&gt;"",H3943&lt;&gt;0,H3943&lt;&gt;1)),"Flags devem ser 0 ou 1",IF(AND(H3943=1,LEN(TRIM(I3943))=0),"Preencher nome do indicante",IF(AND(H3943&lt;&gt;1,I3943&lt;&gt;""),"Nome sem indicação interna",IF(AND(G3943=1,F3943=""),"Fechamento sem conversa",IF(OR(AND(E3943&lt;&gt;"",E3943&lt;B3943),AND(F3943&lt;&gt;"",F3943&lt;B3943)),"Evento anterior à entrada",IF(AND(F3943&lt;&gt;"",E3943=""),"Conversa sem agendamento",IF(OR(E3943&gt;TODAY(),F3943&gt;TODAY()),"Verificar evento futuro","OK"))))))))))</f>
        <v/>
      </c>
    </row>
    <row r="3944" spans="12:15">
      <c r="L3944" s="5">
        <f>IF(OR(A3944="",B3944=""),"",B3944-WEEKDAY(B3944,2)+1)</f>
        <v/>
      </c>
      <c r="M3944" s="5">
        <f>IF(L3944="","",L3944+6)</f>
        <v/>
      </c>
      <c r="N3944" s="6">
        <f>IF(OR(A3944="",B3944=""),"",DATE(YEAR(B3944),MONTH(B3944),1))</f>
        <v/>
      </c>
      <c r="O3944" s="7">
        <f>IF(COUNTA(A3944:K3944)=0,"",IF(OR(A3944="",B3944=""),"Preencher CPF e entrada",IF(COUNTIFS($A$12:$A$5011,A3944,$B$12:$B$5011,B3944)&gt;1,"CPF + dia duplicado",IF(OR(AND(G3944&lt;&gt;"",G3944&lt;&gt;0,G3944&lt;&gt;1),AND(H3944&lt;&gt;"",H3944&lt;&gt;0,H3944&lt;&gt;1)),"Flags devem ser 0 ou 1",IF(AND(H3944=1,LEN(TRIM(I3944))=0),"Preencher nome do indicante",IF(AND(H3944&lt;&gt;1,I3944&lt;&gt;""),"Nome sem indicação interna",IF(AND(G3944=1,F3944=""),"Fechamento sem conversa",IF(OR(AND(E3944&lt;&gt;"",E3944&lt;B3944),AND(F3944&lt;&gt;"",F3944&lt;B3944)),"Evento anterior à entrada",IF(AND(F3944&lt;&gt;"",E3944=""),"Conversa sem agendamento",IF(OR(E3944&gt;TODAY(),F3944&gt;TODAY()),"Verificar evento futuro","OK"))))))))))</f>
        <v/>
      </c>
    </row>
    <row r="3945" spans="12:15">
      <c r="L3945" s="5">
        <f>IF(OR(A3945="",B3945=""),"",B3945-WEEKDAY(B3945,2)+1)</f>
        <v/>
      </c>
      <c r="M3945" s="5">
        <f>IF(L3945="","",L3945+6)</f>
        <v/>
      </c>
      <c r="N3945" s="6">
        <f>IF(OR(A3945="",B3945=""),"",DATE(YEAR(B3945),MONTH(B3945),1))</f>
        <v/>
      </c>
      <c r="O3945" s="7">
        <f>IF(COUNTA(A3945:K3945)=0,"",IF(OR(A3945="",B3945=""),"Preencher CPF e entrada",IF(COUNTIFS($A$12:$A$5011,A3945,$B$12:$B$5011,B3945)&gt;1,"CPF + dia duplicado",IF(OR(AND(G3945&lt;&gt;"",G3945&lt;&gt;0,G3945&lt;&gt;1),AND(H3945&lt;&gt;"",H3945&lt;&gt;0,H3945&lt;&gt;1)),"Flags devem ser 0 ou 1",IF(AND(H3945=1,LEN(TRIM(I3945))=0),"Preencher nome do indicante",IF(AND(H3945&lt;&gt;1,I3945&lt;&gt;""),"Nome sem indicação interna",IF(AND(G3945=1,F3945=""),"Fechamento sem conversa",IF(OR(AND(E3945&lt;&gt;"",E3945&lt;B3945),AND(F3945&lt;&gt;"",F3945&lt;B3945)),"Evento anterior à entrada",IF(AND(F3945&lt;&gt;"",E3945=""),"Conversa sem agendamento",IF(OR(E3945&gt;TODAY(),F3945&gt;TODAY()),"Verificar evento futuro","OK"))))))))))</f>
        <v/>
      </c>
    </row>
    <row r="3946" spans="12:15">
      <c r="L3946" s="5">
        <f>IF(OR(A3946="",B3946=""),"",B3946-WEEKDAY(B3946,2)+1)</f>
        <v/>
      </c>
      <c r="M3946" s="5">
        <f>IF(L3946="","",L3946+6)</f>
        <v/>
      </c>
      <c r="N3946" s="6">
        <f>IF(OR(A3946="",B3946=""),"",DATE(YEAR(B3946),MONTH(B3946),1))</f>
        <v/>
      </c>
      <c r="O3946" s="7">
        <f>IF(COUNTA(A3946:K3946)=0,"",IF(OR(A3946="",B3946=""),"Preencher CPF e entrada",IF(COUNTIFS($A$12:$A$5011,A3946,$B$12:$B$5011,B3946)&gt;1,"CPF + dia duplicado",IF(OR(AND(G3946&lt;&gt;"",G3946&lt;&gt;0,G3946&lt;&gt;1),AND(H3946&lt;&gt;"",H3946&lt;&gt;0,H3946&lt;&gt;1)),"Flags devem ser 0 ou 1",IF(AND(H3946=1,LEN(TRIM(I3946))=0),"Preencher nome do indicante",IF(AND(H3946&lt;&gt;1,I3946&lt;&gt;""),"Nome sem indicação interna",IF(AND(G3946=1,F3946=""),"Fechamento sem conversa",IF(OR(AND(E3946&lt;&gt;"",E3946&lt;B3946),AND(F3946&lt;&gt;"",F3946&lt;B3946)),"Evento anterior à entrada",IF(AND(F3946&lt;&gt;"",E3946=""),"Conversa sem agendamento",IF(OR(E3946&gt;TODAY(),F3946&gt;TODAY()),"Verificar evento futuro","OK"))))))))))</f>
        <v/>
      </c>
    </row>
    <row r="3947" spans="12:15">
      <c r="L3947" s="5">
        <f>IF(OR(A3947="",B3947=""),"",B3947-WEEKDAY(B3947,2)+1)</f>
        <v/>
      </c>
      <c r="M3947" s="5">
        <f>IF(L3947="","",L3947+6)</f>
        <v/>
      </c>
      <c r="N3947" s="6">
        <f>IF(OR(A3947="",B3947=""),"",DATE(YEAR(B3947),MONTH(B3947),1))</f>
        <v/>
      </c>
      <c r="O3947" s="7">
        <f>IF(COUNTA(A3947:K3947)=0,"",IF(OR(A3947="",B3947=""),"Preencher CPF e entrada",IF(COUNTIFS($A$12:$A$5011,A3947,$B$12:$B$5011,B3947)&gt;1,"CPF + dia duplicado",IF(OR(AND(G3947&lt;&gt;"",G3947&lt;&gt;0,G3947&lt;&gt;1),AND(H3947&lt;&gt;"",H3947&lt;&gt;0,H3947&lt;&gt;1)),"Flags devem ser 0 ou 1",IF(AND(H3947=1,LEN(TRIM(I3947))=0),"Preencher nome do indicante",IF(AND(H3947&lt;&gt;1,I3947&lt;&gt;""),"Nome sem indicação interna",IF(AND(G3947=1,F3947=""),"Fechamento sem conversa",IF(OR(AND(E3947&lt;&gt;"",E3947&lt;B3947),AND(F3947&lt;&gt;"",F3947&lt;B3947)),"Evento anterior à entrada",IF(AND(F3947&lt;&gt;"",E3947=""),"Conversa sem agendamento",IF(OR(E3947&gt;TODAY(),F3947&gt;TODAY()),"Verificar evento futuro","OK"))))))))))</f>
        <v/>
      </c>
    </row>
    <row r="3948" spans="12:15">
      <c r="L3948" s="5">
        <f>IF(OR(A3948="",B3948=""),"",B3948-WEEKDAY(B3948,2)+1)</f>
        <v/>
      </c>
      <c r="M3948" s="5">
        <f>IF(L3948="","",L3948+6)</f>
        <v/>
      </c>
      <c r="N3948" s="6">
        <f>IF(OR(A3948="",B3948=""),"",DATE(YEAR(B3948),MONTH(B3948),1))</f>
        <v/>
      </c>
      <c r="O3948" s="7">
        <f>IF(COUNTA(A3948:K3948)=0,"",IF(OR(A3948="",B3948=""),"Preencher CPF e entrada",IF(COUNTIFS($A$12:$A$5011,A3948,$B$12:$B$5011,B3948)&gt;1,"CPF + dia duplicado",IF(OR(AND(G3948&lt;&gt;"",G3948&lt;&gt;0,G3948&lt;&gt;1),AND(H3948&lt;&gt;"",H3948&lt;&gt;0,H3948&lt;&gt;1)),"Flags devem ser 0 ou 1",IF(AND(H3948=1,LEN(TRIM(I3948))=0),"Preencher nome do indicante",IF(AND(H3948&lt;&gt;1,I3948&lt;&gt;""),"Nome sem indicação interna",IF(AND(G3948=1,F3948=""),"Fechamento sem conversa",IF(OR(AND(E3948&lt;&gt;"",E3948&lt;B3948),AND(F3948&lt;&gt;"",F3948&lt;B3948)),"Evento anterior à entrada",IF(AND(F3948&lt;&gt;"",E3948=""),"Conversa sem agendamento",IF(OR(E3948&gt;TODAY(),F3948&gt;TODAY()),"Verificar evento futuro","OK"))))))))))</f>
        <v/>
      </c>
    </row>
    <row r="3949" spans="12:15">
      <c r="L3949" s="5">
        <f>IF(OR(A3949="",B3949=""),"",B3949-WEEKDAY(B3949,2)+1)</f>
        <v/>
      </c>
      <c r="M3949" s="5">
        <f>IF(L3949="","",L3949+6)</f>
        <v/>
      </c>
      <c r="N3949" s="6">
        <f>IF(OR(A3949="",B3949=""),"",DATE(YEAR(B3949),MONTH(B3949),1))</f>
        <v/>
      </c>
      <c r="O3949" s="7">
        <f>IF(COUNTA(A3949:K3949)=0,"",IF(OR(A3949="",B3949=""),"Preencher CPF e entrada",IF(COUNTIFS($A$12:$A$5011,A3949,$B$12:$B$5011,B3949)&gt;1,"CPF + dia duplicado",IF(OR(AND(G3949&lt;&gt;"",G3949&lt;&gt;0,G3949&lt;&gt;1),AND(H3949&lt;&gt;"",H3949&lt;&gt;0,H3949&lt;&gt;1)),"Flags devem ser 0 ou 1",IF(AND(H3949=1,LEN(TRIM(I3949))=0),"Preencher nome do indicante",IF(AND(H3949&lt;&gt;1,I3949&lt;&gt;""),"Nome sem indicação interna",IF(AND(G3949=1,F3949=""),"Fechamento sem conversa",IF(OR(AND(E3949&lt;&gt;"",E3949&lt;B3949),AND(F3949&lt;&gt;"",F3949&lt;B3949)),"Evento anterior à entrada",IF(AND(F3949&lt;&gt;"",E3949=""),"Conversa sem agendamento",IF(OR(E3949&gt;TODAY(),F3949&gt;TODAY()),"Verificar evento futuro","OK"))))))))))</f>
        <v/>
      </c>
    </row>
    <row r="3950" spans="12:15">
      <c r="L3950" s="5">
        <f>IF(OR(A3950="",B3950=""),"",B3950-WEEKDAY(B3950,2)+1)</f>
        <v/>
      </c>
      <c r="M3950" s="5">
        <f>IF(L3950="","",L3950+6)</f>
        <v/>
      </c>
      <c r="N3950" s="6">
        <f>IF(OR(A3950="",B3950=""),"",DATE(YEAR(B3950),MONTH(B3950),1))</f>
        <v/>
      </c>
      <c r="O3950" s="7">
        <f>IF(COUNTA(A3950:K3950)=0,"",IF(OR(A3950="",B3950=""),"Preencher CPF e entrada",IF(COUNTIFS($A$12:$A$5011,A3950,$B$12:$B$5011,B3950)&gt;1,"CPF + dia duplicado",IF(OR(AND(G3950&lt;&gt;"",G3950&lt;&gt;0,G3950&lt;&gt;1),AND(H3950&lt;&gt;"",H3950&lt;&gt;0,H3950&lt;&gt;1)),"Flags devem ser 0 ou 1",IF(AND(H3950=1,LEN(TRIM(I3950))=0),"Preencher nome do indicante",IF(AND(H3950&lt;&gt;1,I3950&lt;&gt;""),"Nome sem indicação interna",IF(AND(G3950=1,F3950=""),"Fechamento sem conversa",IF(OR(AND(E3950&lt;&gt;"",E3950&lt;B3950),AND(F3950&lt;&gt;"",F3950&lt;B3950)),"Evento anterior à entrada",IF(AND(F3950&lt;&gt;"",E3950=""),"Conversa sem agendamento",IF(OR(E3950&gt;TODAY(),F3950&gt;TODAY()),"Verificar evento futuro","OK"))))))))))</f>
        <v/>
      </c>
    </row>
    <row r="3951" spans="12:15">
      <c r="L3951" s="5">
        <f>IF(OR(A3951="",B3951=""),"",B3951-WEEKDAY(B3951,2)+1)</f>
        <v/>
      </c>
      <c r="M3951" s="5">
        <f>IF(L3951="","",L3951+6)</f>
        <v/>
      </c>
      <c r="N3951" s="6">
        <f>IF(OR(A3951="",B3951=""),"",DATE(YEAR(B3951),MONTH(B3951),1))</f>
        <v/>
      </c>
      <c r="O3951" s="7">
        <f>IF(COUNTA(A3951:K3951)=0,"",IF(OR(A3951="",B3951=""),"Preencher CPF e entrada",IF(COUNTIFS($A$12:$A$5011,A3951,$B$12:$B$5011,B3951)&gt;1,"CPF + dia duplicado",IF(OR(AND(G3951&lt;&gt;"",G3951&lt;&gt;0,G3951&lt;&gt;1),AND(H3951&lt;&gt;"",H3951&lt;&gt;0,H3951&lt;&gt;1)),"Flags devem ser 0 ou 1",IF(AND(H3951=1,LEN(TRIM(I3951))=0),"Preencher nome do indicante",IF(AND(H3951&lt;&gt;1,I3951&lt;&gt;""),"Nome sem indicação interna",IF(AND(G3951=1,F3951=""),"Fechamento sem conversa",IF(OR(AND(E3951&lt;&gt;"",E3951&lt;B3951),AND(F3951&lt;&gt;"",F3951&lt;B3951)),"Evento anterior à entrada",IF(AND(F3951&lt;&gt;"",E3951=""),"Conversa sem agendamento",IF(OR(E3951&gt;TODAY(),F3951&gt;TODAY()),"Verificar evento futuro","OK"))))))))))</f>
        <v/>
      </c>
    </row>
    <row r="3952" spans="12:15">
      <c r="L3952" s="5">
        <f>IF(OR(A3952="",B3952=""),"",B3952-WEEKDAY(B3952,2)+1)</f>
        <v/>
      </c>
      <c r="M3952" s="5">
        <f>IF(L3952="","",L3952+6)</f>
        <v/>
      </c>
      <c r="N3952" s="6">
        <f>IF(OR(A3952="",B3952=""),"",DATE(YEAR(B3952),MONTH(B3952),1))</f>
        <v/>
      </c>
      <c r="O3952" s="7">
        <f>IF(COUNTA(A3952:K3952)=0,"",IF(OR(A3952="",B3952=""),"Preencher CPF e entrada",IF(COUNTIFS($A$12:$A$5011,A3952,$B$12:$B$5011,B3952)&gt;1,"CPF + dia duplicado",IF(OR(AND(G3952&lt;&gt;"",G3952&lt;&gt;0,G3952&lt;&gt;1),AND(H3952&lt;&gt;"",H3952&lt;&gt;0,H3952&lt;&gt;1)),"Flags devem ser 0 ou 1",IF(AND(H3952=1,LEN(TRIM(I3952))=0),"Preencher nome do indicante",IF(AND(H3952&lt;&gt;1,I3952&lt;&gt;""),"Nome sem indicação interna",IF(AND(G3952=1,F3952=""),"Fechamento sem conversa",IF(OR(AND(E3952&lt;&gt;"",E3952&lt;B3952),AND(F3952&lt;&gt;"",F3952&lt;B3952)),"Evento anterior à entrada",IF(AND(F3952&lt;&gt;"",E3952=""),"Conversa sem agendamento",IF(OR(E3952&gt;TODAY(),F3952&gt;TODAY()),"Verificar evento futuro","OK"))))))))))</f>
        <v/>
      </c>
    </row>
    <row r="3953" spans="12:15">
      <c r="L3953" s="5">
        <f>IF(OR(A3953="",B3953=""),"",B3953-WEEKDAY(B3953,2)+1)</f>
        <v/>
      </c>
      <c r="M3953" s="5">
        <f>IF(L3953="","",L3953+6)</f>
        <v/>
      </c>
      <c r="N3953" s="6">
        <f>IF(OR(A3953="",B3953=""),"",DATE(YEAR(B3953),MONTH(B3953),1))</f>
        <v/>
      </c>
      <c r="O3953" s="7">
        <f>IF(COUNTA(A3953:K3953)=0,"",IF(OR(A3953="",B3953=""),"Preencher CPF e entrada",IF(COUNTIFS($A$12:$A$5011,A3953,$B$12:$B$5011,B3953)&gt;1,"CPF + dia duplicado",IF(OR(AND(G3953&lt;&gt;"",G3953&lt;&gt;0,G3953&lt;&gt;1),AND(H3953&lt;&gt;"",H3953&lt;&gt;0,H3953&lt;&gt;1)),"Flags devem ser 0 ou 1",IF(AND(H3953=1,LEN(TRIM(I3953))=0),"Preencher nome do indicante",IF(AND(H3953&lt;&gt;1,I3953&lt;&gt;""),"Nome sem indicação interna",IF(AND(G3953=1,F3953=""),"Fechamento sem conversa",IF(OR(AND(E3953&lt;&gt;"",E3953&lt;B3953),AND(F3953&lt;&gt;"",F3953&lt;B3953)),"Evento anterior à entrada",IF(AND(F3953&lt;&gt;"",E3953=""),"Conversa sem agendamento",IF(OR(E3953&gt;TODAY(),F3953&gt;TODAY()),"Verificar evento futuro","OK"))))))))))</f>
        <v/>
      </c>
    </row>
    <row r="3954" spans="12:15">
      <c r="L3954" s="5">
        <f>IF(OR(A3954="",B3954=""),"",B3954-WEEKDAY(B3954,2)+1)</f>
        <v/>
      </c>
      <c r="M3954" s="5">
        <f>IF(L3954="","",L3954+6)</f>
        <v/>
      </c>
      <c r="N3954" s="6">
        <f>IF(OR(A3954="",B3954=""),"",DATE(YEAR(B3954),MONTH(B3954),1))</f>
        <v/>
      </c>
      <c r="O3954" s="7">
        <f>IF(COUNTA(A3954:K3954)=0,"",IF(OR(A3954="",B3954=""),"Preencher CPF e entrada",IF(COUNTIFS($A$12:$A$5011,A3954,$B$12:$B$5011,B3954)&gt;1,"CPF + dia duplicado",IF(OR(AND(G3954&lt;&gt;"",G3954&lt;&gt;0,G3954&lt;&gt;1),AND(H3954&lt;&gt;"",H3954&lt;&gt;0,H3954&lt;&gt;1)),"Flags devem ser 0 ou 1",IF(AND(H3954=1,LEN(TRIM(I3954))=0),"Preencher nome do indicante",IF(AND(H3954&lt;&gt;1,I3954&lt;&gt;""),"Nome sem indicação interna",IF(AND(G3954=1,F3954=""),"Fechamento sem conversa",IF(OR(AND(E3954&lt;&gt;"",E3954&lt;B3954),AND(F3954&lt;&gt;"",F3954&lt;B3954)),"Evento anterior à entrada",IF(AND(F3954&lt;&gt;"",E3954=""),"Conversa sem agendamento",IF(OR(E3954&gt;TODAY(),F3954&gt;TODAY()),"Verificar evento futuro","OK"))))))))))</f>
        <v/>
      </c>
    </row>
    <row r="3955" spans="12:15">
      <c r="L3955" s="5">
        <f>IF(OR(A3955="",B3955=""),"",B3955-WEEKDAY(B3955,2)+1)</f>
        <v/>
      </c>
      <c r="M3955" s="5">
        <f>IF(L3955="","",L3955+6)</f>
        <v/>
      </c>
      <c r="N3955" s="6">
        <f>IF(OR(A3955="",B3955=""),"",DATE(YEAR(B3955),MONTH(B3955),1))</f>
        <v/>
      </c>
      <c r="O3955" s="7">
        <f>IF(COUNTA(A3955:K3955)=0,"",IF(OR(A3955="",B3955=""),"Preencher CPF e entrada",IF(COUNTIFS($A$12:$A$5011,A3955,$B$12:$B$5011,B3955)&gt;1,"CPF + dia duplicado",IF(OR(AND(G3955&lt;&gt;"",G3955&lt;&gt;0,G3955&lt;&gt;1),AND(H3955&lt;&gt;"",H3955&lt;&gt;0,H3955&lt;&gt;1)),"Flags devem ser 0 ou 1",IF(AND(H3955=1,LEN(TRIM(I3955))=0),"Preencher nome do indicante",IF(AND(H3955&lt;&gt;1,I3955&lt;&gt;""),"Nome sem indicação interna",IF(AND(G3955=1,F3955=""),"Fechamento sem conversa",IF(OR(AND(E3955&lt;&gt;"",E3955&lt;B3955),AND(F3955&lt;&gt;"",F3955&lt;B3955)),"Evento anterior à entrada",IF(AND(F3955&lt;&gt;"",E3955=""),"Conversa sem agendamento",IF(OR(E3955&gt;TODAY(),F3955&gt;TODAY()),"Verificar evento futuro","OK"))))))))))</f>
        <v/>
      </c>
    </row>
    <row r="3956" spans="12:15">
      <c r="L3956" s="5">
        <f>IF(OR(A3956="",B3956=""),"",B3956-WEEKDAY(B3956,2)+1)</f>
        <v/>
      </c>
      <c r="M3956" s="5">
        <f>IF(L3956="","",L3956+6)</f>
        <v/>
      </c>
      <c r="N3956" s="6">
        <f>IF(OR(A3956="",B3956=""),"",DATE(YEAR(B3956),MONTH(B3956),1))</f>
        <v/>
      </c>
      <c r="O3956" s="7">
        <f>IF(COUNTA(A3956:K3956)=0,"",IF(OR(A3956="",B3956=""),"Preencher CPF e entrada",IF(COUNTIFS($A$12:$A$5011,A3956,$B$12:$B$5011,B3956)&gt;1,"CPF + dia duplicado",IF(OR(AND(G3956&lt;&gt;"",G3956&lt;&gt;0,G3956&lt;&gt;1),AND(H3956&lt;&gt;"",H3956&lt;&gt;0,H3956&lt;&gt;1)),"Flags devem ser 0 ou 1",IF(AND(H3956=1,LEN(TRIM(I3956))=0),"Preencher nome do indicante",IF(AND(H3956&lt;&gt;1,I3956&lt;&gt;""),"Nome sem indicação interna",IF(AND(G3956=1,F3956=""),"Fechamento sem conversa",IF(OR(AND(E3956&lt;&gt;"",E3956&lt;B3956),AND(F3956&lt;&gt;"",F3956&lt;B3956)),"Evento anterior à entrada",IF(AND(F3956&lt;&gt;"",E3956=""),"Conversa sem agendamento",IF(OR(E3956&gt;TODAY(),F3956&gt;TODAY()),"Verificar evento futuro","OK"))))))))))</f>
        <v/>
      </c>
    </row>
    <row r="3957" spans="12:15">
      <c r="L3957" s="5">
        <f>IF(OR(A3957="",B3957=""),"",B3957-WEEKDAY(B3957,2)+1)</f>
        <v/>
      </c>
      <c r="M3957" s="5">
        <f>IF(L3957="","",L3957+6)</f>
        <v/>
      </c>
      <c r="N3957" s="6">
        <f>IF(OR(A3957="",B3957=""),"",DATE(YEAR(B3957),MONTH(B3957),1))</f>
        <v/>
      </c>
      <c r="O3957" s="7">
        <f>IF(COUNTA(A3957:K3957)=0,"",IF(OR(A3957="",B3957=""),"Preencher CPF e entrada",IF(COUNTIFS($A$12:$A$5011,A3957,$B$12:$B$5011,B3957)&gt;1,"CPF + dia duplicado",IF(OR(AND(G3957&lt;&gt;"",G3957&lt;&gt;0,G3957&lt;&gt;1),AND(H3957&lt;&gt;"",H3957&lt;&gt;0,H3957&lt;&gt;1)),"Flags devem ser 0 ou 1",IF(AND(H3957=1,LEN(TRIM(I3957))=0),"Preencher nome do indicante",IF(AND(H3957&lt;&gt;1,I3957&lt;&gt;""),"Nome sem indicação interna",IF(AND(G3957=1,F3957=""),"Fechamento sem conversa",IF(OR(AND(E3957&lt;&gt;"",E3957&lt;B3957),AND(F3957&lt;&gt;"",F3957&lt;B3957)),"Evento anterior à entrada",IF(AND(F3957&lt;&gt;"",E3957=""),"Conversa sem agendamento",IF(OR(E3957&gt;TODAY(),F3957&gt;TODAY()),"Verificar evento futuro","OK"))))))))))</f>
        <v/>
      </c>
    </row>
    <row r="3958" spans="12:15">
      <c r="L3958" s="5">
        <f>IF(OR(A3958="",B3958=""),"",B3958-WEEKDAY(B3958,2)+1)</f>
        <v/>
      </c>
      <c r="M3958" s="5">
        <f>IF(L3958="","",L3958+6)</f>
        <v/>
      </c>
      <c r="N3958" s="6">
        <f>IF(OR(A3958="",B3958=""),"",DATE(YEAR(B3958),MONTH(B3958),1))</f>
        <v/>
      </c>
      <c r="O3958" s="7">
        <f>IF(COUNTA(A3958:K3958)=0,"",IF(OR(A3958="",B3958=""),"Preencher CPF e entrada",IF(COUNTIFS($A$12:$A$5011,A3958,$B$12:$B$5011,B3958)&gt;1,"CPF + dia duplicado",IF(OR(AND(G3958&lt;&gt;"",G3958&lt;&gt;0,G3958&lt;&gt;1),AND(H3958&lt;&gt;"",H3958&lt;&gt;0,H3958&lt;&gt;1)),"Flags devem ser 0 ou 1",IF(AND(H3958=1,LEN(TRIM(I3958))=0),"Preencher nome do indicante",IF(AND(H3958&lt;&gt;1,I3958&lt;&gt;""),"Nome sem indicação interna",IF(AND(G3958=1,F3958=""),"Fechamento sem conversa",IF(OR(AND(E3958&lt;&gt;"",E3958&lt;B3958),AND(F3958&lt;&gt;"",F3958&lt;B3958)),"Evento anterior à entrada",IF(AND(F3958&lt;&gt;"",E3958=""),"Conversa sem agendamento",IF(OR(E3958&gt;TODAY(),F3958&gt;TODAY()),"Verificar evento futuro","OK"))))))))))</f>
        <v/>
      </c>
    </row>
    <row r="3959" spans="12:15">
      <c r="L3959" s="5">
        <f>IF(OR(A3959="",B3959=""),"",B3959-WEEKDAY(B3959,2)+1)</f>
        <v/>
      </c>
      <c r="M3959" s="5">
        <f>IF(L3959="","",L3959+6)</f>
        <v/>
      </c>
      <c r="N3959" s="6">
        <f>IF(OR(A3959="",B3959=""),"",DATE(YEAR(B3959),MONTH(B3959),1))</f>
        <v/>
      </c>
      <c r="O3959" s="7">
        <f>IF(COUNTA(A3959:K3959)=0,"",IF(OR(A3959="",B3959=""),"Preencher CPF e entrada",IF(COUNTIFS($A$12:$A$5011,A3959,$B$12:$B$5011,B3959)&gt;1,"CPF + dia duplicado",IF(OR(AND(G3959&lt;&gt;"",G3959&lt;&gt;0,G3959&lt;&gt;1),AND(H3959&lt;&gt;"",H3959&lt;&gt;0,H3959&lt;&gt;1)),"Flags devem ser 0 ou 1",IF(AND(H3959=1,LEN(TRIM(I3959))=0),"Preencher nome do indicante",IF(AND(H3959&lt;&gt;1,I3959&lt;&gt;""),"Nome sem indicação interna",IF(AND(G3959=1,F3959=""),"Fechamento sem conversa",IF(OR(AND(E3959&lt;&gt;"",E3959&lt;B3959),AND(F3959&lt;&gt;"",F3959&lt;B3959)),"Evento anterior à entrada",IF(AND(F3959&lt;&gt;"",E3959=""),"Conversa sem agendamento",IF(OR(E3959&gt;TODAY(),F3959&gt;TODAY()),"Verificar evento futuro","OK"))))))))))</f>
        <v/>
      </c>
    </row>
    <row r="3960" spans="12:15">
      <c r="L3960" s="5">
        <f>IF(OR(A3960="",B3960=""),"",B3960-WEEKDAY(B3960,2)+1)</f>
        <v/>
      </c>
      <c r="M3960" s="5">
        <f>IF(L3960="","",L3960+6)</f>
        <v/>
      </c>
      <c r="N3960" s="6">
        <f>IF(OR(A3960="",B3960=""),"",DATE(YEAR(B3960),MONTH(B3960),1))</f>
        <v/>
      </c>
      <c r="O3960" s="7">
        <f>IF(COUNTA(A3960:K3960)=0,"",IF(OR(A3960="",B3960=""),"Preencher CPF e entrada",IF(COUNTIFS($A$12:$A$5011,A3960,$B$12:$B$5011,B3960)&gt;1,"CPF + dia duplicado",IF(OR(AND(G3960&lt;&gt;"",G3960&lt;&gt;0,G3960&lt;&gt;1),AND(H3960&lt;&gt;"",H3960&lt;&gt;0,H3960&lt;&gt;1)),"Flags devem ser 0 ou 1",IF(AND(H3960=1,LEN(TRIM(I3960))=0),"Preencher nome do indicante",IF(AND(H3960&lt;&gt;1,I3960&lt;&gt;""),"Nome sem indicação interna",IF(AND(G3960=1,F3960=""),"Fechamento sem conversa",IF(OR(AND(E3960&lt;&gt;"",E3960&lt;B3960),AND(F3960&lt;&gt;"",F3960&lt;B3960)),"Evento anterior à entrada",IF(AND(F3960&lt;&gt;"",E3960=""),"Conversa sem agendamento",IF(OR(E3960&gt;TODAY(),F3960&gt;TODAY()),"Verificar evento futuro","OK"))))))))))</f>
        <v/>
      </c>
    </row>
    <row r="3961" spans="12:15">
      <c r="L3961" s="5">
        <f>IF(OR(A3961="",B3961=""),"",B3961-WEEKDAY(B3961,2)+1)</f>
        <v/>
      </c>
      <c r="M3961" s="5">
        <f>IF(L3961="","",L3961+6)</f>
        <v/>
      </c>
      <c r="N3961" s="6">
        <f>IF(OR(A3961="",B3961=""),"",DATE(YEAR(B3961),MONTH(B3961),1))</f>
        <v/>
      </c>
      <c r="O3961" s="7">
        <f>IF(COUNTA(A3961:K3961)=0,"",IF(OR(A3961="",B3961=""),"Preencher CPF e entrada",IF(COUNTIFS($A$12:$A$5011,A3961,$B$12:$B$5011,B3961)&gt;1,"CPF + dia duplicado",IF(OR(AND(G3961&lt;&gt;"",G3961&lt;&gt;0,G3961&lt;&gt;1),AND(H3961&lt;&gt;"",H3961&lt;&gt;0,H3961&lt;&gt;1)),"Flags devem ser 0 ou 1",IF(AND(H3961=1,LEN(TRIM(I3961))=0),"Preencher nome do indicante",IF(AND(H3961&lt;&gt;1,I3961&lt;&gt;""),"Nome sem indicação interna",IF(AND(G3961=1,F3961=""),"Fechamento sem conversa",IF(OR(AND(E3961&lt;&gt;"",E3961&lt;B3961),AND(F3961&lt;&gt;"",F3961&lt;B3961)),"Evento anterior à entrada",IF(AND(F3961&lt;&gt;"",E3961=""),"Conversa sem agendamento",IF(OR(E3961&gt;TODAY(),F3961&gt;TODAY()),"Verificar evento futuro","OK"))))))))))</f>
        <v/>
      </c>
    </row>
    <row r="3962" spans="12:15">
      <c r="L3962" s="5">
        <f>IF(OR(A3962="",B3962=""),"",B3962-WEEKDAY(B3962,2)+1)</f>
        <v/>
      </c>
      <c r="M3962" s="5">
        <f>IF(L3962="","",L3962+6)</f>
        <v/>
      </c>
      <c r="N3962" s="6">
        <f>IF(OR(A3962="",B3962=""),"",DATE(YEAR(B3962),MONTH(B3962),1))</f>
        <v/>
      </c>
      <c r="O3962" s="7">
        <f>IF(COUNTA(A3962:K3962)=0,"",IF(OR(A3962="",B3962=""),"Preencher CPF e entrada",IF(COUNTIFS($A$12:$A$5011,A3962,$B$12:$B$5011,B3962)&gt;1,"CPF + dia duplicado",IF(OR(AND(G3962&lt;&gt;"",G3962&lt;&gt;0,G3962&lt;&gt;1),AND(H3962&lt;&gt;"",H3962&lt;&gt;0,H3962&lt;&gt;1)),"Flags devem ser 0 ou 1",IF(AND(H3962=1,LEN(TRIM(I3962))=0),"Preencher nome do indicante",IF(AND(H3962&lt;&gt;1,I3962&lt;&gt;""),"Nome sem indicação interna",IF(AND(G3962=1,F3962=""),"Fechamento sem conversa",IF(OR(AND(E3962&lt;&gt;"",E3962&lt;B3962),AND(F3962&lt;&gt;"",F3962&lt;B3962)),"Evento anterior à entrada",IF(AND(F3962&lt;&gt;"",E3962=""),"Conversa sem agendamento",IF(OR(E3962&gt;TODAY(),F3962&gt;TODAY()),"Verificar evento futuro","OK"))))))))))</f>
        <v/>
      </c>
    </row>
    <row r="3963" spans="12:15">
      <c r="L3963" s="5">
        <f>IF(OR(A3963="",B3963=""),"",B3963-WEEKDAY(B3963,2)+1)</f>
        <v/>
      </c>
      <c r="M3963" s="5">
        <f>IF(L3963="","",L3963+6)</f>
        <v/>
      </c>
      <c r="N3963" s="6">
        <f>IF(OR(A3963="",B3963=""),"",DATE(YEAR(B3963),MONTH(B3963),1))</f>
        <v/>
      </c>
      <c r="O3963" s="7">
        <f>IF(COUNTA(A3963:K3963)=0,"",IF(OR(A3963="",B3963=""),"Preencher CPF e entrada",IF(COUNTIFS($A$12:$A$5011,A3963,$B$12:$B$5011,B3963)&gt;1,"CPF + dia duplicado",IF(OR(AND(G3963&lt;&gt;"",G3963&lt;&gt;0,G3963&lt;&gt;1),AND(H3963&lt;&gt;"",H3963&lt;&gt;0,H3963&lt;&gt;1)),"Flags devem ser 0 ou 1",IF(AND(H3963=1,LEN(TRIM(I3963))=0),"Preencher nome do indicante",IF(AND(H3963&lt;&gt;1,I3963&lt;&gt;""),"Nome sem indicação interna",IF(AND(G3963=1,F3963=""),"Fechamento sem conversa",IF(OR(AND(E3963&lt;&gt;"",E3963&lt;B3963),AND(F3963&lt;&gt;"",F3963&lt;B3963)),"Evento anterior à entrada",IF(AND(F3963&lt;&gt;"",E3963=""),"Conversa sem agendamento",IF(OR(E3963&gt;TODAY(),F3963&gt;TODAY()),"Verificar evento futuro","OK"))))))))))</f>
        <v/>
      </c>
    </row>
    <row r="3964" spans="12:15">
      <c r="L3964" s="5">
        <f>IF(OR(A3964="",B3964=""),"",B3964-WEEKDAY(B3964,2)+1)</f>
        <v/>
      </c>
      <c r="M3964" s="5">
        <f>IF(L3964="","",L3964+6)</f>
        <v/>
      </c>
      <c r="N3964" s="6">
        <f>IF(OR(A3964="",B3964=""),"",DATE(YEAR(B3964),MONTH(B3964),1))</f>
        <v/>
      </c>
      <c r="O3964" s="7">
        <f>IF(COUNTA(A3964:K3964)=0,"",IF(OR(A3964="",B3964=""),"Preencher CPF e entrada",IF(COUNTIFS($A$12:$A$5011,A3964,$B$12:$B$5011,B3964)&gt;1,"CPF + dia duplicado",IF(OR(AND(G3964&lt;&gt;"",G3964&lt;&gt;0,G3964&lt;&gt;1),AND(H3964&lt;&gt;"",H3964&lt;&gt;0,H3964&lt;&gt;1)),"Flags devem ser 0 ou 1",IF(AND(H3964=1,LEN(TRIM(I3964))=0),"Preencher nome do indicante",IF(AND(H3964&lt;&gt;1,I3964&lt;&gt;""),"Nome sem indicação interna",IF(AND(G3964=1,F3964=""),"Fechamento sem conversa",IF(OR(AND(E3964&lt;&gt;"",E3964&lt;B3964),AND(F3964&lt;&gt;"",F3964&lt;B3964)),"Evento anterior à entrada",IF(AND(F3964&lt;&gt;"",E3964=""),"Conversa sem agendamento",IF(OR(E3964&gt;TODAY(),F3964&gt;TODAY()),"Verificar evento futuro","OK"))))))))))</f>
        <v/>
      </c>
    </row>
    <row r="3965" spans="12:15">
      <c r="L3965" s="5">
        <f>IF(OR(A3965="",B3965=""),"",B3965-WEEKDAY(B3965,2)+1)</f>
        <v/>
      </c>
      <c r="M3965" s="5">
        <f>IF(L3965="","",L3965+6)</f>
        <v/>
      </c>
      <c r="N3965" s="6">
        <f>IF(OR(A3965="",B3965=""),"",DATE(YEAR(B3965),MONTH(B3965),1))</f>
        <v/>
      </c>
      <c r="O3965" s="7">
        <f>IF(COUNTA(A3965:K3965)=0,"",IF(OR(A3965="",B3965=""),"Preencher CPF e entrada",IF(COUNTIFS($A$12:$A$5011,A3965,$B$12:$B$5011,B3965)&gt;1,"CPF + dia duplicado",IF(OR(AND(G3965&lt;&gt;"",G3965&lt;&gt;0,G3965&lt;&gt;1),AND(H3965&lt;&gt;"",H3965&lt;&gt;0,H3965&lt;&gt;1)),"Flags devem ser 0 ou 1",IF(AND(H3965=1,LEN(TRIM(I3965))=0),"Preencher nome do indicante",IF(AND(H3965&lt;&gt;1,I3965&lt;&gt;""),"Nome sem indicação interna",IF(AND(G3965=1,F3965=""),"Fechamento sem conversa",IF(OR(AND(E3965&lt;&gt;"",E3965&lt;B3965),AND(F3965&lt;&gt;"",F3965&lt;B3965)),"Evento anterior à entrada",IF(AND(F3965&lt;&gt;"",E3965=""),"Conversa sem agendamento",IF(OR(E3965&gt;TODAY(),F3965&gt;TODAY()),"Verificar evento futuro","OK"))))))))))</f>
        <v/>
      </c>
    </row>
    <row r="3966" spans="12:15">
      <c r="L3966" s="5">
        <f>IF(OR(A3966="",B3966=""),"",B3966-WEEKDAY(B3966,2)+1)</f>
        <v/>
      </c>
      <c r="M3966" s="5">
        <f>IF(L3966="","",L3966+6)</f>
        <v/>
      </c>
      <c r="N3966" s="6">
        <f>IF(OR(A3966="",B3966=""),"",DATE(YEAR(B3966),MONTH(B3966),1))</f>
        <v/>
      </c>
      <c r="O3966" s="7">
        <f>IF(COUNTA(A3966:K3966)=0,"",IF(OR(A3966="",B3966=""),"Preencher CPF e entrada",IF(COUNTIFS($A$12:$A$5011,A3966,$B$12:$B$5011,B3966)&gt;1,"CPF + dia duplicado",IF(OR(AND(G3966&lt;&gt;"",G3966&lt;&gt;0,G3966&lt;&gt;1),AND(H3966&lt;&gt;"",H3966&lt;&gt;0,H3966&lt;&gt;1)),"Flags devem ser 0 ou 1",IF(AND(H3966=1,LEN(TRIM(I3966))=0),"Preencher nome do indicante",IF(AND(H3966&lt;&gt;1,I3966&lt;&gt;""),"Nome sem indicação interna",IF(AND(G3966=1,F3966=""),"Fechamento sem conversa",IF(OR(AND(E3966&lt;&gt;"",E3966&lt;B3966),AND(F3966&lt;&gt;"",F3966&lt;B3966)),"Evento anterior à entrada",IF(AND(F3966&lt;&gt;"",E3966=""),"Conversa sem agendamento",IF(OR(E3966&gt;TODAY(),F3966&gt;TODAY()),"Verificar evento futuro","OK"))))))))))</f>
        <v/>
      </c>
    </row>
    <row r="3967" spans="12:15">
      <c r="L3967" s="5">
        <f>IF(OR(A3967="",B3967=""),"",B3967-WEEKDAY(B3967,2)+1)</f>
        <v/>
      </c>
      <c r="M3967" s="5">
        <f>IF(L3967="","",L3967+6)</f>
        <v/>
      </c>
      <c r="N3967" s="6">
        <f>IF(OR(A3967="",B3967=""),"",DATE(YEAR(B3967),MONTH(B3967),1))</f>
        <v/>
      </c>
      <c r="O3967" s="7">
        <f>IF(COUNTA(A3967:K3967)=0,"",IF(OR(A3967="",B3967=""),"Preencher CPF e entrada",IF(COUNTIFS($A$12:$A$5011,A3967,$B$12:$B$5011,B3967)&gt;1,"CPF + dia duplicado",IF(OR(AND(G3967&lt;&gt;"",G3967&lt;&gt;0,G3967&lt;&gt;1),AND(H3967&lt;&gt;"",H3967&lt;&gt;0,H3967&lt;&gt;1)),"Flags devem ser 0 ou 1",IF(AND(H3967=1,LEN(TRIM(I3967))=0),"Preencher nome do indicante",IF(AND(H3967&lt;&gt;1,I3967&lt;&gt;""),"Nome sem indicação interna",IF(AND(G3967=1,F3967=""),"Fechamento sem conversa",IF(OR(AND(E3967&lt;&gt;"",E3967&lt;B3967),AND(F3967&lt;&gt;"",F3967&lt;B3967)),"Evento anterior à entrada",IF(AND(F3967&lt;&gt;"",E3967=""),"Conversa sem agendamento",IF(OR(E3967&gt;TODAY(),F3967&gt;TODAY()),"Verificar evento futuro","OK"))))))))))</f>
        <v/>
      </c>
    </row>
    <row r="3968" spans="12:15">
      <c r="L3968" s="5">
        <f>IF(OR(A3968="",B3968=""),"",B3968-WEEKDAY(B3968,2)+1)</f>
        <v/>
      </c>
      <c r="M3968" s="5">
        <f>IF(L3968="","",L3968+6)</f>
        <v/>
      </c>
      <c r="N3968" s="6">
        <f>IF(OR(A3968="",B3968=""),"",DATE(YEAR(B3968),MONTH(B3968),1))</f>
        <v/>
      </c>
      <c r="O3968" s="7">
        <f>IF(COUNTA(A3968:K3968)=0,"",IF(OR(A3968="",B3968=""),"Preencher CPF e entrada",IF(COUNTIFS($A$12:$A$5011,A3968,$B$12:$B$5011,B3968)&gt;1,"CPF + dia duplicado",IF(OR(AND(G3968&lt;&gt;"",G3968&lt;&gt;0,G3968&lt;&gt;1),AND(H3968&lt;&gt;"",H3968&lt;&gt;0,H3968&lt;&gt;1)),"Flags devem ser 0 ou 1",IF(AND(H3968=1,LEN(TRIM(I3968))=0),"Preencher nome do indicante",IF(AND(H3968&lt;&gt;1,I3968&lt;&gt;""),"Nome sem indicação interna",IF(AND(G3968=1,F3968=""),"Fechamento sem conversa",IF(OR(AND(E3968&lt;&gt;"",E3968&lt;B3968),AND(F3968&lt;&gt;"",F3968&lt;B3968)),"Evento anterior à entrada",IF(AND(F3968&lt;&gt;"",E3968=""),"Conversa sem agendamento",IF(OR(E3968&gt;TODAY(),F3968&gt;TODAY()),"Verificar evento futuro","OK"))))))))))</f>
        <v/>
      </c>
    </row>
    <row r="3969" spans="12:15">
      <c r="L3969" s="5">
        <f>IF(OR(A3969="",B3969=""),"",B3969-WEEKDAY(B3969,2)+1)</f>
        <v/>
      </c>
      <c r="M3969" s="5">
        <f>IF(L3969="","",L3969+6)</f>
        <v/>
      </c>
      <c r="N3969" s="6">
        <f>IF(OR(A3969="",B3969=""),"",DATE(YEAR(B3969),MONTH(B3969),1))</f>
        <v/>
      </c>
      <c r="O3969" s="7">
        <f>IF(COUNTA(A3969:K3969)=0,"",IF(OR(A3969="",B3969=""),"Preencher CPF e entrada",IF(COUNTIFS($A$12:$A$5011,A3969,$B$12:$B$5011,B3969)&gt;1,"CPF + dia duplicado",IF(OR(AND(G3969&lt;&gt;"",G3969&lt;&gt;0,G3969&lt;&gt;1),AND(H3969&lt;&gt;"",H3969&lt;&gt;0,H3969&lt;&gt;1)),"Flags devem ser 0 ou 1",IF(AND(H3969=1,LEN(TRIM(I3969))=0),"Preencher nome do indicante",IF(AND(H3969&lt;&gt;1,I3969&lt;&gt;""),"Nome sem indicação interna",IF(AND(G3969=1,F3969=""),"Fechamento sem conversa",IF(OR(AND(E3969&lt;&gt;"",E3969&lt;B3969),AND(F3969&lt;&gt;"",F3969&lt;B3969)),"Evento anterior à entrada",IF(AND(F3969&lt;&gt;"",E3969=""),"Conversa sem agendamento",IF(OR(E3969&gt;TODAY(),F3969&gt;TODAY()),"Verificar evento futuro","OK"))))))))))</f>
        <v/>
      </c>
    </row>
    <row r="3970" spans="12:15">
      <c r="L3970" s="5">
        <f>IF(OR(A3970="",B3970=""),"",B3970-WEEKDAY(B3970,2)+1)</f>
        <v/>
      </c>
      <c r="M3970" s="5">
        <f>IF(L3970="","",L3970+6)</f>
        <v/>
      </c>
      <c r="N3970" s="6">
        <f>IF(OR(A3970="",B3970=""),"",DATE(YEAR(B3970),MONTH(B3970),1))</f>
        <v/>
      </c>
      <c r="O3970" s="7">
        <f>IF(COUNTA(A3970:K3970)=0,"",IF(OR(A3970="",B3970=""),"Preencher CPF e entrada",IF(COUNTIFS($A$12:$A$5011,A3970,$B$12:$B$5011,B3970)&gt;1,"CPF + dia duplicado",IF(OR(AND(G3970&lt;&gt;"",G3970&lt;&gt;0,G3970&lt;&gt;1),AND(H3970&lt;&gt;"",H3970&lt;&gt;0,H3970&lt;&gt;1)),"Flags devem ser 0 ou 1",IF(AND(H3970=1,LEN(TRIM(I3970))=0),"Preencher nome do indicante",IF(AND(H3970&lt;&gt;1,I3970&lt;&gt;""),"Nome sem indicação interna",IF(AND(G3970=1,F3970=""),"Fechamento sem conversa",IF(OR(AND(E3970&lt;&gt;"",E3970&lt;B3970),AND(F3970&lt;&gt;"",F3970&lt;B3970)),"Evento anterior à entrada",IF(AND(F3970&lt;&gt;"",E3970=""),"Conversa sem agendamento",IF(OR(E3970&gt;TODAY(),F3970&gt;TODAY()),"Verificar evento futuro","OK"))))))))))</f>
        <v/>
      </c>
    </row>
    <row r="3971" spans="12:15">
      <c r="L3971" s="5">
        <f>IF(OR(A3971="",B3971=""),"",B3971-WEEKDAY(B3971,2)+1)</f>
        <v/>
      </c>
      <c r="M3971" s="5">
        <f>IF(L3971="","",L3971+6)</f>
        <v/>
      </c>
      <c r="N3971" s="6">
        <f>IF(OR(A3971="",B3971=""),"",DATE(YEAR(B3971),MONTH(B3971),1))</f>
        <v/>
      </c>
      <c r="O3971" s="7">
        <f>IF(COUNTA(A3971:K3971)=0,"",IF(OR(A3971="",B3971=""),"Preencher CPF e entrada",IF(COUNTIFS($A$12:$A$5011,A3971,$B$12:$B$5011,B3971)&gt;1,"CPF + dia duplicado",IF(OR(AND(G3971&lt;&gt;"",G3971&lt;&gt;0,G3971&lt;&gt;1),AND(H3971&lt;&gt;"",H3971&lt;&gt;0,H3971&lt;&gt;1)),"Flags devem ser 0 ou 1",IF(AND(H3971=1,LEN(TRIM(I3971))=0),"Preencher nome do indicante",IF(AND(H3971&lt;&gt;1,I3971&lt;&gt;""),"Nome sem indicação interna",IF(AND(G3971=1,F3971=""),"Fechamento sem conversa",IF(OR(AND(E3971&lt;&gt;"",E3971&lt;B3971),AND(F3971&lt;&gt;"",F3971&lt;B3971)),"Evento anterior à entrada",IF(AND(F3971&lt;&gt;"",E3971=""),"Conversa sem agendamento",IF(OR(E3971&gt;TODAY(),F3971&gt;TODAY()),"Verificar evento futuro","OK"))))))))))</f>
        <v/>
      </c>
    </row>
    <row r="3972" spans="12:15">
      <c r="L3972" s="5">
        <f>IF(OR(A3972="",B3972=""),"",B3972-WEEKDAY(B3972,2)+1)</f>
        <v/>
      </c>
      <c r="M3972" s="5">
        <f>IF(L3972="","",L3972+6)</f>
        <v/>
      </c>
      <c r="N3972" s="6">
        <f>IF(OR(A3972="",B3972=""),"",DATE(YEAR(B3972),MONTH(B3972),1))</f>
        <v/>
      </c>
      <c r="O3972" s="7">
        <f>IF(COUNTA(A3972:K3972)=0,"",IF(OR(A3972="",B3972=""),"Preencher CPF e entrada",IF(COUNTIFS($A$12:$A$5011,A3972,$B$12:$B$5011,B3972)&gt;1,"CPF + dia duplicado",IF(OR(AND(G3972&lt;&gt;"",G3972&lt;&gt;0,G3972&lt;&gt;1),AND(H3972&lt;&gt;"",H3972&lt;&gt;0,H3972&lt;&gt;1)),"Flags devem ser 0 ou 1",IF(AND(H3972=1,LEN(TRIM(I3972))=0),"Preencher nome do indicante",IF(AND(H3972&lt;&gt;1,I3972&lt;&gt;""),"Nome sem indicação interna",IF(AND(G3972=1,F3972=""),"Fechamento sem conversa",IF(OR(AND(E3972&lt;&gt;"",E3972&lt;B3972),AND(F3972&lt;&gt;"",F3972&lt;B3972)),"Evento anterior à entrada",IF(AND(F3972&lt;&gt;"",E3972=""),"Conversa sem agendamento",IF(OR(E3972&gt;TODAY(),F3972&gt;TODAY()),"Verificar evento futuro","OK"))))))))))</f>
        <v/>
      </c>
    </row>
    <row r="3973" spans="12:15">
      <c r="L3973" s="5">
        <f>IF(OR(A3973="",B3973=""),"",B3973-WEEKDAY(B3973,2)+1)</f>
        <v/>
      </c>
      <c r="M3973" s="5">
        <f>IF(L3973="","",L3973+6)</f>
        <v/>
      </c>
      <c r="N3973" s="6">
        <f>IF(OR(A3973="",B3973=""),"",DATE(YEAR(B3973),MONTH(B3973),1))</f>
        <v/>
      </c>
      <c r="O3973" s="7">
        <f>IF(COUNTA(A3973:K3973)=0,"",IF(OR(A3973="",B3973=""),"Preencher CPF e entrada",IF(COUNTIFS($A$12:$A$5011,A3973,$B$12:$B$5011,B3973)&gt;1,"CPF + dia duplicado",IF(OR(AND(G3973&lt;&gt;"",G3973&lt;&gt;0,G3973&lt;&gt;1),AND(H3973&lt;&gt;"",H3973&lt;&gt;0,H3973&lt;&gt;1)),"Flags devem ser 0 ou 1",IF(AND(H3973=1,LEN(TRIM(I3973))=0),"Preencher nome do indicante",IF(AND(H3973&lt;&gt;1,I3973&lt;&gt;""),"Nome sem indicação interna",IF(AND(G3973=1,F3973=""),"Fechamento sem conversa",IF(OR(AND(E3973&lt;&gt;"",E3973&lt;B3973),AND(F3973&lt;&gt;"",F3973&lt;B3973)),"Evento anterior à entrada",IF(AND(F3973&lt;&gt;"",E3973=""),"Conversa sem agendamento",IF(OR(E3973&gt;TODAY(),F3973&gt;TODAY()),"Verificar evento futuro","OK"))))))))))</f>
        <v/>
      </c>
    </row>
    <row r="3974" spans="12:15">
      <c r="L3974" s="5">
        <f>IF(OR(A3974="",B3974=""),"",B3974-WEEKDAY(B3974,2)+1)</f>
        <v/>
      </c>
      <c r="M3974" s="5">
        <f>IF(L3974="","",L3974+6)</f>
        <v/>
      </c>
      <c r="N3974" s="6">
        <f>IF(OR(A3974="",B3974=""),"",DATE(YEAR(B3974),MONTH(B3974),1))</f>
        <v/>
      </c>
      <c r="O3974" s="7">
        <f>IF(COUNTA(A3974:K3974)=0,"",IF(OR(A3974="",B3974=""),"Preencher CPF e entrada",IF(COUNTIFS($A$12:$A$5011,A3974,$B$12:$B$5011,B3974)&gt;1,"CPF + dia duplicado",IF(OR(AND(G3974&lt;&gt;"",G3974&lt;&gt;0,G3974&lt;&gt;1),AND(H3974&lt;&gt;"",H3974&lt;&gt;0,H3974&lt;&gt;1)),"Flags devem ser 0 ou 1",IF(AND(H3974=1,LEN(TRIM(I3974))=0),"Preencher nome do indicante",IF(AND(H3974&lt;&gt;1,I3974&lt;&gt;""),"Nome sem indicação interna",IF(AND(G3974=1,F3974=""),"Fechamento sem conversa",IF(OR(AND(E3974&lt;&gt;"",E3974&lt;B3974),AND(F3974&lt;&gt;"",F3974&lt;B3974)),"Evento anterior à entrada",IF(AND(F3974&lt;&gt;"",E3974=""),"Conversa sem agendamento",IF(OR(E3974&gt;TODAY(),F3974&gt;TODAY()),"Verificar evento futuro","OK"))))))))))</f>
        <v/>
      </c>
    </row>
    <row r="3975" spans="12:15">
      <c r="L3975" s="5">
        <f>IF(OR(A3975="",B3975=""),"",B3975-WEEKDAY(B3975,2)+1)</f>
        <v/>
      </c>
      <c r="M3975" s="5">
        <f>IF(L3975="","",L3975+6)</f>
        <v/>
      </c>
      <c r="N3975" s="6">
        <f>IF(OR(A3975="",B3975=""),"",DATE(YEAR(B3975),MONTH(B3975),1))</f>
        <v/>
      </c>
      <c r="O3975" s="7">
        <f>IF(COUNTA(A3975:K3975)=0,"",IF(OR(A3975="",B3975=""),"Preencher CPF e entrada",IF(COUNTIFS($A$12:$A$5011,A3975,$B$12:$B$5011,B3975)&gt;1,"CPF + dia duplicado",IF(OR(AND(G3975&lt;&gt;"",G3975&lt;&gt;0,G3975&lt;&gt;1),AND(H3975&lt;&gt;"",H3975&lt;&gt;0,H3975&lt;&gt;1)),"Flags devem ser 0 ou 1",IF(AND(H3975=1,LEN(TRIM(I3975))=0),"Preencher nome do indicante",IF(AND(H3975&lt;&gt;1,I3975&lt;&gt;""),"Nome sem indicação interna",IF(AND(G3975=1,F3975=""),"Fechamento sem conversa",IF(OR(AND(E3975&lt;&gt;"",E3975&lt;B3975),AND(F3975&lt;&gt;"",F3975&lt;B3975)),"Evento anterior à entrada",IF(AND(F3975&lt;&gt;"",E3975=""),"Conversa sem agendamento",IF(OR(E3975&gt;TODAY(),F3975&gt;TODAY()),"Verificar evento futuro","OK"))))))))))</f>
        <v/>
      </c>
    </row>
    <row r="3976" spans="12:15">
      <c r="L3976" s="5">
        <f>IF(OR(A3976="",B3976=""),"",B3976-WEEKDAY(B3976,2)+1)</f>
        <v/>
      </c>
      <c r="M3976" s="5">
        <f>IF(L3976="","",L3976+6)</f>
        <v/>
      </c>
      <c r="N3976" s="6">
        <f>IF(OR(A3976="",B3976=""),"",DATE(YEAR(B3976),MONTH(B3976),1))</f>
        <v/>
      </c>
      <c r="O3976" s="7">
        <f>IF(COUNTA(A3976:K3976)=0,"",IF(OR(A3976="",B3976=""),"Preencher CPF e entrada",IF(COUNTIFS($A$12:$A$5011,A3976,$B$12:$B$5011,B3976)&gt;1,"CPF + dia duplicado",IF(OR(AND(G3976&lt;&gt;"",G3976&lt;&gt;0,G3976&lt;&gt;1),AND(H3976&lt;&gt;"",H3976&lt;&gt;0,H3976&lt;&gt;1)),"Flags devem ser 0 ou 1",IF(AND(H3976=1,LEN(TRIM(I3976))=0),"Preencher nome do indicante",IF(AND(H3976&lt;&gt;1,I3976&lt;&gt;""),"Nome sem indicação interna",IF(AND(G3976=1,F3976=""),"Fechamento sem conversa",IF(OR(AND(E3976&lt;&gt;"",E3976&lt;B3976),AND(F3976&lt;&gt;"",F3976&lt;B3976)),"Evento anterior à entrada",IF(AND(F3976&lt;&gt;"",E3976=""),"Conversa sem agendamento",IF(OR(E3976&gt;TODAY(),F3976&gt;TODAY()),"Verificar evento futuro","OK"))))))))))</f>
        <v/>
      </c>
    </row>
    <row r="3977" spans="12:15">
      <c r="L3977" s="5">
        <f>IF(OR(A3977="",B3977=""),"",B3977-WEEKDAY(B3977,2)+1)</f>
        <v/>
      </c>
      <c r="M3977" s="5">
        <f>IF(L3977="","",L3977+6)</f>
        <v/>
      </c>
      <c r="N3977" s="6">
        <f>IF(OR(A3977="",B3977=""),"",DATE(YEAR(B3977),MONTH(B3977),1))</f>
        <v/>
      </c>
      <c r="O3977" s="7">
        <f>IF(COUNTA(A3977:K3977)=0,"",IF(OR(A3977="",B3977=""),"Preencher CPF e entrada",IF(COUNTIFS($A$12:$A$5011,A3977,$B$12:$B$5011,B3977)&gt;1,"CPF + dia duplicado",IF(OR(AND(G3977&lt;&gt;"",G3977&lt;&gt;0,G3977&lt;&gt;1),AND(H3977&lt;&gt;"",H3977&lt;&gt;0,H3977&lt;&gt;1)),"Flags devem ser 0 ou 1",IF(AND(H3977=1,LEN(TRIM(I3977))=0),"Preencher nome do indicante",IF(AND(H3977&lt;&gt;1,I3977&lt;&gt;""),"Nome sem indicação interna",IF(AND(G3977=1,F3977=""),"Fechamento sem conversa",IF(OR(AND(E3977&lt;&gt;"",E3977&lt;B3977),AND(F3977&lt;&gt;"",F3977&lt;B3977)),"Evento anterior à entrada",IF(AND(F3977&lt;&gt;"",E3977=""),"Conversa sem agendamento",IF(OR(E3977&gt;TODAY(),F3977&gt;TODAY()),"Verificar evento futuro","OK"))))))))))</f>
        <v/>
      </c>
    </row>
    <row r="3978" spans="12:15">
      <c r="L3978" s="5">
        <f>IF(OR(A3978="",B3978=""),"",B3978-WEEKDAY(B3978,2)+1)</f>
        <v/>
      </c>
      <c r="M3978" s="5">
        <f>IF(L3978="","",L3978+6)</f>
        <v/>
      </c>
      <c r="N3978" s="6">
        <f>IF(OR(A3978="",B3978=""),"",DATE(YEAR(B3978),MONTH(B3978),1))</f>
        <v/>
      </c>
      <c r="O3978" s="7">
        <f>IF(COUNTA(A3978:K3978)=0,"",IF(OR(A3978="",B3978=""),"Preencher CPF e entrada",IF(COUNTIFS($A$12:$A$5011,A3978,$B$12:$B$5011,B3978)&gt;1,"CPF + dia duplicado",IF(OR(AND(G3978&lt;&gt;"",G3978&lt;&gt;0,G3978&lt;&gt;1),AND(H3978&lt;&gt;"",H3978&lt;&gt;0,H3978&lt;&gt;1)),"Flags devem ser 0 ou 1",IF(AND(H3978=1,LEN(TRIM(I3978))=0),"Preencher nome do indicante",IF(AND(H3978&lt;&gt;1,I3978&lt;&gt;""),"Nome sem indicação interna",IF(AND(G3978=1,F3978=""),"Fechamento sem conversa",IF(OR(AND(E3978&lt;&gt;"",E3978&lt;B3978),AND(F3978&lt;&gt;"",F3978&lt;B3978)),"Evento anterior à entrada",IF(AND(F3978&lt;&gt;"",E3978=""),"Conversa sem agendamento",IF(OR(E3978&gt;TODAY(),F3978&gt;TODAY()),"Verificar evento futuro","OK"))))))))))</f>
        <v/>
      </c>
    </row>
    <row r="3979" spans="12:15">
      <c r="L3979" s="5">
        <f>IF(OR(A3979="",B3979=""),"",B3979-WEEKDAY(B3979,2)+1)</f>
        <v/>
      </c>
      <c r="M3979" s="5">
        <f>IF(L3979="","",L3979+6)</f>
        <v/>
      </c>
      <c r="N3979" s="6">
        <f>IF(OR(A3979="",B3979=""),"",DATE(YEAR(B3979),MONTH(B3979),1))</f>
        <v/>
      </c>
      <c r="O3979" s="7">
        <f>IF(COUNTA(A3979:K3979)=0,"",IF(OR(A3979="",B3979=""),"Preencher CPF e entrada",IF(COUNTIFS($A$12:$A$5011,A3979,$B$12:$B$5011,B3979)&gt;1,"CPF + dia duplicado",IF(OR(AND(G3979&lt;&gt;"",G3979&lt;&gt;0,G3979&lt;&gt;1),AND(H3979&lt;&gt;"",H3979&lt;&gt;0,H3979&lt;&gt;1)),"Flags devem ser 0 ou 1",IF(AND(H3979=1,LEN(TRIM(I3979))=0),"Preencher nome do indicante",IF(AND(H3979&lt;&gt;1,I3979&lt;&gt;""),"Nome sem indicação interna",IF(AND(G3979=1,F3979=""),"Fechamento sem conversa",IF(OR(AND(E3979&lt;&gt;"",E3979&lt;B3979),AND(F3979&lt;&gt;"",F3979&lt;B3979)),"Evento anterior à entrada",IF(AND(F3979&lt;&gt;"",E3979=""),"Conversa sem agendamento",IF(OR(E3979&gt;TODAY(),F3979&gt;TODAY()),"Verificar evento futuro","OK"))))))))))</f>
        <v/>
      </c>
    </row>
    <row r="3980" spans="12:15">
      <c r="L3980" s="5">
        <f>IF(OR(A3980="",B3980=""),"",B3980-WEEKDAY(B3980,2)+1)</f>
        <v/>
      </c>
      <c r="M3980" s="5">
        <f>IF(L3980="","",L3980+6)</f>
        <v/>
      </c>
      <c r="N3980" s="6">
        <f>IF(OR(A3980="",B3980=""),"",DATE(YEAR(B3980),MONTH(B3980),1))</f>
        <v/>
      </c>
      <c r="O3980" s="7">
        <f>IF(COUNTA(A3980:K3980)=0,"",IF(OR(A3980="",B3980=""),"Preencher CPF e entrada",IF(COUNTIFS($A$12:$A$5011,A3980,$B$12:$B$5011,B3980)&gt;1,"CPF + dia duplicado",IF(OR(AND(G3980&lt;&gt;"",G3980&lt;&gt;0,G3980&lt;&gt;1),AND(H3980&lt;&gt;"",H3980&lt;&gt;0,H3980&lt;&gt;1)),"Flags devem ser 0 ou 1",IF(AND(H3980=1,LEN(TRIM(I3980))=0),"Preencher nome do indicante",IF(AND(H3980&lt;&gt;1,I3980&lt;&gt;""),"Nome sem indicação interna",IF(AND(G3980=1,F3980=""),"Fechamento sem conversa",IF(OR(AND(E3980&lt;&gt;"",E3980&lt;B3980),AND(F3980&lt;&gt;"",F3980&lt;B3980)),"Evento anterior à entrada",IF(AND(F3980&lt;&gt;"",E3980=""),"Conversa sem agendamento",IF(OR(E3980&gt;TODAY(),F3980&gt;TODAY()),"Verificar evento futuro","OK"))))))))))</f>
        <v/>
      </c>
    </row>
    <row r="3981" spans="12:15">
      <c r="L3981" s="5">
        <f>IF(OR(A3981="",B3981=""),"",B3981-WEEKDAY(B3981,2)+1)</f>
        <v/>
      </c>
      <c r="M3981" s="5">
        <f>IF(L3981="","",L3981+6)</f>
        <v/>
      </c>
      <c r="N3981" s="6">
        <f>IF(OR(A3981="",B3981=""),"",DATE(YEAR(B3981),MONTH(B3981),1))</f>
        <v/>
      </c>
      <c r="O3981" s="7">
        <f>IF(COUNTA(A3981:K3981)=0,"",IF(OR(A3981="",B3981=""),"Preencher CPF e entrada",IF(COUNTIFS($A$12:$A$5011,A3981,$B$12:$B$5011,B3981)&gt;1,"CPF + dia duplicado",IF(OR(AND(G3981&lt;&gt;"",G3981&lt;&gt;0,G3981&lt;&gt;1),AND(H3981&lt;&gt;"",H3981&lt;&gt;0,H3981&lt;&gt;1)),"Flags devem ser 0 ou 1",IF(AND(H3981=1,LEN(TRIM(I3981))=0),"Preencher nome do indicante",IF(AND(H3981&lt;&gt;1,I3981&lt;&gt;""),"Nome sem indicação interna",IF(AND(G3981=1,F3981=""),"Fechamento sem conversa",IF(OR(AND(E3981&lt;&gt;"",E3981&lt;B3981),AND(F3981&lt;&gt;"",F3981&lt;B3981)),"Evento anterior à entrada",IF(AND(F3981&lt;&gt;"",E3981=""),"Conversa sem agendamento",IF(OR(E3981&gt;TODAY(),F3981&gt;TODAY()),"Verificar evento futuro","OK"))))))))))</f>
        <v/>
      </c>
    </row>
    <row r="3982" spans="12:15">
      <c r="L3982" s="5">
        <f>IF(OR(A3982="",B3982=""),"",B3982-WEEKDAY(B3982,2)+1)</f>
        <v/>
      </c>
      <c r="M3982" s="5">
        <f>IF(L3982="","",L3982+6)</f>
        <v/>
      </c>
      <c r="N3982" s="6">
        <f>IF(OR(A3982="",B3982=""),"",DATE(YEAR(B3982),MONTH(B3982),1))</f>
        <v/>
      </c>
      <c r="O3982" s="7">
        <f>IF(COUNTA(A3982:K3982)=0,"",IF(OR(A3982="",B3982=""),"Preencher CPF e entrada",IF(COUNTIFS($A$12:$A$5011,A3982,$B$12:$B$5011,B3982)&gt;1,"CPF + dia duplicado",IF(OR(AND(G3982&lt;&gt;"",G3982&lt;&gt;0,G3982&lt;&gt;1),AND(H3982&lt;&gt;"",H3982&lt;&gt;0,H3982&lt;&gt;1)),"Flags devem ser 0 ou 1",IF(AND(H3982=1,LEN(TRIM(I3982))=0),"Preencher nome do indicante",IF(AND(H3982&lt;&gt;1,I3982&lt;&gt;""),"Nome sem indicação interna",IF(AND(G3982=1,F3982=""),"Fechamento sem conversa",IF(OR(AND(E3982&lt;&gt;"",E3982&lt;B3982),AND(F3982&lt;&gt;"",F3982&lt;B3982)),"Evento anterior à entrada",IF(AND(F3982&lt;&gt;"",E3982=""),"Conversa sem agendamento",IF(OR(E3982&gt;TODAY(),F3982&gt;TODAY()),"Verificar evento futuro","OK"))))))))))</f>
        <v/>
      </c>
    </row>
    <row r="3983" spans="12:15">
      <c r="L3983" s="5">
        <f>IF(OR(A3983="",B3983=""),"",B3983-WEEKDAY(B3983,2)+1)</f>
        <v/>
      </c>
      <c r="M3983" s="5">
        <f>IF(L3983="","",L3983+6)</f>
        <v/>
      </c>
      <c r="N3983" s="6">
        <f>IF(OR(A3983="",B3983=""),"",DATE(YEAR(B3983),MONTH(B3983),1))</f>
        <v/>
      </c>
      <c r="O3983" s="7">
        <f>IF(COUNTA(A3983:K3983)=0,"",IF(OR(A3983="",B3983=""),"Preencher CPF e entrada",IF(COUNTIFS($A$12:$A$5011,A3983,$B$12:$B$5011,B3983)&gt;1,"CPF + dia duplicado",IF(OR(AND(G3983&lt;&gt;"",G3983&lt;&gt;0,G3983&lt;&gt;1),AND(H3983&lt;&gt;"",H3983&lt;&gt;0,H3983&lt;&gt;1)),"Flags devem ser 0 ou 1",IF(AND(H3983=1,LEN(TRIM(I3983))=0),"Preencher nome do indicante",IF(AND(H3983&lt;&gt;1,I3983&lt;&gt;""),"Nome sem indicação interna",IF(AND(G3983=1,F3983=""),"Fechamento sem conversa",IF(OR(AND(E3983&lt;&gt;"",E3983&lt;B3983),AND(F3983&lt;&gt;"",F3983&lt;B3983)),"Evento anterior à entrada",IF(AND(F3983&lt;&gt;"",E3983=""),"Conversa sem agendamento",IF(OR(E3983&gt;TODAY(),F3983&gt;TODAY()),"Verificar evento futuro","OK"))))))))))</f>
        <v/>
      </c>
    </row>
    <row r="3984" spans="12:15">
      <c r="L3984" s="5">
        <f>IF(OR(A3984="",B3984=""),"",B3984-WEEKDAY(B3984,2)+1)</f>
        <v/>
      </c>
      <c r="M3984" s="5">
        <f>IF(L3984="","",L3984+6)</f>
        <v/>
      </c>
      <c r="N3984" s="6">
        <f>IF(OR(A3984="",B3984=""),"",DATE(YEAR(B3984),MONTH(B3984),1))</f>
        <v/>
      </c>
      <c r="O3984" s="7">
        <f>IF(COUNTA(A3984:K3984)=0,"",IF(OR(A3984="",B3984=""),"Preencher CPF e entrada",IF(COUNTIFS($A$12:$A$5011,A3984,$B$12:$B$5011,B3984)&gt;1,"CPF + dia duplicado",IF(OR(AND(G3984&lt;&gt;"",G3984&lt;&gt;0,G3984&lt;&gt;1),AND(H3984&lt;&gt;"",H3984&lt;&gt;0,H3984&lt;&gt;1)),"Flags devem ser 0 ou 1",IF(AND(H3984=1,LEN(TRIM(I3984))=0),"Preencher nome do indicante",IF(AND(H3984&lt;&gt;1,I3984&lt;&gt;""),"Nome sem indicação interna",IF(AND(G3984=1,F3984=""),"Fechamento sem conversa",IF(OR(AND(E3984&lt;&gt;"",E3984&lt;B3984),AND(F3984&lt;&gt;"",F3984&lt;B3984)),"Evento anterior à entrada",IF(AND(F3984&lt;&gt;"",E3984=""),"Conversa sem agendamento",IF(OR(E3984&gt;TODAY(),F3984&gt;TODAY()),"Verificar evento futuro","OK"))))))))))</f>
        <v/>
      </c>
    </row>
    <row r="3985" spans="12:15">
      <c r="L3985" s="5">
        <f>IF(OR(A3985="",B3985=""),"",B3985-WEEKDAY(B3985,2)+1)</f>
        <v/>
      </c>
      <c r="M3985" s="5">
        <f>IF(L3985="","",L3985+6)</f>
        <v/>
      </c>
      <c r="N3985" s="6">
        <f>IF(OR(A3985="",B3985=""),"",DATE(YEAR(B3985),MONTH(B3985),1))</f>
        <v/>
      </c>
      <c r="O3985" s="7">
        <f>IF(COUNTA(A3985:K3985)=0,"",IF(OR(A3985="",B3985=""),"Preencher CPF e entrada",IF(COUNTIFS($A$12:$A$5011,A3985,$B$12:$B$5011,B3985)&gt;1,"CPF + dia duplicado",IF(OR(AND(G3985&lt;&gt;"",G3985&lt;&gt;0,G3985&lt;&gt;1),AND(H3985&lt;&gt;"",H3985&lt;&gt;0,H3985&lt;&gt;1)),"Flags devem ser 0 ou 1",IF(AND(H3985=1,LEN(TRIM(I3985))=0),"Preencher nome do indicante",IF(AND(H3985&lt;&gt;1,I3985&lt;&gt;""),"Nome sem indicação interna",IF(AND(G3985=1,F3985=""),"Fechamento sem conversa",IF(OR(AND(E3985&lt;&gt;"",E3985&lt;B3985),AND(F3985&lt;&gt;"",F3985&lt;B3985)),"Evento anterior à entrada",IF(AND(F3985&lt;&gt;"",E3985=""),"Conversa sem agendamento",IF(OR(E3985&gt;TODAY(),F3985&gt;TODAY()),"Verificar evento futuro","OK"))))))))))</f>
        <v/>
      </c>
    </row>
    <row r="3986" spans="12:15">
      <c r="L3986" s="5">
        <f>IF(OR(A3986="",B3986=""),"",B3986-WEEKDAY(B3986,2)+1)</f>
        <v/>
      </c>
      <c r="M3986" s="5">
        <f>IF(L3986="","",L3986+6)</f>
        <v/>
      </c>
      <c r="N3986" s="6">
        <f>IF(OR(A3986="",B3986=""),"",DATE(YEAR(B3986),MONTH(B3986),1))</f>
        <v/>
      </c>
      <c r="O3986" s="7">
        <f>IF(COUNTA(A3986:K3986)=0,"",IF(OR(A3986="",B3986=""),"Preencher CPF e entrada",IF(COUNTIFS($A$12:$A$5011,A3986,$B$12:$B$5011,B3986)&gt;1,"CPF + dia duplicado",IF(OR(AND(G3986&lt;&gt;"",G3986&lt;&gt;0,G3986&lt;&gt;1),AND(H3986&lt;&gt;"",H3986&lt;&gt;0,H3986&lt;&gt;1)),"Flags devem ser 0 ou 1",IF(AND(H3986=1,LEN(TRIM(I3986))=0),"Preencher nome do indicante",IF(AND(H3986&lt;&gt;1,I3986&lt;&gt;""),"Nome sem indicação interna",IF(AND(G3986=1,F3986=""),"Fechamento sem conversa",IF(OR(AND(E3986&lt;&gt;"",E3986&lt;B3986),AND(F3986&lt;&gt;"",F3986&lt;B3986)),"Evento anterior à entrada",IF(AND(F3986&lt;&gt;"",E3986=""),"Conversa sem agendamento",IF(OR(E3986&gt;TODAY(),F3986&gt;TODAY()),"Verificar evento futuro","OK"))))))))))</f>
        <v/>
      </c>
    </row>
    <row r="3987" spans="12:15">
      <c r="L3987" s="5">
        <f>IF(OR(A3987="",B3987=""),"",B3987-WEEKDAY(B3987,2)+1)</f>
        <v/>
      </c>
      <c r="M3987" s="5">
        <f>IF(L3987="","",L3987+6)</f>
        <v/>
      </c>
      <c r="N3987" s="6">
        <f>IF(OR(A3987="",B3987=""),"",DATE(YEAR(B3987),MONTH(B3987),1))</f>
        <v/>
      </c>
      <c r="O3987" s="7">
        <f>IF(COUNTA(A3987:K3987)=0,"",IF(OR(A3987="",B3987=""),"Preencher CPF e entrada",IF(COUNTIFS($A$12:$A$5011,A3987,$B$12:$B$5011,B3987)&gt;1,"CPF + dia duplicado",IF(OR(AND(G3987&lt;&gt;"",G3987&lt;&gt;0,G3987&lt;&gt;1),AND(H3987&lt;&gt;"",H3987&lt;&gt;0,H3987&lt;&gt;1)),"Flags devem ser 0 ou 1",IF(AND(H3987=1,LEN(TRIM(I3987))=0),"Preencher nome do indicante",IF(AND(H3987&lt;&gt;1,I3987&lt;&gt;""),"Nome sem indicação interna",IF(AND(G3987=1,F3987=""),"Fechamento sem conversa",IF(OR(AND(E3987&lt;&gt;"",E3987&lt;B3987),AND(F3987&lt;&gt;"",F3987&lt;B3987)),"Evento anterior à entrada",IF(AND(F3987&lt;&gt;"",E3987=""),"Conversa sem agendamento",IF(OR(E3987&gt;TODAY(),F3987&gt;TODAY()),"Verificar evento futuro","OK"))))))))))</f>
        <v/>
      </c>
    </row>
    <row r="3988" spans="12:15">
      <c r="L3988" s="5">
        <f>IF(OR(A3988="",B3988=""),"",B3988-WEEKDAY(B3988,2)+1)</f>
        <v/>
      </c>
      <c r="M3988" s="5">
        <f>IF(L3988="","",L3988+6)</f>
        <v/>
      </c>
      <c r="N3988" s="6">
        <f>IF(OR(A3988="",B3988=""),"",DATE(YEAR(B3988),MONTH(B3988),1))</f>
        <v/>
      </c>
      <c r="O3988" s="7">
        <f>IF(COUNTA(A3988:K3988)=0,"",IF(OR(A3988="",B3988=""),"Preencher CPF e entrada",IF(COUNTIFS($A$12:$A$5011,A3988,$B$12:$B$5011,B3988)&gt;1,"CPF + dia duplicado",IF(OR(AND(G3988&lt;&gt;"",G3988&lt;&gt;0,G3988&lt;&gt;1),AND(H3988&lt;&gt;"",H3988&lt;&gt;0,H3988&lt;&gt;1)),"Flags devem ser 0 ou 1",IF(AND(H3988=1,LEN(TRIM(I3988))=0),"Preencher nome do indicante",IF(AND(H3988&lt;&gt;1,I3988&lt;&gt;""),"Nome sem indicação interna",IF(AND(G3988=1,F3988=""),"Fechamento sem conversa",IF(OR(AND(E3988&lt;&gt;"",E3988&lt;B3988),AND(F3988&lt;&gt;"",F3988&lt;B3988)),"Evento anterior à entrada",IF(AND(F3988&lt;&gt;"",E3988=""),"Conversa sem agendamento",IF(OR(E3988&gt;TODAY(),F3988&gt;TODAY()),"Verificar evento futuro","OK"))))))))))</f>
        <v/>
      </c>
    </row>
    <row r="3989" spans="12:15">
      <c r="L3989" s="5">
        <f>IF(OR(A3989="",B3989=""),"",B3989-WEEKDAY(B3989,2)+1)</f>
        <v/>
      </c>
      <c r="M3989" s="5">
        <f>IF(L3989="","",L3989+6)</f>
        <v/>
      </c>
      <c r="N3989" s="6">
        <f>IF(OR(A3989="",B3989=""),"",DATE(YEAR(B3989),MONTH(B3989),1))</f>
        <v/>
      </c>
      <c r="O3989" s="7">
        <f>IF(COUNTA(A3989:K3989)=0,"",IF(OR(A3989="",B3989=""),"Preencher CPF e entrada",IF(COUNTIFS($A$12:$A$5011,A3989,$B$12:$B$5011,B3989)&gt;1,"CPF + dia duplicado",IF(OR(AND(G3989&lt;&gt;"",G3989&lt;&gt;0,G3989&lt;&gt;1),AND(H3989&lt;&gt;"",H3989&lt;&gt;0,H3989&lt;&gt;1)),"Flags devem ser 0 ou 1",IF(AND(H3989=1,LEN(TRIM(I3989))=0),"Preencher nome do indicante",IF(AND(H3989&lt;&gt;1,I3989&lt;&gt;""),"Nome sem indicação interna",IF(AND(G3989=1,F3989=""),"Fechamento sem conversa",IF(OR(AND(E3989&lt;&gt;"",E3989&lt;B3989),AND(F3989&lt;&gt;"",F3989&lt;B3989)),"Evento anterior à entrada",IF(AND(F3989&lt;&gt;"",E3989=""),"Conversa sem agendamento",IF(OR(E3989&gt;TODAY(),F3989&gt;TODAY()),"Verificar evento futuro","OK"))))))))))</f>
        <v/>
      </c>
    </row>
    <row r="3990" spans="12:15">
      <c r="L3990" s="5">
        <f>IF(OR(A3990="",B3990=""),"",B3990-WEEKDAY(B3990,2)+1)</f>
        <v/>
      </c>
      <c r="M3990" s="5">
        <f>IF(L3990="","",L3990+6)</f>
        <v/>
      </c>
      <c r="N3990" s="6">
        <f>IF(OR(A3990="",B3990=""),"",DATE(YEAR(B3990),MONTH(B3990),1))</f>
        <v/>
      </c>
      <c r="O3990" s="7">
        <f>IF(COUNTA(A3990:K3990)=0,"",IF(OR(A3990="",B3990=""),"Preencher CPF e entrada",IF(COUNTIFS($A$12:$A$5011,A3990,$B$12:$B$5011,B3990)&gt;1,"CPF + dia duplicado",IF(OR(AND(G3990&lt;&gt;"",G3990&lt;&gt;0,G3990&lt;&gt;1),AND(H3990&lt;&gt;"",H3990&lt;&gt;0,H3990&lt;&gt;1)),"Flags devem ser 0 ou 1",IF(AND(H3990=1,LEN(TRIM(I3990))=0),"Preencher nome do indicante",IF(AND(H3990&lt;&gt;1,I3990&lt;&gt;""),"Nome sem indicação interna",IF(AND(G3990=1,F3990=""),"Fechamento sem conversa",IF(OR(AND(E3990&lt;&gt;"",E3990&lt;B3990),AND(F3990&lt;&gt;"",F3990&lt;B3990)),"Evento anterior à entrada",IF(AND(F3990&lt;&gt;"",E3990=""),"Conversa sem agendamento",IF(OR(E3990&gt;TODAY(),F3990&gt;TODAY()),"Verificar evento futuro","OK"))))))))))</f>
        <v/>
      </c>
    </row>
    <row r="3991" spans="12:15">
      <c r="L3991" s="5">
        <f>IF(OR(A3991="",B3991=""),"",B3991-WEEKDAY(B3991,2)+1)</f>
        <v/>
      </c>
      <c r="M3991" s="5">
        <f>IF(L3991="","",L3991+6)</f>
        <v/>
      </c>
      <c r="N3991" s="6">
        <f>IF(OR(A3991="",B3991=""),"",DATE(YEAR(B3991),MONTH(B3991),1))</f>
        <v/>
      </c>
      <c r="O3991" s="7">
        <f>IF(COUNTA(A3991:K3991)=0,"",IF(OR(A3991="",B3991=""),"Preencher CPF e entrada",IF(COUNTIFS($A$12:$A$5011,A3991,$B$12:$B$5011,B3991)&gt;1,"CPF + dia duplicado",IF(OR(AND(G3991&lt;&gt;"",G3991&lt;&gt;0,G3991&lt;&gt;1),AND(H3991&lt;&gt;"",H3991&lt;&gt;0,H3991&lt;&gt;1)),"Flags devem ser 0 ou 1",IF(AND(H3991=1,LEN(TRIM(I3991))=0),"Preencher nome do indicante",IF(AND(H3991&lt;&gt;1,I3991&lt;&gt;""),"Nome sem indicação interna",IF(AND(G3991=1,F3991=""),"Fechamento sem conversa",IF(OR(AND(E3991&lt;&gt;"",E3991&lt;B3991),AND(F3991&lt;&gt;"",F3991&lt;B3991)),"Evento anterior à entrada",IF(AND(F3991&lt;&gt;"",E3991=""),"Conversa sem agendamento",IF(OR(E3991&gt;TODAY(),F3991&gt;TODAY()),"Verificar evento futuro","OK"))))))))))</f>
        <v/>
      </c>
    </row>
    <row r="3992" spans="12:15">
      <c r="L3992" s="5">
        <f>IF(OR(A3992="",B3992=""),"",B3992-WEEKDAY(B3992,2)+1)</f>
        <v/>
      </c>
      <c r="M3992" s="5">
        <f>IF(L3992="","",L3992+6)</f>
        <v/>
      </c>
      <c r="N3992" s="6">
        <f>IF(OR(A3992="",B3992=""),"",DATE(YEAR(B3992),MONTH(B3992),1))</f>
        <v/>
      </c>
      <c r="O3992" s="7">
        <f>IF(COUNTA(A3992:K3992)=0,"",IF(OR(A3992="",B3992=""),"Preencher CPF e entrada",IF(COUNTIFS($A$12:$A$5011,A3992,$B$12:$B$5011,B3992)&gt;1,"CPF + dia duplicado",IF(OR(AND(G3992&lt;&gt;"",G3992&lt;&gt;0,G3992&lt;&gt;1),AND(H3992&lt;&gt;"",H3992&lt;&gt;0,H3992&lt;&gt;1)),"Flags devem ser 0 ou 1",IF(AND(H3992=1,LEN(TRIM(I3992))=0),"Preencher nome do indicante",IF(AND(H3992&lt;&gt;1,I3992&lt;&gt;""),"Nome sem indicação interna",IF(AND(G3992=1,F3992=""),"Fechamento sem conversa",IF(OR(AND(E3992&lt;&gt;"",E3992&lt;B3992),AND(F3992&lt;&gt;"",F3992&lt;B3992)),"Evento anterior à entrada",IF(AND(F3992&lt;&gt;"",E3992=""),"Conversa sem agendamento",IF(OR(E3992&gt;TODAY(),F3992&gt;TODAY()),"Verificar evento futuro","OK"))))))))))</f>
        <v/>
      </c>
    </row>
    <row r="3993" spans="12:15">
      <c r="L3993" s="5">
        <f>IF(OR(A3993="",B3993=""),"",B3993-WEEKDAY(B3993,2)+1)</f>
        <v/>
      </c>
      <c r="M3993" s="5">
        <f>IF(L3993="","",L3993+6)</f>
        <v/>
      </c>
      <c r="N3993" s="6">
        <f>IF(OR(A3993="",B3993=""),"",DATE(YEAR(B3993),MONTH(B3993),1))</f>
        <v/>
      </c>
      <c r="O3993" s="7">
        <f>IF(COUNTA(A3993:K3993)=0,"",IF(OR(A3993="",B3993=""),"Preencher CPF e entrada",IF(COUNTIFS($A$12:$A$5011,A3993,$B$12:$B$5011,B3993)&gt;1,"CPF + dia duplicado",IF(OR(AND(G3993&lt;&gt;"",G3993&lt;&gt;0,G3993&lt;&gt;1),AND(H3993&lt;&gt;"",H3993&lt;&gt;0,H3993&lt;&gt;1)),"Flags devem ser 0 ou 1",IF(AND(H3993=1,LEN(TRIM(I3993))=0),"Preencher nome do indicante",IF(AND(H3993&lt;&gt;1,I3993&lt;&gt;""),"Nome sem indicação interna",IF(AND(G3993=1,F3993=""),"Fechamento sem conversa",IF(OR(AND(E3993&lt;&gt;"",E3993&lt;B3993),AND(F3993&lt;&gt;"",F3993&lt;B3993)),"Evento anterior à entrada",IF(AND(F3993&lt;&gt;"",E3993=""),"Conversa sem agendamento",IF(OR(E3993&gt;TODAY(),F3993&gt;TODAY()),"Verificar evento futuro","OK"))))))))))</f>
        <v/>
      </c>
    </row>
    <row r="3994" spans="12:15">
      <c r="L3994" s="5">
        <f>IF(OR(A3994="",B3994=""),"",B3994-WEEKDAY(B3994,2)+1)</f>
        <v/>
      </c>
      <c r="M3994" s="5">
        <f>IF(L3994="","",L3994+6)</f>
        <v/>
      </c>
      <c r="N3994" s="6">
        <f>IF(OR(A3994="",B3994=""),"",DATE(YEAR(B3994),MONTH(B3994),1))</f>
        <v/>
      </c>
      <c r="O3994" s="7">
        <f>IF(COUNTA(A3994:K3994)=0,"",IF(OR(A3994="",B3994=""),"Preencher CPF e entrada",IF(COUNTIFS($A$12:$A$5011,A3994,$B$12:$B$5011,B3994)&gt;1,"CPF + dia duplicado",IF(OR(AND(G3994&lt;&gt;"",G3994&lt;&gt;0,G3994&lt;&gt;1),AND(H3994&lt;&gt;"",H3994&lt;&gt;0,H3994&lt;&gt;1)),"Flags devem ser 0 ou 1",IF(AND(H3994=1,LEN(TRIM(I3994))=0),"Preencher nome do indicante",IF(AND(H3994&lt;&gt;1,I3994&lt;&gt;""),"Nome sem indicação interna",IF(AND(G3994=1,F3994=""),"Fechamento sem conversa",IF(OR(AND(E3994&lt;&gt;"",E3994&lt;B3994),AND(F3994&lt;&gt;"",F3994&lt;B3994)),"Evento anterior à entrada",IF(AND(F3994&lt;&gt;"",E3994=""),"Conversa sem agendamento",IF(OR(E3994&gt;TODAY(),F3994&gt;TODAY()),"Verificar evento futuro","OK"))))))))))</f>
        <v/>
      </c>
    </row>
    <row r="3995" spans="12:15">
      <c r="L3995" s="5">
        <f>IF(OR(A3995="",B3995=""),"",B3995-WEEKDAY(B3995,2)+1)</f>
        <v/>
      </c>
      <c r="M3995" s="5">
        <f>IF(L3995="","",L3995+6)</f>
        <v/>
      </c>
      <c r="N3995" s="6">
        <f>IF(OR(A3995="",B3995=""),"",DATE(YEAR(B3995),MONTH(B3995),1))</f>
        <v/>
      </c>
      <c r="O3995" s="7">
        <f>IF(COUNTA(A3995:K3995)=0,"",IF(OR(A3995="",B3995=""),"Preencher CPF e entrada",IF(COUNTIFS($A$12:$A$5011,A3995,$B$12:$B$5011,B3995)&gt;1,"CPF + dia duplicado",IF(OR(AND(G3995&lt;&gt;"",G3995&lt;&gt;0,G3995&lt;&gt;1),AND(H3995&lt;&gt;"",H3995&lt;&gt;0,H3995&lt;&gt;1)),"Flags devem ser 0 ou 1",IF(AND(H3995=1,LEN(TRIM(I3995))=0),"Preencher nome do indicante",IF(AND(H3995&lt;&gt;1,I3995&lt;&gt;""),"Nome sem indicação interna",IF(AND(G3995=1,F3995=""),"Fechamento sem conversa",IF(OR(AND(E3995&lt;&gt;"",E3995&lt;B3995),AND(F3995&lt;&gt;"",F3995&lt;B3995)),"Evento anterior à entrada",IF(AND(F3995&lt;&gt;"",E3995=""),"Conversa sem agendamento",IF(OR(E3995&gt;TODAY(),F3995&gt;TODAY()),"Verificar evento futuro","OK"))))))))))</f>
        <v/>
      </c>
    </row>
    <row r="3996" spans="12:15">
      <c r="L3996" s="5">
        <f>IF(OR(A3996="",B3996=""),"",B3996-WEEKDAY(B3996,2)+1)</f>
        <v/>
      </c>
      <c r="M3996" s="5">
        <f>IF(L3996="","",L3996+6)</f>
        <v/>
      </c>
      <c r="N3996" s="6">
        <f>IF(OR(A3996="",B3996=""),"",DATE(YEAR(B3996),MONTH(B3996),1))</f>
        <v/>
      </c>
      <c r="O3996" s="7">
        <f>IF(COUNTA(A3996:K3996)=0,"",IF(OR(A3996="",B3996=""),"Preencher CPF e entrada",IF(COUNTIFS($A$12:$A$5011,A3996,$B$12:$B$5011,B3996)&gt;1,"CPF + dia duplicado",IF(OR(AND(G3996&lt;&gt;"",G3996&lt;&gt;0,G3996&lt;&gt;1),AND(H3996&lt;&gt;"",H3996&lt;&gt;0,H3996&lt;&gt;1)),"Flags devem ser 0 ou 1",IF(AND(H3996=1,LEN(TRIM(I3996))=0),"Preencher nome do indicante",IF(AND(H3996&lt;&gt;1,I3996&lt;&gt;""),"Nome sem indicação interna",IF(AND(G3996=1,F3996=""),"Fechamento sem conversa",IF(OR(AND(E3996&lt;&gt;"",E3996&lt;B3996),AND(F3996&lt;&gt;"",F3996&lt;B3996)),"Evento anterior à entrada",IF(AND(F3996&lt;&gt;"",E3996=""),"Conversa sem agendamento",IF(OR(E3996&gt;TODAY(),F3996&gt;TODAY()),"Verificar evento futuro","OK"))))))))))</f>
        <v/>
      </c>
    </row>
    <row r="3997" spans="12:15">
      <c r="L3997" s="5">
        <f>IF(OR(A3997="",B3997=""),"",B3997-WEEKDAY(B3997,2)+1)</f>
        <v/>
      </c>
      <c r="M3997" s="5">
        <f>IF(L3997="","",L3997+6)</f>
        <v/>
      </c>
      <c r="N3997" s="6">
        <f>IF(OR(A3997="",B3997=""),"",DATE(YEAR(B3997),MONTH(B3997),1))</f>
        <v/>
      </c>
      <c r="O3997" s="7">
        <f>IF(COUNTA(A3997:K3997)=0,"",IF(OR(A3997="",B3997=""),"Preencher CPF e entrada",IF(COUNTIFS($A$12:$A$5011,A3997,$B$12:$B$5011,B3997)&gt;1,"CPF + dia duplicado",IF(OR(AND(G3997&lt;&gt;"",G3997&lt;&gt;0,G3997&lt;&gt;1),AND(H3997&lt;&gt;"",H3997&lt;&gt;0,H3997&lt;&gt;1)),"Flags devem ser 0 ou 1",IF(AND(H3997=1,LEN(TRIM(I3997))=0),"Preencher nome do indicante",IF(AND(H3997&lt;&gt;1,I3997&lt;&gt;""),"Nome sem indicação interna",IF(AND(G3997=1,F3997=""),"Fechamento sem conversa",IF(OR(AND(E3997&lt;&gt;"",E3997&lt;B3997),AND(F3997&lt;&gt;"",F3997&lt;B3997)),"Evento anterior à entrada",IF(AND(F3997&lt;&gt;"",E3997=""),"Conversa sem agendamento",IF(OR(E3997&gt;TODAY(),F3997&gt;TODAY()),"Verificar evento futuro","OK"))))))))))</f>
        <v/>
      </c>
    </row>
    <row r="3998" spans="12:15">
      <c r="L3998" s="5">
        <f>IF(OR(A3998="",B3998=""),"",B3998-WEEKDAY(B3998,2)+1)</f>
        <v/>
      </c>
      <c r="M3998" s="5">
        <f>IF(L3998="","",L3998+6)</f>
        <v/>
      </c>
      <c r="N3998" s="6">
        <f>IF(OR(A3998="",B3998=""),"",DATE(YEAR(B3998),MONTH(B3998),1))</f>
        <v/>
      </c>
      <c r="O3998" s="7">
        <f>IF(COUNTA(A3998:K3998)=0,"",IF(OR(A3998="",B3998=""),"Preencher CPF e entrada",IF(COUNTIFS($A$12:$A$5011,A3998,$B$12:$B$5011,B3998)&gt;1,"CPF + dia duplicado",IF(OR(AND(G3998&lt;&gt;"",G3998&lt;&gt;0,G3998&lt;&gt;1),AND(H3998&lt;&gt;"",H3998&lt;&gt;0,H3998&lt;&gt;1)),"Flags devem ser 0 ou 1",IF(AND(H3998=1,LEN(TRIM(I3998))=0),"Preencher nome do indicante",IF(AND(H3998&lt;&gt;1,I3998&lt;&gt;""),"Nome sem indicação interna",IF(AND(G3998=1,F3998=""),"Fechamento sem conversa",IF(OR(AND(E3998&lt;&gt;"",E3998&lt;B3998),AND(F3998&lt;&gt;"",F3998&lt;B3998)),"Evento anterior à entrada",IF(AND(F3998&lt;&gt;"",E3998=""),"Conversa sem agendamento",IF(OR(E3998&gt;TODAY(),F3998&gt;TODAY()),"Verificar evento futuro","OK"))))))))))</f>
        <v/>
      </c>
    </row>
    <row r="3999" spans="12:15">
      <c r="L3999" s="5">
        <f>IF(OR(A3999="",B3999=""),"",B3999-WEEKDAY(B3999,2)+1)</f>
        <v/>
      </c>
      <c r="M3999" s="5">
        <f>IF(L3999="","",L3999+6)</f>
        <v/>
      </c>
      <c r="N3999" s="6">
        <f>IF(OR(A3999="",B3999=""),"",DATE(YEAR(B3999),MONTH(B3999),1))</f>
        <v/>
      </c>
      <c r="O3999" s="7">
        <f>IF(COUNTA(A3999:K3999)=0,"",IF(OR(A3999="",B3999=""),"Preencher CPF e entrada",IF(COUNTIFS($A$12:$A$5011,A3999,$B$12:$B$5011,B3999)&gt;1,"CPF + dia duplicado",IF(OR(AND(G3999&lt;&gt;"",G3999&lt;&gt;0,G3999&lt;&gt;1),AND(H3999&lt;&gt;"",H3999&lt;&gt;0,H3999&lt;&gt;1)),"Flags devem ser 0 ou 1",IF(AND(H3999=1,LEN(TRIM(I3999))=0),"Preencher nome do indicante",IF(AND(H3999&lt;&gt;1,I3999&lt;&gt;""),"Nome sem indicação interna",IF(AND(G3999=1,F3999=""),"Fechamento sem conversa",IF(OR(AND(E3999&lt;&gt;"",E3999&lt;B3999),AND(F3999&lt;&gt;"",F3999&lt;B3999)),"Evento anterior à entrada",IF(AND(F3999&lt;&gt;"",E3999=""),"Conversa sem agendamento",IF(OR(E3999&gt;TODAY(),F3999&gt;TODAY()),"Verificar evento futuro","OK"))))))))))</f>
        <v/>
      </c>
    </row>
    <row r="4000" spans="12:15">
      <c r="L4000" s="5">
        <f>IF(OR(A4000="",B4000=""),"",B4000-WEEKDAY(B4000,2)+1)</f>
        <v/>
      </c>
      <c r="M4000" s="5">
        <f>IF(L4000="","",L4000+6)</f>
        <v/>
      </c>
      <c r="N4000" s="6">
        <f>IF(OR(A4000="",B4000=""),"",DATE(YEAR(B4000),MONTH(B4000),1))</f>
        <v/>
      </c>
      <c r="O4000" s="7">
        <f>IF(COUNTA(A4000:K4000)=0,"",IF(OR(A4000="",B4000=""),"Preencher CPF e entrada",IF(COUNTIFS($A$12:$A$5011,A4000,$B$12:$B$5011,B4000)&gt;1,"CPF + dia duplicado",IF(OR(AND(G4000&lt;&gt;"",G4000&lt;&gt;0,G4000&lt;&gt;1),AND(H4000&lt;&gt;"",H4000&lt;&gt;0,H4000&lt;&gt;1)),"Flags devem ser 0 ou 1",IF(AND(H4000=1,LEN(TRIM(I4000))=0),"Preencher nome do indicante",IF(AND(H4000&lt;&gt;1,I4000&lt;&gt;""),"Nome sem indicação interna",IF(AND(G4000=1,F4000=""),"Fechamento sem conversa",IF(OR(AND(E4000&lt;&gt;"",E4000&lt;B4000),AND(F4000&lt;&gt;"",F4000&lt;B4000)),"Evento anterior à entrada",IF(AND(F4000&lt;&gt;"",E4000=""),"Conversa sem agendamento",IF(OR(E4000&gt;TODAY(),F4000&gt;TODAY()),"Verificar evento futuro","OK"))))))))))</f>
        <v/>
      </c>
    </row>
    <row r="4001" spans="12:15">
      <c r="L4001" s="5">
        <f>IF(OR(A4001="",B4001=""),"",B4001-WEEKDAY(B4001,2)+1)</f>
        <v/>
      </c>
      <c r="M4001" s="5">
        <f>IF(L4001="","",L4001+6)</f>
        <v/>
      </c>
      <c r="N4001" s="6">
        <f>IF(OR(A4001="",B4001=""),"",DATE(YEAR(B4001),MONTH(B4001),1))</f>
        <v/>
      </c>
      <c r="O4001" s="7">
        <f>IF(COUNTA(A4001:K4001)=0,"",IF(OR(A4001="",B4001=""),"Preencher CPF e entrada",IF(COUNTIFS($A$12:$A$5011,A4001,$B$12:$B$5011,B4001)&gt;1,"CPF + dia duplicado",IF(OR(AND(G4001&lt;&gt;"",G4001&lt;&gt;0,G4001&lt;&gt;1),AND(H4001&lt;&gt;"",H4001&lt;&gt;0,H4001&lt;&gt;1)),"Flags devem ser 0 ou 1",IF(AND(H4001=1,LEN(TRIM(I4001))=0),"Preencher nome do indicante",IF(AND(H4001&lt;&gt;1,I4001&lt;&gt;""),"Nome sem indicação interna",IF(AND(G4001=1,F4001=""),"Fechamento sem conversa",IF(OR(AND(E4001&lt;&gt;"",E4001&lt;B4001),AND(F4001&lt;&gt;"",F4001&lt;B4001)),"Evento anterior à entrada",IF(AND(F4001&lt;&gt;"",E4001=""),"Conversa sem agendamento",IF(OR(E4001&gt;TODAY(),F4001&gt;TODAY()),"Verificar evento futuro","OK"))))))))))</f>
        <v/>
      </c>
    </row>
    <row r="4002" spans="12:15">
      <c r="L4002" s="5">
        <f>IF(OR(A4002="",B4002=""),"",B4002-WEEKDAY(B4002,2)+1)</f>
        <v/>
      </c>
      <c r="M4002" s="5">
        <f>IF(L4002="","",L4002+6)</f>
        <v/>
      </c>
      <c r="N4002" s="6">
        <f>IF(OR(A4002="",B4002=""),"",DATE(YEAR(B4002),MONTH(B4002),1))</f>
        <v/>
      </c>
      <c r="O4002" s="7">
        <f>IF(COUNTA(A4002:K4002)=0,"",IF(OR(A4002="",B4002=""),"Preencher CPF e entrada",IF(COUNTIFS($A$12:$A$5011,A4002,$B$12:$B$5011,B4002)&gt;1,"CPF + dia duplicado",IF(OR(AND(G4002&lt;&gt;"",G4002&lt;&gt;0,G4002&lt;&gt;1),AND(H4002&lt;&gt;"",H4002&lt;&gt;0,H4002&lt;&gt;1)),"Flags devem ser 0 ou 1",IF(AND(H4002=1,LEN(TRIM(I4002))=0),"Preencher nome do indicante",IF(AND(H4002&lt;&gt;1,I4002&lt;&gt;""),"Nome sem indicação interna",IF(AND(G4002=1,F4002=""),"Fechamento sem conversa",IF(OR(AND(E4002&lt;&gt;"",E4002&lt;B4002),AND(F4002&lt;&gt;"",F4002&lt;B4002)),"Evento anterior à entrada",IF(AND(F4002&lt;&gt;"",E4002=""),"Conversa sem agendamento",IF(OR(E4002&gt;TODAY(),F4002&gt;TODAY()),"Verificar evento futuro","OK"))))))))))</f>
        <v/>
      </c>
    </row>
    <row r="4003" spans="12:15">
      <c r="L4003" s="5">
        <f>IF(OR(A4003="",B4003=""),"",B4003-WEEKDAY(B4003,2)+1)</f>
        <v/>
      </c>
      <c r="M4003" s="5">
        <f>IF(L4003="","",L4003+6)</f>
        <v/>
      </c>
      <c r="N4003" s="6">
        <f>IF(OR(A4003="",B4003=""),"",DATE(YEAR(B4003),MONTH(B4003),1))</f>
        <v/>
      </c>
      <c r="O4003" s="7">
        <f>IF(COUNTA(A4003:K4003)=0,"",IF(OR(A4003="",B4003=""),"Preencher CPF e entrada",IF(COUNTIFS($A$12:$A$5011,A4003,$B$12:$B$5011,B4003)&gt;1,"CPF + dia duplicado",IF(OR(AND(G4003&lt;&gt;"",G4003&lt;&gt;0,G4003&lt;&gt;1),AND(H4003&lt;&gt;"",H4003&lt;&gt;0,H4003&lt;&gt;1)),"Flags devem ser 0 ou 1",IF(AND(H4003=1,LEN(TRIM(I4003))=0),"Preencher nome do indicante",IF(AND(H4003&lt;&gt;1,I4003&lt;&gt;""),"Nome sem indicação interna",IF(AND(G4003=1,F4003=""),"Fechamento sem conversa",IF(OR(AND(E4003&lt;&gt;"",E4003&lt;B4003),AND(F4003&lt;&gt;"",F4003&lt;B4003)),"Evento anterior à entrada",IF(AND(F4003&lt;&gt;"",E4003=""),"Conversa sem agendamento",IF(OR(E4003&gt;TODAY(),F4003&gt;TODAY()),"Verificar evento futuro","OK"))))))))))</f>
        <v/>
      </c>
    </row>
    <row r="4004" spans="12:15">
      <c r="L4004" s="5">
        <f>IF(OR(A4004="",B4004=""),"",B4004-WEEKDAY(B4004,2)+1)</f>
        <v/>
      </c>
      <c r="M4004" s="5">
        <f>IF(L4004="","",L4004+6)</f>
        <v/>
      </c>
      <c r="N4004" s="6">
        <f>IF(OR(A4004="",B4004=""),"",DATE(YEAR(B4004),MONTH(B4004),1))</f>
        <v/>
      </c>
      <c r="O4004" s="7">
        <f>IF(COUNTA(A4004:K4004)=0,"",IF(OR(A4004="",B4004=""),"Preencher CPF e entrada",IF(COUNTIFS($A$12:$A$5011,A4004,$B$12:$B$5011,B4004)&gt;1,"CPF + dia duplicado",IF(OR(AND(G4004&lt;&gt;"",G4004&lt;&gt;0,G4004&lt;&gt;1),AND(H4004&lt;&gt;"",H4004&lt;&gt;0,H4004&lt;&gt;1)),"Flags devem ser 0 ou 1",IF(AND(H4004=1,LEN(TRIM(I4004))=0),"Preencher nome do indicante",IF(AND(H4004&lt;&gt;1,I4004&lt;&gt;""),"Nome sem indicação interna",IF(AND(G4004=1,F4004=""),"Fechamento sem conversa",IF(OR(AND(E4004&lt;&gt;"",E4004&lt;B4004),AND(F4004&lt;&gt;"",F4004&lt;B4004)),"Evento anterior à entrada",IF(AND(F4004&lt;&gt;"",E4004=""),"Conversa sem agendamento",IF(OR(E4004&gt;TODAY(),F4004&gt;TODAY()),"Verificar evento futuro","OK"))))))))))</f>
        <v/>
      </c>
    </row>
    <row r="4005" spans="12:15">
      <c r="L4005" s="5">
        <f>IF(OR(A4005="",B4005=""),"",B4005-WEEKDAY(B4005,2)+1)</f>
        <v/>
      </c>
      <c r="M4005" s="5">
        <f>IF(L4005="","",L4005+6)</f>
        <v/>
      </c>
      <c r="N4005" s="6">
        <f>IF(OR(A4005="",B4005=""),"",DATE(YEAR(B4005),MONTH(B4005),1))</f>
        <v/>
      </c>
      <c r="O4005" s="7">
        <f>IF(COUNTA(A4005:K4005)=0,"",IF(OR(A4005="",B4005=""),"Preencher CPF e entrada",IF(COUNTIFS($A$12:$A$5011,A4005,$B$12:$B$5011,B4005)&gt;1,"CPF + dia duplicado",IF(OR(AND(G4005&lt;&gt;"",G4005&lt;&gt;0,G4005&lt;&gt;1),AND(H4005&lt;&gt;"",H4005&lt;&gt;0,H4005&lt;&gt;1)),"Flags devem ser 0 ou 1",IF(AND(H4005=1,LEN(TRIM(I4005))=0),"Preencher nome do indicante",IF(AND(H4005&lt;&gt;1,I4005&lt;&gt;""),"Nome sem indicação interna",IF(AND(G4005=1,F4005=""),"Fechamento sem conversa",IF(OR(AND(E4005&lt;&gt;"",E4005&lt;B4005),AND(F4005&lt;&gt;"",F4005&lt;B4005)),"Evento anterior à entrada",IF(AND(F4005&lt;&gt;"",E4005=""),"Conversa sem agendamento",IF(OR(E4005&gt;TODAY(),F4005&gt;TODAY()),"Verificar evento futuro","OK"))))))))))</f>
        <v/>
      </c>
    </row>
    <row r="4006" spans="12:15">
      <c r="L4006" s="5">
        <f>IF(OR(A4006="",B4006=""),"",B4006-WEEKDAY(B4006,2)+1)</f>
        <v/>
      </c>
      <c r="M4006" s="5">
        <f>IF(L4006="","",L4006+6)</f>
        <v/>
      </c>
      <c r="N4006" s="6">
        <f>IF(OR(A4006="",B4006=""),"",DATE(YEAR(B4006),MONTH(B4006),1))</f>
        <v/>
      </c>
      <c r="O4006" s="7">
        <f>IF(COUNTA(A4006:K4006)=0,"",IF(OR(A4006="",B4006=""),"Preencher CPF e entrada",IF(COUNTIFS($A$12:$A$5011,A4006,$B$12:$B$5011,B4006)&gt;1,"CPF + dia duplicado",IF(OR(AND(G4006&lt;&gt;"",G4006&lt;&gt;0,G4006&lt;&gt;1),AND(H4006&lt;&gt;"",H4006&lt;&gt;0,H4006&lt;&gt;1)),"Flags devem ser 0 ou 1",IF(AND(H4006=1,LEN(TRIM(I4006))=0),"Preencher nome do indicante",IF(AND(H4006&lt;&gt;1,I4006&lt;&gt;""),"Nome sem indicação interna",IF(AND(G4006=1,F4006=""),"Fechamento sem conversa",IF(OR(AND(E4006&lt;&gt;"",E4006&lt;B4006),AND(F4006&lt;&gt;"",F4006&lt;B4006)),"Evento anterior à entrada",IF(AND(F4006&lt;&gt;"",E4006=""),"Conversa sem agendamento",IF(OR(E4006&gt;TODAY(),F4006&gt;TODAY()),"Verificar evento futuro","OK"))))))))))</f>
        <v/>
      </c>
    </row>
    <row r="4007" spans="12:15">
      <c r="L4007" s="5">
        <f>IF(OR(A4007="",B4007=""),"",B4007-WEEKDAY(B4007,2)+1)</f>
        <v/>
      </c>
      <c r="M4007" s="5">
        <f>IF(L4007="","",L4007+6)</f>
        <v/>
      </c>
      <c r="N4007" s="6">
        <f>IF(OR(A4007="",B4007=""),"",DATE(YEAR(B4007),MONTH(B4007),1))</f>
        <v/>
      </c>
      <c r="O4007" s="7">
        <f>IF(COUNTA(A4007:K4007)=0,"",IF(OR(A4007="",B4007=""),"Preencher CPF e entrada",IF(COUNTIFS($A$12:$A$5011,A4007,$B$12:$B$5011,B4007)&gt;1,"CPF + dia duplicado",IF(OR(AND(G4007&lt;&gt;"",G4007&lt;&gt;0,G4007&lt;&gt;1),AND(H4007&lt;&gt;"",H4007&lt;&gt;0,H4007&lt;&gt;1)),"Flags devem ser 0 ou 1",IF(AND(H4007=1,LEN(TRIM(I4007))=0),"Preencher nome do indicante",IF(AND(H4007&lt;&gt;1,I4007&lt;&gt;""),"Nome sem indicação interna",IF(AND(G4007=1,F4007=""),"Fechamento sem conversa",IF(OR(AND(E4007&lt;&gt;"",E4007&lt;B4007),AND(F4007&lt;&gt;"",F4007&lt;B4007)),"Evento anterior à entrada",IF(AND(F4007&lt;&gt;"",E4007=""),"Conversa sem agendamento",IF(OR(E4007&gt;TODAY(),F4007&gt;TODAY()),"Verificar evento futuro","OK"))))))))))</f>
        <v/>
      </c>
    </row>
    <row r="4008" spans="12:15">
      <c r="L4008" s="5">
        <f>IF(OR(A4008="",B4008=""),"",B4008-WEEKDAY(B4008,2)+1)</f>
        <v/>
      </c>
      <c r="M4008" s="5">
        <f>IF(L4008="","",L4008+6)</f>
        <v/>
      </c>
      <c r="N4008" s="6">
        <f>IF(OR(A4008="",B4008=""),"",DATE(YEAR(B4008),MONTH(B4008),1))</f>
        <v/>
      </c>
      <c r="O4008" s="7">
        <f>IF(COUNTA(A4008:K4008)=0,"",IF(OR(A4008="",B4008=""),"Preencher CPF e entrada",IF(COUNTIFS($A$12:$A$5011,A4008,$B$12:$B$5011,B4008)&gt;1,"CPF + dia duplicado",IF(OR(AND(G4008&lt;&gt;"",G4008&lt;&gt;0,G4008&lt;&gt;1),AND(H4008&lt;&gt;"",H4008&lt;&gt;0,H4008&lt;&gt;1)),"Flags devem ser 0 ou 1",IF(AND(H4008=1,LEN(TRIM(I4008))=0),"Preencher nome do indicante",IF(AND(H4008&lt;&gt;1,I4008&lt;&gt;""),"Nome sem indicação interna",IF(AND(G4008=1,F4008=""),"Fechamento sem conversa",IF(OR(AND(E4008&lt;&gt;"",E4008&lt;B4008),AND(F4008&lt;&gt;"",F4008&lt;B4008)),"Evento anterior à entrada",IF(AND(F4008&lt;&gt;"",E4008=""),"Conversa sem agendamento",IF(OR(E4008&gt;TODAY(),F4008&gt;TODAY()),"Verificar evento futuro","OK"))))))))))</f>
        <v/>
      </c>
    </row>
    <row r="4009" spans="12:15">
      <c r="L4009" s="5">
        <f>IF(OR(A4009="",B4009=""),"",B4009-WEEKDAY(B4009,2)+1)</f>
        <v/>
      </c>
      <c r="M4009" s="5">
        <f>IF(L4009="","",L4009+6)</f>
        <v/>
      </c>
      <c r="N4009" s="6">
        <f>IF(OR(A4009="",B4009=""),"",DATE(YEAR(B4009),MONTH(B4009),1))</f>
        <v/>
      </c>
      <c r="O4009" s="7">
        <f>IF(COUNTA(A4009:K4009)=0,"",IF(OR(A4009="",B4009=""),"Preencher CPF e entrada",IF(COUNTIFS($A$12:$A$5011,A4009,$B$12:$B$5011,B4009)&gt;1,"CPF + dia duplicado",IF(OR(AND(G4009&lt;&gt;"",G4009&lt;&gt;0,G4009&lt;&gt;1),AND(H4009&lt;&gt;"",H4009&lt;&gt;0,H4009&lt;&gt;1)),"Flags devem ser 0 ou 1",IF(AND(H4009=1,LEN(TRIM(I4009))=0),"Preencher nome do indicante",IF(AND(H4009&lt;&gt;1,I4009&lt;&gt;""),"Nome sem indicação interna",IF(AND(G4009=1,F4009=""),"Fechamento sem conversa",IF(OR(AND(E4009&lt;&gt;"",E4009&lt;B4009),AND(F4009&lt;&gt;"",F4009&lt;B4009)),"Evento anterior à entrada",IF(AND(F4009&lt;&gt;"",E4009=""),"Conversa sem agendamento",IF(OR(E4009&gt;TODAY(),F4009&gt;TODAY()),"Verificar evento futuro","OK"))))))))))</f>
        <v/>
      </c>
    </row>
    <row r="4010" spans="12:15">
      <c r="L4010" s="5">
        <f>IF(OR(A4010="",B4010=""),"",B4010-WEEKDAY(B4010,2)+1)</f>
        <v/>
      </c>
      <c r="M4010" s="5">
        <f>IF(L4010="","",L4010+6)</f>
        <v/>
      </c>
      <c r="N4010" s="6">
        <f>IF(OR(A4010="",B4010=""),"",DATE(YEAR(B4010),MONTH(B4010),1))</f>
        <v/>
      </c>
      <c r="O4010" s="7">
        <f>IF(COUNTA(A4010:K4010)=0,"",IF(OR(A4010="",B4010=""),"Preencher CPF e entrada",IF(COUNTIFS($A$12:$A$5011,A4010,$B$12:$B$5011,B4010)&gt;1,"CPF + dia duplicado",IF(OR(AND(G4010&lt;&gt;"",G4010&lt;&gt;0,G4010&lt;&gt;1),AND(H4010&lt;&gt;"",H4010&lt;&gt;0,H4010&lt;&gt;1)),"Flags devem ser 0 ou 1",IF(AND(H4010=1,LEN(TRIM(I4010))=0),"Preencher nome do indicante",IF(AND(H4010&lt;&gt;1,I4010&lt;&gt;""),"Nome sem indicação interna",IF(AND(G4010=1,F4010=""),"Fechamento sem conversa",IF(OR(AND(E4010&lt;&gt;"",E4010&lt;B4010),AND(F4010&lt;&gt;"",F4010&lt;B4010)),"Evento anterior à entrada",IF(AND(F4010&lt;&gt;"",E4010=""),"Conversa sem agendamento",IF(OR(E4010&gt;TODAY(),F4010&gt;TODAY()),"Verificar evento futuro","OK"))))))))))</f>
        <v/>
      </c>
    </row>
    <row r="4011" spans="12:15">
      <c r="L4011" s="5">
        <f>IF(OR(A4011="",B4011=""),"",B4011-WEEKDAY(B4011,2)+1)</f>
        <v/>
      </c>
      <c r="M4011" s="5">
        <f>IF(L4011="","",L4011+6)</f>
        <v/>
      </c>
      <c r="N4011" s="6">
        <f>IF(OR(A4011="",B4011=""),"",DATE(YEAR(B4011),MONTH(B4011),1))</f>
        <v/>
      </c>
      <c r="O4011" s="7">
        <f>IF(COUNTA(A4011:K4011)=0,"",IF(OR(A4011="",B4011=""),"Preencher CPF e entrada",IF(COUNTIFS($A$12:$A$5011,A4011,$B$12:$B$5011,B4011)&gt;1,"CPF + dia duplicado",IF(OR(AND(G4011&lt;&gt;"",G4011&lt;&gt;0,G4011&lt;&gt;1),AND(H4011&lt;&gt;"",H4011&lt;&gt;0,H4011&lt;&gt;1)),"Flags devem ser 0 ou 1",IF(AND(H4011=1,LEN(TRIM(I4011))=0),"Preencher nome do indicante",IF(AND(H4011&lt;&gt;1,I4011&lt;&gt;""),"Nome sem indicação interna",IF(AND(G4011=1,F4011=""),"Fechamento sem conversa",IF(OR(AND(E4011&lt;&gt;"",E4011&lt;B4011),AND(F4011&lt;&gt;"",F4011&lt;B4011)),"Evento anterior à entrada",IF(AND(F4011&lt;&gt;"",E4011=""),"Conversa sem agendamento",IF(OR(E4011&gt;TODAY(),F4011&gt;TODAY()),"Verificar evento futuro","OK"))))))))))</f>
        <v/>
      </c>
    </row>
    <row r="4012" spans="12:15">
      <c r="L4012" s="5">
        <f>IF(OR(A4012="",B4012=""),"",B4012-WEEKDAY(B4012,2)+1)</f>
        <v/>
      </c>
      <c r="M4012" s="5">
        <f>IF(L4012="","",L4012+6)</f>
        <v/>
      </c>
      <c r="N4012" s="6">
        <f>IF(OR(A4012="",B4012=""),"",DATE(YEAR(B4012),MONTH(B4012),1))</f>
        <v/>
      </c>
      <c r="O4012" s="7">
        <f>IF(COUNTA(A4012:K4012)=0,"",IF(OR(A4012="",B4012=""),"Preencher CPF e entrada",IF(COUNTIFS($A$12:$A$5011,A4012,$B$12:$B$5011,B4012)&gt;1,"CPF + dia duplicado",IF(OR(AND(G4012&lt;&gt;"",G4012&lt;&gt;0,G4012&lt;&gt;1),AND(H4012&lt;&gt;"",H4012&lt;&gt;0,H4012&lt;&gt;1)),"Flags devem ser 0 ou 1",IF(AND(H4012=1,LEN(TRIM(I4012))=0),"Preencher nome do indicante",IF(AND(H4012&lt;&gt;1,I4012&lt;&gt;""),"Nome sem indicação interna",IF(AND(G4012=1,F4012=""),"Fechamento sem conversa",IF(OR(AND(E4012&lt;&gt;"",E4012&lt;B4012),AND(F4012&lt;&gt;"",F4012&lt;B4012)),"Evento anterior à entrada",IF(AND(F4012&lt;&gt;"",E4012=""),"Conversa sem agendamento",IF(OR(E4012&gt;TODAY(),F4012&gt;TODAY()),"Verificar evento futuro","OK"))))))))))</f>
        <v/>
      </c>
    </row>
    <row r="4013" spans="12:15">
      <c r="L4013" s="5">
        <f>IF(OR(A4013="",B4013=""),"",B4013-WEEKDAY(B4013,2)+1)</f>
        <v/>
      </c>
      <c r="M4013" s="5">
        <f>IF(L4013="","",L4013+6)</f>
        <v/>
      </c>
      <c r="N4013" s="6">
        <f>IF(OR(A4013="",B4013=""),"",DATE(YEAR(B4013),MONTH(B4013),1))</f>
        <v/>
      </c>
      <c r="O4013" s="7">
        <f>IF(COUNTA(A4013:K4013)=0,"",IF(OR(A4013="",B4013=""),"Preencher CPF e entrada",IF(COUNTIFS($A$12:$A$5011,A4013,$B$12:$B$5011,B4013)&gt;1,"CPF + dia duplicado",IF(OR(AND(G4013&lt;&gt;"",G4013&lt;&gt;0,G4013&lt;&gt;1),AND(H4013&lt;&gt;"",H4013&lt;&gt;0,H4013&lt;&gt;1)),"Flags devem ser 0 ou 1",IF(AND(H4013=1,LEN(TRIM(I4013))=0),"Preencher nome do indicante",IF(AND(H4013&lt;&gt;1,I4013&lt;&gt;""),"Nome sem indicação interna",IF(AND(G4013=1,F4013=""),"Fechamento sem conversa",IF(OR(AND(E4013&lt;&gt;"",E4013&lt;B4013),AND(F4013&lt;&gt;"",F4013&lt;B4013)),"Evento anterior à entrada",IF(AND(F4013&lt;&gt;"",E4013=""),"Conversa sem agendamento",IF(OR(E4013&gt;TODAY(),F4013&gt;TODAY()),"Verificar evento futuro","OK"))))))))))</f>
        <v/>
      </c>
    </row>
    <row r="4014" spans="12:15">
      <c r="L4014" s="5">
        <f>IF(OR(A4014="",B4014=""),"",B4014-WEEKDAY(B4014,2)+1)</f>
        <v/>
      </c>
      <c r="M4014" s="5">
        <f>IF(L4014="","",L4014+6)</f>
        <v/>
      </c>
      <c r="N4014" s="6">
        <f>IF(OR(A4014="",B4014=""),"",DATE(YEAR(B4014),MONTH(B4014),1))</f>
        <v/>
      </c>
      <c r="O4014" s="7">
        <f>IF(COUNTA(A4014:K4014)=0,"",IF(OR(A4014="",B4014=""),"Preencher CPF e entrada",IF(COUNTIFS($A$12:$A$5011,A4014,$B$12:$B$5011,B4014)&gt;1,"CPF + dia duplicado",IF(OR(AND(G4014&lt;&gt;"",G4014&lt;&gt;0,G4014&lt;&gt;1),AND(H4014&lt;&gt;"",H4014&lt;&gt;0,H4014&lt;&gt;1)),"Flags devem ser 0 ou 1",IF(AND(H4014=1,LEN(TRIM(I4014))=0),"Preencher nome do indicante",IF(AND(H4014&lt;&gt;1,I4014&lt;&gt;""),"Nome sem indicação interna",IF(AND(G4014=1,F4014=""),"Fechamento sem conversa",IF(OR(AND(E4014&lt;&gt;"",E4014&lt;B4014),AND(F4014&lt;&gt;"",F4014&lt;B4014)),"Evento anterior à entrada",IF(AND(F4014&lt;&gt;"",E4014=""),"Conversa sem agendamento",IF(OR(E4014&gt;TODAY(),F4014&gt;TODAY()),"Verificar evento futuro","OK"))))))))))</f>
        <v/>
      </c>
    </row>
    <row r="4015" spans="12:15">
      <c r="L4015" s="5">
        <f>IF(OR(A4015="",B4015=""),"",B4015-WEEKDAY(B4015,2)+1)</f>
        <v/>
      </c>
      <c r="M4015" s="5">
        <f>IF(L4015="","",L4015+6)</f>
        <v/>
      </c>
      <c r="N4015" s="6">
        <f>IF(OR(A4015="",B4015=""),"",DATE(YEAR(B4015),MONTH(B4015),1))</f>
        <v/>
      </c>
      <c r="O4015" s="7">
        <f>IF(COUNTA(A4015:K4015)=0,"",IF(OR(A4015="",B4015=""),"Preencher CPF e entrada",IF(COUNTIFS($A$12:$A$5011,A4015,$B$12:$B$5011,B4015)&gt;1,"CPF + dia duplicado",IF(OR(AND(G4015&lt;&gt;"",G4015&lt;&gt;0,G4015&lt;&gt;1),AND(H4015&lt;&gt;"",H4015&lt;&gt;0,H4015&lt;&gt;1)),"Flags devem ser 0 ou 1",IF(AND(H4015=1,LEN(TRIM(I4015))=0),"Preencher nome do indicante",IF(AND(H4015&lt;&gt;1,I4015&lt;&gt;""),"Nome sem indicação interna",IF(AND(G4015=1,F4015=""),"Fechamento sem conversa",IF(OR(AND(E4015&lt;&gt;"",E4015&lt;B4015),AND(F4015&lt;&gt;"",F4015&lt;B4015)),"Evento anterior à entrada",IF(AND(F4015&lt;&gt;"",E4015=""),"Conversa sem agendamento",IF(OR(E4015&gt;TODAY(),F4015&gt;TODAY()),"Verificar evento futuro","OK"))))))))))</f>
        <v/>
      </c>
    </row>
    <row r="4016" spans="12:15">
      <c r="L4016" s="5">
        <f>IF(OR(A4016="",B4016=""),"",B4016-WEEKDAY(B4016,2)+1)</f>
        <v/>
      </c>
      <c r="M4016" s="5">
        <f>IF(L4016="","",L4016+6)</f>
        <v/>
      </c>
      <c r="N4016" s="6">
        <f>IF(OR(A4016="",B4016=""),"",DATE(YEAR(B4016),MONTH(B4016),1))</f>
        <v/>
      </c>
      <c r="O4016" s="7">
        <f>IF(COUNTA(A4016:K4016)=0,"",IF(OR(A4016="",B4016=""),"Preencher CPF e entrada",IF(COUNTIFS($A$12:$A$5011,A4016,$B$12:$B$5011,B4016)&gt;1,"CPF + dia duplicado",IF(OR(AND(G4016&lt;&gt;"",G4016&lt;&gt;0,G4016&lt;&gt;1),AND(H4016&lt;&gt;"",H4016&lt;&gt;0,H4016&lt;&gt;1)),"Flags devem ser 0 ou 1",IF(AND(H4016=1,LEN(TRIM(I4016))=0),"Preencher nome do indicante",IF(AND(H4016&lt;&gt;1,I4016&lt;&gt;""),"Nome sem indicação interna",IF(AND(G4016=1,F4016=""),"Fechamento sem conversa",IF(OR(AND(E4016&lt;&gt;"",E4016&lt;B4016),AND(F4016&lt;&gt;"",F4016&lt;B4016)),"Evento anterior à entrada",IF(AND(F4016&lt;&gt;"",E4016=""),"Conversa sem agendamento",IF(OR(E4016&gt;TODAY(),F4016&gt;TODAY()),"Verificar evento futuro","OK"))))))))))</f>
        <v/>
      </c>
    </row>
    <row r="4017" spans="12:15">
      <c r="L4017" s="5">
        <f>IF(OR(A4017="",B4017=""),"",B4017-WEEKDAY(B4017,2)+1)</f>
        <v/>
      </c>
      <c r="M4017" s="5">
        <f>IF(L4017="","",L4017+6)</f>
        <v/>
      </c>
      <c r="N4017" s="6">
        <f>IF(OR(A4017="",B4017=""),"",DATE(YEAR(B4017),MONTH(B4017),1))</f>
        <v/>
      </c>
      <c r="O4017" s="7">
        <f>IF(COUNTA(A4017:K4017)=0,"",IF(OR(A4017="",B4017=""),"Preencher CPF e entrada",IF(COUNTIFS($A$12:$A$5011,A4017,$B$12:$B$5011,B4017)&gt;1,"CPF + dia duplicado",IF(OR(AND(G4017&lt;&gt;"",G4017&lt;&gt;0,G4017&lt;&gt;1),AND(H4017&lt;&gt;"",H4017&lt;&gt;0,H4017&lt;&gt;1)),"Flags devem ser 0 ou 1",IF(AND(H4017=1,LEN(TRIM(I4017))=0),"Preencher nome do indicante",IF(AND(H4017&lt;&gt;1,I4017&lt;&gt;""),"Nome sem indicação interna",IF(AND(G4017=1,F4017=""),"Fechamento sem conversa",IF(OR(AND(E4017&lt;&gt;"",E4017&lt;B4017),AND(F4017&lt;&gt;"",F4017&lt;B4017)),"Evento anterior à entrada",IF(AND(F4017&lt;&gt;"",E4017=""),"Conversa sem agendamento",IF(OR(E4017&gt;TODAY(),F4017&gt;TODAY()),"Verificar evento futuro","OK"))))))))))</f>
        <v/>
      </c>
    </row>
    <row r="4018" spans="12:15">
      <c r="L4018" s="5">
        <f>IF(OR(A4018="",B4018=""),"",B4018-WEEKDAY(B4018,2)+1)</f>
        <v/>
      </c>
      <c r="M4018" s="5">
        <f>IF(L4018="","",L4018+6)</f>
        <v/>
      </c>
      <c r="N4018" s="6">
        <f>IF(OR(A4018="",B4018=""),"",DATE(YEAR(B4018),MONTH(B4018),1))</f>
        <v/>
      </c>
      <c r="O4018" s="7">
        <f>IF(COUNTA(A4018:K4018)=0,"",IF(OR(A4018="",B4018=""),"Preencher CPF e entrada",IF(COUNTIFS($A$12:$A$5011,A4018,$B$12:$B$5011,B4018)&gt;1,"CPF + dia duplicado",IF(OR(AND(G4018&lt;&gt;"",G4018&lt;&gt;0,G4018&lt;&gt;1),AND(H4018&lt;&gt;"",H4018&lt;&gt;0,H4018&lt;&gt;1)),"Flags devem ser 0 ou 1",IF(AND(H4018=1,LEN(TRIM(I4018))=0),"Preencher nome do indicante",IF(AND(H4018&lt;&gt;1,I4018&lt;&gt;""),"Nome sem indicação interna",IF(AND(G4018=1,F4018=""),"Fechamento sem conversa",IF(OR(AND(E4018&lt;&gt;"",E4018&lt;B4018),AND(F4018&lt;&gt;"",F4018&lt;B4018)),"Evento anterior à entrada",IF(AND(F4018&lt;&gt;"",E4018=""),"Conversa sem agendamento",IF(OR(E4018&gt;TODAY(),F4018&gt;TODAY()),"Verificar evento futuro","OK"))))))))))</f>
        <v/>
      </c>
    </row>
    <row r="4019" spans="12:15">
      <c r="L4019" s="5">
        <f>IF(OR(A4019="",B4019=""),"",B4019-WEEKDAY(B4019,2)+1)</f>
        <v/>
      </c>
      <c r="M4019" s="5">
        <f>IF(L4019="","",L4019+6)</f>
        <v/>
      </c>
      <c r="N4019" s="6">
        <f>IF(OR(A4019="",B4019=""),"",DATE(YEAR(B4019),MONTH(B4019),1))</f>
        <v/>
      </c>
      <c r="O4019" s="7">
        <f>IF(COUNTA(A4019:K4019)=0,"",IF(OR(A4019="",B4019=""),"Preencher CPF e entrada",IF(COUNTIFS($A$12:$A$5011,A4019,$B$12:$B$5011,B4019)&gt;1,"CPF + dia duplicado",IF(OR(AND(G4019&lt;&gt;"",G4019&lt;&gt;0,G4019&lt;&gt;1),AND(H4019&lt;&gt;"",H4019&lt;&gt;0,H4019&lt;&gt;1)),"Flags devem ser 0 ou 1",IF(AND(H4019=1,LEN(TRIM(I4019))=0),"Preencher nome do indicante",IF(AND(H4019&lt;&gt;1,I4019&lt;&gt;""),"Nome sem indicação interna",IF(AND(G4019=1,F4019=""),"Fechamento sem conversa",IF(OR(AND(E4019&lt;&gt;"",E4019&lt;B4019),AND(F4019&lt;&gt;"",F4019&lt;B4019)),"Evento anterior à entrada",IF(AND(F4019&lt;&gt;"",E4019=""),"Conversa sem agendamento",IF(OR(E4019&gt;TODAY(),F4019&gt;TODAY()),"Verificar evento futuro","OK"))))))))))</f>
        <v/>
      </c>
    </row>
    <row r="4020" spans="12:15">
      <c r="L4020" s="5">
        <f>IF(OR(A4020="",B4020=""),"",B4020-WEEKDAY(B4020,2)+1)</f>
        <v/>
      </c>
      <c r="M4020" s="5">
        <f>IF(L4020="","",L4020+6)</f>
        <v/>
      </c>
      <c r="N4020" s="6">
        <f>IF(OR(A4020="",B4020=""),"",DATE(YEAR(B4020),MONTH(B4020),1))</f>
        <v/>
      </c>
      <c r="O4020" s="7">
        <f>IF(COUNTA(A4020:K4020)=0,"",IF(OR(A4020="",B4020=""),"Preencher CPF e entrada",IF(COUNTIFS($A$12:$A$5011,A4020,$B$12:$B$5011,B4020)&gt;1,"CPF + dia duplicado",IF(OR(AND(G4020&lt;&gt;"",G4020&lt;&gt;0,G4020&lt;&gt;1),AND(H4020&lt;&gt;"",H4020&lt;&gt;0,H4020&lt;&gt;1)),"Flags devem ser 0 ou 1",IF(AND(H4020=1,LEN(TRIM(I4020))=0),"Preencher nome do indicante",IF(AND(H4020&lt;&gt;1,I4020&lt;&gt;""),"Nome sem indicação interna",IF(AND(G4020=1,F4020=""),"Fechamento sem conversa",IF(OR(AND(E4020&lt;&gt;"",E4020&lt;B4020),AND(F4020&lt;&gt;"",F4020&lt;B4020)),"Evento anterior à entrada",IF(AND(F4020&lt;&gt;"",E4020=""),"Conversa sem agendamento",IF(OR(E4020&gt;TODAY(),F4020&gt;TODAY()),"Verificar evento futuro","OK"))))))))))</f>
        <v/>
      </c>
    </row>
    <row r="4021" spans="12:15">
      <c r="L4021" s="5">
        <f>IF(OR(A4021="",B4021=""),"",B4021-WEEKDAY(B4021,2)+1)</f>
        <v/>
      </c>
      <c r="M4021" s="5">
        <f>IF(L4021="","",L4021+6)</f>
        <v/>
      </c>
      <c r="N4021" s="6">
        <f>IF(OR(A4021="",B4021=""),"",DATE(YEAR(B4021),MONTH(B4021),1))</f>
        <v/>
      </c>
      <c r="O4021" s="7">
        <f>IF(COUNTA(A4021:K4021)=0,"",IF(OR(A4021="",B4021=""),"Preencher CPF e entrada",IF(COUNTIFS($A$12:$A$5011,A4021,$B$12:$B$5011,B4021)&gt;1,"CPF + dia duplicado",IF(OR(AND(G4021&lt;&gt;"",G4021&lt;&gt;0,G4021&lt;&gt;1),AND(H4021&lt;&gt;"",H4021&lt;&gt;0,H4021&lt;&gt;1)),"Flags devem ser 0 ou 1",IF(AND(H4021=1,LEN(TRIM(I4021))=0),"Preencher nome do indicante",IF(AND(H4021&lt;&gt;1,I4021&lt;&gt;""),"Nome sem indicação interna",IF(AND(G4021=1,F4021=""),"Fechamento sem conversa",IF(OR(AND(E4021&lt;&gt;"",E4021&lt;B4021),AND(F4021&lt;&gt;"",F4021&lt;B4021)),"Evento anterior à entrada",IF(AND(F4021&lt;&gt;"",E4021=""),"Conversa sem agendamento",IF(OR(E4021&gt;TODAY(),F4021&gt;TODAY()),"Verificar evento futuro","OK"))))))))))</f>
        <v/>
      </c>
    </row>
    <row r="4022" spans="12:15">
      <c r="L4022" s="5">
        <f>IF(OR(A4022="",B4022=""),"",B4022-WEEKDAY(B4022,2)+1)</f>
        <v/>
      </c>
      <c r="M4022" s="5">
        <f>IF(L4022="","",L4022+6)</f>
        <v/>
      </c>
      <c r="N4022" s="6">
        <f>IF(OR(A4022="",B4022=""),"",DATE(YEAR(B4022),MONTH(B4022),1))</f>
        <v/>
      </c>
      <c r="O4022" s="7">
        <f>IF(COUNTA(A4022:K4022)=0,"",IF(OR(A4022="",B4022=""),"Preencher CPF e entrada",IF(COUNTIFS($A$12:$A$5011,A4022,$B$12:$B$5011,B4022)&gt;1,"CPF + dia duplicado",IF(OR(AND(G4022&lt;&gt;"",G4022&lt;&gt;0,G4022&lt;&gt;1),AND(H4022&lt;&gt;"",H4022&lt;&gt;0,H4022&lt;&gt;1)),"Flags devem ser 0 ou 1",IF(AND(H4022=1,LEN(TRIM(I4022))=0),"Preencher nome do indicante",IF(AND(H4022&lt;&gt;1,I4022&lt;&gt;""),"Nome sem indicação interna",IF(AND(G4022=1,F4022=""),"Fechamento sem conversa",IF(OR(AND(E4022&lt;&gt;"",E4022&lt;B4022),AND(F4022&lt;&gt;"",F4022&lt;B4022)),"Evento anterior à entrada",IF(AND(F4022&lt;&gt;"",E4022=""),"Conversa sem agendamento",IF(OR(E4022&gt;TODAY(),F4022&gt;TODAY()),"Verificar evento futuro","OK"))))))))))</f>
        <v/>
      </c>
    </row>
    <row r="4023" spans="12:15">
      <c r="L4023" s="5">
        <f>IF(OR(A4023="",B4023=""),"",B4023-WEEKDAY(B4023,2)+1)</f>
        <v/>
      </c>
      <c r="M4023" s="5">
        <f>IF(L4023="","",L4023+6)</f>
        <v/>
      </c>
      <c r="N4023" s="6">
        <f>IF(OR(A4023="",B4023=""),"",DATE(YEAR(B4023),MONTH(B4023),1))</f>
        <v/>
      </c>
      <c r="O4023" s="7">
        <f>IF(COUNTA(A4023:K4023)=0,"",IF(OR(A4023="",B4023=""),"Preencher CPF e entrada",IF(COUNTIFS($A$12:$A$5011,A4023,$B$12:$B$5011,B4023)&gt;1,"CPF + dia duplicado",IF(OR(AND(G4023&lt;&gt;"",G4023&lt;&gt;0,G4023&lt;&gt;1),AND(H4023&lt;&gt;"",H4023&lt;&gt;0,H4023&lt;&gt;1)),"Flags devem ser 0 ou 1",IF(AND(H4023=1,LEN(TRIM(I4023))=0),"Preencher nome do indicante",IF(AND(H4023&lt;&gt;1,I4023&lt;&gt;""),"Nome sem indicação interna",IF(AND(G4023=1,F4023=""),"Fechamento sem conversa",IF(OR(AND(E4023&lt;&gt;"",E4023&lt;B4023),AND(F4023&lt;&gt;"",F4023&lt;B4023)),"Evento anterior à entrada",IF(AND(F4023&lt;&gt;"",E4023=""),"Conversa sem agendamento",IF(OR(E4023&gt;TODAY(),F4023&gt;TODAY()),"Verificar evento futuro","OK"))))))))))</f>
        <v/>
      </c>
    </row>
    <row r="4024" spans="12:15">
      <c r="L4024" s="5">
        <f>IF(OR(A4024="",B4024=""),"",B4024-WEEKDAY(B4024,2)+1)</f>
        <v/>
      </c>
      <c r="M4024" s="5">
        <f>IF(L4024="","",L4024+6)</f>
        <v/>
      </c>
      <c r="N4024" s="6">
        <f>IF(OR(A4024="",B4024=""),"",DATE(YEAR(B4024),MONTH(B4024),1))</f>
        <v/>
      </c>
      <c r="O4024" s="7">
        <f>IF(COUNTA(A4024:K4024)=0,"",IF(OR(A4024="",B4024=""),"Preencher CPF e entrada",IF(COUNTIFS($A$12:$A$5011,A4024,$B$12:$B$5011,B4024)&gt;1,"CPF + dia duplicado",IF(OR(AND(G4024&lt;&gt;"",G4024&lt;&gt;0,G4024&lt;&gt;1),AND(H4024&lt;&gt;"",H4024&lt;&gt;0,H4024&lt;&gt;1)),"Flags devem ser 0 ou 1",IF(AND(H4024=1,LEN(TRIM(I4024))=0),"Preencher nome do indicante",IF(AND(H4024&lt;&gt;1,I4024&lt;&gt;""),"Nome sem indicação interna",IF(AND(G4024=1,F4024=""),"Fechamento sem conversa",IF(OR(AND(E4024&lt;&gt;"",E4024&lt;B4024),AND(F4024&lt;&gt;"",F4024&lt;B4024)),"Evento anterior à entrada",IF(AND(F4024&lt;&gt;"",E4024=""),"Conversa sem agendamento",IF(OR(E4024&gt;TODAY(),F4024&gt;TODAY()),"Verificar evento futuro","OK"))))))))))</f>
        <v/>
      </c>
    </row>
    <row r="4025" spans="12:15">
      <c r="L4025" s="5">
        <f>IF(OR(A4025="",B4025=""),"",B4025-WEEKDAY(B4025,2)+1)</f>
        <v/>
      </c>
      <c r="M4025" s="5">
        <f>IF(L4025="","",L4025+6)</f>
        <v/>
      </c>
      <c r="N4025" s="6">
        <f>IF(OR(A4025="",B4025=""),"",DATE(YEAR(B4025),MONTH(B4025),1))</f>
        <v/>
      </c>
      <c r="O4025" s="7">
        <f>IF(COUNTA(A4025:K4025)=0,"",IF(OR(A4025="",B4025=""),"Preencher CPF e entrada",IF(COUNTIFS($A$12:$A$5011,A4025,$B$12:$B$5011,B4025)&gt;1,"CPF + dia duplicado",IF(OR(AND(G4025&lt;&gt;"",G4025&lt;&gt;0,G4025&lt;&gt;1),AND(H4025&lt;&gt;"",H4025&lt;&gt;0,H4025&lt;&gt;1)),"Flags devem ser 0 ou 1",IF(AND(H4025=1,LEN(TRIM(I4025))=0),"Preencher nome do indicante",IF(AND(H4025&lt;&gt;1,I4025&lt;&gt;""),"Nome sem indicação interna",IF(AND(G4025=1,F4025=""),"Fechamento sem conversa",IF(OR(AND(E4025&lt;&gt;"",E4025&lt;B4025),AND(F4025&lt;&gt;"",F4025&lt;B4025)),"Evento anterior à entrada",IF(AND(F4025&lt;&gt;"",E4025=""),"Conversa sem agendamento",IF(OR(E4025&gt;TODAY(),F4025&gt;TODAY()),"Verificar evento futuro","OK"))))))))))</f>
        <v/>
      </c>
    </row>
    <row r="4026" spans="12:15">
      <c r="L4026" s="5">
        <f>IF(OR(A4026="",B4026=""),"",B4026-WEEKDAY(B4026,2)+1)</f>
        <v/>
      </c>
      <c r="M4026" s="5">
        <f>IF(L4026="","",L4026+6)</f>
        <v/>
      </c>
      <c r="N4026" s="6">
        <f>IF(OR(A4026="",B4026=""),"",DATE(YEAR(B4026),MONTH(B4026),1))</f>
        <v/>
      </c>
      <c r="O4026" s="7">
        <f>IF(COUNTA(A4026:K4026)=0,"",IF(OR(A4026="",B4026=""),"Preencher CPF e entrada",IF(COUNTIFS($A$12:$A$5011,A4026,$B$12:$B$5011,B4026)&gt;1,"CPF + dia duplicado",IF(OR(AND(G4026&lt;&gt;"",G4026&lt;&gt;0,G4026&lt;&gt;1),AND(H4026&lt;&gt;"",H4026&lt;&gt;0,H4026&lt;&gt;1)),"Flags devem ser 0 ou 1",IF(AND(H4026=1,LEN(TRIM(I4026))=0),"Preencher nome do indicante",IF(AND(H4026&lt;&gt;1,I4026&lt;&gt;""),"Nome sem indicação interna",IF(AND(G4026=1,F4026=""),"Fechamento sem conversa",IF(OR(AND(E4026&lt;&gt;"",E4026&lt;B4026),AND(F4026&lt;&gt;"",F4026&lt;B4026)),"Evento anterior à entrada",IF(AND(F4026&lt;&gt;"",E4026=""),"Conversa sem agendamento",IF(OR(E4026&gt;TODAY(),F4026&gt;TODAY()),"Verificar evento futuro","OK"))))))))))</f>
        <v/>
      </c>
    </row>
    <row r="4027" spans="12:15">
      <c r="L4027" s="5">
        <f>IF(OR(A4027="",B4027=""),"",B4027-WEEKDAY(B4027,2)+1)</f>
        <v/>
      </c>
      <c r="M4027" s="5">
        <f>IF(L4027="","",L4027+6)</f>
        <v/>
      </c>
      <c r="N4027" s="6">
        <f>IF(OR(A4027="",B4027=""),"",DATE(YEAR(B4027),MONTH(B4027),1))</f>
        <v/>
      </c>
      <c r="O4027" s="7">
        <f>IF(COUNTA(A4027:K4027)=0,"",IF(OR(A4027="",B4027=""),"Preencher CPF e entrada",IF(COUNTIFS($A$12:$A$5011,A4027,$B$12:$B$5011,B4027)&gt;1,"CPF + dia duplicado",IF(OR(AND(G4027&lt;&gt;"",G4027&lt;&gt;0,G4027&lt;&gt;1),AND(H4027&lt;&gt;"",H4027&lt;&gt;0,H4027&lt;&gt;1)),"Flags devem ser 0 ou 1",IF(AND(H4027=1,LEN(TRIM(I4027))=0),"Preencher nome do indicante",IF(AND(H4027&lt;&gt;1,I4027&lt;&gt;""),"Nome sem indicação interna",IF(AND(G4027=1,F4027=""),"Fechamento sem conversa",IF(OR(AND(E4027&lt;&gt;"",E4027&lt;B4027),AND(F4027&lt;&gt;"",F4027&lt;B4027)),"Evento anterior à entrada",IF(AND(F4027&lt;&gt;"",E4027=""),"Conversa sem agendamento",IF(OR(E4027&gt;TODAY(),F4027&gt;TODAY()),"Verificar evento futuro","OK"))))))))))</f>
        <v/>
      </c>
    </row>
    <row r="4028" spans="12:15">
      <c r="L4028" s="5">
        <f>IF(OR(A4028="",B4028=""),"",B4028-WEEKDAY(B4028,2)+1)</f>
        <v/>
      </c>
      <c r="M4028" s="5">
        <f>IF(L4028="","",L4028+6)</f>
        <v/>
      </c>
      <c r="N4028" s="6">
        <f>IF(OR(A4028="",B4028=""),"",DATE(YEAR(B4028),MONTH(B4028),1))</f>
        <v/>
      </c>
      <c r="O4028" s="7">
        <f>IF(COUNTA(A4028:K4028)=0,"",IF(OR(A4028="",B4028=""),"Preencher CPF e entrada",IF(COUNTIFS($A$12:$A$5011,A4028,$B$12:$B$5011,B4028)&gt;1,"CPF + dia duplicado",IF(OR(AND(G4028&lt;&gt;"",G4028&lt;&gt;0,G4028&lt;&gt;1),AND(H4028&lt;&gt;"",H4028&lt;&gt;0,H4028&lt;&gt;1)),"Flags devem ser 0 ou 1",IF(AND(H4028=1,LEN(TRIM(I4028))=0),"Preencher nome do indicante",IF(AND(H4028&lt;&gt;1,I4028&lt;&gt;""),"Nome sem indicação interna",IF(AND(G4028=1,F4028=""),"Fechamento sem conversa",IF(OR(AND(E4028&lt;&gt;"",E4028&lt;B4028),AND(F4028&lt;&gt;"",F4028&lt;B4028)),"Evento anterior à entrada",IF(AND(F4028&lt;&gt;"",E4028=""),"Conversa sem agendamento",IF(OR(E4028&gt;TODAY(),F4028&gt;TODAY()),"Verificar evento futuro","OK"))))))))))</f>
        <v/>
      </c>
    </row>
    <row r="4029" spans="12:15">
      <c r="L4029" s="5">
        <f>IF(OR(A4029="",B4029=""),"",B4029-WEEKDAY(B4029,2)+1)</f>
        <v/>
      </c>
      <c r="M4029" s="5">
        <f>IF(L4029="","",L4029+6)</f>
        <v/>
      </c>
      <c r="N4029" s="6">
        <f>IF(OR(A4029="",B4029=""),"",DATE(YEAR(B4029),MONTH(B4029),1))</f>
        <v/>
      </c>
      <c r="O4029" s="7">
        <f>IF(COUNTA(A4029:K4029)=0,"",IF(OR(A4029="",B4029=""),"Preencher CPF e entrada",IF(COUNTIFS($A$12:$A$5011,A4029,$B$12:$B$5011,B4029)&gt;1,"CPF + dia duplicado",IF(OR(AND(G4029&lt;&gt;"",G4029&lt;&gt;0,G4029&lt;&gt;1),AND(H4029&lt;&gt;"",H4029&lt;&gt;0,H4029&lt;&gt;1)),"Flags devem ser 0 ou 1",IF(AND(H4029=1,LEN(TRIM(I4029))=0),"Preencher nome do indicante",IF(AND(H4029&lt;&gt;1,I4029&lt;&gt;""),"Nome sem indicação interna",IF(AND(G4029=1,F4029=""),"Fechamento sem conversa",IF(OR(AND(E4029&lt;&gt;"",E4029&lt;B4029),AND(F4029&lt;&gt;"",F4029&lt;B4029)),"Evento anterior à entrada",IF(AND(F4029&lt;&gt;"",E4029=""),"Conversa sem agendamento",IF(OR(E4029&gt;TODAY(),F4029&gt;TODAY()),"Verificar evento futuro","OK"))))))))))</f>
        <v/>
      </c>
    </row>
    <row r="4030" spans="12:15">
      <c r="L4030" s="5">
        <f>IF(OR(A4030="",B4030=""),"",B4030-WEEKDAY(B4030,2)+1)</f>
        <v/>
      </c>
      <c r="M4030" s="5">
        <f>IF(L4030="","",L4030+6)</f>
        <v/>
      </c>
      <c r="N4030" s="6">
        <f>IF(OR(A4030="",B4030=""),"",DATE(YEAR(B4030),MONTH(B4030),1))</f>
        <v/>
      </c>
      <c r="O4030" s="7">
        <f>IF(COUNTA(A4030:K4030)=0,"",IF(OR(A4030="",B4030=""),"Preencher CPF e entrada",IF(COUNTIFS($A$12:$A$5011,A4030,$B$12:$B$5011,B4030)&gt;1,"CPF + dia duplicado",IF(OR(AND(G4030&lt;&gt;"",G4030&lt;&gt;0,G4030&lt;&gt;1),AND(H4030&lt;&gt;"",H4030&lt;&gt;0,H4030&lt;&gt;1)),"Flags devem ser 0 ou 1",IF(AND(H4030=1,LEN(TRIM(I4030))=0),"Preencher nome do indicante",IF(AND(H4030&lt;&gt;1,I4030&lt;&gt;""),"Nome sem indicação interna",IF(AND(G4030=1,F4030=""),"Fechamento sem conversa",IF(OR(AND(E4030&lt;&gt;"",E4030&lt;B4030),AND(F4030&lt;&gt;"",F4030&lt;B4030)),"Evento anterior à entrada",IF(AND(F4030&lt;&gt;"",E4030=""),"Conversa sem agendamento",IF(OR(E4030&gt;TODAY(),F4030&gt;TODAY()),"Verificar evento futuro","OK"))))))))))</f>
        <v/>
      </c>
    </row>
    <row r="4031" spans="12:15">
      <c r="L4031" s="5">
        <f>IF(OR(A4031="",B4031=""),"",B4031-WEEKDAY(B4031,2)+1)</f>
        <v/>
      </c>
      <c r="M4031" s="5">
        <f>IF(L4031="","",L4031+6)</f>
        <v/>
      </c>
      <c r="N4031" s="6">
        <f>IF(OR(A4031="",B4031=""),"",DATE(YEAR(B4031),MONTH(B4031),1))</f>
        <v/>
      </c>
      <c r="O4031" s="7">
        <f>IF(COUNTA(A4031:K4031)=0,"",IF(OR(A4031="",B4031=""),"Preencher CPF e entrada",IF(COUNTIFS($A$12:$A$5011,A4031,$B$12:$B$5011,B4031)&gt;1,"CPF + dia duplicado",IF(OR(AND(G4031&lt;&gt;"",G4031&lt;&gt;0,G4031&lt;&gt;1),AND(H4031&lt;&gt;"",H4031&lt;&gt;0,H4031&lt;&gt;1)),"Flags devem ser 0 ou 1",IF(AND(H4031=1,LEN(TRIM(I4031))=0),"Preencher nome do indicante",IF(AND(H4031&lt;&gt;1,I4031&lt;&gt;""),"Nome sem indicação interna",IF(AND(G4031=1,F4031=""),"Fechamento sem conversa",IF(OR(AND(E4031&lt;&gt;"",E4031&lt;B4031),AND(F4031&lt;&gt;"",F4031&lt;B4031)),"Evento anterior à entrada",IF(AND(F4031&lt;&gt;"",E4031=""),"Conversa sem agendamento",IF(OR(E4031&gt;TODAY(),F4031&gt;TODAY()),"Verificar evento futuro","OK"))))))))))</f>
        <v/>
      </c>
    </row>
    <row r="4032" spans="12:15">
      <c r="L4032" s="5">
        <f>IF(OR(A4032="",B4032=""),"",B4032-WEEKDAY(B4032,2)+1)</f>
        <v/>
      </c>
      <c r="M4032" s="5">
        <f>IF(L4032="","",L4032+6)</f>
        <v/>
      </c>
      <c r="N4032" s="6">
        <f>IF(OR(A4032="",B4032=""),"",DATE(YEAR(B4032),MONTH(B4032),1))</f>
        <v/>
      </c>
      <c r="O4032" s="7">
        <f>IF(COUNTA(A4032:K4032)=0,"",IF(OR(A4032="",B4032=""),"Preencher CPF e entrada",IF(COUNTIFS($A$12:$A$5011,A4032,$B$12:$B$5011,B4032)&gt;1,"CPF + dia duplicado",IF(OR(AND(G4032&lt;&gt;"",G4032&lt;&gt;0,G4032&lt;&gt;1),AND(H4032&lt;&gt;"",H4032&lt;&gt;0,H4032&lt;&gt;1)),"Flags devem ser 0 ou 1",IF(AND(H4032=1,LEN(TRIM(I4032))=0),"Preencher nome do indicante",IF(AND(H4032&lt;&gt;1,I4032&lt;&gt;""),"Nome sem indicação interna",IF(AND(G4032=1,F4032=""),"Fechamento sem conversa",IF(OR(AND(E4032&lt;&gt;"",E4032&lt;B4032),AND(F4032&lt;&gt;"",F4032&lt;B4032)),"Evento anterior à entrada",IF(AND(F4032&lt;&gt;"",E4032=""),"Conversa sem agendamento",IF(OR(E4032&gt;TODAY(),F4032&gt;TODAY()),"Verificar evento futuro","OK"))))))))))</f>
        <v/>
      </c>
    </row>
    <row r="4033" spans="12:15">
      <c r="L4033" s="5">
        <f>IF(OR(A4033="",B4033=""),"",B4033-WEEKDAY(B4033,2)+1)</f>
        <v/>
      </c>
      <c r="M4033" s="5">
        <f>IF(L4033="","",L4033+6)</f>
        <v/>
      </c>
      <c r="N4033" s="6">
        <f>IF(OR(A4033="",B4033=""),"",DATE(YEAR(B4033),MONTH(B4033),1))</f>
        <v/>
      </c>
      <c r="O4033" s="7">
        <f>IF(COUNTA(A4033:K4033)=0,"",IF(OR(A4033="",B4033=""),"Preencher CPF e entrada",IF(COUNTIFS($A$12:$A$5011,A4033,$B$12:$B$5011,B4033)&gt;1,"CPF + dia duplicado",IF(OR(AND(G4033&lt;&gt;"",G4033&lt;&gt;0,G4033&lt;&gt;1),AND(H4033&lt;&gt;"",H4033&lt;&gt;0,H4033&lt;&gt;1)),"Flags devem ser 0 ou 1",IF(AND(H4033=1,LEN(TRIM(I4033))=0),"Preencher nome do indicante",IF(AND(H4033&lt;&gt;1,I4033&lt;&gt;""),"Nome sem indicação interna",IF(AND(G4033=1,F4033=""),"Fechamento sem conversa",IF(OR(AND(E4033&lt;&gt;"",E4033&lt;B4033),AND(F4033&lt;&gt;"",F4033&lt;B4033)),"Evento anterior à entrada",IF(AND(F4033&lt;&gt;"",E4033=""),"Conversa sem agendamento",IF(OR(E4033&gt;TODAY(),F4033&gt;TODAY()),"Verificar evento futuro","OK"))))))))))</f>
        <v/>
      </c>
    </row>
    <row r="4034" spans="12:15">
      <c r="L4034" s="5">
        <f>IF(OR(A4034="",B4034=""),"",B4034-WEEKDAY(B4034,2)+1)</f>
        <v/>
      </c>
      <c r="M4034" s="5">
        <f>IF(L4034="","",L4034+6)</f>
        <v/>
      </c>
      <c r="N4034" s="6">
        <f>IF(OR(A4034="",B4034=""),"",DATE(YEAR(B4034),MONTH(B4034),1))</f>
        <v/>
      </c>
      <c r="O4034" s="7">
        <f>IF(COUNTA(A4034:K4034)=0,"",IF(OR(A4034="",B4034=""),"Preencher CPF e entrada",IF(COUNTIFS($A$12:$A$5011,A4034,$B$12:$B$5011,B4034)&gt;1,"CPF + dia duplicado",IF(OR(AND(G4034&lt;&gt;"",G4034&lt;&gt;0,G4034&lt;&gt;1),AND(H4034&lt;&gt;"",H4034&lt;&gt;0,H4034&lt;&gt;1)),"Flags devem ser 0 ou 1",IF(AND(H4034=1,LEN(TRIM(I4034))=0),"Preencher nome do indicante",IF(AND(H4034&lt;&gt;1,I4034&lt;&gt;""),"Nome sem indicação interna",IF(AND(G4034=1,F4034=""),"Fechamento sem conversa",IF(OR(AND(E4034&lt;&gt;"",E4034&lt;B4034),AND(F4034&lt;&gt;"",F4034&lt;B4034)),"Evento anterior à entrada",IF(AND(F4034&lt;&gt;"",E4034=""),"Conversa sem agendamento",IF(OR(E4034&gt;TODAY(),F4034&gt;TODAY()),"Verificar evento futuro","OK"))))))))))</f>
        <v/>
      </c>
    </row>
    <row r="4035" spans="12:15">
      <c r="L4035" s="5">
        <f>IF(OR(A4035="",B4035=""),"",B4035-WEEKDAY(B4035,2)+1)</f>
        <v/>
      </c>
      <c r="M4035" s="5">
        <f>IF(L4035="","",L4035+6)</f>
        <v/>
      </c>
      <c r="N4035" s="6">
        <f>IF(OR(A4035="",B4035=""),"",DATE(YEAR(B4035),MONTH(B4035),1))</f>
        <v/>
      </c>
      <c r="O4035" s="7">
        <f>IF(COUNTA(A4035:K4035)=0,"",IF(OR(A4035="",B4035=""),"Preencher CPF e entrada",IF(COUNTIFS($A$12:$A$5011,A4035,$B$12:$B$5011,B4035)&gt;1,"CPF + dia duplicado",IF(OR(AND(G4035&lt;&gt;"",G4035&lt;&gt;0,G4035&lt;&gt;1),AND(H4035&lt;&gt;"",H4035&lt;&gt;0,H4035&lt;&gt;1)),"Flags devem ser 0 ou 1",IF(AND(H4035=1,LEN(TRIM(I4035))=0),"Preencher nome do indicante",IF(AND(H4035&lt;&gt;1,I4035&lt;&gt;""),"Nome sem indicação interna",IF(AND(G4035=1,F4035=""),"Fechamento sem conversa",IF(OR(AND(E4035&lt;&gt;"",E4035&lt;B4035),AND(F4035&lt;&gt;"",F4035&lt;B4035)),"Evento anterior à entrada",IF(AND(F4035&lt;&gt;"",E4035=""),"Conversa sem agendamento",IF(OR(E4035&gt;TODAY(),F4035&gt;TODAY()),"Verificar evento futuro","OK"))))))))))</f>
        <v/>
      </c>
    </row>
    <row r="4036" spans="12:15">
      <c r="L4036" s="5">
        <f>IF(OR(A4036="",B4036=""),"",B4036-WEEKDAY(B4036,2)+1)</f>
        <v/>
      </c>
      <c r="M4036" s="5">
        <f>IF(L4036="","",L4036+6)</f>
        <v/>
      </c>
      <c r="N4036" s="6">
        <f>IF(OR(A4036="",B4036=""),"",DATE(YEAR(B4036),MONTH(B4036),1))</f>
        <v/>
      </c>
      <c r="O4036" s="7">
        <f>IF(COUNTA(A4036:K4036)=0,"",IF(OR(A4036="",B4036=""),"Preencher CPF e entrada",IF(COUNTIFS($A$12:$A$5011,A4036,$B$12:$B$5011,B4036)&gt;1,"CPF + dia duplicado",IF(OR(AND(G4036&lt;&gt;"",G4036&lt;&gt;0,G4036&lt;&gt;1),AND(H4036&lt;&gt;"",H4036&lt;&gt;0,H4036&lt;&gt;1)),"Flags devem ser 0 ou 1",IF(AND(H4036=1,LEN(TRIM(I4036))=0),"Preencher nome do indicante",IF(AND(H4036&lt;&gt;1,I4036&lt;&gt;""),"Nome sem indicação interna",IF(AND(G4036=1,F4036=""),"Fechamento sem conversa",IF(OR(AND(E4036&lt;&gt;"",E4036&lt;B4036),AND(F4036&lt;&gt;"",F4036&lt;B4036)),"Evento anterior à entrada",IF(AND(F4036&lt;&gt;"",E4036=""),"Conversa sem agendamento",IF(OR(E4036&gt;TODAY(),F4036&gt;TODAY()),"Verificar evento futuro","OK"))))))))))</f>
        <v/>
      </c>
    </row>
    <row r="4037" spans="12:15">
      <c r="L4037" s="5">
        <f>IF(OR(A4037="",B4037=""),"",B4037-WEEKDAY(B4037,2)+1)</f>
        <v/>
      </c>
      <c r="M4037" s="5">
        <f>IF(L4037="","",L4037+6)</f>
        <v/>
      </c>
      <c r="N4037" s="6">
        <f>IF(OR(A4037="",B4037=""),"",DATE(YEAR(B4037),MONTH(B4037),1))</f>
        <v/>
      </c>
      <c r="O4037" s="7">
        <f>IF(COUNTA(A4037:K4037)=0,"",IF(OR(A4037="",B4037=""),"Preencher CPF e entrada",IF(COUNTIFS($A$12:$A$5011,A4037,$B$12:$B$5011,B4037)&gt;1,"CPF + dia duplicado",IF(OR(AND(G4037&lt;&gt;"",G4037&lt;&gt;0,G4037&lt;&gt;1),AND(H4037&lt;&gt;"",H4037&lt;&gt;0,H4037&lt;&gt;1)),"Flags devem ser 0 ou 1",IF(AND(H4037=1,LEN(TRIM(I4037))=0),"Preencher nome do indicante",IF(AND(H4037&lt;&gt;1,I4037&lt;&gt;""),"Nome sem indicação interna",IF(AND(G4037=1,F4037=""),"Fechamento sem conversa",IF(OR(AND(E4037&lt;&gt;"",E4037&lt;B4037),AND(F4037&lt;&gt;"",F4037&lt;B4037)),"Evento anterior à entrada",IF(AND(F4037&lt;&gt;"",E4037=""),"Conversa sem agendamento",IF(OR(E4037&gt;TODAY(),F4037&gt;TODAY()),"Verificar evento futuro","OK"))))))))))</f>
        <v/>
      </c>
    </row>
    <row r="4038" spans="12:15">
      <c r="L4038" s="5">
        <f>IF(OR(A4038="",B4038=""),"",B4038-WEEKDAY(B4038,2)+1)</f>
        <v/>
      </c>
      <c r="M4038" s="5">
        <f>IF(L4038="","",L4038+6)</f>
        <v/>
      </c>
      <c r="N4038" s="6">
        <f>IF(OR(A4038="",B4038=""),"",DATE(YEAR(B4038),MONTH(B4038),1))</f>
        <v/>
      </c>
      <c r="O4038" s="7">
        <f>IF(COUNTA(A4038:K4038)=0,"",IF(OR(A4038="",B4038=""),"Preencher CPF e entrada",IF(COUNTIFS($A$12:$A$5011,A4038,$B$12:$B$5011,B4038)&gt;1,"CPF + dia duplicado",IF(OR(AND(G4038&lt;&gt;"",G4038&lt;&gt;0,G4038&lt;&gt;1),AND(H4038&lt;&gt;"",H4038&lt;&gt;0,H4038&lt;&gt;1)),"Flags devem ser 0 ou 1",IF(AND(H4038=1,LEN(TRIM(I4038))=0),"Preencher nome do indicante",IF(AND(H4038&lt;&gt;1,I4038&lt;&gt;""),"Nome sem indicação interna",IF(AND(G4038=1,F4038=""),"Fechamento sem conversa",IF(OR(AND(E4038&lt;&gt;"",E4038&lt;B4038),AND(F4038&lt;&gt;"",F4038&lt;B4038)),"Evento anterior à entrada",IF(AND(F4038&lt;&gt;"",E4038=""),"Conversa sem agendamento",IF(OR(E4038&gt;TODAY(),F4038&gt;TODAY()),"Verificar evento futuro","OK"))))))))))</f>
        <v/>
      </c>
    </row>
    <row r="4039" spans="12:15">
      <c r="L4039" s="5">
        <f>IF(OR(A4039="",B4039=""),"",B4039-WEEKDAY(B4039,2)+1)</f>
        <v/>
      </c>
      <c r="M4039" s="5">
        <f>IF(L4039="","",L4039+6)</f>
        <v/>
      </c>
      <c r="N4039" s="6">
        <f>IF(OR(A4039="",B4039=""),"",DATE(YEAR(B4039),MONTH(B4039),1))</f>
        <v/>
      </c>
      <c r="O4039" s="7">
        <f>IF(COUNTA(A4039:K4039)=0,"",IF(OR(A4039="",B4039=""),"Preencher CPF e entrada",IF(COUNTIFS($A$12:$A$5011,A4039,$B$12:$B$5011,B4039)&gt;1,"CPF + dia duplicado",IF(OR(AND(G4039&lt;&gt;"",G4039&lt;&gt;0,G4039&lt;&gt;1),AND(H4039&lt;&gt;"",H4039&lt;&gt;0,H4039&lt;&gt;1)),"Flags devem ser 0 ou 1",IF(AND(H4039=1,LEN(TRIM(I4039))=0),"Preencher nome do indicante",IF(AND(H4039&lt;&gt;1,I4039&lt;&gt;""),"Nome sem indicação interna",IF(AND(G4039=1,F4039=""),"Fechamento sem conversa",IF(OR(AND(E4039&lt;&gt;"",E4039&lt;B4039),AND(F4039&lt;&gt;"",F4039&lt;B4039)),"Evento anterior à entrada",IF(AND(F4039&lt;&gt;"",E4039=""),"Conversa sem agendamento",IF(OR(E4039&gt;TODAY(),F4039&gt;TODAY()),"Verificar evento futuro","OK"))))))))))</f>
        <v/>
      </c>
    </row>
    <row r="4040" spans="12:15">
      <c r="L4040" s="5">
        <f>IF(OR(A4040="",B4040=""),"",B4040-WEEKDAY(B4040,2)+1)</f>
        <v/>
      </c>
      <c r="M4040" s="5">
        <f>IF(L4040="","",L4040+6)</f>
        <v/>
      </c>
      <c r="N4040" s="6">
        <f>IF(OR(A4040="",B4040=""),"",DATE(YEAR(B4040),MONTH(B4040),1))</f>
        <v/>
      </c>
      <c r="O4040" s="7">
        <f>IF(COUNTA(A4040:K4040)=0,"",IF(OR(A4040="",B4040=""),"Preencher CPF e entrada",IF(COUNTIFS($A$12:$A$5011,A4040,$B$12:$B$5011,B4040)&gt;1,"CPF + dia duplicado",IF(OR(AND(G4040&lt;&gt;"",G4040&lt;&gt;0,G4040&lt;&gt;1),AND(H4040&lt;&gt;"",H4040&lt;&gt;0,H4040&lt;&gt;1)),"Flags devem ser 0 ou 1",IF(AND(H4040=1,LEN(TRIM(I4040))=0),"Preencher nome do indicante",IF(AND(H4040&lt;&gt;1,I4040&lt;&gt;""),"Nome sem indicação interna",IF(AND(G4040=1,F4040=""),"Fechamento sem conversa",IF(OR(AND(E4040&lt;&gt;"",E4040&lt;B4040),AND(F4040&lt;&gt;"",F4040&lt;B4040)),"Evento anterior à entrada",IF(AND(F4040&lt;&gt;"",E4040=""),"Conversa sem agendamento",IF(OR(E4040&gt;TODAY(),F4040&gt;TODAY()),"Verificar evento futuro","OK"))))))))))</f>
        <v/>
      </c>
    </row>
    <row r="4041" spans="12:15">
      <c r="L4041" s="5">
        <f>IF(OR(A4041="",B4041=""),"",B4041-WEEKDAY(B4041,2)+1)</f>
        <v/>
      </c>
      <c r="M4041" s="5">
        <f>IF(L4041="","",L4041+6)</f>
        <v/>
      </c>
      <c r="N4041" s="6">
        <f>IF(OR(A4041="",B4041=""),"",DATE(YEAR(B4041),MONTH(B4041),1))</f>
        <v/>
      </c>
      <c r="O4041" s="7">
        <f>IF(COUNTA(A4041:K4041)=0,"",IF(OR(A4041="",B4041=""),"Preencher CPF e entrada",IF(COUNTIFS($A$12:$A$5011,A4041,$B$12:$B$5011,B4041)&gt;1,"CPF + dia duplicado",IF(OR(AND(G4041&lt;&gt;"",G4041&lt;&gt;0,G4041&lt;&gt;1),AND(H4041&lt;&gt;"",H4041&lt;&gt;0,H4041&lt;&gt;1)),"Flags devem ser 0 ou 1",IF(AND(H4041=1,LEN(TRIM(I4041))=0),"Preencher nome do indicante",IF(AND(H4041&lt;&gt;1,I4041&lt;&gt;""),"Nome sem indicação interna",IF(AND(G4041=1,F4041=""),"Fechamento sem conversa",IF(OR(AND(E4041&lt;&gt;"",E4041&lt;B4041),AND(F4041&lt;&gt;"",F4041&lt;B4041)),"Evento anterior à entrada",IF(AND(F4041&lt;&gt;"",E4041=""),"Conversa sem agendamento",IF(OR(E4041&gt;TODAY(),F4041&gt;TODAY()),"Verificar evento futuro","OK"))))))))))</f>
        <v/>
      </c>
    </row>
    <row r="4042" spans="12:15">
      <c r="L4042" s="5">
        <f>IF(OR(A4042="",B4042=""),"",B4042-WEEKDAY(B4042,2)+1)</f>
        <v/>
      </c>
      <c r="M4042" s="5">
        <f>IF(L4042="","",L4042+6)</f>
        <v/>
      </c>
      <c r="N4042" s="6">
        <f>IF(OR(A4042="",B4042=""),"",DATE(YEAR(B4042),MONTH(B4042),1))</f>
        <v/>
      </c>
      <c r="O4042" s="7">
        <f>IF(COUNTA(A4042:K4042)=0,"",IF(OR(A4042="",B4042=""),"Preencher CPF e entrada",IF(COUNTIFS($A$12:$A$5011,A4042,$B$12:$B$5011,B4042)&gt;1,"CPF + dia duplicado",IF(OR(AND(G4042&lt;&gt;"",G4042&lt;&gt;0,G4042&lt;&gt;1),AND(H4042&lt;&gt;"",H4042&lt;&gt;0,H4042&lt;&gt;1)),"Flags devem ser 0 ou 1",IF(AND(H4042=1,LEN(TRIM(I4042))=0),"Preencher nome do indicante",IF(AND(H4042&lt;&gt;1,I4042&lt;&gt;""),"Nome sem indicação interna",IF(AND(G4042=1,F4042=""),"Fechamento sem conversa",IF(OR(AND(E4042&lt;&gt;"",E4042&lt;B4042),AND(F4042&lt;&gt;"",F4042&lt;B4042)),"Evento anterior à entrada",IF(AND(F4042&lt;&gt;"",E4042=""),"Conversa sem agendamento",IF(OR(E4042&gt;TODAY(),F4042&gt;TODAY()),"Verificar evento futuro","OK"))))))))))</f>
        <v/>
      </c>
    </row>
    <row r="4043" spans="12:15">
      <c r="L4043" s="5">
        <f>IF(OR(A4043="",B4043=""),"",B4043-WEEKDAY(B4043,2)+1)</f>
        <v/>
      </c>
      <c r="M4043" s="5">
        <f>IF(L4043="","",L4043+6)</f>
        <v/>
      </c>
      <c r="N4043" s="6">
        <f>IF(OR(A4043="",B4043=""),"",DATE(YEAR(B4043),MONTH(B4043),1))</f>
        <v/>
      </c>
      <c r="O4043" s="7">
        <f>IF(COUNTA(A4043:K4043)=0,"",IF(OR(A4043="",B4043=""),"Preencher CPF e entrada",IF(COUNTIFS($A$12:$A$5011,A4043,$B$12:$B$5011,B4043)&gt;1,"CPF + dia duplicado",IF(OR(AND(G4043&lt;&gt;"",G4043&lt;&gt;0,G4043&lt;&gt;1),AND(H4043&lt;&gt;"",H4043&lt;&gt;0,H4043&lt;&gt;1)),"Flags devem ser 0 ou 1",IF(AND(H4043=1,LEN(TRIM(I4043))=0),"Preencher nome do indicante",IF(AND(H4043&lt;&gt;1,I4043&lt;&gt;""),"Nome sem indicação interna",IF(AND(G4043=1,F4043=""),"Fechamento sem conversa",IF(OR(AND(E4043&lt;&gt;"",E4043&lt;B4043),AND(F4043&lt;&gt;"",F4043&lt;B4043)),"Evento anterior à entrada",IF(AND(F4043&lt;&gt;"",E4043=""),"Conversa sem agendamento",IF(OR(E4043&gt;TODAY(),F4043&gt;TODAY()),"Verificar evento futuro","OK"))))))))))</f>
        <v/>
      </c>
    </row>
    <row r="4044" spans="12:15">
      <c r="L4044" s="5">
        <f>IF(OR(A4044="",B4044=""),"",B4044-WEEKDAY(B4044,2)+1)</f>
        <v/>
      </c>
      <c r="M4044" s="5">
        <f>IF(L4044="","",L4044+6)</f>
        <v/>
      </c>
      <c r="N4044" s="6">
        <f>IF(OR(A4044="",B4044=""),"",DATE(YEAR(B4044),MONTH(B4044),1))</f>
        <v/>
      </c>
      <c r="O4044" s="7">
        <f>IF(COUNTA(A4044:K4044)=0,"",IF(OR(A4044="",B4044=""),"Preencher CPF e entrada",IF(COUNTIFS($A$12:$A$5011,A4044,$B$12:$B$5011,B4044)&gt;1,"CPF + dia duplicado",IF(OR(AND(G4044&lt;&gt;"",G4044&lt;&gt;0,G4044&lt;&gt;1),AND(H4044&lt;&gt;"",H4044&lt;&gt;0,H4044&lt;&gt;1)),"Flags devem ser 0 ou 1",IF(AND(H4044=1,LEN(TRIM(I4044))=0),"Preencher nome do indicante",IF(AND(H4044&lt;&gt;1,I4044&lt;&gt;""),"Nome sem indicação interna",IF(AND(G4044=1,F4044=""),"Fechamento sem conversa",IF(OR(AND(E4044&lt;&gt;"",E4044&lt;B4044),AND(F4044&lt;&gt;"",F4044&lt;B4044)),"Evento anterior à entrada",IF(AND(F4044&lt;&gt;"",E4044=""),"Conversa sem agendamento",IF(OR(E4044&gt;TODAY(),F4044&gt;TODAY()),"Verificar evento futuro","OK"))))))))))</f>
        <v/>
      </c>
    </row>
    <row r="4045" spans="12:15">
      <c r="L4045" s="5">
        <f>IF(OR(A4045="",B4045=""),"",B4045-WEEKDAY(B4045,2)+1)</f>
        <v/>
      </c>
      <c r="M4045" s="5">
        <f>IF(L4045="","",L4045+6)</f>
        <v/>
      </c>
      <c r="N4045" s="6">
        <f>IF(OR(A4045="",B4045=""),"",DATE(YEAR(B4045),MONTH(B4045),1))</f>
        <v/>
      </c>
      <c r="O4045" s="7">
        <f>IF(COUNTA(A4045:K4045)=0,"",IF(OR(A4045="",B4045=""),"Preencher CPF e entrada",IF(COUNTIFS($A$12:$A$5011,A4045,$B$12:$B$5011,B4045)&gt;1,"CPF + dia duplicado",IF(OR(AND(G4045&lt;&gt;"",G4045&lt;&gt;0,G4045&lt;&gt;1),AND(H4045&lt;&gt;"",H4045&lt;&gt;0,H4045&lt;&gt;1)),"Flags devem ser 0 ou 1",IF(AND(H4045=1,LEN(TRIM(I4045))=0),"Preencher nome do indicante",IF(AND(H4045&lt;&gt;1,I4045&lt;&gt;""),"Nome sem indicação interna",IF(AND(G4045=1,F4045=""),"Fechamento sem conversa",IF(OR(AND(E4045&lt;&gt;"",E4045&lt;B4045),AND(F4045&lt;&gt;"",F4045&lt;B4045)),"Evento anterior à entrada",IF(AND(F4045&lt;&gt;"",E4045=""),"Conversa sem agendamento",IF(OR(E4045&gt;TODAY(),F4045&gt;TODAY()),"Verificar evento futuro","OK"))))))))))</f>
        <v/>
      </c>
    </row>
    <row r="4046" spans="12:15">
      <c r="L4046" s="5">
        <f>IF(OR(A4046="",B4046=""),"",B4046-WEEKDAY(B4046,2)+1)</f>
        <v/>
      </c>
      <c r="M4046" s="5">
        <f>IF(L4046="","",L4046+6)</f>
        <v/>
      </c>
      <c r="N4046" s="6">
        <f>IF(OR(A4046="",B4046=""),"",DATE(YEAR(B4046),MONTH(B4046),1))</f>
        <v/>
      </c>
      <c r="O4046" s="7">
        <f>IF(COUNTA(A4046:K4046)=0,"",IF(OR(A4046="",B4046=""),"Preencher CPF e entrada",IF(COUNTIFS($A$12:$A$5011,A4046,$B$12:$B$5011,B4046)&gt;1,"CPF + dia duplicado",IF(OR(AND(G4046&lt;&gt;"",G4046&lt;&gt;0,G4046&lt;&gt;1),AND(H4046&lt;&gt;"",H4046&lt;&gt;0,H4046&lt;&gt;1)),"Flags devem ser 0 ou 1",IF(AND(H4046=1,LEN(TRIM(I4046))=0),"Preencher nome do indicante",IF(AND(H4046&lt;&gt;1,I4046&lt;&gt;""),"Nome sem indicação interna",IF(AND(G4046=1,F4046=""),"Fechamento sem conversa",IF(OR(AND(E4046&lt;&gt;"",E4046&lt;B4046),AND(F4046&lt;&gt;"",F4046&lt;B4046)),"Evento anterior à entrada",IF(AND(F4046&lt;&gt;"",E4046=""),"Conversa sem agendamento",IF(OR(E4046&gt;TODAY(),F4046&gt;TODAY()),"Verificar evento futuro","OK"))))))))))</f>
        <v/>
      </c>
    </row>
    <row r="4047" spans="12:15">
      <c r="L4047" s="5">
        <f>IF(OR(A4047="",B4047=""),"",B4047-WEEKDAY(B4047,2)+1)</f>
        <v/>
      </c>
      <c r="M4047" s="5">
        <f>IF(L4047="","",L4047+6)</f>
        <v/>
      </c>
      <c r="N4047" s="6">
        <f>IF(OR(A4047="",B4047=""),"",DATE(YEAR(B4047),MONTH(B4047),1))</f>
        <v/>
      </c>
      <c r="O4047" s="7">
        <f>IF(COUNTA(A4047:K4047)=0,"",IF(OR(A4047="",B4047=""),"Preencher CPF e entrada",IF(COUNTIFS($A$12:$A$5011,A4047,$B$12:$B$5011,B4047)&gt;1,"CPF + dia duplicado",IF(OR(AND(G4047&lt;&gt;"",G4047&lt;&gt;0,G4047&lt;&gt;1),AND(H4047&lt;&gt;"",H4047&lt;&gt;0,H4047&lt;&gt;1)),"Flags devem ser 0 ou 1",IF(AND(H4047=1,LEN(TRIM(I4047))=0),"Preencher nome do indicante",IF(AND(H4047&lt;&gt;1,I4047&lt;&gt;""),"Nome sem indicação interna",IF(AND(G4047=1,F4047=""),"Fechamento sem conversa",IF(OR(AND(E4047&lt;&gt;"",E4047&lt;B4047),AND(F4047&lt;&gt;"",F4047&lt;B4047)),"Evento anterior à entrada",IF(AND(F4047&lt;&gt;"",E4047=""),"Conversa sem agendamento",IF(OR(E4047&gt;TODAY(),F4047&gt;TODAY()),"Verificar evento futuro","OK"))))))))))</f>
        <v/>
      </c>
    </row>
    <row r="4048" spans="12:15">
      <c r="L4048" s="5">
        <f>IF(OR(A4048="",B4048=""),"",B4048-WEEKDAY(B4048,2)+1)</f>
        <v/>
      </c>
      <c r="M4048" s="5">
        <f>IF(L4048="","",L4048+6)</f>
        <v/>
      </c>
      <c r="N4048" s="6">
        <f>IF(OR(A4048="",B4048=""),"",DATE(YEAR(B4048),MONTH(B4048),1))</f>
        <v/>
      </c>
      <c r="O4048" s="7">
        <f>IF(COUNTA(A4048:K4048)=0,"",IF(OR(A4048="",B4048=""),"Preencher CPF e entrada",IF(COUNTIFS($A$12:$A$5011,A4048,$B$12:$B$5011,B4048)&gt;1,"CPF + dia duplicado",IF(OR(AND(G4048&lt;&gt;"",G4048&lt;&gt;0,G4048&lt;&gt;1),AND(H4048&lt;&gt;"",H4048&lt;&gt;0,H4048&lt;&gt;1)),"Flags devem ser 0 ou 1",IF(AND(H4048=1,LEN(TRIM(I4048))=0),"Preencher nome do indicante",IF(AND(H4048&lt;&gt;1,I4048&lt;&gt;""),"Nome sem indicação interna",IF(AND(G4048=1,F4048=""),"Fechamento sem conversa",IF(OR(AND(E4048&lt;&gt;"",E4048&lt;B4048),AND(F4048&lt;&gt;"",F4048&lt;B4048)),"Evento anterior à entrada",IF(AND(F4048&lt;&gt;"",E4048=""),"Conversa sem agendamento",IF(OR(E4048&gt;TODAY(),F4048&gt;TODAY()),"Verificar evento futuro","OK"))))))))))</f>
        <v/>
      </c>
    </row>
    <row r="4049" spans="12:15">
      <c r="L4049" s="5">
        <f>IF(OR(A4049="",B4049=""),"",B4049-WEEKDAY(B4049,2)+1)</f>
        <v/>
      </c>
      <c r="M4049" s="5">
        <f>IF(L4049="","",L4049+6)</f>
        <v/>
      </c>
      <c r="N4049" s="6">
        <f>IF(OR(A4049="",B4049=""),"",DATE(YEAR(B4049),MONTH(B4049),1))</f>
        <v/>
      </c>
      <c r="O4049" s="7">
        <f>IF(COUNTA(A4049:K4049)=0,"",IF(OR(A4049="",B4049=""),"Preencher CPF e entrada",IF(COUNTIFS($A$12:$A$5011,A4049,$B$12:$B$5011,B4049)&gt;1,"CPF + dia duplicado",IF(OR(AND(G4049&lt;&gt;"",G4049&lt;&gt;0,G4049&lt;&gt;1),AND(H4049&lt;&gt;"",H4049&lt;&gt;0,H4049&lt;&gt;1)),"Flags devem ser 0 ou 1",IF(AND(H4049=1,LEN(TRIM(I4049))=0),"Preencher nome do indicante",IF(AND(H4049&lt;&gt;1,I4049&lt;&gt;""),"Nome sem indicação interna",IF(AND(G4049=1,F4049=""),"Fechamento sem conversa",IF(OR(AND(E4049&lt;&gt;"",E4049&lt;B4049),AND(F4049&lt;&gt;"",F4049&lt;B4049)),"Evento anterior à entrada",IF(AND(F4049&lt;&gt;"",E4049=""),"Conversa sem agendamento",IF(OR(E4049&gt;TODAY(),F4049&gt;TODAY()),"Verificar evento futuro","OK"))))))))))</f>
        <v/>
      </c>
    </row>
    <row r="4050" spans="12:15">
      <c r="L4050" s="5">
        <f>IF(OR(A4050="",B4050=""),"",B4050-WEEKDAY(B4050,2)+1)</f>
        <v/>
      </c>
      <c r="M4050" s="5">
        <f>IF(L4050="","",L4050+6)</f>
        <v/>
      </c>
      <c r="N4050" s="6">
        <f>IF(OR(A4050="",B4050=""),"",DATE(YEAR(B4050),MONTH(B4050),1))</f>
        <v/>
      </c>
      <c r="O4050" s="7">
        <f>IF(COUNTA(A4050:K4050)=0,"",IF(OR(A4050="",B4050=""),"Preencher CPF e entrada",IF(COUNTIFS($A$12:$A$5011,A4050,$B$12:$B$5011,B4050)&gt;1,"CPF + dia duplicado",IF(OR(AND(G4050&lt;&gt;"",G4050&lt;&gt;0,G4050&lt;&gt;1),AND(H4050&lt;&gt;"",H4050&lt;&gt;0,H4050&lt;&gt;1)),"Flags devem ser 0 ou 1",IF(AND(H4050=1,LEN(TRIM(I4050))=0),"Preencher nome do indicante",IF(AND(H4050&lt;&gt;1,I4050&lt;&gt;""),"Nome sem indicação interna",IF(AND(G4050=1,F4050=""),"Fechamento sem conversa",IF(OR(AND(E4050&lt;&gt;"",E4050&lt;B4050),AND(F4050&lt;&gt;"",F4050&lt;B4050)),"Evento anterior à entrada",IF(AND(F4050&lt;&gt;"",E4050=""),"Conversa sem agendamento",IF(OR(E4050&gt;TODAY(),F4050&gt;TODAY()),"Verificar evento futuro","OK"))))))))))</f>
        <v/>
      </c>
    </row>
    <row r="4051" spans="12:15">
      <c r="L4051" s="5">
        <f>IF(OR(A4051="",B4051=""),"",B4051-WEEKDAY(B4051,2)+1)</f>
        <v/>
      </c>
      <c r="M4051" s="5">
        <f>IF(L4051="","",L4051+6)</f>
        <v/>
      </c>
      <c r="N4051" s="6">
        <f>IF(OR(A4051="",B4051=""),"",DATE(YEAR(B4051),MONTH(B4051),1))</f>
        <v/>
      </c>
      <c r="O4051" s="7">
        <f>IF(COUNTA(A4051:K4051)=0,"",IF(OR(A4051="",B4051=""),"Preencher CPF e entrada",IF(COUNTIFS($A$12:$A$5011,A4051,$B$12:$B$5011,B4051)&gt;1,"CPF + dia duplicado",IF(OR(AND(G4051&lt;&gt;"",G4051&lt;&gt;0,G4051&lt;&gt;1),AND(H4051&lt;&gt;"",H4051&lt;&gt;0,H4051&lt;&gt;1)),"Flags devem ser 0 ou 1",IF(AND(H4051=1,LEN(TRIM(I4051))=0),"Preencher nome do indicante",IF(AND(H4051&lt;&gt;1,I4051&lt;&gt;""),"Nome sem indicação interna",IF(AND(G4051=1,F4051=""),"Fechamento sem conversa",IF(OR(AND(E4051&lt;&gt;"",E4051&lt;B4051),AND(F4051&lt;&gt;"",F4051&lt;B4051)),"Evento anterior à entrada",IF(AND(F4051&lt;&gt;"",E4051=""),"Conversa sem agendamento",IF(OR(E4051&gt;TODAY(),F4051&gt;TODAY()),"Verificar evento futuro","OK"))))))))))</f>
        <v/>
      </c>
    </row>
    <row r="4052" spans="12:15">
      <c r="L4052" s="5">
        <f>IF(OR(A4052="",B4052=""),"",B4052-WEEKDAY(B4052,2)+1)</f>
        <v/>
      </c>
      <c r="M4052" s="5">
        <f>IF(L4052="","",L4052+6)</f>
        <v/>
      </c>
      <c r="N4052" s="6">
        <f>IF(OR(A4052="",B4052=""),"",DATE(YEAR(B4052),MONTH(B4052),1))</f>
        <v/>
      </c>
      <c r="O4052" s="7">
        <f>IF(COUNTA(A4052:K4052)=0,"",IF(OR(A4052="",B4052=""),"Preencher CPF e entrada",IF(COUNTIFS($A$12:$A$5011,A4052,$B$12:$B$5011,B4052)&gt;1,"CPF + dia duplicado",IF(OR(AND(G4052&lt;&gt;"",G4052&lt;&gt;0,G4052&lt;&gt;1),AND(H4052&lt;&gt;"",H4052&lt;&gt;0,H4052&lt;&gt;1)),"Flags devem ser 0 ou 1",IF(AND(H4052=1,LEN(TRIM(I4052))=0),"Preencher nome do indicante",IF(AND(H4052&lt;&gt;1,I4052&lt;&gt;""),"Nome sem indicação interna",IF(AND(G4052=1,F4052=""),"Fechamento sem conversa",IF(OR(AND(E4052&lt;&gt;"",E4052&lt;B4052),AND(F4052&lt;&gt;"",F4052&lt;B4052)),"Evento anterior à entrada",IF(AND(F4052&lt;&gt;"",E4052=""),"Conversa sem agendamento",IF(OR(E4052&gt;TODAY(),F4052&gt;TODAY()),"Verificar evento futuro","OK"))))))))))</f>
        <v/>
      </c>
    </row>
    <row r="4053" spans="12:15">
      <c r="L4053" s="5">
        <f>IF(OR(A4053="",B4053=""),"",B4053-WEEKDAY(B4053,2)+1)</f>
        <v/>
      </c>
      <c r="M4053" s="5">
        <f>IF(L4053="","",L4053+6)</f>
        <v/>
      </c>
      <c r="N4053" s="6">
        <f>IF(OR(A4053="",B4053=""),"",DATE(YEAR(B4053),MONTH(B4053),1))</f>
        <v/>
      </c>
      <c r="O4053" s="7">
        <f>IF(COUNTA(A4053:K4053)=0,"",IF(OR(A4053="",B4053=""),"Preencher CPF e entrada",IF(COUNTIFS($A$12:$A$5011,A4053,$B$12:$B$5011,B4053)&gt;1,"CPF + dia duplicado",IF(OR(AND(G4053&lt;&gt;"",G4053&lt;&gt;0,G4053&lt;&gt;1),AND(H4053&lt;&gt;"",H4053&lt;&gt;0,H4053&lt;&gt;1)),"Flags devem ser 0 ou 1",IF(AND(H4053=1,LEN(TRIM(I4053))=0),"Preencher nome do indicante",IF(AND(H4053&lt;&gt;1,I4053&lt;&gt;""),"Nome sem indicação interna",IF(AND(G4053=1,F4053=""),"Fechamento sem conversa",IF(OR(AND(E4053&lt;&gt;"",E4053&lt;B4053),AND(F4053&lt;&gt;"",F4053&lt;B4053)),"Evento anterior à entrada",IF(AND(F4053&lt;&gt;"",E4053=""),"Conversa sem agendamento",IF(OR(E4053&gt;TODAY(),F4053&gt;TODAY()),"Verificar evento futuro","OK"))))))))))</f>
        <v/>
      </c>
    </row>
    <row r="4054" spans="12:15">
      <c r="L4054" s="5">
        <f>IF(OR(A4054="",B4054=""),"",B4054-WEEKDAY(B4054,2)+1)</f>
        <v/>
      </c>
      <c r="M4054" s="5">
        <f>IF(L4054="","",L4054+6)</f>
        <v/>
      </c>
      <c r="N4054" s="6">
        <f>IF(OR(A4054="",B4054=""),"",DATE(YEAR(B4054),MONTH(B4054),1))</f>
        <v/>
      </c>
      <c r="O4054" s="7">
        <f>IF(COUNTA(A4054:K4054)=0,"",IF(OR(A4054="",B4054=""),"Preencher CPF e entrada",IF(COUNTIFS($A$12:$A$5011,A4054,$B$12:$B$5011,B4054)&gt;1,"CPF + dia duplicado",IF(OR(AND(G4054&lt;&gt;"",G4054&lt;&gt;0,G4054&lt;&gt;1),AND(H4054&lt;&gt;"",H4054&lt;&gt;0,H4054&lt;&gt;1)),"Flags devem ser 0 ou 1",IF(AND(H4054=1,LEN(TRIM(I4054))=0),"Preencher nome do indicante",IF(AND(H4054&lt;&gt;1,I4054&lt;&gt;""),"Nome sem indicação interna",IF(AND(G4054=1,F4054=""),"Fechamento sem conversa",IF(OR(AND(E4054&lt;&gt;"",E4054&lt;B4054),AND(F4054&lt;&gt;"",F4054&lt;B4054)),"Evento anterior à entrada",IF(AND(F4054&lt;&gt;"",E4054=""),"Conversa sem agendamento",IF(OR(E4054&gt;TODAY(),F4054&gt;TODAY()),"Verificar evento futuro","OK"))))))))))</f>
        <v/>
      </c>
    </row>
    <row r="4055" spans="12:15">
      <c r="L4055" s="5">
        <f>IF(OR(A4055="",B4055=""),"",B4055-WEEKDAY(B4055,2)+1)</f>
        <v/>
      </c>
      <c r="M4055" s="5">
        <f>IF(L4055="","",L4055+6)</f>
        <v/>
      </c>
      <c r="N4055" s="6">
        <f>IF(OR(A4055="",B4055=""),"",DATE(YEAR(B4055),MONTH(B4055),1))</f>
        <v/>
      </c>
      <c r="O4055" s="7">
        <f>IF(COUNTA(A4055:K4055)=0,"",IF(OR(A4055="",B4055=""),"Preencher CPF e entrada",IF(COUNTIFS($A$12:$A$5011,A4055,$B$12:$B$5011,B4055)&gt;1,"CPF + dia duplicado",IF(OR(AND(G4055&lt;&gt;"",G4055&lt;&gt;0,G4055&lt;&gt;1),AND(H4055&lt;&gt;"",H4055&lt;&gt;0,H4055&lt;&gt;1)),"Flags devem ser 0 ou 1",IF(AND(H4055=1,LEN(TRIM(I4055))=0),"Preencher nome do indicante",IF(AND(H4055&lt;&gt;1,I4055&lt;&gt;""),"Nome sem indicação interna",IF(AND(G4055=1,F4055=""),"Fechamento sem conversa",IF(OR(AND(E4055&lt;&gt;"",E4055&lt;B4055),AND(F4055&lt;&gt;"",F4055&lt;B4055)),"Evento anterior à entrada",IF(AND(F4055&lt;&gt;"",E4055=""),"Conversa sem agendamento",IF(OR(E4055&gt;TODAY(),F4055&gt;TODAY()),"Verificar evento futuro","OK"))))))))))</f>
        <v/>
      </c>
    </row>
    <row r="4056" spans="12:15">
      <c r="L4056" s="5">
        <f>IF(OR(A4056="",B4056=""),"",B4056-WEEKDAY(B4056,2)+1)</f>
        <v/>
      </c>
      <c r="M4056" s="5">
        <f>IF(L4056="","",L4056+6)</f>
        <v/>
      </c>
      <c r="N4056" s="6">
        <f>IF(OR(A4056="",B4056=""),"",DATE(YEAR(B4056),MONTH(B4056),1))</f>
        <v/>
      </c>
      <c r="O4056" s="7">
        <f>IF(COUNTA(A4056:K4056)=0,"",IF(OR(A4056="",B4056=""),"Preencher CPF e entrada",IF(COUNTIFS($A$12:$A$5011,A4056,$B$12:$B$5011,B4056)&gt;1,"CPF + dia duplicado",IF(OR(AND(G4056&lt;&gt;"",G4056&lt;&gt;0,G4056&lt;&gt;1),AND(H4056&lt;&gt;"",H4056&lt;&gt;0,H4056&lt;&gt;1)),"Flags devem ser 0 ou 1",IF(AND(H4056=1,LEN(TRIM(I4056))=0),"Preencher nome do indicante",IF(AND(H4056&lt;&gt;1,I4056&lt;&gt;""),"Nome sem indicação interna",IF(AND(G4056=1,F4056=""),"Fechamento sem conversa",IF(OR(AND(E4056&lt;&gt;"",E4056&lt;B4056),AND(F4056&lt;&gt;"",F4056&lt;B4056)),"Evento anterior à entrada",IF(AND(F4056&lt;&gt;"",E4056=""),"Conversa sem agendamento",IF(OR(E4056&gt;TODAY(),F4056&gt;TODAY()),"Verificar evento futuro","OK"))))))))))</f>
        <v/>
      </c>
    </row>
    <row r="4057" spans="12:15">
      <c r="L4057" s="5">
        <f>IF(OR(A4057="",B4057=""),"",B4057-WEEKDAY(B4057,2)+1)</f>
        <v/>
      </c>
      <c r="M4057" s="5">
        <f>IF(L4057="","",L4057+6)</f>
        <v/>
      </c>
      <c r="N4057" s="6">
        <f>IF(OR(A4057="",B4057=""),"",DATE(YEAR(B4057),MONTH(B4057),1))</f>
        <v/>
      </c>
      <c r="O4057" s="7">
        <f>IF(COUNTA(A4057:K4057)=0,"",IF(OR(A4057="",B4057=""),"Preencher CPF e entrada",IF(COUNTIFS($A$12:$A$5011,A4057,$B$12:$B$5011,B4057)&gt;1,"CPF + dia duplicado",IF(OR(AND(G4057&lt;&gt;"",G4057&lt;&gt;0,G4057&lt;&gt;1),AND(H4057&lt;&gt;"",H4057&lt;&gt;0,H4057&lt;&gt;1)),"Flags devem ser 0 ou 1",IF(AND(H4057=1,LEN(TRIM(I4057))=0),"Preencher nome do indicante",IF(AND(H4057&lt;&gt;1,I4057&lt;&gt;""),"Nome sem indicação interna",IF(AND(G4057=1,F4057=""),"Fechamento sem conversa",IF(OR(AND(E4057&lt;&gt;"",E4057&lt;B4057),AND(F4057&lt;&gt;"",F4057&lt;B4057)),"Evento anterior à entrada",IF(AND(F4057&lt;&gt;"",E4057=""),"Conversa sem agendamento",IF(OR(E4057&gt;TODAY(),F4057&gt;TODAY()),"Verificar evento futuro","OK"))))))))))</f>
        <v/>
      </c>
    </row>
    <row r="4058" spans="12:15">
      <c r="L4058" s="5">
        <f>IF(OR(A4058="",B4058=""),"",B4058-WEEKDAY(B4058,2)+1)</f>
        <v/>
      </c>
      <c r="M4058" s="5">
        <f>IF(L4058="","",L4058+6)</f>
        <v/>
      </c>
      <c r="N4058" s="6">
        <f>IF(OR(A4058="",B4058=""),"",DATE(YEAR(B4058),MONTH(B4058),1))</f>
        <v/>
      </c>
      <c r="O4058" s="7">
        <f>IF(COUNTA(A4058:K4058)=0,"",IF(OR(A4058="",B4058=""),"Preencher CPF e entrada",IF(COUNTIFS($A$12:$A$5011,A4058,$B$12:$B$5011,B4058)&gt;1,"CPF + dia duplicado",IF(OR(AND(G4058&lt;&gt;"",G4058&lt;&gt;0,G4058&lt;&gt;1),AND(H4058&lt;&gt;"",H4058&lt;&gt;0,H4058&lt;&gt;1)),"Flags devem ser 0 ou 1",IF(AND(H4058=1,LEN(TRIM(I4058))=0),"Preencher nome do indicante",IF(AND(H4058&lt;&gt;1,I4058&lt;&gt;""),"Nome sem indicação interna",IF(AND(G4058=1,F4058=""),"Fechamento sem conversa",IF(OR(AND(E4058&lt;&gt;"",E4058&lt;B4058),AND(F4058&lt;&gt;"",F4058&lt;B4058)),"Evento anterior à entrada",IF(AND(F4058&lt;&gt;"",E4058=""),"Conversa sem agendamento",IF(OR(E4058&gt;TODAY(),F4058&gt;TODAY()),"Verificar evento futuro","OK"))))))))))</f>
        <v/>
      </c>
    </row>
    <row r="4059" spans="12:15">
      <c r="L4059" s="5">
        <f>IF(OR(A4059="",B4059=""),"",B4059-WEEKDAY(B4059,2)+1)</f>
        <v/>
      </c>
      <c r="M4059" s="5">
        <f>IF(L4059="","",L4059+6)</f>
        <v/>
      </c>
      <c r="N4059" s="6">
        <f>IF(OR(A4059="",B4059=""),"",DATE(YEAR(B4059),MONTH(B4059),1))</f>
        <v/>
      </c>
      <c r="O4059" s="7">
        <f>IF(COUNTA(A4059:K4059)=0,"",IF(OR(A4059="",B4059=""),"Preencher CPF e entrada",IF(COUNTIFS($A$12:$A$5011,A4059,$B$12:$B$5011,B4059)&gt;1,"CPF + dia duplicado",IF(OR(AND(G4059&lt;&gt;"",G4059&lt;&gt;0,G4059&lt;&gt;1),AND(H4059&lt;&gt;"",H4059&lt;&gt;0,H4059&lt;&gt;1)),"Flags devem ser 0 ou 1",IF(AND(H4059=1,LEN(TRIM(I4059))=0),"Preencher nome do indicante",IF(AND(H4059&lt;&gt;1,I4059&lt;&gt;""),"Nome sem indicação interna",IF(AND(G4059=1,F4059=""),"Fechamento sem conversa",IF(OR(AND(E4059&lt;&gt;"",E4059&lt;B4059),AND(F4059&lt;&gt;"",F4059&lt;B4059)),"Evento anterior à entrada",IF(AND(F4059&lt;&gt;"",E4059=""),"Conversa sem agendamento",IF(OR(E4059&gt;TODAY(),F4059&gt;TODAY()),"Verificar evento futuro","OK"))))))))))</f>
        <v/>
      </c>
    </row>
    <row r="4060" spans="12:15">
      <c r="L4060" s="5">
        <f>IF(OR(A4060="",B4060=""),"",B4060-WEEKDAY(B4060,2)+1)</f>
        <v/>
      </c>
      <c r="M4060" s="5">
        <f>IF(L4060="","",L4060+6)</f>
        <v/>
      </c>
      <c r="N4060" s="6">
        <f>IF(OR(A4060="",B4060=""),"",DATE(YEAR(B4060),MONTH(B4060),1))</f>
        <v/>
      </c>
      <c r="O4060" s="7">
        <f>IF(COUNTA(A4060:K4060)=0,"",IF(OR(A4060="",B4060=""),"Preencher CPF e entrada",IF(COUNTIFS($A$12:$A$5011,A4060,$B$12:$B$5011,B4060)&gt;1,"CPF + dia duplicado",IF(OR(AND(G4060&lt;&gt;"",G4060&lt;&gt;0,G4060&lt;&gt;1),AND(H4060&lt;&gt;"",H4060&lt;&gt;0,H4060&lt;&gt;1)),"Flags devem ser 0 ou 1",IF(AND(H4060=1,LEN(TRIM(I4060))=0),"Preencher nome do indicante",IF(AND(H4060&lt;&gt;1,I4060&lt;&gt;""),"Nome sem indicação interna",IF(AND(G4060=1,F4060=""),"Fechamento sem conversa",IF(OR(AND(E4060&lt;&gt;"",E4060&lt;B4060),AND(F4060&lt;&gt;"",F4060&lt;B4060)),"Evento anterior à entrada",IF(AND(F4060&lt;&gt;"",E4060=""),"Conversa sem agendamento",IF(OR(E4060&gt;TODAY(),F4060&gt;TODAY()),"Verificar evento futuro","OK"))))))))))</f>
        <v/>
      </c>
    </row>
    <row r="4061" spans="12:15">
      <c r="L4061" s="5">
        <f>IF(OR(A4061="",B4061=""),"",B4061-WEEKDAY(B4061,2)+1)</f>
        <v/>
      </c>
      <c r="M4061" s="5">
        <f>IF(L4061="","",L4061+6)</f>
        <v/>
      </c>
      <c r="N4061" s="6">
        <f>IF(OR(A4061="",B4061=""),"",DATE(YEAR(B4061),MONTH(B4061),1))</f>
        <v/>
      </c>
      <c r="O4061" s="7">
        <f>IF(COUNTA(A4061:K4061)=0,"",IF(OR(A4061="",B4061=""),"Preencher CPF e entrada",IF(COUNTIFS($A$12:$A$5011,A4061,$B$12:$B$5011,B4061)&gt;1,"CPF + dia duplicado",IF(OR(AND(G4061&lt;&gt;"",G4061&lt;&gt;0,G4061&lt;&gt;1),AND(H4061&lt;&gt;"",H4061&lt;&gt;0,H4061&lt;&gt;1)),"Flags devem ser 0 ou 1",IF(AND(H4061=1,LEN(TRIM(I4061))=0),"Preencher nome do indicante",IF(AND(H4061&lt;&gt;1,I4061&lt;&gt;""),"Nome sem indicação interna",IF(AND(G4061=1,F4061=""),"Fechamento sem conversa",IF(OR(AND(E4061&lt;&gt;"",E4061&lt;B4061),AND(F4061&lt;&gt;"",F4061&lt;B4061)),"Evento anterior à entrada",IF(AND(F4061&lt;&gt;"",E4061=""),"Conversa sem agendamento",IF(OR(E4061&gt;TODAY(),F4061&gt;TODAY()),"Verificar evento futuro","OK"))))))))))</f>
        <v/>
      </c>
    </row>
    <row r="4062" spans="12:15">
      <c r="L4062" s="5">
        <f>IF(OR(A4062="",B4062=""),"",B4062-WEEKDAY(B4062,2)+1)</f>
        <v/>
      </c>
      <c r="M4062" s="5">
        <f>IF(L4062="","",L4062+6)</f>
        <v/>
      </c>
      <c r="N4062" s="6">
        <f>IF(OR(A4062="",B4062=""),"",DATE(YEAR(B4062),MONTH(B4062),1))</f>
        <v/>
      </c>
      <c r="O4062" s="7">
        <f>IF(COUNTA(A4062:K4062)=0,"",IF(OR(A4062="",B4062=""),"Preencher CPF e entrada",IF(COUNTIFS($A$12:$A$5011,A4062,$B$12:$B$5011,B4062)&gt;1,"CPF + dia duplicado",IF(OR(AND(G4062&lt;&gt;"",G4062&lt;&gt;0,G4062&lt;&gt;1),AND(H4062&lt;&gt;"",H4062&lt;&gt;0,H4062&lt;&gt;1)),"Flags devem ser 0 ou 1",IF(AND(H4062=1,LEN(TRIM(I4062))=0),"Preencher nome do indicante",IF(AND(H4062&lt;&gt;1,I4062&lt;&gt;""),"Nome sem indicação interna",IF(AND(G4062=1,F4062=""),"Fechamento sem conversa",IF(OR(AND(E4062&lt;&gt;"",E4062&lt;B4062),AND(F4062&lt;&gt;"",F4062&lt;B4062)),"Evento anterior à entrada",IF(AND(F4062&lt;&gt;"",E4062=""),"Conversa sem agendamento",IF(OR(E4062&gt;TODAY(),F4062&gt;TODAY()),"Verificar evento futuro","OK"))))))))))</f>
        <v/>
      </c>
    </row>
    <row r="4063" spans="12:15">
      <c r="L4063" s="5">
        <f>IF(OR(A4063="",B4063=""),"",B4063-WEEKDAY(B4063,2)+1)</f>
        <v/>
      </c>
      <c r="M4063" s="5">
        <f>IF(L4063="","",L4063+6)</f>
        <v/>
      </c>
      <c r="N4063" s="6">
        <f>IF(OR(A4063="",B4063=""),"",DATE(YEAR(B4063),MONTH(B4063),1))</f>
        <v/>
      </c>
      <c r="O4063" s="7">
        <f>IF(COUNTA(A4063:K4063)=0,"",IF(OR(A4063="",B4063=""),"Preencher CPF e entrada",IF(COUNTIFS($A$12:$A$5011,A4063,$B$12:$B$5011,B4063)&gt;1,"CPF + dia duplicado",IF(OR(AND(G4063&lt;&gt;"",G4063&lt;&gt;0,G4063&lt;&gt;1),AND(H4063&lt;&gt;"",H4063&lt;&gt;0,H4063&lt;&gt;1)),"Flags devem ser 0 ou 1",IF(AND(H4063=1,LEN(TRIM(I4063))=0),"Preencher nome do indicante",IF(AND(H4063&lt;&gt;1,I4063&lt;&gt;""),"Nome sem indicação interna",IF(AND(G4063=1,F4063=""),"Fechamento sem conversa",IF(OR(AND(E4063&lt;&gt;"",E4063&lt;B4063),AND(F4063&lt;&gt;"",F4063&lt;B4063)),"Evento anterior à entrada",IF(AND(F4063&lt;&gt;"",E4063=""),"Conversa sem agendamento",IF(OR(E4063&gt;TODAY(),F4063&gt;TODAY()),"Verificar evento futuro","OK"))))))))))</f>
        <v/>
      </c>
    </row>
    <row r="4064" spans="12:15">
      <c r="L4064" s="5">
        <f>IF(OR(A4064="",B4064=""),"",B4064-WEEKDAY(B4064,2)+1)</f>
        <v/>
      </c>
      <c r="M4064" s="5">
        <f>IF(L4064="","",L4064+6)</f>
        <v/>
      </c>
      <c r="N4064" s="6">
        <f>IF(OR(A4064="",B4064=""),"",DATE(YEAR(B4064),MONTH(B4064),1))</f>
        <v/>
      </c>
      <c r="O4064" s="7">
        <f>IF(COUNTA(A4064:K4064)=0,"",IF(OR(A4064="",B4064=""),"Preencher CPF e entrada",IF(COUNTIFS($A$12:$A$5011,A4064,$B$12:$B$5011,B4064)&gt;1,"CPF + dia duplicado",IF(OR(AND(G4064&lt;&gt;"",G4064&lt;&gt;0,G4064&lt;&gt;1),AND(H4064&lt;&gt;"",H4064&lt;&gt;0,H4064&lt;&gt;1)),"Flags devem ser 0 ou 1",IF(AND(H4064=1,LEN(TRIM(I4064))=0),"Preencher nome do indicante",IF(AND(H4064&lt;&gt;1,I4064&lt;&gt;""),"Nome sem indicação interna",IF(AND(G4064=1,F4064=""),"Fechamento sem conversa",IF(OR(AND(E4064&lt;&gt;"",E4064&lt;B4064),AND(F4064&lt;&gt;"",F4064&lt;B4064)),"Evento anterior à entrada",IF(AND(F4064&lt;&gt;"",E4064=""),"Conversa sem agendamento",IF(OR(E4064&gt;TODAY(),F4064&gt;TODAY()),"Verificar evento futuro","OK"))))))))))</f>
        <v/>
      </c>
    </row>
    <row r="4065" spans="12:15">
      <c r="L4065" s="5">
        <f>IF(OR(A4065="",B4065=""),"",B4065-WEEKDAY(B4065,2)+1)</f>
        <v/>
      </c>
      <c r="M4065" s="5">
        <f>IF(L4065="","",L4065+6)</f>
        <v/>
      </c>
      <c r="N4065" s="6">
        <f>IF(OR(A4065="",B4065=""),"",DATE(YEAR(B4065),MONTH(B4065),1))</f>
        <v/>
      </c>
      <c r="O4065" s="7">
        <f>IF(COUNTA(A4065:K4065)=0,"",IF(OR(A4065="",B4065=""),"Preencher CPF e entrada",IF(COUNTIFS($A$12:$A$5011,A4065,$B$12:$B$5011,B4065)&gt;1,"CPF + dia duplicado",IF(OR(AND(G4065&lt;&gt;"",G4065&lt;&gt;0,G4065&lt;&gt;1),AND(H4065&lt;&gt;"",H4065&lt;&gt;0,H4065&lt;&gt;1)),"Flags devem ser 0 ou 1",IF(AND(H4065=1,LEN(TRIM(I4065))=0),"Preencher nome do indicante",IF(AND(H4065&lt;&gt;1,I4065&lt;&gt;""),"Nome sem indicação interna",IF(AND(G4065=1,F4065=""),"Fechamento sem conversa",IF(OR(AND(E4065&lt;&gt;"",E4065&lt;B4065),AND(F4065&lt;&gt;"",F4065&lt;B4065)),"Evento anterior à entrada",IF(AND(F4065&lt;&gt;"",E4065=""),"Conversa sem agendamento",IF(OR(E4065&gt;TODAY(),F4065&gt;TODAY()),"Verificar evento futuro","OK"))))))))))</f>
        <v/>
      </c>
    </row>
    <row r="4066" spans="12:15">
      <c r="L4066" s="5">
        <f>IF(OR(A4066="",B4066=""),"",B4066-WEEKDAY(B4066,2)+1)</f>
        <v/>
      </c>
      <c r="M4066" s="5">
        <f>IF(L4066="","",L4066+6)</f>
        <v/>
      </c>
      <c r="N4066" s="6">
        <f>IF(OR(A4066="",B4066=""),"",DATE(YEAR(B4066),MONTH(B4066),1))</f>
        <v/>
      </c>
      <c r="O4066" s="7">
        <f>IF(COUNTA(A4066:K4066)=0,"",IF(OR(A4066="",B4066=""),"Preencher CPF e entrada",IF(COUNTIFS($A$12:$A$5011,A4066,$B$12:$B$5011,B4066)&gt;1,"CPF + dia duplicado",IF(OR(AND(G4066&lt;&gt;"",G4066&lt;&gt;0,G4066&lt;&gt;1),AND(H4066&lt;&gt;"",H4066&lt;&gt;0,H4066&lt;&gt;1)),"Flags devem ser 0 ou 1",IF(AND(H4066=1,LEN(TRIM(I4066))=0),"Preencher nome do indicante",IF(AND(H4066&lt;&gt;1,I4066&lt;&gt;""),"Nome sem indicação interna",IF(AND(G4066=1,F4066=""),"Fechamento sem conversa",IF(OR(AND(E4066&lt;&gt;"",E4066&lt;B4066),AND(F4066&lt;&gt;"",F4066&lt;B4066)),"Evento anterior à entrada",IF(AND(F4066&lt;&gt;"",E4066=""),"Conversa sem agendamento",IF(OR(E4066&gt;TODAY(),F4066&gt;TODAY()),"Verificar evento futuro","OK"))))))))))</f>
        <v/>
      </c>
    </row>
    <row r="4067" spans="12:15">
      <c r="L4067" s="5">
        <f>IF(OR(A4067="",B4067=""),"",B4067-WEEKDAY(B4067,2)+1)</f>
        <v/>
      </c>
      <c r="M4067" s="5">
        <f>IF(L4067="","",L4067+6)</f>
        <v/>
      </c>
      <c r="N4067" s="6">
        <f>IF(OR(A4067="",B4067=""),"",DATE(YEAR(B4067),MONTH(B4067),1))</f>
        <v/>
      </c>
      <c r="O4067" s="7">
        <f>IF(COUNTA(A4067:K4067)=0,"",IF(OR(A4067="",B4067=""),"Preencher CPF e entrada",IF(COUNTIFS($A$12:$A$5011,A4067,$B$12:$B$5011,B4067)&gt;1,"CPF + dia duplicado",IF(OR(AND(G4067&lt;&gt;"",G4067&lt;&gt;0,G4067&lt;&gt;1),AND(H4067&lt;&gt;"",H4067&lt;&gt;0,H4067&lt;&gt;1)),"Flags devem ser 0 ou 1",IF(AND(H4067=1,LEN(TRIM(I4067))=0),"Preencher nome do indicante",IF(AND(H4067&lt;&gt;1,I4067&lt;&gt;""),"Nome sem indicação interna",IF(AND(G4067=1,F4067=""),"Fechamento sem conversa",IF(OR(AND(E4067&lt;&gt;"",E4067&lt;B4067),AND(F4067&lt;&gt;"",F4067&lt;B4067)),"Evento anterior à entrada",IF(AND(F4067&lt;&gt;"",E4067=""),"Conversa sem agendamento",IF(OR(E4067&gt;TODAY(),F4067&gt;TODAY()),"Verificar evento futuro","OK"))))))))))</f>
        <v/>
      </c>
    </row>
    <row r="4068" spans="12:15">
      <c r="L4068" s="5">
        <f>IF(OR(A4068="",B4068=""),"",B4068-WEEKDAY(B4068,2)+1)</f>
        <v/>
      </c>
      <c r="M4068" s="5">
        <f>IF(L4068="","",L4068+6)</f>
        <v/>
      </c>
      <c r="N4068" s="6">
        <f>IF(OR(A4068="",B4068=""),"",DATE(YEAR(B4068),MONTH(B4068),1))</f>
        <v/>
      </c>
      <c r="O4068" s="7">
        <f>IF(COUNTA(A4068:K4068)=0,"",IF(OR(A4068="",B4068=""),"Preencher CPF e entrada",IF(COUNTIFS($A$12:$A$5011,A4068,$B$12:$B$5011,B4068)&gt;1,"CPF + dia duplicado",IF(OR(AND(G4068&lt;&gt;"",G4068&lt;&gt;0,G4068&lt;&gt;1),AND(H4068&lt;&gt;"",H4068&lt;&gt;0,H4068&lt;&gt;1)),"Flags devem ser 0 ou 1",IF(AND(H4068=1,LEN(TRIM(I4068))=0),"Preencher nome do indicante",IF(AND(H4068&lt;&gt;1,I4068&lt;&gt;""),"Nome sem indicação interna",IF(AND(G4068=1,F4068=""),"Fechamento sem conversa",IF(OR(AND(E4068&lt;&gt;"",E4068&lt;B4068),AND(F4068&lt;&gt;"",F4068&lt;B4068)),"Evento anterior à entrada",IF(AND(F4068&lt;&gt;"",E4068=""),"Conversa sem agendamento",IF(OR(E4068&gt;TODAY(),F4068&gt;TODAY()),"Verificar evento futuro","OK"))))))))))</f>
        <v/>
      </c>
    </row>
    <row r="4069" spans="12:15">
      <c r="L4069" s="5">
        <f>IF(OR(A4069="",B4069=""),"",B4069-WEEKDAY(B4069,2)+1)</f>
        <v/>
      </c>
      <c r="M4069" s="5">
        <f>IF(L4069="","",L4069+6)</f>
        <v/>
      </c>
      <c r="N4069" s="6">
        <f>IF(OR(A4069="",B4069=""),"",DATE(YEAR(B4069),MONTH(B4069),1))</f>
        <v/>
      </c>
      <c r="O4069" s="7">
        <f>IF(COUNTA(A4069:K4069)=0,"",IF(OR(A4069="",B4069=""),"Preencher CPF e entrada",IF(COUNTIFS($A$12:$A$5011,A4069,$B$12:$B$5011,B4069)&gt;1,"CPF + dia duplicado",IF(OR(AND(G4069&lt;&gt;"",G4069&lt;&gt;0,G4069&lt;&gt;1),AND(H4069&lt;&gt;"",H4069&lt;&gt;0,H4069&lt;&gt;1)),"Flags devem ser 0 ou 1",IF(AND(H4069=1,LEN(TRIM(I4069))=0),"Preencher nome do indicante",IF(AND(H4069&lt;&gt;1,I4069&lt;&gt;""),"Nome sem indicação interna",IF(AND(G4069=1,F4069=""),"Fechamento sem conversa",IF(OR(AND(E4069&lt;&gt;"",E4069&lt;B4069),AND(F4069&lt;&gt;"",F4069&lt;B4069)),"Evento anterior à entrada",IF(AND(F4069&lt;&gt;"",E4069=""),"Conversa sem agendamento",IF(OR(E4069&gt;TODAY(),F4069&gt;TODAY()),"Verificar evento futuro","OK"))))))))))</f>
        <v/>
      </c>
    </row>
    <row r="4070" spans="12:15">
      <c r="L4070" s="5">
        <f>IF(OR(A4070="",B4070=""),"",B4070-WEEKDAY(B4070,2)+1)</f>
        <v/>
      </c>
      <c r="M4070" s="5">
        <f>IF(L4070="","",L4070+6)</f>
        <v/>
      </c>
      <c r="N4070" s="6">
        <f>IF(OR(A4070="",B4070=""),"",DATE(YEAR(B4070),MONTH(B4070),1))</f>
        <v/>
      </c>
      <c r="O4070" s="7">
        <f>IF(COUNTA(A4070:K4070)=0,"",IF(OR(A4070="",B4070=""),"Preencher CPF e entrada",IF(COUNTIFS($A$12:$A$5011,A4070,$B$12:$B$5011,B4070)&gt;1,"CPF + dia duplicado",IF(OR(AND(G4070&lt;&gt;"",G4070&lt;&gt;0,G4070&lt;&gt;1),AND(H4070&lt;&gt;"",H4070&lt;&gt;0,H4070&lt;&gt;1)),"Flags devem ser 0 ou 1",IF(AND(H4070=1,LEN(TRIM(I4070))=0),"Preencher nome do indicante",IF(AND(H4070&lt;&gt;1,I4070&lt;&gt;""),"Nome sem indicação interna",IF(AND(G4070=1,F4070=""),"Fechamento sem conversa",IF(OR(AND(E4070&lt;&gt;"",E4070&lt;B4070),AND(F4070&lt;&gt;"",F4070&lt;B4070)),"Evento anterior à entrada",IF(AND(F4070&lt;&gt;"",E4070=""),"Conversa sem agendamento",IF(OR(E4070&gt;TODAY(),F4070&gt;TODAY()),"Verificar evento futuro","OK"))))))))))</f>
        <v/>
      </c>
    </row>
    <row r="4071" spans="12:15">
      <c r="L4071" s="5">
        <f>IF(OR(A4071="",B4071=""),"",B4071-WEEKDAY(B4071,2)+1)</f>
        <v/>
      </c>
      <c r="M4071" s="5">
        <f>IF(L4071="","",L4071+6)</f>
        <v/>
      </c>
      <c r="N4071" s="6">
        <f>IF(OR(A4071="",B4071=""),"",DATE(YEAR(B4071),MONTH(B4071),1))</f>
        <v/>
      </c>
      <c r="O4071" s="7">
        <f>IF(COUNTA(A4071:K4071)=0,"",IF(OR(A4071="",B4071=""),"Preencher CPF e entrada",IF(COUNTIFS($A$12:$A$5011,A4071,$B$12:$B$5011,B4071)&gt;1,"CPF + dia duplicado",IF(OR(AND(G4071&lt;&gt;"",G4071&lt;&gt;0,G4071&lt;&gt;1),AND(H4071&lt;&gt;"",H4071&lt;&gt;0,H4071&lt;&gt;1)),"Flags devem ser 0 ou 1",IF(AND(H4071=1,LEN(TRIM(I4071))=0),"Preencher nome do indicante",IF(AND(H4071&lt;&gt;1,I4071&lt;&gt;""),"Nome sem indicação interna",IF(AND(G4071=1,F4071=""),"Fechamento sem conversa",IF(OR(AND(E4071&lt;&gt;"",E4071&lt;B4071),AND(F4071&lt;&gt;"",F4071&lt;B4071)),"Evento anterior à entrada",IF(AND(F4071&lt;&gt;"",E4071=""),"Conversa sem agendamento",IF(OR(E4071&gt;TODAY(),F4071&gt;TODAY()),"Verificar evento futuro","OK"))))))))))</f>
        <v/>
      </c>
    </row>
    <row r="4072" spans="12:15">
      <c r="L4072" s="5">
        <f>IF(OR(A4072="",B4072=""),"",B4072-WEEKDAY(B4072,2)+1)</f>
        <v/>
      </c>
      <c r="M4072" s="5">
        <f>IF(L4072="","",L4072+6)</f>
        <v/>
      </c>
      <c r="N4072" s="6">
        <f>IF(OR(A4072="",B4072=""),"",DATE(YEAR(B4072),MONTH(B4072),1))</f>
        <v/>
      </c>
      <c r="O4072" s="7">
        <f>IF(COUNTA(A4072:K4072)=0,"",IF(OR(A4072="",B4072=""),"Preencher CPF e entrada",IF(COUNTIFS($A$12:$A$5011,A4072,$B$12:$B$5011,B4072)&gt;1,"CPF + dia duplicado",IF(OR(AND(G4072&lt;&gt;"",G4072&lt;&gt;0,G4072&lt;&gt;1),AND(H4072&lt;&gt;"",H4072&lt;&gt;0,H4072&lt;&gt;1)),"Flags devem ser 0 ou 1",IF(AND(H4072=1,LEN(TRIM(I4072))=0),"Preencher nome do indicante",IF(AND(H4072&lt;&gt;1,I4072&lt;&gt;""),"Nome sem indicação interna",IF(AND(G4072=1,F4072=""),"Fechamento sem conversa",IF(OR(AND(E4072&lt;&gt;"",E4072&lt;B4072),AND(F4072&lt;&gt;"",F4072&lt;B4072)),"Evento anterior à entrada",IF(AND(F4072&lt;&gt;"",E4072=""),"Conversa sem agendamento",IF(OR(E4072&gt;TODAY(),F4072&gt;TODAY()),"Verificar evento futuro","OK"))))))))))</f>
        <v/>
      </c>
    </row>
    <row r="4073" spans="12:15">
      <c r="L4073" s="5">
        <f>IF(OR(A4073="",B4073=""),"",B4073-WEEKDAY(B4073,2)+1)</f>
        <v/>
      </c>
      <c r="M4073" s="5">
        <f>IF(L4073="","",L4073+6)</f>
        <v/>
      </c>
      <c r="N4073" s="6">
        <f>IF(OR(A4073="",B4073=""),"",DATE(YEAR(B4073),MONTH(B4073),1))</f>
        <v/>
      </c>
      <c r="O4073" s="7">
        <f>IF(COUNTA(A4073:K4073)=0,"",IF(OR(A4073="",B4073=""),"Preencher CPF e entrada",IF(COUNTIFS($A$12:$A$5011,A4073,$B$12:$B$5011,B4073)&gt;1,"CPF + dia duplicado",IF(OR(AND(G4073&lt;&gt;"",G4073&lt;&gt;0,G4073&lt;&gt;1),AND(H4073&lt;&gt;"",H4073&lt;&gt;0,H4073&lt;&gt;1)),"Flags devem ser 0 ou 1",IF(AND(H4073=1,LEN(TRIM(I4073))=0),"Preencher nome do indicante",IF(AND(H4073&lt;&gt;1,I4073&lt;&gt;""),"Nome sem indicação interna",IF(AND(G4073=1,F4073=""),"Fechamento sem conversa",IF(OR(AND(E4073&lt;&gt;"",E4073&lt;B4073),AND(F4073&lt;&gt;"",F4073&lt;B4073)),"Evento anterior à entrada",IF(AND(F4073&lt;&gt;"",E4073=""),"Conversa sem agendamento",IF(OR(E4073&gt;TODAY(),F4073&gt;TODAY()),"Verificar evento futuro","OK"))))))))))</f>
        <v/>
      </c>
    </row>
    <row r="4074" spans="12:15">
      <c r="L4074" s="5">
        <f>IF(OR(A4074="",B4074=""),"",B4074-WEEKDAY(B4074,2)+1)</f>
        <v/>
      </c>
      <c r="M4074" s="5">
        <f>IF(L4074="","",L4074+6)</f>
        <v/>
      </c>
      <c r="N4074" s="6">
        <f>IF(OR(A4074="",B4074=""),"",DATE(YEAR(B4074),MONTH(B4074),1))</f>
        <v/>
      </c>
      <c r="O4074" s="7">
        <f>IF(COUNTA(A4074:K4074)=0,"",IF(OR(A4074="",B4074=""),"Preencher CPF e entrada",IF(COUNTIFS($A$12:$A$5011,A4074,$B$12:$B$5011,B4074)&gt;1,"CPF + dia duplicado",IF(OR(AND(G4074&lt;&gt;"",G4074&lt;&gt;0,G4074&lt;&gt;1),AND(H4074&lt;&gt;"",H4074&lt;&gt;0,H4074&lt;&gt;1)),"Flags devem ser 0 ou 1",IF(AND(H4074=1,LEN(TRIM(I4074))=0),"Preencher nome do indicante",IF(AND(H4074&lt;&gt;1,I4074&lt;&gt;""),"Nome sem indicação interna",IF(AND(G4074=1,F4074=""),"Fechamento sem conversa",IF(OR(AND(E4074&lt;&gt;"",E4074&lt;B4074),AND(F4074&lt;&gt;"",F4074&lt;B4074)),"Evento anterior à entrada",IF(AND(F4074&lt;&gt;"",E4074=""),"Conversa sem agendamento",IF(OR(E4074&gt;TODAY(),F4074&gt;TODAY()),"Verificar evento futuro","OK"))))))))))</f>
        <v/>
      </c>
    </row>
    <row r="4075" spans="12:15">
      <c r="L4075" s="5">
        <f>IF(OR(A4075="",B4075=""),"",B4075-WEEKDAY(B4075,2)+1)</f>
        <v/>
      </c>
      <c r="M4075" s="5">
        <f>IF(L4075="","",L4075+6)</f>
        <v/>
      </c>
      <c r="N4075" s="6">
        <f>IF(OR(A4075="",B4075=""),"",DATE(YEAR(B4075),MONTH(B4075),1))</f>
        <v/>
      </c>
      <c r="O4075" s="7">
        <f>IF(COUNTA(A4075:K4075)=0,"",IF(OR(A4075="",B4075=""),"Preencher CPF e entrada",IF(COUNTIFS($A$12:$A$5011,A4075,$B$12:$B$5011,B4075)&gt;1,"CPF + dia duplicado",IF(OR(AND(G4075&lt;&gt;"",G4075&lt;&gt;0,G4075&lt;&gt;1),AND(H4075&lt;&gt;"",H4075&lt;&gt;0,H4075&lt;&gt;1)),"Flags devem ser 0 ou 1",IF(AND(H4075=1,LEN(TRIM(I4075))=0),"Preencher nome do indicante",IF(AND(H4075&lt;&gt;1,I4075&lt;&gt;""),"Nome sem indicação interna",IF(AND(G4075=1,F4075=""),"Fechamento sem conversa",IF(OR(AND(E4075&lt;&gt;"",E4075&lt;B4075),AND(F4075&lt;&gt;"",F4075&lt;B4075)),"Evento anterior à entrada",IF(AND(F4075&lt;&gt;"",E4075=""),"Conversa sem agendamento",IF(OR(E4075&gt;TODAY(),F4075&gt;TODAY()),"Verificar evento futuro","OK"))))))))))</f>
        <v/>
      </c>
    </row>
    <row r="4076" spans="12:15">
      <c r="L4076" s="5">
        <f>IF(OR(A4076="",B4076=""),"",B4076-WEEKDAY(B4076,2)+1)</f>
        <v/>
      </c>
      <c r="M4076" s="5">
        <f>IF(L4076="","",L4076+6)</f>
        <v/>
      </c>
      <c r="N4076" s="6">
        <f>IF(OR(A4076="",B4076=""),"",DATE(YEAR(B4076),MONTH(B4076),1))</f>
        <v/>
      </c>
      <c r="O4076" s="7">
        <f>IF(COUNTA(A4076:K4076)=0,"",IF(OR(A4076="",B4076=""),"Preencher CPF e entrada",IF(COUNTIFS($A$12:$A$5011,A4076,$B$12:$B$5011,B4076)&gt;1,"CPF + dia duplicado",IF(OR(AND(G4076&lt;&gt;"",G4076&lt;&gt;0,G4076&lt;&gt;1),AND(H4076&lt;&gt;"",H4076&lt;&gt;0,H4076&lt;&gt;1)),"Flags devem ser 0 ou 1",IF(AND(H4076=1,LEN(TRIM(I4076))=0),"Preencher nome do indicante",IF(AND(H4076&lt;&gt;1,I4076&lt;&gt;""),"Nome sem indicação interna",IF(AND(G4076=1,F4076=""),"Fechamento sem conversa",IF(OR(AND(E4076&lt;&gt;"",E4076&lt;B4076),AND(F4076&lt;&gt;"",F4076&lt;B4076)),"Evento anterior à entrada",IF(AND(F4076&lt;&gt;"",E4076=""),"Conversa sem agendamento",IF(OR(E4076&gt;TODAY(),F4076&gt;TODAY()),"Verificar evento futuro","OK"))))))))))</f>
        <v/>
      </c>
    </row>
    <row r="4077" spans="12:15">
      <c r="L4077" s="5">
        <f>IF(OR(A4077="",B4077=""),"",B4077-WEEKDAY(B4077,2)+1)</f>
        <v/>
      </c>
      <c r="M4077" s="5">
        <f>IF(L4077="","",L4077+6)</f>
        <v/>
      </c>
      <c r="N4077" s="6">
        <f>IF(OR(A4077="",B4077=""),"",DATE(YEAR(B4077),MONTH(B4077),1))</f>
        <v/>
      </c>
      <c r="O4077" s="7">
        <f>IF(COUNTA(A4077:K4077)=0,"",IF(OR(A4077="",B4077=""),"Preencher CPF e entrada",IF(COUNTIFS($A$12:$A$5011,A4077,$B$12:$B$5011,B4077)&gt;1,"CPF + dia duplicado",IF(OR(AND(G4077&lt;&gt;"",G4077&lt;&gt;0,G4077&lt;&gt;1),AND(H4077&lt;&gt;"",H4077&lt;&gt;0,H4077&lt;&gt;1)),"Flags devem ser 0 ou 1",IF(AND(H4077=1,LEN(TRIM(I4077))=0),"Preencher nome do indicante",IF(AND(H4077&lt;&gt;1,I4077&lt;&gt;""),"Nome sem indicação interna",IF(AND(G4077=1,F4077=""),"Fechamento sem conversa",IF(OR(AND(E4077&lt;&gt;"",E4077&lt;B4077),AND(F4077&lt;&gt;"",F4077&lt;B4077)),"Evento anterior à entrada",IF(AND(F4077&lt;&gt;"",E4077=""),"Conversa sem agendamento",IF(OR(E4077&gt;TODAY(),F4077&gt;TODAY()),"Verificar evento futuro","OK"))))))))))</f>
        <v/>
      </c>
    </row>
    <row r="4078" spans="12:15">
      <c r="L4078" s="5">
        <f>IF(OR(A4078="",B4078=""),"",B4078-WEEKDAY(B4078,2)+1)</f>
        <v/>
      </c>
      <c r="M4078" s="5">
        <f>IF(L4078="","",L4078+6)</f>
        <v/>
      </c>
      <c r="N4078" s="6">
        <f>IF(OR(A4078="",B4078=""),"",DATE(YEAR(B4078),MONTH(B4078),1))</f>
        <v/>
      </c>
      <c r="O4078" s="7">
        <f>IF(COUNTA(A4078:K4078)=0,"",IF(OR(A4078="",B4078=""),"Preencher CPF e entrada",IF(COUNTIFS($A$12:$A$5011,A4078,$B$12:$B$5011,B4078)&gt;1,"CPF + dia duplicado",IF(OR(AND(G4078&lt;&gt;"",G4078&lt;&gt;0,G4078&lt;&gt;1),AND(H4078&lt;&gt;"",H4078&lt;&gt;0,H4078&lt;&gt;1)),"Flags devem ser 0 ou 1",IF(AND(H4078=1,LEN(TRIM(I4078))=0),"Preencher nome do indicante",IF(AND(H4078&lt;&gt;1,I4078&lt;&gt;""),"Nome sem indicação interna",IF(AND(G4078=1,F4078=""),"Fechamento sem conversa",IF(OR(AND(E4078&lt;&gt;"",E4078&lt;B4078),AND(F4078&lt;&gt;"",F4078&lt;B4078)),"Evento anterior à entrada",IF(AND(F4078&lt;&gt;"",E4078=""),"Conversa sem agendamento",IF(OR(E4078&gt;TODAY(),F4078&gt;TODAY()),"Verificar evento futuro","OK"))))))))))</f>
        <v/>
      </c>
    </row>
    <row r="4079" spans="12:15">
      <c r="L4079" s="5">
        <f>IF(OR(A4079="",B4079=""),"",B4079-WEEKDAY(B4079,2)+1)</f>
        <v/>
      </c>
      <c r="M4079" s="5">
        <f>IF(L4079="","",L4079+6)</f>
        <v/>
      </c>
      <c r="N4079" s="6">
        <f>IF(OR(A4079="",B4079=""),"",DATE(YEAR(B4079),MONTH(B4079),1))</f>
        <v/>
      </c>
      <c r="O4079" s="7">
        <f>IF(COUNTA(A4079:K4079)=0,"",IF(OR(A4079="",B4079=""),"Preencher CPF e entrada",IF(COUNTIFS($A$12:$A$5011,A4079,$B$12:$B$5011,B4079)&gt;1,"CPF + dia duplicado",IF(OR(AND(G4079&lt;&gt;"",G4079&lt;&gt;0,G4079&lt;&gt;1),AND(H4079&lt;&gt;"",H4079&lt;&gt;0,H4079&lt;&gt;1)),"Flags devem ser 0 ou 1",IF(AND(H4079=1,LEN(TRIM(I4079))=0),"Preencher nome do indicante",IF(AND(H4079&lt;&gt;1,I4079&lt;&gt;""),"Nome sem indicação interna",IF(AND(G4079=1,F4079=""),"Fechamento sem conversa",IF(OR(AND(E4079&lt;&gt;"",E4079&lt;B4079),AND(F4079&lt;&gt;"",F4079&lt;B4079)),"Evento anterior à entrada",IF(AND(F4079&lt;&gt;"",E4079=""),"Conversa sem agendamento",IF(OR(E4079&gt;TODAY(),F4079&gt;TODAY()),"Verificar evento futuro","OK"))))))))))</f>
        <v/>
      </c>
    </row>
    <row r="4080" spans="12:15">
      <c r="L4080" s="5">
        <f>IF(OR(A4080="",B4080=""),"",B4080-WEEKDAY(B4080,2)+1)</f>
        <v/>
      </c>
      <c r="M4080" s="5">
        <f>IF(L4080="","",L4080+6)</f>
        <v/>
      </c>
      <c r="N4080" s="6">
        <f>IF(OR(A4080="",B4080=""),"",DATE(YEAR(B4080),MONTH(B4080),1))</f>
        <v/>
      </c>
      <c r="O4080" s="7">
        <f>IF(COUNTA(A4080:K4080)=0,"",IF(OR(A4080="",B4080=""),"Preencher CPF e entrada",IF(COUNTIFS($A$12:$A$5011,A4080,$B$12:$B$5011,B4080)&gt;1,"CPF + dia duplicado",IF(OR(AND(G4080&lt;&gt;"",G4080&lt;&gt;0,G4080&lt;&gt;1),AND(H4080&lt;&gt;"",H4080&lt;&gt;0,H4080&lt;&gt;1)),"Flags devem ser 0 ou 1",IF(AND(H4080=1,LEN(TRIM(I4080))=0),"Preencher nome do indicante",IF(AND(H4080&lt;&gt;1,I4080&lt;&gt;""),"Nome sem indicação interna",IF(AND(G4080=1,F4080=""),"Fechamento sem conversa",IF(OR(AND(E4080&lt;&gt;"",E4080&lt;B4080),AND(F4080&lt;&gt;"",F4080&lt;B4080)),"Evento anterior à entrada",IF(AND(F4080&lt;&gt;"",E4080=""),"Conversa sem agendamento",IF(OR(E4080&gt;TODAY(),F4080&gt;TODAY()),"Verificar evento futuro","OK"))))))))))</f>
        <v/>
      </c>
    </row>
    <row r="4081" spans="12:15">
      <c r="L4081" s="5">
        <f>IF(OR(A4081="",B4081=""),"",B4081-WEEKDAY(B4081,2)+1)</f>
        <v/>
      </c>
      <c r="M4081" s="5">
        <f>IF(L4081="","",L4081+6)</f>
        <v/>
      </c>
      <c r="N4081" s="6">
        <f>IF(OR(A4081="",B4081=""),"",DATE(YEAR(B4081),MONTH(B4081),1))</f>
        <v/>
      </c>
      <c r="O4081" s="7">
        <f>IF(COUNTA(A4081:K4081)=0,"",IF(OR(A4081="",B4081=""),"Preencher CPF e entrada",IF(COUNTIFS($A$12:$A$5011,A4081,$B$12:$B$5011,B4081)&gt;1,"CPF + dia duplicado",IF(OR(AND(G4081&lt;&gt;"",G4081&lt;&gt;0,G4081&lt;&gt;1),AND(H4081&lt;&gt;"",H4081&lt;&gt;0,H4081&lt;&gt;1)),"Flags devem ser 0 ou 1",IF(AND(H4081=1,LEN(TRIM(I4081))=0),"Preencher nome do indicante",IF(AND(H4081&lt;&gt;1,I4081&lt;&gt;""),"Nome sem indicação interna",IF(AND(G4081=1,F4081=""),"Fechamento sem conversa",IF(OR(AND(E4081&lt;&gt;"",E4081&lt;B4081),AND(F4081&lt;&gt;"",F4081&lt;B4081)),"Evento anterior à entrada",IF(AND(F4081&lt;&gt;"",E4081=""),"Conversa sem agendamento",IF(OR(E4081&gt;TODAY(),F4081&gt;TODAY()),"Verificar evento futuro","OK"))))))))))</f>
        <v/>
      </c>
    </row>
    <row r="4082" spans="12:15">
      <c r="L4082" s="5">
        <f>IF(OR(A4082="",B4082=""),"",B4082-WEEKDAY(B4082,2)+1)</f>
        <v/>
      </c>
      <c r="M4082" s="5">
        <f>IF(L4082="","",L4082+6)</f>
        <v/>
      </c>
      <c r="N4082" s="6">
        <f>IF(OR(A4082="",B4082=""),"",DATE(YEAR(B4082),MONTH(B4082),1))</f>
        <v/>
      </c>
      <c r="O4082" s="7">
        <f>IF(COUNTA(A4082:K4082)=0,"",IF(OR(A4082="",B4082=""),"Preencher CPF e entrada",IF(COUNTIFS($A$12:$A$5011,A4082,$B$12:$B$5011,B4082)&gt;1,"CPF + dia duplicado",IF(OR(AND(G4082&lt;&gt;"",G4082&lt;&gt;0,G4082&lt;&gt;1),AND(H4082&lt;&gt;"",H4082&lt;&gt;0,H4082&lt;&gt;1)),"Flags devem ser 0 ou 1",IF(AND(H4082=1,LEN(TRIM(I4082))=0),"Preencher nome do indicante",IF(AND(H4082&lt;&gt;1,I4082&lt;&gt;""),"Nome sem indicação interna",IF(AND(G4082=1,F4082=""),"Fechamento sem conversa",IF(OR(AND(E4082&lt;&gt;"",E4082&lt;B4082),AND(F4082&lt;&gt;"",F4082&lt;B4082)),"Evento anterior à entrada",IF(AND(F4082&lt;&gt;"",E4082=""),"Conversa sem agendamento",IF(OR(E4082&gt;TODAY(),F4082&gt;TODAY()),"Verificar evento futuro","OK"))))))))))</f>
        <v/>
      </c>
    </row>
    <row r="4083" spans="12:15">
      <c r="L4083" s="5">
        <f>IF(OR(A4083="",B4083=""),"",B4083-WEEKDAY(B4083,2)+1)</f>
        <v/>
      </c>
      <c r="M4083" s="5">
        <f>IF(L4083="","",L4083+6)</f>
        <v/>
      </c>
      <c r="N4083" s="6">
        <f>IF(OR(A4083="",B4083=""),"",DATE(YEAR(B4083),MONTH(B4083),1))</f>
        <v/>
      </c>
      <c r="O4083" s="7">
        <f>IF(COUNTA(A4083:K4083)=0,"",IF(OR(A4083="",B4083=""),"Preencher CPF e entrada",IF(COUNTIFS($A$12:$A$5011,A4083,$B$12:$B$5011,B4083)&gt;1,"CPF + dia duplicado",IF(OR(AND(G4083&lt;&gt;"",G4083&lt;&gt;0,G4083&lt;&gt;1),AND(H4083&lt;&gt;"",H4083&lt;&gt;0,H4083&lt;&gt;1)),"Flags devem ser 0 ou 1",IF(AND(H4083=1,LEN(TRIM(I4083))=0),"Preencher nome do indicante",IF(AND(H4083&lt;&gt;1,I4083&lt;&gt;""),"Nome sem indicação interna",IF(AND(G4083=1,F4083=""),"Fechamento sem conversa",IF(OR(AND(E4083&lt;&gt;"",E4083&lt;B4083),AND(F4083&lt;&gt;"",F4083&lt;B4083)),"Evento anterior à entrada",IF(AND(F4083&lt;&gt;"",E4083=""),"Conversa sem agendamento",IF(OR(E4083&gt;TODAY(),F4083&gt;TODAY()),"Verificar evento futuro","OK"))))))))))</f>
        <v/>
      </c>
    </row>
    <row r="4084" spans="12:15">
      <c r="L4084" s="5">
        <f>IF(OR(A4084="",B4084=""),"",B4084-WEEKDAY(B4084,2)+1)</f>
        <v/>
      </c>
      <c r="M4084" s="5">
        <f>IF(L4084="","",L4084+6)</f>
        <v/>
      </c>
      <c r="N4084" s="6">
        <f>IF(OR(A4084="",B4084=""),"",DATE(YEAR(B4084),MONTH(B4084),1))</f>
        <v/>
      </c>
      <c r="O4084" s="7">
        <f>IF(COUNTA(A4084:K4084)=0,"",IF(OR(A4084="",B4084=""),"Preencher CPF e entrada",IF(COUNTIFS($A$12:$A$5011,A4084,$B$12:$B$5011,B4084)&gt;1,"CPF + dia duplicado",IF(OR(AND(G4084&lt;&gt;"",G4084&lt;&gt;0,G4084&lt;&gt;1),AND(H4084&lt;&gt;"",H4084&lt;&gt;0,H4084&lt;&gt;1)),"Flags devem ser 0 ou 1",IF(AND(H4084=1,LEN(TRIM(I4084))=0),"Preencher nome do indicante",IF(AND(H4084&lt;&gt;1,I4084&lt;&gt;""),"Nome sem indicação interna",IF(AND(G4084=1,F4084=""),"Fechamento sem conversa",IF(OR(AND(E4084&lt;&gt;"",E4084&lt;B4084),AND(F4084&lt;&gt;"",F4084&lt;B4084)),"Evento anterior à entrada",IF(AND(F4084&lt;&gt;"",E4084=""),"Conversa sem agendamento",IF(OR(E4084&gt;TODAY(),F4084&gt;TODAY()),"Verificar evento futuro","OK"))))))))))</f>
        <v/>
      </c>
    </row>
    <row r="4085" spans="12:15">
      <c r="L4085" s="5">
        <f>IF(OR(A4085="",B4085=""),"",B4085-WEEKDAY(B4085,2)+1)</f>
        <v/>
      </c>
      <c r="M4085" s="5">
        <f>IF(L4085="","",L4085+6)</f>
        <v/>
      </c>
      <c r="N4085" s="6">
        <f>IF(OR(A4085="",B4085=""),"",DATE(YEAR(B4085),MONTH(B4085),1))</f>
        <v/>
      </c>
      <c r="O4085" s="7">
        <f>IF(COUNTA(A4085:K4085)=0,"",IF(OR(A4085="",B4085=""),"Preencher CPF e entrada",IF(COUNTIFS($A$12:$A$5011,A4085,$B$12:$B$5011,B4085)&gt;1,"CPF + dia duplicado",IF(OR(AND(G4085&lt;&gt;"",G4085&lt;&gt;0,G4085&lt;&gt;1),AND(H4085&lt;&gt;"",H4085&lt;&gt;0,H4085&lt;&gt;1)),"Flags devem ser 0 ou 1",IF(AND(H4085=1,LEN(TRIM(I4085))=0),"Preencher nome do indicante",IF(AND(H4085&lt;&gt;1,I4085&lt;&gt;""),"Nome sem indicação interna",IF(AND(G4085=1,F4085=""),"Fechamento sem conversa",IF(OR(AND(E4085&lt;&gt;"",E4085&lt;B4085),AND(F4085&lt;&gt;"",F4085&lt;B4085)),"Evento anterior à entrada",IF(AND(F4085&lt;&gt;"",E4085=""),"Conversa sem agendamento",IF(OR(E4085&gt;TODAY(),F4085&gt;TODAY()),"Verificar evento futuro","OK"))))))))))</f>
        <v/>
      </c>
    </row>
    <row r="4086" spans="12:15">
      <c r="L4086" s="5">
        <f>IF(OR(A4086="",B4086=""),"",B4086-WEEKDAY(B4086,2)+1)</f>
        <v/>
      </c>
      <c r="M4086" s="5">
        <f>IF(L4086="","",L4086+6)</f>
        <v/>
      </c>
      <c r="N4086" s="6">
        <f>IF(OR(A4086="",B4086=""),"",DATE(YEAR(B4086),MONTH(B4086),1))</f>
        <v/>
      </c>
      <c r="O4086" s="7">
        <f>IF(COUNTA(A4086:K4086)=0,"",IF(OR(A4086="",B4086=""),"Preencher CPF e entrada",IF(COUNTIFS($A$12:$A$5011,A4086,$B$12:$B$5011,B4086)&gt;1,"CPF + dia duplicado",IF(OR(AND(G4086&lt;&gt;"",G4086&lt;&gt;0,G4086&lt;&gt;1),AND(H4086&lt;&gt;"",H4086&lt;&gt;0,H4086&lt;&gt;1)),"Flags devem ser 0 ou 1",IF(AND(H4086=1,LEN(TRIM(I4086))=0),"Preencher nome do indicante",IF(AND(H4086&lt;&gt;1,I4086&lt;&gt;""),"Nome sem indicação interna",IF(AND(G4086=1,F4086=""),"Fechamento sem conversa",IF(OR(AND(E4086&lt;&gt;"",E4086&lt;B4086),AND(F4086&lt;&gt;"",F4086&lt;B4086)),"Evento anterior à entrada",IF(AND(F4086&lt;&gt;"",E4086=""),"Conversa sem agendamento",IF(OR(E4086&gt;TODAY(),F4086&gt;TODAY()),"Verificar evento futuro","OK"))))))))))</f>
        <v/>
      </c>
    </row>
    <row r="4087" spans="12:15">
      <c r="L4087" s="5">
        <f>IF(OR(A4087="",B4087=""),"",B4087-WEEKDAY(B4087,2)+1)</f>
        <v/>
      </c>
      <c r="M4087" s="5">
        <f>IF(L4087="","",L4087+6)</f>
        <v/>
      </c>
      <c r="N4087" s="6">
        <f>IF(OR(A4087="",B4087=""),"",DATE(YEAR(B4087),MONTH(B4087),1))</f>
        <v/>
      </c>
      <c r="O4087" s="7">
        <f>IF(COUNTA(A4087:K4087)=0,"",IF(OR(A4087="",B4087=""),"Preencher CPF e entrada",IF(COUNTIFS($A$12:$A$5011,A4087,$B$12:$B$5011,B4087)&gt;1,"CPF + dia duplicado",IF(OR(AND(G4087&lt;&gt;"",G4087&lt;&gt;0,G4087&lt;&gt;1),AND(H4087&lt;&gt;"",H4087&lt;&gt;0,H4087&lt;&gt;1)),"Flags devem ser 0 ou 1",IF(AND(H4087=1,LEN(TRIM(I4087))=0),"Preencher nome do indicante",IF(AND(H4087&lt;&gt;1,I4087&lt;&gt;""),"Nome sem indicação interna",IF(AND(G4087=1,F4087=""),"Fechamento sem conversa",IF(OR(AND(E4087&lt;&gt;"",E4087&lt;B4087),AND(F4087&lt;&gt;"",F4087&lt;B4087)),"Evento anterior à entrada",IF(AND(F4087&lt;&gt;"",E4087=""),"Conversa sem agendamento",IF(OR(E4087&gt;TODAY(),F4087&gt;TODAY()),"Verificar evento futuro","OK"))))))))))</f>
        <v/>
      </c>
    </row>
    <row r="4088" spans="12:15">
      <c r="L4088" s="5">
        <f>IF(OR(A4088="",B4088=""),"",B4088-WEEKDAY(B4088,2)+1)</f>
        <v/>
      </c>
      <c r="M4088" s="5">
        <f>IF(L4088="","",L4088+6)</f>
        <v/>
      </c>
      <c r="N4088" s="6">
        <f>IF(OR(A4088="",B4088=""),"",DATE(YEAR(B4088),MONTH(B4088),1))</f>
        <v/>
      </c>
      <c r="O4088" s="7">
        <f>IF(COUNTA(A4088:K4088)=0,"",IF(OR(A4088="",B4088=""),"Preencher CPF e entrada",IF(COUNTIFS($A$12:$A$5011,A4088,$B$12:$B$5011,B4088)&gt;1,"CPF + dia duplicado",IF(OR(AND(G4088&lt;&gt;"",G4088&lt;&gt;0,G4088&lt;&gt;1),AND(H4088&lt;&gt;"",H4088&lt;&gt;0,H4088&lt;&gt;1)),"Flags devem ser 0 ou 1",IF(AND(H4088=1,LEN(TRIM(I4088))=0),"Preencher nome do indicante",IF(AND(H4088&lt;&gt;1,I4088&lt;&gt;""),"Nome sem indicação interna",IF(AND(G4088=1,F4088=""),"Fechamento sem conversa",IF(OR(AND(E4088&lt;&gt;"",E4088&lt;B4088),AND(F4088&lt;&gt;"",F4088&lt;B4088)),"Evento anterior à entrada",IF(AND(F4088&lt;&gt;"",E4088=""),"Conversa sem agendamento",IF(OR(E4088&gt;TODAY(),F4088&gt;TODAY()),"Verificar evento futuro","OK"))))))))))</f>
        <v/>
      </c>
    </row>
    <row r="4089" spans="12:15">
      <c r="L4089" s="5">
        <f>IF(OR(A4089="",B4089=""),"",B4089-WEEKDAY(B4089,2)+1)</f>
        <v/>
      </c>
      <c r="M4089" s="5">
        <f>IF(L4089="","",L4089+6)</f>
        <v/>
      </c>
      <c r="N4089" s="6">
        <f>IF(OR(A4089="",B4089=""),"",DATE(YEAR(B4089),MONTH(B4089),1))</f>
        <v/>
      </c>
      <c r="O4089" s="7">
        <f>IF(COUNTA(A4089:K4089)=0,"",IF(OR(A4089="",B4089=""),"Preencher CPF e entrada",IF(COUNTIFS($A$12:$A$5011,A4089,$B$12:$B$5011,B4089)&gt;1,"CPF + dia duplicado",IF(OR(AND(G4089&lt;&gt;"",G4089&lt;&gt;0,G4089&lt;&gt;1),AND(H4089&lt;&gt;"",H4089&lt;&gt;0,H4089&lt;&gt;1)),"Flags devem ser 0 ou 1",IF(AND(H4089=1,LEN(TRIM(I4089))=0),"Preencher nome do indicante",IF(AND(H4089&lt;&gt;1,I4089&lt;&gt;""),"Nome sem indicação interna",IF(AND(G4089=1,F4089=""),"Fechamento sem conversa",IF(OR(AND(E4089&lt;&gt;"",E4089&lt;B4089),AND(F4089&lt;&gt;"",F4089&lt;B4089)),"Evento anterior à entrada",IF(AND(F4089&lt;&gt;"",E4089=""),"Conversa sem agendamento",IF(OR(E4089&gt;TODAY(),F4089&gt;TODAY()),"Verificar evento futuro","OK"))))))))))</f>
        <v/>
      </c>
    </row>
    <row r="4090" spans="12:15">
      <c r="L4090" s="5">
        <f>IF(OR(A4090="",B4090=""),"",B4090-WEEKDAY(B4090,2)+1)</f>
        <v/>
      </c>
      <c r="M4090" s="5">
        <f>IF(L4090="","",L4090+6)</f>
        <v/>
      </c>
      <c r="N4090" s="6">
        <f>IF(OR(A4090="",B4090=""),"",DATE(YEAR(B4090),MONTH(B4090),1))</f>
        <v/>
      </c>
      <c r="O4090" s="7">
        <f>IF(COUNTA(A4090:K4090)=0,"",IF(OR(A4090="",B4090=""),"Preencher CPF e entrada",IF(COUNTIFS($A$12:$A$5011,A4090,$B$12:$B$5011,B4090)&gt;1,"CPF + dia duplicado",IF(OR(AND(G4090&lt;&gt;"",G4090&lt;&gt;0,G4090&lt;&gt;1),AND(H4090&lt;&gt;"",H4090&lt;&gt;0,H4090&lt;&gt;1)),"Flags devem ser 0 ou 1",IF(AND(H4090=1,LEN(TRIM(I4090))=0),"Preencher nome do indicante",IF(AND(H4090&lt;&gt;1,I4090&lt;&gt;""),"Nome sem indicação interna",IF(AND(G4090=1,F4090=""),"Fechamento sem conversa",IF(OR(AND(E4090&lt;&gt;"",E4090&lt;B4090),AND(F4090&lt;&gt;"",F4090&lt;B4090)),"Evento anterior à entrada",IF(AND(F4090&lt;&gt;"",E4090=""),"Conversa sem agendamento",IF(OR(E4090&gt;TODAY(),F4090&gt;TODAY()),"Verificar evento futuro","OK"))))))))))</f>
        <v/>
      </c>
    </row>
    <row r="4091" spans="12:15">
      <c r="L4091" s="5">
        <f>IF(OR(A4091="",B4091=""),"",B4091-WEEKDAY(B4091,2)+1)</f>
        <v/>
      </c>
      <c r="M4091" s="5">
        <f>IF(L4091="","",L4091+6)</f>
        <v/>
      </c>
      <c r="N4091" s="6">
        <f>IF(OR(A4091="",B4091=""),"",DATE(YEAR(B4091),MONTH(B4091),1))</f>
        <v/>
      </c>
      <c r="O4091" s="7">
        <f>IF(COUNTA(A4091:K4091)=0,"",IF(OR(A4091="",B4091=""),"Preencher CPF e entrada",IF(COUNTIFS($A$12:$A$5011,A4091,$B$12:$B$5011,B4091)&gt;1,"CPF + dia duplicado",IF(OR(AND(G4091&lt;&gt;"",G4091&lt;&gt;0,G4091&lt;&gt;1),AND(H4091&lt;&gt;"",H4091&lt;&gt;0,H4091&lt;&gt;1)),"Flags devem ser 0 ou 1",IF(AND(H4091=1,LEN(TRIM(I4091))=0),"Preencher nome do indicante",IF(AND(H4091&lt;&gt;1,I4091&lt;&gt;""),"Nome sem indicação interna",IF(AND(G4091=1,F4091=""),"Fechamento sem conversa",IF(OR(AND(E4091&lt;&gt;"",E4091&lt;B4091),AND(F4091&lt;&gt;"",F4091&lt;B4091)),"Evento anterior à entrada",IF(AND(F4091&lt;&gt;"",E4091=""),"Conversa sem agendamento",IF(OR(E4091&gt;TODAY(),F4091&gt;TODAY()),"Verificar evento futuro","OK"))))))))))</f>
        <v/>
      </c>
    </row>
    <row r="4092" spans="12:15">
      <c r="L4092" s="5">
        <f>IF(OR(A4092="",B4092=""),"",B4092-WEEKDAY(B4092,2)+1)</f>
        <v/>
      </c>
      <c r="M4092" s="5">
        <f>IF(L4092="","",L4092+6)</f>
        <v/>
      </c>
      <c r="N4092" s="6">
        <f>IF(OR(A4092="",B4092=""),"",DATE(YEAR(B4092),MONTH(B4092),1))</f>
        <v/>
      </c>
      <c r="O4092" s="7">
        <f>IF(COUNTA(A4092:K4092)=0,"",IF(OR(A4092="",B4092=""),"Preencher CPF e entrada",IF(COUNTIFS($A$12:$A$5011,A4092,$B$12:$B$5011,B4092)&gt;1,"CPF + dia duplicado",IF(OR(AND(G4092&lt;&gt;"",G4092&lt;&gt;0,G4092&lt;&gt;1),AND(H4092&lt;&gt;"",H4092&lt;&gt;0,H4092&lt;&gt;1)),"Flags devem ser 0 ou 1",IF(AND(H4092=1,LEN(TRIM(I4092))=0),"Preencher nome do indicante",IF(AND(H4092&lt;&gt;1,I4092&lt;&gt;""),"Nome sem indicação interna",IF(AND(G4092=1,F4092=""),"Fechamento sem conversa",IF(OR(AND(E4092&lt;&gt;"",E4092&lt;B4092),AND(F4092&lt;&gt;"",F4092&lt;B4092)),"Evento anterior à entrada",IF(AND(F4092&lt;&gt;"",E4092=""),"Conversa sem agendamento",IF(OR(E4092&gt;TODAY(),F4092&gt;TODAY()),"Verificar evento futuro","OK"))))))))))</f>
        <v/>
      </c>
    </row>
    <row r="4093" spans="12:15">
      <c r="L4093" s="5">
        <f>IF(OR(A4093="",B4093=""),"",B4093-WEEKDAY(B4093,2)+1)</f>
        <v/>
      </c>
      <c r="M4093" s="5">
        <f>IF(L4093="","",L4093+6)</f>
        <v/>
      </c>
      <c r="N4093" s="6">
        <f>IF(OR(A4093="",B4093=""),"",DATE(YEAR(B4093),MONTH(B4093),1))</f>
        <v/>
      </c>
      <c r="O4093" s="7">
        <f>IF(COUNTA(A4093:K4093)=0,"",IF(OR(A4093="",B4093=""),"Preencher CPF e entrada",IF(COUNTIFS($A$12:$A$5011,A4093,$B$12:$B$5011,B4093)&gt;1,"CPF + dia duplicado",IF(OR(AND(G4093&lt;&gt;"",G4093&lt;&gt;0,G4093&lt;&gt;1),AND(H4093&lt;&gt;"",H4093&lt;&gt;0,H4093&lt;&gt;1)),"Flags devem ser 0 ou 1",IF(AND(H4093=1,LEN(TRIM(I4093))=0),"Preencher nome do indicante",IF(AND(H4093&lt;&gt;1,I4093&lt;&gt;""),"Nome sem indicação interna",IF(AND(G4093=1,F4093=""),"Fechamento sem conversa",IF(OR(AND(E4093&lt;&gt;"",E4093&lt;B4093),AND(F4093&lt;&gt;"",F4093&lt;B4093)),"Evento anterior à entrada",IF(AND(F4093&lt;&gt;"",E4093=""),"Conversa sem agendamento",IF(OR(E4093&gt;TODAY(),F4093&gt;TODAY()),"Verificar evento futuro","OK"))))))))))</f>
        <v/>
      </c>
    </row>
    <row r="4094" spans="12:15">
      <c r="L4094" s="5">
        <f>IF(OR(A4094="",B4094=""),"",B4094-WEEKDAY(B4094,2)+1)</f>
        <v/>
      </c>
      <c r="M4094" s="5">
        <f>IF(L4094="","",L4094+6)</f>
        <v/>
      </c>
      <c r="N4094" s="6">
        <f>IF(OR(A4094="",B4094=""),"",DATE(YEAR(B4094),MONTH(B4094),1))</f>
        <v/>
      </c>
      <c r="O4094" s="7">
        <f>IF(COUNTA(A4094:K4094)=0,"",IF(OR(A4094="",B4094=""),"Preencher CPF e entrada",IF(COUNTIFS($A$12:$A$5011,A4094,$B$12:$B$5011,B4094)&gt;1,"CPF + dia duplicado",IF(OR(AND(G4094&lt;&gt;"",G4094&lt;&gt;0,G4094&lt;&gt;1),AND(H4094&lt;&gt;"",H4094&lt;&gt;0,H4094&lt;&gt;1)),"Flags devem ser 0 ou 1",IF(AND(H4094=1,LEN(TRIM(I4094))=0),"Preencher nome do indicante",IF(AND(H4094&lt;&gt;1,I4094&lt;&gt;""),"Nome sem indicação interna",IF(AND(G4094=1,F4094=""),"Fechamento sem conversa",IF(OR(AND(E4094&lt;&gt;"",E4094&lt;B4094),AND(F4094&lt;&gt;"",F4094&lt;B4094)),"Evento anterior à entrada",IF(AND(F4094&lt;&gt;"",E4094=""),"Conversa sem agendamento",IF(OR(E4094&gt;TODAY(),F4094&gt;TODAY()),"Verificar evento futuro","OK"))))))))))</f>
        <v/>
      </c>
    </row>
    <row r="4095" spans="12:15">
      <c r="L4095" s="5">
        <f>IF(OR(A4095="",B4095=""),"",B4095-WEEKDAY(B4095,2)+1)</f>
        <v/>
      </c>
      <c r="M4095" s="5">
        <f>IF(L4095="","",L4095+6)</f>
        <v/>
      </c>
      <c r="N4095" s="6">
        <f>IF(OR(A4095="",B4095=""),"",DATE(YEAR(B4095),MONTH(B4095),1))</f>
        <v/>
      </c>
      <c r="O4095" s="7">
        <f>IF(COUNTA(A4095:K4095)=0,"",IF(OR(A4095="",B4095=""),"Preencher CPF e entrada",IF(COUNTIFS($A$12:$A$5011,A4095,$B$12:$B$5011,B4095)&gt;1,"CPF + dia duplicado",IF(OR(AND(G4095&lt;&gt;"",G4095&lt;&gt;0,G4095&lt;&gt;1),AND(H4095&lt;&gt;"",H4095&lt;&gt;0,H4095&lt;&gt;1)),"Flags devem ser 0 ou 1",IF(AND(H4095=1,LEN(TRIM(I4095))=0),"Preencher nome do indicante",IF(AND(H4095&lt;&gt;1,I4095&lt;&gt;""),"Nome sem indicação interna",IF(AND(G4095=1,F4095=""),"Fechamento sem conversa",IF(OR(AND(E4095&lt;&gt;"",E4095&lt;B4095),AND(F4095&lt;&gt;"",F4095&lt;B4095)),"Evento anterior à entrada",IF(AND(F4095&lt;&gt;"",E4095=""),"Conversa sem agendamento",IF(OR(E4095&gt;TODAY(),F4095&gt;TODAY()),"Verificar evento futuro","OK"))))))))))</f>
        <v/>
      </c>
    </row>
    <row r="4096" spans="12:15">
      <c r="L4096" s="5">
        <f>IF(OR(A4096="",B4096=""),"",B4096-WEEKDAY(B4096,2)+1)</f>
        <v/>
      </c>
      <c r="M4096" s="5">
        <f>IF(L4096="","",L4096+6)</f>
        <v/>
      </c>
      <c r="N4096" s="6">
        <f>IF(OR(A4096="",B4096=""),"",DATE(YEAR(B4096),MONTH(B4096),1))</f>
        <v/>
      </c>
      <c r="O4096" s="7">
        <f>IF(COUNTA(A4096:K4096)=0,"",IF(OR(A4096="",B4096=""),"Preencher CPF e entrada",IF(COUNTIFS($A$12:$A$5011,A4096,$B$12:$B$5011,B4096)&gt;1,"CPF + dia duplicado",IF(OR(AND(G4096&lt;&gt;"",G4096&lt;&gt;0,G4096&lt;&gt;1),AND(H4096&lt;&gt;"",H4096&lt;&gt;0,H4096&lt;&gt;1)),"Flags devem ser 0 ou 1",IF(AND(H4096=1,LEN(TRIM(I4096))=0),"Preencher nome do indicante",IF(AND(H4096&lt;&gt;1,I4096&lt;&gt;""),"Nome sem indicação interna",IF(AND(G4096=1,F4096=""),"Fechamento sem conversa",IF(OR(AND(E4096&lt;&gt;"",E4096&lt;B4096),AND(F4096&lt;&gt;"",F4096&lt;B4096)),"Evento anterior à entrada",IF(AND(F4096&lt;&gt;"",E4096=""),"Conversa sem agendamento",IF(OR(E4096&gt;TODAY(),F4096&gt;TODAY()),"Verificar evento futuro","OK"))))))))))</f>
        <v/>
      </c>
    </row>
    <row r="4097" spans="12:15">
      <c r="L4097" s="5">
        <f>IF(OR(A4097="",B4097=""),"",B4097-WEEKDAY(B4097,2)+1)</f>
        <v/>
      </c>
      <c r="M4097" s="5">
        <f>IF(L4097="","",L4097+6)</f>
        <v/>
      </c>
      <c r="N4097" s="6">
        <f>IF(OR(A4097="",B4097=""),"",DATE(YEAR(B4097),MONTH(B4097),1))</f>
        <v/>
      </c>
      <c r="O4097" s="7">
        <f>IF(COUNTA(A4097:K4097)=0,"",IF(OR(A4097="",B4097=""),"Preencher CPF e entrada",IF(COUNTIFS($A$12:$A$5011,A4097,$B$12:$B$5011,B4097)&gt;1,"CPF + dia duplicado",IF(OR(AND(G4097&lt;&gt;"",G4097&lt;&gt;0,G4097&lt;&gt;1),AND(H4097&lt;&gt;"",H4097&lt;&gt;0,H4097&lt;&gt;1)),"Flags devem ser 0 ou 1",IF(AND(H4097=1,LEN(TRIM(I4097))=0),"Preencher nome do indicante",IF(AND(H4097&lt;&gt;1,I4097&lt;&gt;""),"Nome sem indicação interna",IF(AND(G4097=1,F4097=""),"Fechamento sem conversa",IF(OR(AND(E4097&lt;&gt;"",E4097&lt;B4097),AND(F4097&lt;&gt;"",F4097&lt;B4097)),"Evento anterior à entrada",IF(AND(F4097&lt;&gt;"",E4097=""),"Conversa sem agendamento",IF(OR(E4097&gt;TODAY(),F4097&gt;TODAY()),"Verificar evento futuro","OK"))))))))))</f>
        <v/>
      </c>
    </row>
    <row r="4098" spans="12:15">
      <c r="L4098" s="5">
        <f>IF(OR(A4098="",B4098=""),"",B4098-WEEKDAY(B4098,2)+1)</f>
        <v/>
      </c>
      <c r="M4098" s="5">
        <f>IF(L4098="","",L4098+6)</f>
        <v/>
      </c>
      <c r="N4098" s="6">
        <f>IF(OR(A4098="",B4098=""),"",DATE(YEAR(B4098),MONTH(B4098),1))</f>
        <v/>
      </c>
      <c r="O4098" s="7">
        <f>IF(COUNTA(A4098:K4098)=0,"",IF(OR(A4098="",B4098=""),"Preencher CPF e entrada",IF(COUNTIFS($A$12:$A$5011,A4098,$B$12:$B$5011,B4098)&gt;1,"CPF + dia duplicado",IF(OR(AND(G4098&lt;&gt;"",G4098&lt;&gt;0,G4098&lt;&gt;1),AND(H4098&lt;&gt;"",H4098&lt;&gt;0,H4098&lt;&gt;1)),"Flags devem ser 0 ou 1",IF(AND(H4098=1,LEN(TRIM(I4098))=0),"Preencher nome do indicante",IF(AND(H4098&lt;&gt;1,I4098&lt;&gt;""),"Nome sem indicação interna",IF(AND(G4098=1,F4098=""),"Fechamento sem conversa",IF(OR(AND(E4098&lt;&gt;"",E4098&lt;B4098),AND(F4098&lt;&gt;"",F4098&lt;B4098)),"Evento anterior à entrada",IF(AND(F4098&lt;&gt;"",E4098=""),"Conversa sem agendamento",IF(OR(E4098&gt;TODAY(),F4098&gt;TODAY()),"Verificar evento futuro","OK"))))))))))</f>
        <v/>
      </c>
    </row>
    <row r="4099" spans="12:15">
      <c r="L4099" s="5">
        <f>IF(OR(A4099="",B4099=""),"",B4099-WEEKDAY(B4099,2)+1)</f>
        <v/>
      </c>
      <c r="M4099" s="5">
        <f>IF(L4099="","",L4099+6)</f>
        <v/>
      </c>
      <c r="N4099" s="6">
        <f>IF(OR(A4099="",B4099=""),"",DATE(YEAR(B4099),MONTH(B4099),1))</f>
        <v/>
      </c>
      <c r="O4099" s="7">
        <f>IF(COUNTA(A4099:K4099)=0,"",IF(OR(A4099="",B4099=""),"Preencher CPF e entrada",IF(COUNTIFS($A$12:$A$5011,A4099,$B$12:$B$5011,B4099)&gt;1,"CPF + dia duplicado",IF(OR(AND(G4099&lt;&gt;"",G4099&lt;&gt;0,G4099&lt;&gt;1),AND(H4099&lt;&gt;"",H4099&lt;&gt;0,H4099&lt;&gt;1)),"Flags devem ser 0 ou 1",IF(AND(H4099=1,LEN(TRIM(I4099))=0),"Preencher nome do indicante",IF(AND(H4099&lt;&gt;1,I4099&lt;&gt;""),"Nome sem indicação interna",IF(AND(G4099=1,F4099=""),"Fechamento sem conversa",IF(OR(AND(E4099&lt;&gt;"",E4099&lt;B4099),AND(F4099&lt;&gt;"",F4099&lt;B4099)),"Evento anterior à entrada",IF(AND(F4099&lt;&gt;"",E4099=""),"Conversa sem agendamento",IF(OR(E4099&gt;TODAY(),F4099&gt;TODAY()),"Verificar evento futuro","OK"))))))))))</f>
        <v/>
      </c>
    </row>
    <row r="4100" spans="12:15">
      <c r="L4100" s="5">
        <f>IF(OR(A4100="",B4100=""),"",B4100-WEEKDAY(B4100,2)+1)</f>
        <v/>
      </c>
      <c r="M4100" s="5">
        <f>IF(L4100="","",L4100+6)</f>
        <v/>
      </c>
      <c r="N4100" s="6">
        <f>IF(OR(A4100="",B4100=""),"",DATE(YEAR(B4100),MONTH(B4100),1))</f>
        <v/>
      </c>
      <c r="O4100" s="7">
        <f>IF(COUNTA(A4100:K4100)=0,"",IF(OR(A4100="",B4100=""),"Preencher CPF e entrada",IF(COUNTIFS($A$12:$A$5011,A4100,$B$12:$B$5011,B4100)&gt;1,"CPF + dia duplicado",IF(OR(AND(G4100&lt;&gt;"",G4100&lt;&gt;0,G4100&lt;&gt;1),AND(H4100&lt;&gt;"",H4100&lt;&gt;0,H4100&lt;&gt;1)),"Flags devem ser 0 ou 1",IF(AND(H4100=1,LEN(TRIM(I4100))=0),"Preencher nome do indicante",IF(AND(H4100&lt;&gt;1,I4100&lt;&gt;""),"Nome sem indicação interna",IF(AND(G4100=1,F4100=""),"Fechamento sem conversa",IF(OR(AND(E4100&lt;&gt;"",E4100&lt;B4100),AND(F4100&lt;&gt;"",F4100&lt;B4100)),"Evento anterior à entrada",IF(AND(F4100&lt;&gt;"",E4100=""),"Conversa sem agendamento",IF(OR(E4100&gt;TODAY(),F4100&gt;TODAY()),"Verificar evento futuro","OK"))))))))))</f>
        <v/>
      </c>
    </row>
    <row r="4101" spans="12:15">
      <c r="L4101" s="5">
        <f>IF(OR(A4101="",B4101=""),"",B4101-WEEKDAY(B4101,2)+1)</f>
        <v/>
      </c>
      <c r="M4101" s="5">
        <f>IF(L4101="","",L4101+6)</f>
        <v/>
      </c>
      <c r="N4101" s="6">
        <f>IF(OR(A4101="",B4101=""),"",DATE(YEAR(B4101),MONTH(B4101),1))</f>
        <v/>
      </c>
      <c r="O4101" s="7">
        <f>IF(COUNTA(A4101:K4101)=0,"",IF(OR(A4101="",B4101=""),"Preencher CPF e entrada",IF(COUNTIFS($A$12:$A$5011,A4101,$B$12:$B$5011,B4101)&gt;1,"CPF + dia duplicado",IF(OR(AND(G4101&lt;&gt;"",G4101&lt;&gt;0,G4101&lt;&gt;1),AND(H4101&lt;&gt;"",H4101&lt;&gt;0,H4101&lt;&gt;1)),"Flags devem ser 0 ou 1",IF(AND(H4101=1,LEN(TRIM(I4101))=0),"Preencher nome do indicante",IF(AND(H4101&lt;&gt;1,I4101&lt;&gt;""),"Nome sem indicação interna",IF(AND(G4101=1,F4101=""),"Fechamento sem conversa",IF(OR(AND(E4101&lt;&gt;"",E4101&lt;B4101),AND(F4101&lt;&gt;"",F4101&lt;B4101)),"Evento anterior à entrada",IF(AND(F4101&lt;&gt;"",E4101=""),"Conversa sem agendamento",IF(OR(E4101&gt;TODAY(),F4101&gt;TODAY()),"Verificar evento futuro","OK"))))))))))</f>
        <v/>
      </c>
    </row>
    <row r="4102" spans="12:15">
      <c r="L4102" s="5">
        <f>IF(OR(A4102="",B4102=""),"",B4102-WEEKDAY(B4102,2)+1)</f>
        <v/>
      </c>
      <c r="M4102" s="5">
        <f>IF(L4102="","",L4102+6)</f>
        <v/>
      </c>
      <c r="N4102" s="6">
        <f>IF(OR(A4102="",B4102=""),"",DATE(YEAR(B4102),MONTH(B4102),1))</f>
        <v/>
      </c>
      <c r="O4102" s="7">
        <f>IF(COUNTA(A4102:K4102)=0,"",IF(OR(A4102="",B4102=""),"Preencher CPF e entrada",IF(COUNTIFS($A$12:$A$5011,A4102,$B$12:$B$5011,B4102)&gt;1,"CPF + dia duplicado",IF(OR(AND(G4102&lt;&gt;"",G4102&lt;&gt;0,G4102&lt;&gt;1),AND(H4102&lt;&gt;"",H4102&lt;&gt;0,H4102&lt;&gt;1)),"Flags devem ser 0 ou 1",IF(AND(H4102=1,LEN(TRIM(I4102))=0),"Preencher nome do indicante",IF(AND(H4102&lt;&gt;1,I4102&lt;&gt;""),"Nome sem indicação interna",IF(AND(G4102=1,F4102=""),"Fechamento sem conversa",IF(OR(AND(E4102&lt;&gt;"",E4102&lt;B4102),AND(F4102&lt;&gt;"",F4102&lt;B4102)),"Evento anterior à entrada",IF(AND(F4102&lt;&gt;"",E4102=""),"Conversa sem agendamento",IF(OR(E4102&gt;TODAY(),F4102&gt;TODAY()),"Verificar evento futuro","OK"))))))))))</f>
        <v/>
      </c>
    </row>
    <row r="4103" spans="12:15">
      <c r="L4103" s="5">
        <f>IF(OR(A4103="",B4103=""),"",B4103-WEEKDAY(B4103,2)+1)</f>
        <v/>
      </c>
      <c r="M4103" s="5">
        <f>IF(L4103="","",L4103+6)</f>
        <v/>
      </c>
      <c r="N4103" s="6">
        <f>IF(OR(A4103="",B4103=""),"",DATE(YEAR(B4103),MONTH(B4103),1))</f>
        <v/>
      </c>
      <c r="O4103" s="7">
        <f>IF(COUNTA(A4103:K4103)=0,"",IF(OR(A4103="",B4103=""),"Preencher CPF e entrada",IF(COUNTIFS($A$12:$A$5011,A4103,$B$12:$B$5011,B4103)&gt;1,"CPF + dia duplicado",IF(OR(AND(G4103&lt;&gt;"",G4103&lt;&gt;0,G4103&lt;&gt;1),AND(H4103&lt;&gt;"",H4103&lt;&gt;0,H4103&lt;&gt;1)),"Flags devem ser 0 ou 1",IF(AND(H4103=1,LEN(TRIM(I4103))=0),"Preencher nome do indicante",IF(AND(H4103&lt;&gt;1,I4103&lt;&gt;""),"Nome sem indicação interna",IF(AND(G4103=1,F4103=""),"Fechamento sem conversa",IF(OR(AND(E4103&lt;&gt;"",E4103&lt;B4103),AND(F4103&lt;&gt;"",F4103&lt;B4103)),"Evento anterior à entrada",IF(AND(F4103&lt;&gt;"",E4103=""),"Conversa sem agendamento",IF(OR(E4103&gt;TODAY(),F4103&gt;TODAY()),"Verificar evento futuro","OK"))))))))))</f>
        <v/>
      </c>
    </row>
    <row r="4104" spans="12:15">
      <c r="L4104" s="5">
        <f>IF(OR(A4104="",B4104=""),"",B4104-WEEKDAY(B4104,2)+1)</f>
        <v/>
      </c>
      <c r="M4104" s="5">
        <f>IF(L4104="","",L4104+6)</f>
        <v/>
      </c>
      <c r="N4104" s="6">
        <f>IF(OR(A4104="",B4104=""),"",DATE(YEAR(B4104),MONTH(B4104),1))</f>
        <v/>
      </c>
      <c r="O4104" s="7">
        <f>IF(COUNTA(A4104:K4104)=0,"",IF(OR(A4104="",B4104=""),"Preencher CPF e entrada",IF(COUNTIFS($A$12:$A$5011,A4104,$B$12:$B$5011,B4104)&gt;1,"CPF + dia duplicado",IF(OR(AND(G4104&lt;&gt;"",G4104&lt;&gt;0,G4104&lt;&gt;1),AND(H4104&lt;&gt;"",H4104&lt;&gt;0,H4104&lt;&gt;1)),"Flags devem ser 0 ou 1",IF(AND(H4104=1,LEN(TRIM(I4104))=0),"Preencher nome do indicante",IF(AND(H4104&lt;&gt;1,I4104&lt;&gt;""),"Nome sem indicação interna",IF(AND(G4104=1,F4104=""),"Fechamento sem conversa",IF(OR(AND(E4104&lt;&gt;"",E4104&lt;B4104),AND(F4104&lt;&gt;"",F4104&lt;B4104)),"Evento anterior à entrada",IF(AND(F4104&lt;&gt;"",E4104=""),"Conversa sem agendamento",IF(OR(E4104&gt;TODAY(),F4104&gt;TODAY()),"Verificar evento futuro","OK"))))))))))</f>
        <v/>
      </c>
    </row>
    <row r="4105" spans="12:15">
      <c r="L4105" s="5">
        <f>IF(OR(A4105="",B4105=""),"",B4105-WEEKDAY(B4105,2)+1)</f>
        <v/>
      </c>
      <c r="M4105" s="5">
        <f>IF(L4105="","",L4105+6)</f>
        <v/>
      </c>
      <c r="N4105" s="6">
        <f>IF(OR(A4105="",B4105=""),"",DATE(YEAR(B4105),MONTH(B4105),1))</f>
        <v/>
      </c>
      <c r="O4105" s="7">
        <f>IF(COUNTA(A4105:K4105)=0,"",IF(OR(A4105="",B4105=""),"Preencher CPF e entrada",IF(COUNTIFS($A$12:$A$5011,A4105,$B$12:$B$5011,B4105)&gt;1,"CPF + dia duplicado",IF(OR(AND(G4105&lt;&gt;"",G4105&lt;&gt;0,G4105&lt;&gt;1),AND(H4105&lt;&gt;"",H4105&lt;&gt;0,H4105&lt;&gt;1)),"Flags devem ser 0 ou 1",IF(AND(H4105=1,LEN(TRIM(I4105))=0),"Preencher nome do indicante",IF(AND(H4105&lt;&gt;1,I4105&lt;&gt;""),"Nome sem indicação interna",IF(AND(G4105=1,F4105=""),"Fechamento sem conversa",IF(OR(AND(E4105&lt;&gt;"",E4105&lt;B4105),AND(F4105&lt;&gt;"",F4105&lt;B4105)),"Evento anterior à entrada",IF(AND(F4105&lt;&gt;"",E4105=""),"Conversa sem agendamento",IF(OR(E4105&gt;TODAY(),F4105&gt;TODAY()),"Verificar evento futuro","OK"))))))))))</f>
        <v/>
      </c>
    </row>
    <row r="4106" spans="12:15">
      <c r="L4106" s="5">
        <f>IF(OR(A4106="",B4106=""),"",B4106-WEEKDAY(B4106,2)+1)</f>
        <v/>
      </c>
      <c r="M4106" s="5">
        <f>IF(L4106="","",L4106+6)</f>
        <v/>
      </c>
      <c r="N4106" s="6">
        <f>IF(OR(A4106="",B4106=""),"",DATE(YEAR(B4106),MONTH(B4106),1))</f>
        <v/>
      </c>
      <c r="O4106" s="7">
        <f>IF(COUNTA(A4106:K4106)=0,"",IF(OR(A4106="",B4106=""),"Preencher CPF e entrada",IF(COUNTIFS($A$12:$A$5011,A4106,$B$12:$B$5011,B4106)&gt;1,"CPF + dia duplicado",IF(OR(AND(G4106&lt;&gt;"",G4106&lt;&gt;0,G4106&lt;&gt;1),AND(H4106&lt;&gt;"",H4106&lt;&gt;0,H4106&lt;&gt;1)),"Flags devem ser 0 ou 1",IF(AND(H4106=1,LEN(TRIM(I4106))=0),"Preencher nome do indicante",IF(AND(H4106&lt;&gt;1,I4106&lt;&gt;""),"Nome sem indicação interna",IF(AND(G4106=1,F4106=""),"Fechamento sem conversa",IF(OR(AND(E4106&lt;&gt;"",E4106&lt;B4106),AND(F4106&lt;&gt;"",F4106&lt;B4106)),"Evento anterior à entrada",IF(AND(F4106&lt;&gt;"",E4106=""),"Conversa sem agendamento",IF(OR(E4106&gt;TODAY(),F4106&gt;TODAY()),"Verificar evento futuro","OK"))))))))))</f>
        <v/>
      </c>
    </row>
    <row r="4107" spans="12:15">
      <c r="L4107" s="5">
        <f>IF(OR(A4107="",B4107=""),"",B4107-WEEKDAY(B4107,2)+1)</f>
        <v/>
      </c>
      <c r="M4107" s="5">
        <f>IF(L4107="","",L4107+6)</f>
        <v/>
      </c>
      <c r="N4107" s="6">
        <f>IF(OR(A4107="",B4107=""),"",DATE(YEAR(B4107),MONTH(B4107),1))</f>
        <v/>
      </c>
      <c r="O4107" s="7">
        <f>IF(COUNTA(A4107:K4107)=0,"",IF(OR(A4107="",B4107=""),"Preencher CPF e entrada",IF(COUNTIFS($A$12:$A$5011,A4107,$B$12:$B$5011,B4107)&gt;1,"CPF + dia duplicado",IF(OR(AND(G4107&lt;&gt;"",G4107&lt;&gt;0,G4107&lt;&gt;1),AND(H4107&lt;&gt;"",H4107&lt;&gt;0,H4107&lt;&gt;1)),"Flags devem ser 0 ou 1",IF(AND(H4107=1,LEN(TRIM(I4107))=0),"Preencher nome do indicante",IF(AND(H4107&lt;&gt;1,I4107&lt;&gt;""),"Nome sem indicação interna",IF(AND(G4107=1,F4107=""),"Fechamento sem conversa",IF(OR(AND(E4107&lt;&gt;"",E4107&lt;B4107),AND(F4107&lt;&gt;"",F4107&lt;B4107)),"Evento anterior à entrada",IF(AND(F4107&lt;&gt;"",E4107=""),"Conversa sem agendamento",IF(OR(E4107&gt;TODAY(),F4107&gt;TODAY()),"Verificar evento futuro","OK"))))))))))</f>
        <v/>
      </c>
    </row>
    <row r="4108" spans="12:15">
      <c r="L4108" s="5">
        <f>IF(OR(A4108="",B4108=""),"",B4108-WEEKDAY(B4108,2)+1)</f>
        <v/>
      </c>
      <c r="M4108" s="5">
        <f>IF(L4108="","",L4108+6)</f>
        <v/>
      </c>
      <c r="N4108" s="6">
        <f>IF(OR(A4108="",B4108=""),"",DATE(YEAR(B4108),MONTH(B4108),1))</f>
        <v/>
      </c>
      <c r="O4108" s="7">
        <f>IF(COUNTA(A4108:K4108)=0,"",IF(OR(A4108="",B4108=""),"Preencher CPF e entrada",IF(COUNTIFS($A$12:$A$5011,A4108,$B$12:$B$5011,B4108)&gt;1,"CPF + dia duplicado",IF(OR(AND(G4108&lt;&gt;"",G4108&lt;&gt;0,G4108&lt;&gt;1),AND(H4108&lt;&gt;"",H4108&lt;&gt;0,H4108&lt;&gt;1)),"Flags devem ser 0 ou 1",IF(AND(H4108=1,LEN(TRIM(I4108))=0),"Preencher nome do indicante",IF(AND(H4108&lt;&gt;1,I4108&lt;&gt;""),"Nome sem indicação interna",IF(AND(G4108=1,F4108=""),"Fechamento sem conversa",IF(OR(AND(E4108&lt;&gt;"",E4108&lt;B4108),AND(F4108&lt;&gt;"",F4108&lt;B4108)),"Evento anterior à entrada",IF(AND(F4108&lt;&gt;"",E4108=""),"Conversa sem agendamento",IF(OR(E4108&gt;TODAY(),F4108&gt;TODAY()),"Verificar evento futuro","OK"))))))))))</f>
        <v/>
      </c>
    </row>
    <row r="4109" spans="12:15">
      <c r="L4109" s="5">
        <f>IF(OR(A4109="",B4109=""),"",B4109-WEEKDAY(B4109,2)+1)</f>
        <v/>
      </c>
      <c r="M4109" s="5">
        <f>IF(L4109="","",L4109+6)</f>
        <v/>
      </c>
      <c r="N4109" s="6">
        <f>IF(OR(A4109="",B4109=""),"",DATE(YEAR(B4109),MONTH(B4109),1))</f>
        <v/>
      </c>
      <c r="O4109" s="7">
        <f>IF(COUNTA(A4109:K4109)=0,"",IF(OR(A4109="",B4109=""),"Preencher CPF e entrada",IF(COUNTIFS($A$12:$A$5011,A4109,$B$12:$B$5011,B4109)&gt;1,"CPF + dia duplicado",IF(OR(AND(G4109&lt;&gt;"",G4109&lt;&gt;0,G4109&lt;&gt;1),AND(H4109&lt;&gt;"",H4109&lt;&gt;0,H4109&lt;&gt;1)),"Flags devem ser 0 ou 1",IF(AND(H4109=1,LEN(TRIM(I4109))=0),"Preencher nome do indicante",IF(AND(H4109&lt;&gt;1,I4109&lt;&gt;""),"Nome sem indicação interna",IF(AND(G4109=1,F4109=""),"Fechamento sem conversa",IF(OR(AND(E4109&lt;&gt;"",E4109&lt;B4109),AND(F4109&lt;&gt;"",F4109&lt;B4109)),"Evento anterior à entrada",IF(AND(F4109&lt;&gt;"",E4109=""),"Conversa sem agendamento",IF(OR(E4109&gt;TODAY(),F4109&gt;TODAY()),"Verificar evento futuro","OK"))))))))))</f>
        <v/>
      </c>
    </row>
    <row r="4110" spans="12:15">
      <c r="L4110" s="5">
        <f>IF(OR(A4110="",B4110=""),"",B4110-WEEKDAY(B4110,2)+1)</f>
        <v/>
      </c>
      <c r="M4110" s="5">
        <f>IF(L4110="","",L4110+6)</f>
        <v/>
      </c>
      <c r="N4110" s="6">
        <f>IF(OR(A4110="",B4110=""),"",DATE(YEAR(B4110),MONTH(B4110),1))</f>
        <v/>
      </c>
      <c r="O4110" s="7">
        <f>IF(COUNTA(A4110:K4110)=0,"",IF(OR(A4110="",B4110=""),"Preencher CPF e entrada",IF(COUNTIFS($A$12:$A$5011,A4110,$B$12:$B$5011,B4110)&gt;1,"CPF + dia duplicado",IF(OR(AND(G4110&lt;&gt;"",G4110&lt;&gt;0,G4110&lt;&gt;1),AND(H4110&lt;&gt;"",H4110&lt;&gt;0,H4110&lt;&gt;1)),"Flags devem ser 0 ou 1",IF(AND(H4110=1,LEN(TRIM(I4110))=0),"Preencher nome do indicante",IF(AND(H4110&lt;&gt;1,I4110&lt;&gt;""),"Nome sem indicação interna",IF(AND(G4110=1,F4110=""),"Fechamento sem conversa",IF(OR(AND(E4110&lt;&gt;"",E4110&lt;B4110),AND(F4110&lt;&gt;"",F4110&lt;B4110)),"Evento anterior à entrada",IF(AND(F4110&lt;&gt;"",E4110=""),"Conversa sem agendamento",IF(OR(E4110&gt;TODAY(),F4110&gt;TODAY()),"Verificar evento futuro","OK"))))))))))</f>
        <v/>
      </c>
    </row>
    <row r="4111" spans="12:15">
      <c r="L4111" s="5">
        <f>IF(OR(A4111="",B4111=""),"",B4111-WEEKDAY(B4111,2)+1)</f>
        <v/>
      </c>
      <c r="M4111" s="5">
        <f>IF(L4111="","",L4111+6)</f>
        <v/>
      </c>
      <c r="N4111" s="6">
        <f>IF(OR(A4111="",B4111=""),"",DATE(YEAR(B4111),MONTH(B4111),1))</f>
        <v/>
      </c>
      <c r="O4111" s="7">
        <f>IF(COUNTA(A4111:K4111)=0,"",IF(OR(A4111="",B4111=""),"Preencher CPF e entrada",IF(COUNTIFS($A$12:$A$5011,A4111,$B$12:$B$5011,B4111)&gt;1,"CPF + dia duplicado",IF(OR(AND(G4111&lt;&gt;"",G4111&lt;&gt;0,G4111&lt;&gt;1),AND(H4111&lt;&gt;"",H4111&lt;&gt;0,H4111&lt;&gt;1)),"Flags devem ser 0 ou 1",IF(AND(H4111=1,LEN(TRIM(I4111))=0),"Preencher nome do indicante",IF(AND(H4111&lt;&gt;1,I4111&lt;&gt;""),"Nome sem indicação interna",IF(AND(G4111=1,F4111=""),"Fechamento sem conversa",IF(OR(AND(E4111&lt;&gt;"",E4111&lt;B4111),AND(F4111&lt;&gt;"",F4111&lt;B4111)),"Evento anterior à entrada",IF(AND(F4111&lt;&gt;"",E4111=""),"Conversa sem agendamento",IF(OR(E4111&gt;TODAY(),F4111&gt;TODAY()),"Verificar evento futuro","OK"))))))))))</f>
        <v/>
      </c>
    </row>
    <row r="4112" spans="12:15">
      <c r="L4112" s="5">
        <f>IF(OR(A4112="",B4112=""),"",B4112-WEEKDAY(B4112,2)+1)</f>
        <v/>
      </c>
      <c r="M4112" s="5">
        <f>IF(L4112="","",L4112+6)</f>
        <v/>
      </c>
      <c r="N4112" s="6">
        <f>IF(OR(A4112="",B4112=""),"",DATE(YEAR(B4112),MONTH(B4112),1))</f>
        <v/>
      </c>
      <c r="O4112" s="7">
        <f>IF(COUNTA(A4112:K4112)=0,"",IF(OR(A4112="",B4112=""),"Preencher CPF e entrada",IF(COUNTIFS($A$12:$A$5011,A4112,$B$12:$B$5011,B4112)&gt;1,"CPF + dia duplicado",IF(OR(AND(G4112&lt;&gt;"",G4112&lt;&gt;0,G4112&lt;&gt;1),AND(H4112&lt;&gt;"",H4112&lt;&gt;0,H4112&lt;&gt;1)),"Flags devem ser 0 ou 1",IF(AND(H4112=1,LEN(TRIM(I4112))=0),"Preencher nome do indicante",IF(AND(H4112&lt;&gt;1,I4112&lt;&gt;""),"Nome sem indicação interna",IF(AND(G4112=1,F4112=""),"Fechamento sem conversa",IF(OR(AND(E4112&lt;&gt;"",E4112&lt;B4112),AND(F4112&lt;&gt;"",F4112&lt;B4112)),"Evento anterior à entrada",IF(AND(F4112&lt;&gt;"",E4112=""),"Conversa sem agendamento",IF(OR(E4112&gt;TODAY(),F4112&gt;TODAY()),"Verificar evento futuro","OK"))))))))))</f>
        <v/>
      </c>
    </row>
    <row r="4113" spans="12:15">
      <c r="L4113" s="5">
        <f>IF(OR(A4113="",B4113=""),"",B4113-WEEKDAY(B4113,2)+1)</f>
        <v/>
      </c>
      <c r="M4113" s="5">
        <f>IF(L4113="","",L4113+6)</f>
        <v/>
      </c>
      <c r="N4113" s="6">
        <f>IF(OR(A4113="",B4113=""),"",DATE(YEAR(B4113),MONTH(B4113),1))</f>
        <v/>
      </c>
      <c r="O4113" s="7">
        <f>IF(COUNTA(A4113:K4113)=0,"",IF(OR(A4113="",B4113=""),"Preencher CPF e entrada",IF(COUNTIFS($A$12:$A$5011,A4113,$B$12:$B$5011,B4113)&gt;1,"CPF + dia duplicado",IF(OR(AND(G4113&lt;&gt;"",G4113&lt;&gt;0,G4113&lt;&gt;1),AND(H4113&lt;&gt;"",H4113&lt;&gt;0,H4113&lt;&gt;1)),"Flags devem ser 0 ou 1",IF(AND(H4113=1,LEN(TRIM(I4113))=0),"Preencher nome do indicante",IF(AND(H4113&lt;&gt;1,I4113&lt;&gt;""),"Nome sem indicação interna",IF(AND(G4113=1,F4113=""),"Fechamento sem conversa",IF(OR(AND(E4113&lt;&gt;"",E4113&lt;B4113),AND(F4113&lt;&gt;"",F4113&lt;B4113)),"Evento anterior à entrada",IF(AND(F4113&lt;&gt;"",E4113=""),"Conversa sem agendamento",IF(OR(E4113&gt;TODAY(),F4113&gt;TODAY()),"Verificar evento futuro","OK"))))))))))</f>
        <v/>
      </c>
    </row>
    <row r="4114" spans="12:15">
      <c r="L4114" s="5">
        <f>IF(OR(A4114="",B4114=""),"",B4114-WEEKDAY(B4114,2)+1)</f>
        <v/>
      </c>
      <c r="M4114" s="5">
        <f>IF(L4114="","",L4114+6)</f>
        <v/>
      </c>
      <c r="N4114" s="6">
        <f>IF(OR(A4114="",B4114=""),"",DATE(YEAR(B4114),MONTH(B4114),1))</f>
        <v/>
      </c>
      <c r="O4114" s="7">
        <f>IF(COUNTA(A4114:K4114)=0,"",IF(OR(A4114="",B4114=""),"Preencher CPF e entrada",IF(COUNTIFS($A$12:$A$5011,A4114,$B$12:$B$5011,B4114)&gt;1,"CPF + dia duplicado",IF(OR(AND(G4114&lt;&gt;"",G4114&lt;&gt;0,G4114&lt;&gt;1),AND(H4114&lt;&gt;"",H4114&lt;&gt;0,H4114&lt;&gt;1)),"Flags devem ser 0 ou 1",IF(AND(H4114=1,LEN(TRIM(I4114))=0),"Preencher nome do indicante",IF(AND(H4114&lt;&gt;1,I4114&lt;&gt;""),"Nome sem indicação interna",IF(AND(G4114=1,F4114=""),"Fechamento sem conversa",IF(OR(AND(E4114&lt;&gt;"",E4114&lt;B4114),AND(F4114&lt;&gt;"",F4114&lt;B4114)),"Evento anterior à entrada",IF(AND(F4114&lt;&gt;"",E4114=""),"Conversa sem agendamento",IF(OR(E4114&gt;TODAY(),F4114&gt;TODAY()),"Verificar evento futuro","OK"))))))))))</f>
        <v/>
      </c>
    </row>
    <row r="4115" spans="12:15">
      <c r="L4115" s="5">
        <f>IF(OR(A4115="",B4115=""),"",B4115-WEEKDAY(B4115,2)+1)</f>
        <v/>
      </c>
      <c r="M4115" s="5">
        <f>IF(L4115="","",L4115+6)</f>
        <v/>
      </c>
      <c r="N4115" s="6">
        <f>IF(OR(A4115="",B4115=""),"",DATE(YEAR(B4115),MONTH(B4115),1))</f>
        <v/>
      </c>
      <c r="O4115" s="7">
        <f>IF(COUNTA(A4115:K4115)=0,"",IF(OR(A4115="",B4115=""),"Preencher CPF e entrada",IF(COUNTIFS($A$12:$A$5011,A4115,$B$12:$B$5011,B4115)&gt;1,"CPF + dia duplicado",IF(OR(AND(G4115&lt;&gt;"",G4115&lt;&gt;0,G4115&lt;&gt;1),AND(H4115&lt;&gt;"",H4115&lt;&gt;0,H4115&lt;&gt;1)),"Flags devem ser 0 ou 1",IF(AND(H4115=1,LEN(TRIM(I4115))=0),"Preencher nome do indicante",IF(AND(H4115&lt;&gt;1,I4115&lt;&gt;""),"Nome sem indicação interna",IF(AND(G4115=1,F4115=""),"Fechamento sem conversa",IF(OR(AND(E4115&lt;&gt;"",E4115&lt;B4115),AND(F4115&lt;&gt;"",F4115&lt;B4115)),"Evento anterior à entrada",IF(AND(F4115&lt;&gt;"",E4115=""),"Conversa sem agendamento",IF(OR(E4115&gt;TODAY(),F4115&gt;TODAY()),"Verificar evento futuro","OK"))))))))))</f>
        <v/>
      </c>
    </row>
    <row r="4116" spans="12:15">
      <c r="L4116" s="5">
        <f>IF(OR(A4116="",B4116=""),"",B4116-WEEKDAY(B4116,2)+1)</f>
        <v/>
      </c>
      <c r="M4116" s="5">
        <f>IF(L4116="","",L4116+6)</f>
        <v/>
      </c>
      <c r="N4116" s="6">
        <f>IF(OR(A4116="",B4116=""),"",DATE(YEAR(B4116),MONTH(B4116),1))</f>
        <v/>
      </c>
      <c r="O4116" s="7">
        <f>IF(COUNTA(A4116:K4116)=0,"",IF(OR(A4116="",B4116=""),"Preencher CPF e entrada",IF(COUNTIFS($A$12:$A$5011,A4116,$B$12:$B$5011,B4116)&gt;1,"CPF + dia duplicado",IF(OR(AND(G4116&lt;&gt;"",G4116&lt;&gt;0,G4116&lt;&gt;1),AND(H4116&lt;&gt;"",H4116&lt;&gt;0,H4116&lt;&gt;1)),"Flags devem ser 0 ou 1",IF(AND(H4116=1,LEN(TRIM(I4116))=0),"Preencher nome do indicante",IF(AND(H4116&lt;&gt;1,I4116&lt;&gt;""),"Nome sem indicação interna",IF(AND(G4116=1,F4116=""),"Fechamento sem conversa",IF(OR(AND(E4116&lt;&gt;"",E4116&lt;B4116),AND(F4116&lt;&gt;"",F4116&lt;B4116)),"Evento anterior à entrada",IF(AND(F4116&lt;&gt;"",E4116=""),"Conversa sem agendamento",IF(OR(E4116&gt;TODAY(),F4116&gt;TODAY()),"Verificar evento futuro","OK"))))))))))</f>
        <v/>
      </c>
    </row>
    <row r="4117" spans="12:15">
      <c r="L4117" s="5">
        <f>IF(OR(A4117="",B4117=""),"",B4117-WEEKDAY(B4117,2)+1)</f>
        <v/>
      </c>
      <c r="M4117" s="5">
        <f>IF(L4117="","",L4117+6)</f>
        <v/>
      </c>
      <c r="N4117" s="6">
        <f>IF(OR(A4117="",B4117=""),"",DATE(YEAR(B4117),MONTH(B4117),1))</f>
        <v/>
      </c>
      <c r="O4117" s="7">
        <f>IF(COUNTA(A4117:K4117)=0,"",IF(OR(A4117="",B4117=""),"Preencher CPF e entrada",IF(COUNTIFS($A$12:$A$5011,A4117,$B$12:$B$5011,B4117)&gt;1,"CPF + dia duplicado",IF(OR(AND(G4117&lt;&gt;"",G4117&lt;&gt;0,G4117&lt;&gt;1),AND(H4117&lt;&gt;"",H4117&lt;&gt;0,H4117&lt;&gt;1)),"Flags devem ser 0 ou 1",IF(AND(H4117=1,LEN(TRIM(I4117))=0),"Preencher nome do indicante",IF(AND(H4117&lt;&gt;1,I4117&lt;&gt;""),"Nome sem indicação interna",IF(AND(G4117=1,F4117=""),"Fechamento sem conversa",IF(OR(AND(E4117&lt;&gt;"",E4117&lt;B4117),AND(F4117&lt;&gt;"",F4117&lt;B4117)),"Evento anterior à entrada",IF(AND(F4117&lt;&gt;"",E4117=""),"Conversa sem agendamento",IF(OR(E4117&gt;TODAY(),F4117&gt;TODAY()),"Verificar evento futuro","OK"))))))))))</f>
        <v/>
      </c>
    </row>
    <row r="4118" spans="12:15">
      <c r="L4118" s="5">
        <f>IF(OR(A4118="",B4118=""),"",B4118-WEEKDAY(B4118,2)+1)</f>
        <v/>
      </c>
      <c r="M4118" s="5">
        <f>IF(L4118="","",L4118+6)</f>
        <v/>
      </c>
      <c r="N4118" s="6">
        <f>IF(OR(A4118="",B4118=""),"",DATE(YEAR(B4118),MONTH(B4118),1))</f>
        <v/>
      </c>
      <c r="O4118" s="7">
        <f>IF(COUNTA(A4118:K4118)=0,"",IF(OR(A4118="",B4118=""),"Preencher CPF e entrada",IF(COUNTIFS($A$12:$A$5011,A4118,$B$12:$B$5011,B4118)&gt;1,"CPF + dia duplicado",IF(OR(AND(G4118&lt;&gt;"",G4118&lt;&gt;0,G4118&lt;&gt;1),AND(H4118&lt;&gt;"",H4118&lt;&gt;0,H4118&lt;&gt;1)),"Flags devem ser 0 ou 1",IF(AND(H4118=1,LEN(TRIM(I4118))=0),"Preencher nome do indicante",IF(AND(H4118&lt;&gt;1,I4118&lt;&gt;""),"Nome sem indicação interna",IF(AND(G4118=1,F4118=""),"Fechamento sem conversa",IF(OR(AND(E4118&lt;&gt;"",E4118&lt;B4118),AND(F4118&lt;&gt;"",F4118&lt;B4118)),"Evento anterior à entrada",IF(AND(F4118&lt;&gt;"",E4118=""),"Conversa sem agendamento",IF(OR(E4118&gt;TODAY(),F4118&gt;TODAY()),"Verificar evento futuro","OK"))))))))))</f>
        <v/>
      </c>
    </row>
    <row r="4119" spans="12:15">
      <c r="L4119" s="5">
        <f>IF(OR(A4119="",B4119=""),"",B4119-WEEKDAY(B4119,2)+1)</f>
        <v/>
      </c>
      <c r="M4119" s="5">
        <f>IF(L4119="","",L4119+6)</f>
        <v/>
      </c>
      <c r="N4119" s="6">
        <f>IF(OR(A4119="",B4119=""),"",DATE(YEAR(B4119),MONTH(B4119),1))</f>
        <v/>
      </c>
      <c r="O4119" s="7">
        <f>IF(COUNTA(A4119:K4119)=0,"",IF(OR(A4119="",B4119=""),"Preencher CPF e entrada",IF(COUNTIFS($A$12:$A$5011,A4119,$B$12:$B$5011,B4119)&gt;1,"CPF + dia duplicado",IF(OR(AND(G4119&lt;&gt;"",G4119&lt;&gt;0,G4119&lt;&gt;1),AND(H4119&lt;&gt;"",H4119&lt;&gt;0,H4119&lt;&gt;1)),"Flags devem ser 0 ou 1",IF(AND(H4119=1,LEN(TRIM(I4119))=0),"Preencher nome do indicante",IF(AND(H4119&lt;&gt;1,I4119&lt;&gt;""),"Nome sem indicação interna",IF(AND(G4119=1,F4119=""),"Fechamento sem conversa",IF(OR(AND(E4119&lt;&gt;"",E4119&lt;B4119),AND(F4119&lt;&gt;"",F4119&lt;B4119)),"Evento anterior à entrada",IF(AND(F4119&lt;&gt;"",E4119=""),"Conversa sem agendamento",IF(OR(E4119&gt;TODAY(),F4119&gt;TODAY()),"Verificar evento futuro","OK"))))))))))</f>
        <v/>
      </c>
    </row>
    <row r="4120" spans="12:15">
      <c r="L4120" s="5">
        <f>IF(OR(A4120="",B4120=""),"",B4120-WEEKDAY(B4120,2)+1)</f>
        <v/>
      </c>
      <c r="M4120" s="5">
        <f>IF(L4120="","",L4120+6)</f>
        <v/>
      </c>
      <c r="N4120" s="6">
        <f>IF(OR(A4120="",B4120=""),"",DATE(YEAR(B4120),MONTH(B4120),1))</f>
        <v/>
      </c>
      <c r="O4120" s="7">
        <f>IF(COUNTA(A4120:K4120)=0,"",IF(OR(A4120="",B4120=""),"Preencher CPF e entrada",IF(COUNTIFS($A$12:$A$5011,A4120,$B$12:$B$5011,B4120)&gt;1,"CPF + dia duplicado",IF(OR(AND(G4120&lt;&gt;"",G4120&lt;&gt;0,G4120&lt;&gt;1),AND(H4120&lt;&gt;"",H4120&lt;&gt;0,H4120&lt;&gt;1)),"Flags devem ser 0 ou 1",IF(AND(H4120=1,LEN(TRIM(I4120))=0),"Preencher nome do indicante",IF(AND(H4120&lt;&gt;1,I4120&lt;&gt;""),"Nome sem indicação interna",IF(AND(G4120=1,F4120=""),"Fechamento sem conversa",IF(OR(AND(E4120&lt;&gt;"",E4120&lt;B4120),AND(F4120&lt;&gt;"",F4120&lt;B4120)),"Evento anterior à entrada",IF(AND(F4120&lt;&gt;"",E4120=""),"Conversa sem agendamento",IF(OR(E4120&gt;TODAY(),F4120&gt;TODAY()),"Verificar evento futuro","OK"))))))))))</f>
        <v/>
      </c>
    </row>
    <row r="4121" spans="12:15">
      <c r="L4121" s="5">
        <f>IF(OR(A4121="",B4121=""),"",B4121-WEEKDAY(B4121,2)+1)</f>
        <v/>
      </c>
      <c r="M4121" s="5">
        <f>IF(L4121="","",L4121+6)</f>
        <v/>
      </c>
      <c r="N4121" s="6">
        <f>IF(OR(A4121="",B4121=""),"",DATE(YEAR(B4121),MONTH(B4121),1))</f>
        <v/>
      </c>
      <c r="O4121" s="7">
        <f>IF(COUNTA(A4121:K4121)=0,"",IF(OR(A4121="",B4121=""),"Preencher CPF e entrada",IF(COUNTIFS($A$12:$A$5011,A4121,$B$12:$B$5011,B4121)&gt;1,"CPF + dia duplicado",IF(OR(AND(G4121&lt;&gt;"",G4121&lt;&gt;0,G4121&lt;&gt;1),AND(H4121&lt;&gt;"",H4121&lt;&gt;0,H4121&lt;&gt;1)),"Flags devem ser 0 ou 1",IF(AND(H4121=1,LEN(TRIM(I4121))=0),"Preencher nome do indicante",IF(AND(H4121&lt;&gt;1,I4121&lt;&gt;""),"Nome sem indicação interna",IF(AND(G4121=1,F4121=""),"Fechamento sem conversa",IF(OR(AND(E4121&lt;&gt;"",E4121&lt;B4121),AND(F4121&lt;&gt;"",F4121&lt;B4121)),"Evento anterior à entrada",IF(AND(F4121&lt;&gt;"",E4121=""),"Conversa sem agendamento",IF(OR(E4121&gt;TODAY(),F4121&gt;TODAY()),"Verificar evento futuro","OK"))))))))))</f>
        <v/>
      </c>
    </row>
    <row r="4122" spans="12:15">
      <c r="L4122" s="5">
        <f>IF(OR(A4122="",B4122=""),"",B4122-WEEKDAY(B4122,2)+1)</f>
        <v/>
      </c>
      <c r="M4122" s="5">
        <f>IF(L4122="","",L4122+6)</f>
        <v/>
      </c>
      <c r="N4122" s="6">
        <f>IF(OR(A4122="",B4122=""),"",DATE(YEAR(B4122),MONTH(B4122),1))</f>
        <v/>
      </c>
      <c r="O4122" s="7">
        <f>IF(COUNTA(A4122:K4122)=0,"",IF(OR(A4122="",B4122=""),"Preencher CPF e entrada",IF(COUNTIFS($A$12:$A$5011,A4122,$B$12:$B$5011,B4122)&gt;1,"CPF + dia duplicado",IF(OR(AND(G4122&lt;&gt;"",G4122&lt;&gt;0,G4122&lt;&gt;1),AND(H4122&lt;&gt;"",H4122&lt;&gt;0,H4122&lt;&gt;1)),"Flags devem ser 0 ou 1",IF(AND(H4122=1,LEN(TRIM(I4122))=0),"Preencher nome do indicante",IF(AND(H4122&lt;&gt;1,I4122&lt;&gt;""),"Nome sem indicação interna",IF(AND(G4122=1,F4122=""),"Fechamento sem conversa",IF(OR(AND(E4122&lt;&gt;"",E4122&lt;B4122),AND(F4122&lt;&gt;"",F4122&lt;B4122)),"Evento anterior à entrada",IF(AND(F4122&lt;&gt;"",E4122=""),"Conversa sem agendamento",IF(OR(E4122&gt;TODAY(),F4122&gt;TODAY()),"Verificar evento futuro","OK"))))))))))</f>
        <v/>
      </c>
    </row>
    <row r="4123" spans="12:15">
      <c r="L4123" s="5">
        <f>IF(OR(A4123="",B4123=""),"",B4123-WEEKDAY(B4123,2)+1)</f>
        <v/>
      </c>
      <c r="M4123" s="5">
        <f>IF(L4123="","",L4123+6)</f>
        <v/>
      </c>
      <c r="N4123" s="6">
        <f>IF(OR(A4123="",B4123=""),"",DATE(YEAR(B4123),MONTH(B4123),1))</f>
        <v/>
      </c>
      <c r="O4123" s="7">
        <f>IF(COUNTA(A4123:K4123)=0,"",IF(OR(A4123="",B4123=""),"Preencher CPF e entrada",IF(COUNTIFS($A$12:$A$5011,A4123,$B$12:$B$5011,B4123)&gt;1,"CPF + dia duplicado",IF(OR(AND(G4123&lt;&gt;"",G4123&lt;&gt;0,G4123&lt;&gt;1),AND(H4123&lt;&gt;"",H4123&lt;&gt;0,H4123&lt;&gt;1)),"Flags devem ser 0 ou 1",IF(AND(H4123=1,LEN(TRIM(I4123))=0),"Preencher nome do indicante",IF(AND(H4123&lt;&gt;1,I4123&lt;&gt;""),"Nome sem indicação interna",IF(AND(G4123=1,F4123=""),"Fechamento sem conversa",IF(OR(AND(E4123&lt;&gt;"",E4123&lt;B4123),AND(F4123&lt;&gt;"",F4123&lt;B4123)),"Evento anterior à entrada",IF(AND(F4123&lt;&gt;"",E4123=""),"Conversa sem agendamento",IF(OR(E4123&gt;TODAY(),F4123&gt;TODAY()),"Verificar evento futuro","OK"))))))))))</f>
        <v/>
      </c>
    </row>
    <row r="4124" spans="12:15">
      <c r="L4124" s="5">
        <f>IF(OR(A4124="",B4124=""),"",B4124-WEEKDAY(B4124,2)+1)</f>
        <v/>
      </c>
      <c r="M4124" s="5">
        <f>IF(L4124="","",L4124+6)</f>
        <v/>
      </c>
      <c r="N4124" s="6">
        <f>IF(OR(A4124="",B4124=""),"",DATE(YEAR(B4124),MONTH(B4124),1))</f>
        <v/>
      </c>
      <c r="O4124" s="7">
        <f>IF(COUNTA(A4124:K4124)=0,"",IF(OR(A4124="",B4124=""),"Preencher CPF e entrada",IF(COUNTIFS($A$12:$A$5011,A4124,$B$12:$B$5011,B4124)&gt;1,"CPF + dia duplicado",IF(OR(AND(G4124&lt;&gt;"",G4124&lt;&gt;0,G4124&lt;&gt;1),AND(H4124&lt;&gt;"",H4124&lt;&gt;0,H4124&lt;&gt;1)),"Flags devem ser 0 ou 1",IF(AND(H4124=1,LEN(TRIM(I4124))=0),"Preencher nome do indicante",IF(AND(H4124&lt;&gt;1,I4124&lt;&gt;""),"Nome sem indicação interna",IF(AND(G4124=1,F4124=""),"Fechamento sem conversa",IF(OR(AND(E4124&lt;&gt;"",E4124&lt;B4124),AND(F4124&lt;&gt;"",F4124&lt;B4124)),"Evento anterior à entrada",IF(AND(F4124&lt;&gt;"",E4124=""),"Conversa sem agendamento",IF(OR(E4124&gt;TODAY(),F4124&gt;TODAY()),"Verificar evento futuro","OK"))))))))))</f>
        <v/>
      </c>
    </row>
    <row r="4125" spans="12:15">
      <c r="L4125" s="5">
        <f>IF(OR(A4125="",B4125=""),"",B4125-WEEKDAY(B4125,2)+1)</f>
        <v/>
      </c>
      <c r="M4125" s="5">
        <f>IF(L4125="","",L4125+6)</f>
        <v/>
      </c>
      <c r="N4125" s="6">
        <f>IF(OR(A4125="",B4125=""),"",DATE(YEAR(B4125),MONTH(B4125),1))</f>
        <v/>
      </c>
      <c r="O4125" s="7">
        <f>IF(COUNTA(A4125:K4125)=0,"",IF(OR(A4125="",B4125=""),"Preencher CPF e entrada",IF(COUNTIFS($A$12:$A$5011,A4125,$B$12:$B$5011,B4125)&gt;1,"CPF + dia duplicado",IF(OR(AND(G4125&lt;&gt;"",G4125&lt;&gt;0,G4125&lt;&gt;1),AND(H4125&lt;&gt;"",H4125&lt;&gt;0,H4125&lt;&gt;1)),"Flags devem ser 0 ou 1",IF(AND(H4125=1,LEN(TRIM(I4125))=0),"Preencher nome do indicante",IF(AND(H4125&lt;&gt;1,I4125&lt;&gt;""),"Nome sem indicação interna",IF(AND(G4125=1,F4125=""),"Fechamento sem conversa",IF(OR(AND(E4125&lt;&gt;"",E4125&lt;B4125),AND(F4125&lt;&gt;"",F4125&lt;B4125)),"Evento anterior à entrada",IF(AND(F4125&lt;&gt;"",E4125=""),"Conversa sem agendamento",IF(OR(E4125&gt;TODAY(),F4125&gt;TODAY()),"Verificar evento futuro","OK"))))))))))</f>
        <v/>
      </c>
    </row>
    <row r="4126" spans="12:15">
      <c r="L4126" s="5">
        <f>IF(OR(A4126="",B4126=""),"",B4126-WEEKDAY(B4126,2)+1)</f>
        <v/>
      </c>
      <c r="M4126" s="5">
        <f>IF(L4126="","",L4126+6)</f>
        <v/>
      </c>
      <c r="N4126" s="6">
        <f>IF(OR(A4126="",B4126=""),"",DATE(YEAR(B4126),MONTH(B4126),1))</f>
        <v/>
      </c>
      <c r="O4126" s="7">
        <f>IF(COUNTA(A4126:K4126)=0,"",IF(OR(A4126="",B4126=""),"Preencher CPF e entrada",IF(COUNTIFS($A$12:$A$5011,A4126,$B$12:$B$5011,B4126)&gt;1,"CPF + dia duplicado",IF(OR(AND(G4126&lt;&gt;"",G4126&lt;&gt;0,G4126&lt;&gt;1),AND(H4126&lt;&gt;"",H4126&lt;&gt;0,H4126&lt;&gt;1)),"Flags devem ser 0 ou 1",IF(AND(H4126=1,LEN(TRIM(I4126))=0),"Preencher nome do indicante",IF(AND(H4126&lt;&gt;1,I4126&lt;&gt;""),"Nome sem indicação interna",IF(AND(G4126=1,F4126=""),"Fechamento sem conversa",IF(OR(AND(E4126&lt;&gt;"",E4126&lt;B4126),AND(F4126&lt;&gt;"",F4126&lt;B4126)),"Evento anterior à entrada",IF(AND(F4126&lt;&gt;"",E4126=""),"Conversa sem agendamento",IF(OR(E4126&gt;TODAY(),F4126&gt;TODAY()),"Verificar evento futuro","OK"))))))))))</f>
        <v/>
      </c>
    </row>
    <row r="4127" spans="12:15">
      <c r="L4127" s="5">
        <f>IF(OR(A4127="",B4127=""),"",B4127-WEEKDAY(B4127,2)+1)</f>
        <v/>
      </c>
      <c r="M4127" s="5">
        <f>IF(L4127="","",L4127+6)</f>
        <v/>
      </c>
      <c r="N4127" s="6">
        <f>IF(OR(A4127="",B4127=""),"",DATE(YEAR(B4127),MONTH(B4127),1))</f>
        <v/>
      </c>
      <c r="O4127" s="7">
        <f>IF(COUNTA(A4127:K4127)=0,"",IF(OR(A4127="",B4127=""),"Preencher CPF e entrada",IF(COUNTIFS($A$12:$A$5011,A4127,$B$12:$B$5011,B4127)&gt;1,"CPF + dia duplicado",IF(OR(AND(G4127&lt;&gt;"",G4127&lt;&gt;0,G4127&lt;&gt;1),AND(H4127&lt;&gt;"",H4127&lt;&gt;0,H4127&lt;&gt;1)),"Flags devem ser 0 ou 1",IF(AND(H4127=1,LEN(TRIM(I4127))=0),"Preencher nome do indicante",IF(AND(H4127&lt;&gt;1,I4127&lt;&gt;""),"Nome sem indicação interna",IF(AND(G4127=1,F4127=""),"Fechamento sem conversa",IF(OR(AND(E4127&lt;&gt;"",E4127&lt;B4127),AND(F4127&lt;&gt;"",F4127&lt;B4127)),"Evento anterior à entrada",IF(AND(F4127&lt;&gt;"",E4127=""),"Conversa sem agendamento",IF(OR(E4127&gt;TODAY(),F4127&gt;TODAY()),"Verificar evento futuro","OK"))))))))))</f>
        <v/>
      </c>
    </row>
    <row r="4128" spans="12:15">
      <c r="L4128" s="5">
        <f>IF(OR(A4128="",B4128=""),"",B4128-WEEKDAY(B4128,2)+1)</f>
        <v/>
      </c>
      <c r="M4128" s="5">
        <f>IF(L4128="","",L4128+6)</f>
        <v/>
      </c>
      <c r="N4128" s="6">
        <f>IF(OR(A4128="",B4128=""),"",DATE(YEAR(B4128),MONTH(B4128),1))</f>
        <v/>
      </c>
      <c r="O4128" s="7">
        <f>IF(COUNTA(A4128:K4128)=0,"",IF(OR(A4128="",B4128=""),"Preencher CPF e entrada",IF(COUNTIFS($A$12:$A$5011,A4128,$B$12:$B$5011,B4128)&gt;1,"CPF + dia duplicado",IF(OR(AND(G4128&lt;&gt;"",G4128&lt;&gt;0,G4128&lt;&gt;1),AND(H4128&lt;&gt;"",H4128&lt;&gt;0,H4128&lt;&gt;1)),"Flags devem ser 0 ou 1",IF(AND(H4128=1,LEN(TRIM(I4128))=0),"Preencher nome do indicante",IF(AND(H4128&lt;&gt;1,I4128&lt;&gt;""),"Nome sem indicação interna",IF(AND(G4128=1,F4128=""),"Fechamento sem conversa",IF(OR(AND(E4128&lt;&gt;"",E4128&lt;B4128),AND(F4128&lt;&gt;"",F4128&lt;B4128)),"Evento anterior à entrada",IF(AND(F4128&lt;&gt;"",E4128=""),"Conversa sem agendamento",IF(OR(E4128&gt;TODAY(),F4128&gt;TODAY()),"Verificar evento futuro","OK"))))))))))</f>
        <v/>
      </c>
    </row>
    <row r="4129" spans="12:15">
      <c r="L4129" s="5">
        <f>IF(OR(A4129="",B4129=""),"",B4129-WEEKDAY(B4129,2)+1)</f>
        <v/>
      </c>
      <c r="M4129" s="5">
        <f>IF(L4129="","",L4129+6)</f>
        <v/>
      </c>
      <c r="N4129" s="6">
        <f>IF(OR(A4129="",B4129=""),"",DATE(YEAR(B4129),MONTH(B4129),1))</f>
        <v/>
      </c>
      <c r="O4129" s="7">
        <f>IF(COUNTA(A4129:K4129)=0,"",IF(OR(A4129="",B4129=""),"Preencher CPF e entrada",IF(COUNTIFS($A$12:$A$5011,A4129,$B$12:$B$5011,B4129)&gt;1,"CPF + dia duplicado",IF(OR(AND(G4129&lt;&gt;"",G4129&lt;&gt;0,G4129&lt;&gt;1),AND(H4129&lt;&gt;"",H4129&lt;&gt;0,H4129&lt;&gt;1)),"Flags devem ser 0 ou 1",IF(AND(H4129=1,LEN(TRIM(I4129))=0),"Preencher nome do indicante",IF(AND(H4129&lt;&gt;1,I4129&lt;&gt;""),"Nome sem indicação interna",IF(AND(G4129=1,F4129=""),"Fechamento sem conversa",IF(OR(AND(E4129&lt;&gt;"",E4129&lt;B4129),AND(F4129&lt;&gt;"",F4129&lt;B4129)),"Evento anterior à entrada",IF(AND(F4129&lt;&gt;"",E4129=""),"Conversa sem agendamento",IF(OR(E4129&gt;TODAY(),F4129&gt;TODAY()),"Verificar evento futuro","OK"))))))))))</f>
        <v/>
      </c>
    </row>
    <row r="4130" spans="12:15">
      <c r="L4130" s="5">
        <f>IF(OR(A4130="",B4130=""),"",B4130-WEEKDAY(B4130,2)+1)</f>
        <v/>
      </c>
      <c r="M4130" s="5">
        <f>IF(L4130="","",L4130+6)</f>
        <v/>
      </c>
      <c r="N4130" s="6">
        <f>IF(OR(A4130="",B4130=""),"",DATE(YEAR(B4130),MONTH(B4130),1))</f>
        <v/>
      </c>
      <c r="O4130" s="7">
        <f>IF(COUNTA(A4130:K4130)=0,"",IF(OR(A4130="",B4130=""),"Preencher CPF e entrada",IF(COUNTIFS($A$12:$A$5011,A4130,$B$12:$B$5011,B4130)&gt;1,"CPF + dia duplicado",IF(OR(AND(G4130&lt;&gt;"",G4130&lt;&gt;0,G4130&lt;&gt;1),AND(H4130&lt;&gt;"",H4130&lt;&gt;0,H4130&lt;&gt;1)),"Flags devem ser 0 ou 1",IF(AND(H4130=1,LEN(TRIM(I4130))=0),"Preencher nome do indicante",IF(AND(H4130&lt;&gt;1,I4130&lt;&gt;""),"Nome sem indicação interna",IF(AND(G4130=1,F4130=""),"Fechamento sem conversa",IF(OR(AND(E4130&lt;&gt;"",E4130&lt;B4130),AND(F4130&lt;&gt;"",F4130&lt;B4130)),"Evento anterior à entrada",IF(AND(F4130&lt;&gt;"",E4130=""),"Conversa sem agendamento",IF(OR(E4130&gt;TODAY(),F4130&gt;TODAY()),"Verificar evento futuro","OK"))))))))))</f>
        <v/>
      </c>
    </row>
    <row r="4131" spans="12:15">
      <c r="L4131" s="5">
        <f>IF(OR(A4131="",B4131=""),"",B4131-WEEKDAY(B4131,2)+1)</f>
        <v/>
      </c>
      <c r="M4131" s="5">
        <f>IF(L4131="","",L4131+6)</f>
        <v/>
      </c>
      <c r="N4131" s="6">
        <f>IF(OR(A4131="",B4131=""),"",DATE(YEAR(B4131),MONTH(B4131),1))</f>
        <v/>
      </c>
      <c r="O4131" s="7">
        <f>IF(COUNTA(A4131:K4131)=0,"",IF(OR(A4131="",B4131=""),"Preencher CPF e entrada",IF(COUNTIFS($A$12:$A$5011,A4131,$B$12:$B$5011,B4131)&gt;1,"CPF + dia duplicado",IF(OR(AND(G4131&lt;&gt;"",G4131&lt;&gt;0,G4131&lt;&gt;1),AND(H4131&lt;&gt;"",H4131&lt;&gt;0,H4131&lt;&gt;1)),"Flags devem ser 0 ou 1",IF(AND(H4131=1,LEN(TRIM(I4131))=0),"Preencher nome do indicante",IF(AND(H4131&lt;&gt;1,I4131&lt;&gt;""),"Nome sem indicação interna",IF(AND(G4131=1,F4131=""),"Fechamento sem conversa",IF(OR(AND(E4131&lt;&gt;"",E4131&lt;B4131),AND(F4131&lt;&gt;"",F4131&lt;B4131)),"Evento anterior à entrada",IF(AND(F4131&lt;&gt;"",E4131=""),"Conversa sem agendamento",IF(OR(E4131&gt;TODAY(),F4131&gt;TODAY()),"Verificar evento futuro","OK"))))))))))</f>
        <v/>
      </c>
    </row>
    <row r="4132" spans="12:15">
      <c r="L4132" s="5">
        <f>IF(OR(A4132="",B4132=""),"",B4132-WEEKDAY(B4132,2)+1)</f>
        <v/>
      </c>
      <c r="M4132" s="5">
        <f>IF(L4132="","",L4132+6)</f>
        <v/>
      </c>
      <c r="N4132" s="6">
        <f>IF(OR(A4132="",B4132=""),"",DATE(YEAR(B4132),MONTH(B4132),1))</f>
        <v/>
      </c>
      <c r="O4132" s="7">
        <f>IF(COUNTA(A4132:K4132)=0,"",IF(OR(A4132="",B4132=""),"Preencher CPF e entrada",IF(COUNTIFS($A$12:$A$5011,A4132,$B$12:$B$5011,B4132)&gt;1,"CPF + dia duplicado",IF(OR(AND(G4132&lt;&gt;"",G4132&lt;&gt;0,G4132&lt;&gt;1),AND(H4132&lt;&gt;"",H4132&lt;&gt;0,H4132&lt;&gt;1)),"Flags devem ser 0 ou 1",IF(AND(H4132=1,LEN(TRIM(I4132))=0),"Preencher nome do indicante",IF(AND(H4132&lt;&gt;1,I4132&lt;&gt;""),"Nome sem indicação interna",IF(AND(G4132=1,F4132=""),"Fechamento sem conversa",IF(OR(AND(E4132&lt;&gt;"",E4132&lt;B4132),AND(F4132&lt;&gt;"",F4132&lt;B4132)),"Evento anterior à entrada",IF(AND(F4132&lt;&gt;"",E4132=""),"Conversa sem agendamento",IF(OR(E4132&gt;TODAY(),F4132&gt;TODAY()),"Verificar evento futuro","OK"))))))))))</f>
        <v/>
      </c>
    </row>
    <row r="4133" spans="12:15">
      <c r="L4133" s="5">
        <f>IF(OR(A4133="",B4133=""),"",B4133-WEEKDAY(B4133,2)+1)</f>
        <v/>
      </c>
      <c r="M4133" s="5">
        <f>IF(L4133="","",L4133+6)</f>
        <v/>
      </c>
      <c r="N4133" s="6">
        <f>IF(OR(A4133="",B4133=""),"",DATE(YEAR(B4133),MONTH(B4133),1))</f>
        <v/>
      </c>
      <c r="O4133" s="7">
        <f>IF(COUNTA(A4133:K4133)=0,"",IF(OR(A4133="",B4133=""),"Preencher CPF e entrada",IF(COUNTIFS($A$12:$A$5011,A4133,$B$12:$B$5011,B4133)&gt;1,"CPF + dia duplicado",IF(OR(AND(G4133&lt;&gt;"",G4133&lt;&gt;0,G4133&lt;&gt;1),AND(H4133&lt;&gt;"",H4133&lt;&gt;0,H4133&lt;&gt;1)),"Flags devem ser 0 ou 1",IF(AND(H4133=1,LEN(TRIM(I4133))=0),"Preencher nome do indicante",IF(AND(H4133&lt;&gt;1,I4133&lt;&gt;""),"Nome sem indicação interna",IF(AND(G4133=1,F4133=""),"Fechamento sem conversa",IF(OR(AND(E4133&lt;&gt;"",E4133&lt;B4133),AND(F4133&lt;&gt;"",F4133&lt;B4133)),"Evento anterior à entrada",IF(AND(F4133&lt;&gt;"",E4133=""),"Conversa sem agendamento",IF(OR(E4133&gt;TODAY(),F4133&gt;TODAY()),"Verificar evento futuro","OK"))))))))))</f>
        <v/>
      </c>
    </row>
    <row r="4134" spans="12:15">
      <c r="L4134" s="5">
        <f>IF(OR(A4134="",B4134=""),"",B4134-WEEKDAY(B4134,2)+1)</f>
        <v/>
      </c>
      <c r="M4134" s="5">
        <f>IF(L4134="","",L4134+6)</f>
        <v/>
      </c>
      <c r="N4134" s="6">
        <f>IF(OR(A4134="",B4134=""),"",DATE(YEAR(B4134),MONTH(B4134),1))</f>
        <v/>
      </c>
      <c r="O4134" s="7">
        <f>IF(COUNTA(A4134:K4134)=0,"",IF(OR(A4134="",B4134=""),"Preencher CPF e entrada",IF(COUNTIFS($A$12:$A$5011,A4134,$B$12:$B$5011,B4134)&gt;1,"CPF + dia duplicado",IF(OR(AND(G4134&lt;&gt;"",G4134&lt;&gt;0,G4134&lt;&gt;1),AND(H4134&lt;&gt;"",H4134&lt;&gt;0,H4134&lt;&gt;1)),"Flags devem ser 0 ou 1",IF(AND(H4134=1,LEN(TRIM(I4134))=0),"Preencher nome do indicante",IF(AND(H4134&lt;&gt;1,I4134&lt;&gt;""),"Nome sem indicação interna",IF(AND(G4134=1,F4134=""),"Fechamento sem conversa",IF(OR(AND(E4134&lt;&gt;"",E4134&lt;B4134),AND(F4134&lt;&gt;"",F4134&lt;B4134)),"Evento anterior à entrada",IF(AND(F4134&lt;&gt;"",E4134=""),"Conversa sem agendamento",IF(OR(E4134&gt;TODAY(),F4134&gt;TODAY()),"Verificar evento futuro","OK"))))))))))</f>
        <v/>
      </c>
    </row>
    <row r="4135" spans="12:15">
      <c r="L4135" s="5">
        <f>IF(OR(A4135="",B4135=""),"",B4135-WEEKDAY(B4135,2)+1)</f>
        <v/>
      </c>
      <c r="M4135" s="5">
        <f>IF(L4135="","",L4135+6)</f>
        <v/>
      </c>
      <c r="N4135" s="6">
        <f>IF(OR(A4135="",B4135=""),"",DATE(YEAR(B4135),MONTH(B4135),1))</f>
        <v/>
      </c>
      <c r="O4135" s="7">
        <f>IF(COUNTA(A4135:K4135)=0,"",IF(OR(A4135="",B4135=""),"Preencher CPF e entrada",IF(COUNTIFS($A$12:$A$5011,A4135,$B$12:$B$5011,B4135)&gt;1,"CPF + dia duplicado",IF(OR(AND(G4135&lt;&gt;"",G4135&lt;&gt;0,G4135&lt;&gt;1),AND(H4135&lt;&gt;"",H4135&lt;&gt;0,H4135&lt;&gt;1)),"Flags devem ser 0 ou 1",IF(AND(H4135=1,LEN(TRIM(I4135))=0),"Preencher nome do indicante",IF(AND(H4135&lt;&gt;1,I4135&lt;&gt;""),"Nome sem indicação interna",IF(AND(G4135=1,F4135=""),"Fechamento sem conversa",IF(OR(AND(E4135&lt;&gt;"",E4135&lt;B4135),AND(F4135&lt;&gt;"",F4135&lt;B4135)),"Evento anterior à entrada",IF(AND(F4135&lt;&gt;"",E4135=""),"Conversa sem agendamento",IF(OR(E4135&gt;TODAY(),F4135&gt;TODAY()),"Verificar evento futuro","OK"))))))))))</f>
        <v/>
      </c>
    </row>
    <row r="4136" spans="12:15">
      <c r="L4136" s="5">
        <f>IF(OR(A4136="",B4136=""),"",B4136-WEEKDAY(B4136,2)+1)</f>
        <v/>
      </c>
      <c r="M4136" s="5">
        <f>IF(L4136="","",L4136+6)</f>
        <v/>
      </c>
      <c r="N4136" s="6">
        <f>IF(OR(A4136="",B4136=""),"",DATE(YEAR(B4136),MONTH(B4136),1))</f>
        <v/>
      </c>
      <c r="O4136" s="7">
        <f>IF(COUNTA(A4136:K4136)=0,"",IF(OR(A4136="",B4136=""),"Preencher CPF e entrada",IF(COUNTIFS($A$12:$A$5011,A4136,$B$12:$B$5011,B4136)&gt;1,"CPF + dia duplicado",IF(OR(AND(G4136&lt;&gt;"",G4136&lt;&gt;0,G4136&lt;&gt;1),AND(H4136&lt;&gt;"",H4136&lt;&gt;0,H4136&lt;&gt;1)),"Flags devem ser 0 ou 1",IF(AND(H4136=1,LEN(TRIM(I4136))=0),"Preencher nome do indicante",IF(AND(H4136&lt;&gt;1,I4136&lt;&gt;""),"Nome sem indicação interna",IF(AND(G4136=1,F4136=""),"Fechamento sem conversa",IF(OR(AND(E4136&lt;&gt;"",E4136&lt;B4136),AND(F4136&lt;&gt;"",F4136&lt;B4136)),"Evento anterior à entrada",IF(AND(F4136&lt;&gt;"",E4136=""),"Conversa sem agendamento",IF(OR(E4136&gt;TODAY(),F4136&gt;TODAY()),"Verificar evento futuro","OK"))))))))))</f>
        <v/>
      </c>
    </row>
    <row r="4137" spans="12:15">
      <c r="L4137" s="5">
        <f>IF(OR(A4137="",B4137=""),"",B4137-WEEKDAY(B4137,2)+1)</f>
        <v/>
      </c>
      <c r="M4137" s="5">
        <f>IF(L4137="","",L4137+6)</f>
        <v/>
      </c>
      <c r="N4137" s="6">
        <f>IF(OR(A4137="",B4137=""),"",DATE(YEAR(B4137),MONTH(B4137),1))</f>
        <v/>
      </c>
      <c r="O4137" s="7">
        <f>IF(COUNTA(A4137:K4137)=0,"",IF(OR(A4137="",B4137=""),"Preencher CPF e entrada",IF(COUNTIFS($A$12:$A$5011,A4137,$B$12:$B$5011,B4137)&gt;1,"CPF + dia duplicado",IF(OR(AND(G4137&lt;&gt;"",G4137&lt;&gt;0,G4137&lt;&gt;1),AND(H4137&lt;&gt;"",H4137&lt;&gt;0,H4137&lt;&gt;1)),"Flags devem ser 0 ou 1",IF(AND(H4137=1,LEN(TRIM(I4137))=0),"Preencher nome do indicante",IF(AND(H4137&lt;&gt;1,I4137&lt;&gt;""),"Nome sem indicação interna",IF(AND(G4137=1,F4137=""),"Fechamento sem conversa",IF(OR(AND(E4137&lt;&gt;"",E4137&lt;B4137),AND(F4137&lt;&gt;"",F4137&lt;B4137)),"Evento anterior à entrada",IF(AND(F4137&lt;&gt;"",E4137=""),"Conversa sem agendamento",IF(OR(E4137&gt;TODAY(),F4137&gt;TODAY()),"Verificar evento futuro","OK"))))))))))</f>
        <v/>
      </c>
    </row>
    <row r="4138" spans="12:15">
      <c r="L4138" s="5">
        <f>IF(OR(A4138="",B4138=""),"",B4138-WEEKDAY(B4138,2)+1)</f>
        <v/>
      </c>
      <c r="M4138" s="5">
        <f>IF(L4138="","",L4138+6)</f>
        <v/>
      </c>
      <c r="N4138" s="6">
        <f>IF(OR(A4138="",B4138=""),"",DATE(YEAR(B4138),MONTH(B4138),1))</f>
        <v/>
      </c>
      <c r="O4138" s="7">
        <f>IF(COUNTA(A4138:K4138)=0,"",IF(OR(A4138="",B4138=""),"Preencher CPF e entrada",IF(COUNTIFS($A$12:$A$5011,A4138,$B$12:$B$5011,B4138)&gt;1,"CPF + dia duplicado",IF(OR(AND(G4138&lt;&gt;"",G4138&lt;&gt;0,G4138&lt;&gt;1),AND(H4138&lt;&gt;"",H4138&lt;&gt;0,H4138&lt;&gt;1)),"Flags devem ser 0 ou 1",IF(AND(H4138=1,LEN(TRIM(I4138))=0),"Preencher nome do indicante",IF(AND(H4138&lt;&gt;1,I4138&lt;&gt;""),"Nome sem indicação interna",IF(AND(G4138=1,F4138=""),"Fechamento sem conversa",IF(OR(AND(E4138&lt;&gt;"",E4138&lt;B4138),AND(F4138&lt;&gt;"",F4138&lt;B4138)),"Evento anterior à entrada",IF(AND(F4138&lt;&gt;"",E4138=""),"Conversa sem agendamento",IF(OR(E4138&gt;TODAY(),F4138&gt;TODAY()),"Verificar evento futuro","OK"))))))))))</f>
        <v/>
      </c>
    </row>
    <row r="4139" spans="12:15">
      <c r="L4139" s="5">
        <f>IF(OR(A4139="",B4139=""),"",B4139-WEEKDAY(B4139,2)+1)</f>
        <v/>
      </c>
      <c r="M4139" s="5">
        <f>IF(L4139="","",L4139+6)</f>
        <v/>
      </c>
      <c r="N4139" s="6">
        <f>IF(OR(A4139="",B4139=""),"",DATE(YEAR(B4139),MONTH(B4139),1))</f>
        <v/>
      </c>
      <c r="O4139" s="7">
        <f>IF(COUNTA(A4139:K4139)=0,"",IF(OR(A4139="",B4139=""),"Preencher CPF e entrada",IF(COUNTIFS($A$12:$A$5011,A4139,$B$12:$B$5011,B4139)&gt;1,"CPF + dia duplicado",IF(OR(AND(G4139&lt;&gt;"",G4139&lt;&gt;0,G4139&lt;&gt;1),AND(H4139&lt;&gt;"",H4139&lt;&gt;0,H4139&lt;&gt;1)),"Flags devem ser 0 ou 1",IF(AND(H4139=1,LEN(TRIM(I4139))=0),"Preencher nome do indicante",IF(AND(H4139&lt;&gt;1,I4139&lt;&gt;""),"Nome sem indicação interna",IF(AND(G4139=1,F4139=""),"Fechamento sem conversa",IF(OR(AND(E4139&lt;&gt;"",E4139&lt;B4139),AND(F4139&lt;&gt;"",F4139&lt;B4139)),"Evento anterior à entrada",IF(AND(F4139&lt;&gt;"",E4139=""),"Conversa sem agendamento",IF(OR(E4139&gt;TODAY(),F4139&gt;TODAY()),"Verificar evento futuro","OK"))))))))))</f>
        <v/>
      </c>
    </row>
    <row r="4140" spans="12:15">
      <c r="L4140" s="5">
        <f>IF(OR(A4140="",B4140=""),"",B4140-WEEKDAY(B4140,2)+1)</f>
        <v/>
      </c>
      <c r="M4140" s="5">
        <f>IF(L4140="","",L4140+6)</f>
        <v/>
      </c>
      <c r="N4140" s="6">
        <f>IF(OR(A4140="",B4140=""),"",DATE(YEAR(B4140),MONTH(B4140),1))</f>
        <v/>
      </c>
      <c r="O4140" s="7">
        <f>IF(COUNTA(A4140:K4140)=0,"",IF(OR(A4140="",B4140=""),"Preencher CPF e entrada",IF(COUNTIFS($A$12:$A$5011,A4140,$B$12:$B$5011,B4140)&gt;1,"CPF + dia duplicado",IF(OR(AND(G4140&lt;&gt;"",G4140&lt;&gt;0,G4140&lt;&gt;1),AND(H4140&lt;&gt;"",H4140&lt;&gt;0,H4140&lt;&gt;1)),"Flags devem ser 0 ou 1",IF(AND(H4140=1,LEN(TRIM(I4140))=0),"Preencher nome do indicante",IF(AND(H4140&lt;&gt;1,I4140&lt;&gt;""),"Nome sem indicação interna",IF(AND(G4140=1,F4140=""),"Fechamento sem conversa",IF(OR(AND(E4140&lt;&gt;"",E4140&lt;B4140),AND(F4140&lt;&gt;"",F4140&lt;B4140)),"Evento anterior à entrada",IF(AND(F4140&lt;&gt;"",E4140=""),"Conversa sem agendamento",IF(OR(E4140&gt;TODAY(),F4140&gt;TODAY()),"Verificar evento futuro","OK"))))))))))</f>
        <v/>
      </c>
    </row>
    <row r="4141" spans="12:15">
      <c r="L4141" s="5">
        <f>IF(OR(A4141="",B4141=""),"",B4141-WEEKDAY(B4141,2)+1)</f>
        <v/>
      </c>
      <c r="M4141" s="5">
        <f>IF(L4141="","",L4141+6)</f>
        <v/>
      </c>
      <c r="N4141" s="6">
        <f>IF(OR(A4141="",B4141=""),"",DATE(YEAR(B4141),MONTH(B4141),1))</f>
        <v/>
      </c>
      <c r="O4141" s="7">
        <f>IF(COUNTA(A4141:K4141)=0,"",IF(OR(A4141="",B4141=""),"Preencher CPF e entrada",IF(COUNTIFS($A$12:$A$5011,A4141,$B$12:$B$5011,B4141)&gt;1,"CPF + dia duplicado",IF(OR(AND(G4141&lt;&gt;"",G4141&lt;&gt;0,G4141&lt;&gt;1),AND(H4141&lt;&gt;"",H4141&lt;&gt;0,H4141&lt;&gt;1)),"Flags devem ser 0 ou 1",IF(AND(H4141=1,LEN(TRIM(I4141))=0),"Preencher nome do indicante",IF(AND(H4141&lt;&gt;1,I4141&lt;&gt;""),"Nome sem indicação interna",IF(AND(G4141=1,F4141=""),"Fechamento sem conversa",IF(OR(AND(E4141&lt;&gt;"",E4141&lt;B4141),AND(F4141&lt;&gt;"",F4141&lt;B4141)),"Evento anterior à entrada",IF(AND(F4141&lt;&gt;"",E4141=""),"Conversa sem agendamento",IF(OR(E4141&gt;TODAY(),F4141&gt;TODAY()),"Verificar evento futuro","OK"))))))))))</f>
        <v/>
      </c>
    </row>
    <row r="4142" spans="12:15">
      <c r="L4142" s="5">
        <f>IF(OR(A4142="",B4142=""),"",B4142-WEEKDAY(B4142,2)+1)</f>
        <v/>
      </c>
      <c r="M4142" s="5">
        <f>IF(L4142="","",L4142+6)</f>
        <v/>
      </c>
      <c r="N4142" s="6">
        <f>IF(OR(A4142="",B4142=""),"",DATE(YEAR(B4142),MONTH(B4142),1))</f>
        <v/>
      </c>
      <c r="O4142" s="7">
        <f>IF(COUNTA(A4142:K4142)=0,"",IF(OR(A4142="",B4142=""),"Preencher CPF e entrada",IF(COUNTIFS($A$12:$A$5011,A4142,$B$12:$B$5011,B4142)&gt;1,"CPF + dia duplicado",IF(OR(AND(G4142&lt;&gt;"",G4142&lt;&gt;0,G4142&lt;&gt;1),AND(H4142&lt;&gt;"",H4142&lt;&gt;0,H4142&lt;&gt;1)),"Flags devem ser 0 ou 1",IF(AND(H4142=1,LEN(TRIM(I4142))=0),"Preencher nome do indicante",IF(AND(H4142&lt;&gt;1,I4142&lt;&gt;""),"Nome sem indicação interna",IF(AND(G4142=1,F4142=""),"Fechamento sem conversa",IF(OR(AND(E4142&lt;&gt;"",E4142&lt;B4142),AND(F4142&lt;&gt;"",F4142&lt;B4142)),"Evento anterior à entrada",IF(AND(F4142&lt;&gt;"",E4142=""),"Conversa sem agendamento",IF(OR(E4142&gt;TODAY(),F4142&gt;TODAY()),"Verificar evento futuro","OK"))))))))))</f>
        <v/>
      </c>
    </row>
    <row r="4143" spans="12:15">
      <c r="L4143" s="5">
        <f>IF(OR(A4143="",B4143=""),"",B4143-WEEKDAY(B4143,2)+1)</f>
        <v/>
      </c>
      <c r="M4143" s="5">
        <f>IF(L4143="","",L4143+6)</f>
        <v/>
      </c>
      <c r="N4143" s="6">
        <f>IF(OR(A4143="",B4143=""),"",DATE(YEAR(B4143),MONTH(B4143),1))</f>
        <v/>
      </c>
      <c r="O4143" s="7">
        <f>IF(COUNTA(A4143:K4143)=0,"",IF(OR(A4143="",B4143=""),"Preencher CPF e entrada",IF(COUNTIFS($A$12:$A$5011,A4143,$B$12:$B$5011,B4143)&gt;1,"CPF + dia duplicado",IF(OR(AND(G4143&lt;&gt;"",G4143&lt;&gt;0,G4143&lt;&gt;1),AND(H4143&lt;&gt;"",H4143&lt;&gt;0,H4143&lt;&gt;1)),"Flags devem ser 0 ou 1",IF(AND(H4143=1,LEN(TRIM(I4143))=0),"Preencher nome do indicante",IF(AND(H4143&lt;&gt;1,I4143&lt;&gt;""),"Nome sem indicação interna",IF(AND(G4143=1,F4143=""),"Fechamento sem conversa",IF(OR(AND(E4143&lt;&gt;"",E4143&lt;B4143),AND(F4143&lt;&gt;"",F4143&lt;B4143)),"Evento anterior à entrada",IF(AND(F4143&lt;&gt;"",E4143=""),"Conversa sem agendamento",IF(OR(E4143&gt;TODAY(),F4143&gt;TODAY()),"Verificar evento futuro","OK"))))))))))</f>
        <v/>
      </c>
    </row>
    <row r="4144" spans="12:15">
      <c r="L4144" s="5">
        <f>IF(OR(A4144="",B4144=""),"",B4144-WEEKDAY(B4144,2)+1)</f>
        <v/>
      </c>
      <c r="M4144" s="5">
        <f>IF(L4144="","",L4144+6)</f>
        <v/>
      </c>
      <c r="N4144" s="6">
        <f>IF(OR(A4144="",B4144=""),"",DATE(YEAR(B4144),MONTH(B4144),1))</f>
        <v/>
      </c>
      <c r="O4144" s="7">
        <f>IF(COUNTA(A4144:K4144)=0,"",IF(OR(A4144="",B4144=""),"Preencher CPF e entrada",IF(COUNTIFS($A$12:$A$5011,A4144,$B$12:$B$5011,B4144)&gt;1,"CPF + dia duplicado",IF(OR(AND(G4144&lt;&gt;"",G4144&lt;&gt;0,G4144&lt;&gt;1),AND(H4144&lt;&gt;"",H4144&lt;&gt;0,H4144&lt;&gt;1)),"Flags devem ser 0 ou 1",IF(AND(H4144=1,LEN(TRIM(I4144))=0),"Preencher nome do indicante",IF(AND(H4144&lt;&gt;1,I4144&lt;&gt;""),"Nome sem indicação interna",IF(AND(G4144=1,F4144=""),"Fechamento sem conversa",IF(OR(AND(E4144&lt;&gt;"",E4144&lt;B4144),AND(F4144&lt;&gt;"",F4144&lt;B4144)),"Evento anterior à entrada",IF(AND(F4144&lt;&gt;"",E4144=""),"Conversa sem agendamento",IF(OR(E4144&gt;TODAY(),F4144&gt;TODAY()),"Verificar evento futuro","OK"))))))))))</f>
        <v/>
      </c>
    </row>
    <row r="4145" spans="12:15">
      <c r="L4145" s="5">
        <f>IF(OR(A4145="",B4145=""),"",B4145-WEEKDAY(B4145,2)+1)</f>
        <v/>
      </c>
      <c r="M4145" s="5">
        <f>IF(L4145="","",L4145+6)</f>
        <v/>
      </c>
      <c r="N4145" s="6">
        <f>IF(OR(A4145="",B4145=""),"",DATE(YEAR(B4145),MONTH(B4145),1))</f>
        <v/>
      </c>
      <c r="O4145" s="7">
        <f>IF(COUNTA(A4145:K4145)=0,"",IF(OR(A4145="",B4145=""),"Preencher CPF e entrada",IF(COUNTIFS($A$12:$A$5011,A4145,$B$12:$B$5011,B4145)&gt;1,"CPF + dia duplicado",IF(OR(AND(G4145&lt;&gt;"",G4145&lt;&gt;0,G4145&lt;&gt;1),AND(H4145&lt;&gt;"",H4145&lt;&gt;0,H4145&lt;&gt;1)),"Flags devem ser 0 ou 1",IF(AND(H4145=1,LEN(TRIM(I4145))=0),"Preencher nome do indicante",IF(AND(H4145&lt;&gt;1,I4145&lt;&gt;""),"Nome sem indicação interna",IF(AND(G4145=1,F4145=""),"Fechamento sem conversa",IF(OR(AND(E4145&lt;&gt;"",E4145&lt;B4145),AND(F4145&lt;&gt;"",F4145&lt;B4145)),"Evento anterior à entrada",IF(AND(F4145&lt;&gt;"",E4145=""),"Conversa sem agendamento",IF(OR(E4145&gt;TODAY(),F4145&gt;TODAY()),"Verificar evento futuro","OK"))))))))))</f>
        <v/>
      </c>
    </row>
    <row r="4146" spans="12:15">
      <c r="L4146" s="5">
        <f>IF(OR(A4146="",B4146=""),"",B4146-WEEKDAY(B4146,2)+1)</f>
        <v/>
      </c>
      <c r="M4146" s="5">
        <f>IF(L4146="","",L4146+6)</f>
        <v/>
      </c>
      <c r="N4146" s="6">
        <f>IF(OR(A4146="",B4146=""),"",DATE(YEAR(B4146),MONTH(B4146),1))</f>
        <v/>
      </c>
      <c r="O4146" s="7">
        <f>IF(COUNTA(A4146:K4146)=0,"",IF(OR(A4146="",B4146=""),"Preencher CPF e entrada",IF(COUNTIFS($A$12:$A$5011,A4146,$B$12:$B$5011,B4146)&gt;1,"CPF + dia duplicado",IF(OR(AND(G4146&lt;&gt;"",G4146&lt;&gt;0,G4146&lt;&gt;1),AND(H4146&lt;&gt;"",H4146&lt;&gt;0,H4146&lt;&gt;1)),"Flags devem ser 0 ou 1",IF(AND(H4146=1,LEN(TRIM(I4146))=0),"Preencher nome do indicante",IF(AND(H4146&lt;&gt;1,I4146&lt;&gt;""),"Nome sem indicação interna",IF(AND(G4146=1,F4146=""),"Fechamento sem conversa",IF(OR(AND(E4146&lt;&gt;"",E4146&lt;B4146),AND(F4146&lt;&gt;"",F4146&lt;B4146)),"Evento anterior à entrada",IF(AND(F4146&lt;&gt;"",E4146=""),"Conversa sem agendamento",IF(OR(E4146&gt;TODAY(),F4146&gt;TODAY()),"Verificar evento futuro","OK"))))))))))</f>
        <v/>
      </c>
    </row>
    <row r="4147" spans="12:15">
      <c r="L4147" s="5">
        <f>IF(OR(A4147="",B4147=""),"",B4147-WEEKDAY(B4147,2)+1)</f>
        <v/>
      </c>
      <c r="M4147" s="5">
        <f>IF(L4147="","",L4147+6)</f>
        <v/>
      </c>
      <c r="N4147" s="6">
        <f>IF(OR(A4147="",B4147=""),"",DATE(YEAR(B4147),MONTH(B4147),1))</f>
        <v/>
      </c>
      <c r="O4147" s="7">
        <f>IF(COUNTA(A4147:K4147)=0,"",IF(OR(A4147="",B4147=""),"Preencher CPF e entrada",IF(COUNTIFS($A$12:$A$5011,A4147,$B$12:$B$5011,B4147)&gt;1,"CPF + dia duplicado",IF(OR(AND(G4147&lt;&gt;"",G4147&lt;&gt;0,G4147&lt;&gt;1),AND(H4147&lt;&gt;"",H4147&lt;&gt;0,H4147&lt;&gt;1)),"Flags devem ser 0 ou 1",IF(AND(H4147=1,LEN(TRIM(I4147))=0),"Preencher nome do indicante",IF(AND(H4147&lt;&gt;1,I4147&lt;&gt;""),"Nome sem indicação interna",IF(AND(G4147=1,F4147=""),"Fechamento sem conversa",IF(OR(AND(E4147&lt;&gt;"",E4147&lt;B4147),AND(F4147&lt;&gt;"",F4147&lt;B4147)),"Evento anterior à entrada",IF(AND(F4147&lt;&gt;"",E4147=""),"Conversa sem agendamento",IF(OR(E4147&gt;TODAY(),F4147&gt;TODAY()),"Verificar evento futuro","OK"))))))))))</f>
        <v/>
      </c>
    </row>
    <row r="4148" spans="12:15">
      <c r="L4148" s="5">
        <f>IF(OR(A4148="",B4148=""),"",B4148-WEEKDAY(B4148,2)+1)</f>
        <v/>
      </c>
      <c r="M4148" s="5">
        <f>IF(L4148="","",L4148+6)</f>
        <v/>
      </c>
      <c r="N4148" s="6">
        <f>IF(OR(A4148="",B4148=""),"",DATE(YEAR(B4148),MONTH(B4148),1))</f>
        <v/>
      </c>
      <c r="O4148" s="7">
        <f>IF(COUNTA(A4148:K4148)=0,"",IF(OR(A4148="",B4148=""),"Preencher CPF e entrada",IF(COUNTIFS($A$12:$A$5011,A4148,$B$12:$B$5011,B4148)&gt;1,"CPF + dia duplicado",IF(OR(AND(G4148&lt;&gt;"",G4148&lt;&gt;0,G4148&lt;&gt;1),AND(H4148&lt;&gt;"",H4148&lt;&gt;0,H4148&lt;&gt;1)),"Flags devem ser 0 ou 1",IF(AND(H4148=1,LEN(TRIM(I4148))=0),"Preencher nome do indicante",IF(AND(H4148&lt;&gt;1,I4148&lt;&gt;""),"Nome sem indicação interna",IF(AND(G4148=1,F4148=""),"Fechamento sem conversa",IF(OR(AND(E4148&lt;&gt;"",E4148&lt;B4148),AND(F4148&lt;&gt;"",F4148&lt;B4148)),"Evento anterior à entrada",IF(AND(F4148&lt;&gt;"",E4148=""),"Conversa sem agendamento",IF(OR(E4148&gt;TODAY(),F4148&gt;TODAY()),"Verificar evento futuro","OK"))))))))))</f>
        <v/>
      </c>
    </row>
    <row r="4149" spans="12:15">
      <c r="L4149" s="5">
        <f>IF(OR(A4149="",B4149=""),"",B4149-WEEKDAY(B4149,2)+1)</f>
        <v/>
      </c>
      <c r="M4149" s="5">
        <f>IF(L4149="","",L4149+6)</f>
        <v/>
      </c>
      <c r="N4149" s="6">
        <f>IF(OR(A4149="",B4149=""),"",DATE(YEAR(B4149),MONTH(B4149),1))</f>
        <v/>
      </c>
      <c r="O4149" s="7">
        <f>IF(COUNTA(A4149:K4149)=0,"",IF(OR(A4149="",B4149=""),"Preencher CPF e entrada",IF(COUNTIFS($A$12:$A$5011,A4149,$B$12:$B$5011,B4149)&gt;1,"CPF + dia duplicado",IF(OR(AND(G4149&lt;&gt;"",G4149&lt;&gt;0,G4149&lt;&gt;1),AND(H4149&lt;&gt;"",H4149&lt;&gt;0,H4149&lt;&gt;1)),"Flags devem ser 0 ou 1",IF(AND(H4149=1,LEN(TRIM(I4149))=0),"Preencher nome do indicante",IF(AND(H4149&lt;&gt;1,I4149&lt;&gt;""),"Nome sem indicação interna",IF(AND(G4149=1,F4149=""),"Fechamento sem conversa",IF(OR(AND(E4149&lt;&gt;"",E4149&lt;B4149),AND(F4149&lt;&gt;"",F4149&lt;B4149)),"Evento anterior à entrada",IF(AND(F4149&lt;&gt;"",E4149=""),"Conversa sem agendamento",IF(OR(E4149&gt;TODAY(),F4149&gt;TODAY()),"Verificar evento futuro","OK"))))))))))</f>
        <v/>
      </c>
    </row>
    <row r="4150" spans="12:15">
      <c r="L4150" s="5">
        <f>IF(OR(A4150="",B4150=""),"",B4150-WEEKDAY(B4150,2)+1)</f>
        <v/>
      </c>
      <c r="M4150" s="5">
        <f>IF(L4150="","",L4150+6)</f>
        <v/>
      </c>
      <c r="N4150" s="6">
        <f>IF(OR(A4150="",B4150=""),"",DATE(YEAR(B4150),MONTH(B4150),1))</f>
        <v/>
      </c>
      <c r="O4150" s="7">
        <f>IF(COUNTA(A4150:K4150)=0,"",IF(OR(A4150="",B4150=""),"Preencher CPF e entrada",IF(COUNTIFS($A$12:$A$5011,A4150,$B$12:$B$5011,B4150)&gt;1,"CPF + dia duplicado",IF(OR(AND(G4150&lt;&gt;"",G4150&lt;&gt;0,G4150&lt;&gt;1),AND(H4150&lt;&gt;"",H4150&lt;&gt;0,H4150&lt;&gt;1)),"Flags devem ser 0 ou 1",IF(AND(H4150=1,LEN(TRIM(I4150))=0),"Preencher nome do indicante",IF(AND(H4150&lt;&gt;1,I4150&lt;&gt;""),"Nome sem indicação interna",IF(AND(G4150=1,F4150=""),"Fechamento sem conversa",IF(OR(AND(E4150&lt;&gt;"",E4150&lt;B4150),AND(F4150&lt;&gt;"",F4150&lt;B4150)),"Evento anterior à entrada",IF(AND(F4150&lt;&gt;"",E4150=""),"Conversa sem agendamento",IF(OR(E4150&gt;TODAY(),F4150&gt;TODAY()),"Verificar evento futuro","OK"))))))))))</f>
        <v/>
      </c>
    </row>
    <row r="4151" spans="12:15">
      <c r="L4151" s="5">
        <f>IF(OR(A4151="",B4151=""),"",B4151-WEEKDAY(B4151,2)+1)</f>
        <v/>
      </c>
      <c r="M4151" s="5">
        <f>IF(L4151="","",L4151+6)</f>
        <v/>
      </c>
      <c r="N4151" s="6">
        <f>IF(OR(A4151="",B4151=""),"",DATE(YEAR(B4151),MONTH(B4151),1))</f>
        <v/>
      </c>
      <c r="O4151" s="7">
        <f>IF(COUNTA(A4151:K4151)=0,"",IF(OR(A4151="",B4151=""),"Preencher CPF e entrada",IF(COUNTIFS($A$12:$A$5011,A4151,$B$12:$B$5011,B4151)&gt;1,"CPF + dia duplicado",IF(OR(AND(G4151&lt;&gt;"",G4151&lt;&gt;0,G4151&lt;&gt;1),AND(H4151&lt;&gt;"",H4151&lt;&gt;0,H4151&lt;&gt;1)),"Flags devem ser 0 ou 1",IF(AND(H4151=1,LEN(TRIM(I4151))=0),"Preencher nome do indicante",IF(AND(H4151&lt;&gt;1,I4151&lt;&gt;""),"Nome sem indicação interna",IF(AND(G4151=1,F4151=""),"Fechamento sem conversa",IF(OR(AND(E4151&lt;&gt;"",E4151&lt;B4151),AND(F4151&lt;&gt;"",F4151&lt;B4151)),"Evento anterior à entrada",IF(AND(F4151&lt;&gt;"",E4151=""),"Conversa sem agendamento",IF(OR(E4151&gt;TODAY(),F4151&gt;TODAY()),"Verificar evento futuro","OK"))))))))))</f>
        <v/>
      </c>
    </row>
    <row r="4152" spans="12:15">
      <c r="L4152" s="5">
        <f>IF(OR(A4152="",B4152=""),"",B4152-WEEKDAY(B4152,2)+1)</f>
        <v/>
      </c>
      <c r="M4152" s="5">
        <f>IF(L4152="","",L4152+6)</f>
        <v/>
      </c>
      <c r="N4152" s="6">
        <f>IF(OR(A4152="",B4152=""),"",DATE(YEAR(B4152),MONTH(B4152),1))</f>
        <v/>
      </c>
      <c r="O4152" s="7">
        <f>IF(COUNTA(A4152:K4152)=0,"",IF(OR(A4152="",B4152=""),"Preencher CPF e entrada",IF(COUNTIFS($A$12:$A$5011,A4152,$B$12:$B$5011,B4152)&gt;1,"CPF + dia duplicado",IF(OR(AND(G4152&lt;&gt;"",G4152&lt;&gt;0,G4152&lt;&gt;1),AND(H4152&lt;&gt;"",H4152&lt;&gt;0,H4152&lt;&gt;1)),"Flags devem ser 0 ou 1",IF(AND(H4152=1,LEN(TRIM(I4152))=0),"Preencher nome do indicante",IF(AND(H4152&lt;&gt;1,I4152&lt;&gt;""),"Nome sem indicação interna",IF(AND(G4152=1,F4152=""),"Fechamento sem conversa",IF(OR(AND(E4152&lt;&gt;"",E4152&lt;B4152),AND(F4152&lt;&gt;"",F4152&lt;B4152)),"Evento anterior à entrada",IF(AND(F4152&lt;&gt;"",E4152=""),"Conversa sem agendamento",IF(OR(E4152&gt;TODAY(),F4152&gt;TODAY()),"Verificar evento futuro","OK"))))))))))</f>
        <v/>
      </c>
    </row>
    <row r="4153" spans="12:15">
      <c r="L4153" s="5">
        <f>IF(OR(A4153="",B4153=""),"",B4153-WEEKDAY(B4153,2)+1)</f>
        <v/>
      </c>
      <c r="M4153" s="5">
        <f>IF(L4153="","",L4153+6)</f>
        <v/>
      </c>
      <c r="N4153" s="6">
        <f>IF(OR(A4153="",B4153=""),"",DATE(YEAR(B4153),MONTH(B4153),1))</f>
        <v/>
      </c>
      <c r="O4153" s="7">
        <f>IF(COUNTA(A4153:K4153)=0,"",IF(OR(A4153="",B4153=""),"Preencher CPF e entrada",IF(COUNTIFS($A$12:$A$5011,A4153,$B$12:$B$5011,B4153)&gt;1,"CPF + dia duplicado",IF(OR(AND(G4153&lt;&gt;"",G4153&lt;&gt;0,G4153&lt;&gt;1),AND(H4153&lt;&gt;"",H4153&lt;&gt;0,H4153&lt;&gt;1)),"Flags devem ser 0 ou 1",IF(AND(H4153=1,LEN(TRIM(I4153))=0),"Preencher nome do indicante",IF(AND(H4153&lt;&gt;1,I4153&lt;&gt;""),"Nome sem indicação interna",IF(AND(G4153=1,F4153=""),"Fechamento sem conversa",IF(OR(AND(E4153&lt;&gt;"",E4153&lt;B4153),AND(F4153&lt;&gt;"",F4153&lt;B4153)),"Evento anterior à entrada",IF(AND(F4153&lt;&gt;"",E4153=""),"Conversa sem agendamento",IF(OR(E4153&gt;TODAY(),F4153&gt;TODAY()),"Verificar evento futuro","OK"))))))))))</f>
        <v/>
      </c>
    </row>
    <row r="4154" spans="12:15">
      <c r="L4154" s="5">
        <f>IF(OR(A4154="",B4154=""),"",B4154-WEEKDAY(B4154,2)+1)</f>
        <v/>
      </c>
      <c r="M4154" s="5">
        <f>IF(L4154="","",L4154+6)</f>
        <v/>
      </c>
      <c r="N4154" s="6">
        <f>IF(OR(A4154="",B4154=""),"",DATE(YEAR(B4154),MONTH(B4154),1))</f>
        <v/>
      </c>
      <c r="O4154" s="7">
        <f>IF(COUNTA(A4154:K4154)=0,"",IF(OR(A4154="",B4154=""),"Preencher CPF e entrada",IF(COUNTIFS($A$12:$A$5011,A4154,$B$12:$B$5011,B4154)&gt;1,"CPF + dia duplicado",IF(OR(AND(G4154&lt;&gt;"",G4154&lt;&gt;0,G4154&lt;&gt;1),AND(H4154&lt;&gt;"",H4154&lt;&gt;0,H4154&lt;&gt;1)),"Flags devem ser 0 ou 1",IF(AND(H4154=1,LEN(TRIM(I4154))=0),"Preencher nome do indicante",IF(AND(H4154&lt;&gt;1,I4154&lt;&gt;""),"Nome sem indicação interna",IF(AND(G4154=1,F4154=""),"Fechamento sem conversa",IF(OR(AND(E4154&lt;&gt;"",E4154&lt;B4154),AND(F4154&lt;&gt;"",F4154&lt;B4154)),"Evento anterior à entrada",IF(AND(F4154&lt;&gt;"",E4154=""),"Conversa sem agendamento",IF(OR(E4154&gt;TODAY(),F4154&gt;TODAY()),"Verificar evento futuro","OK"))))))))))</f>
        <v/>
      </c>
    </row>
    <row r="4155" spans="12:15">
      <c r="L4155" s="5">
        <f>IF(OR(A4155="",B4155=""),"",B4155-WEEKDAY(B4155,2)+1)</f>
        <v/>
      </c>
      <c r="M4155" s="5">
        <f>IF(L4155="","",L4155+6)</f>
        <v/>
      </c>
      <c r="N4155" s="6">
        <f>IF(OR(A4155="",B4155=""),"",DATE(YEAR(B4155),MONTH(B4155),1))</f>
        <v/>
      </c>
      <c r="O4155" s="7">
        <f>IF(COUNTA(A4155:K4155)=0,"",IF(OR(A4155="",B4155=""),"Preencher CPF e entrada",IF(COUNTIFS($A$12:$A$5011,A4155,$B$12:$B$5011,B4155)&gt;1,"CPF + dia duplicado",IF(OR(AND(G4155&lt;&gt;"",G4155&lt;&gt;0,G4155&lt;&gt;1),AND(H4155&lt;&gt;"",H4155&lt;&gt;0,H4155&lt;&gt;1)),"Flags devem ser 0 ou 1",IF(AND(H4155=1,LEN(TRIM(I4155))=0),"Preencher nome do indicante",IF(AND(H4155&lt;&gt;1,I4155&lt;&gt;""),"Nome sem indicação interna",IF(AND(G4155=1,F4155=""),"Fechamento sem conversa",IF(OR(AND(E4155&lt;&gt;"",E4155&lt;B4155),AND(F4155&lt;&gt;"",F4155&lt;B4155)),"Evento anterior à entrada",IF(AND(F4155&lt;&gt;"",E4155=""),"Conversa sem agendamento",IF(OR(E4155&gt;TODAY(),F4155&gt;TODAY()),"Verificar evento futuro","OK"))))))))))</f>
        <v/>
      </c>
    </row>
    <row r="4156" spans="12:15">
      <c r="L4156" s="5">
        <f>IF(OR(A4156="",B4156=""),"",B4156-WEEKDAY(B4156,2)+1)</f>
        <v/>
      </c>
      <c r="M4156" s="5">
        <f>IF(L4156="","",L4156+6)</f>
        <v/>
      </c>
      <c r="N4156" s="6">
        <f>IF(OR(A4156="",B4156=""),"",DATE(YEAR(B4156),MONTH(B4156),1))</f>
        <v/>
      </c>
      <c r="O4156" s="7">
        <f>IF(COUNTA(A4156:K4156)=0,"",IF(OR(A4156="",B4156=""),"Preencher CPF e entrada",IF(COUNTIFS($A$12:$A$5011,A4156,$B$12:$B$5011,B4156)&gt;1,"CPF + dia duplicado",IF(OR(AND(G4156&lt;&gt;"",G4156&lt;&gt;0,G4156&lt;&gt;1),AND(H4156&lt;&gt;"",H4156&lt;&gt;0,H4156&lt;&gt;1)),"Flags devem ser 0 ou 1",IF(AND(H4156=1,LEN(TRIM(I4156))=0),"Preencher nome do indicante",IF(AND(H4156&lt;&gt;1,I4156&lt;&gt;""),"Nome sem indicação interna",IF(AND(G4156=1,F4156=""),"Fechamento sem conversa",IF(OR(AND(E4156&lt;&gt;"",E4156&lt;B4156),AND(F4156&lt;&gt;"",F4156&lt;B4156)),"Evento anterior à entrada",IF(AND(F4156&lt;&gt;"",E4156=""),"Conversa sem agendamento",IF(OR(E4156&gt;TODAY(),F4156&gt;TODAY()),"Verificar evento futuro","OK"))))))))))</f>
        <v/>
      </c>
    </row>
    <row r="4157" spans="12:15">
      <c r="L4157" s="5">
        <f>IF(OR(A4157="",B4157=""),"",B4157-WEEKDAY(B4157,2)+1)</f>
        <v/>
      </c>
      <c r="M4157" s="5">
        <f>IF(L4157="","",L4157+6)</f>
        <v/>
      </c>
      <c r="N4157" s="6">
        <f>IF(OR(A4157="",B4157=""),"",DATE(YEAR(B4157),MONTH(B4157),1))</f>
        <v/>
      </c>
      <c r="O4157" s="7">
        <f>IF(COUNTA(A4157:K4157)=0,"",IF(OR(A4157="",B4157=""),"Preencher CPF e entrada",IF(COUNTIFS($A$12:$A$5011,A4157,$B$12:$B$5011,B4157)&gt;1,"CPF + dia duplicado",IF(OR(AND(G4157&lt;&gt;"",G4157&lt;&gt;0,G4157&lt;&gt;1),AND(H4157&lt;&gt;"",H4157&lt;&gt;0,H4157&lt;&gt;1)),"Flags devem ser 0 ou 1",IF(AND(H4157=1,LEN(TRIM(I4157))=0),"Preencher nome do indicante",IF(AND(H4157&lt;&gt;1,I4157&lt;&gt;""),"Nome sem indicação interna",IF(AND(G4157=1,F4157=""),"Fechamento sem conversa",IF(OR(AND(E4157&lt;&gt;"",E4157&lt;B4157),AND(F4157&lt;&gt;"",F4157&lt;B4157)),"Evento anterior à entrada",IF(AND(F4157&lt;&gt;"",E4157=""),"Conversa sem agendamento",IF(OR(E4157&gt;TODAY(),F4157&gt;TODAY()),"Verificar evento futuro","OK"))))))))))</f>
        <v/>
      </c>
    </row>
    <row r="4158" spans="12:15">
      <c r="L4158" s="5">
        <f>IF(OR(A4158="",B4158=""),"",B4158-WEEKDAY(B4158,2)+1)</f>
        <v/>
      </c>
      <c r="M4158" s="5">
        <f>IF(L4158="","",L4158+6)</f>
        <v/>
      </c>
      <c r="N4158" s="6">
        <f>IF(OR(A4158="",B4158=""),"",DATE(YEAR(B4158),MONTH(B4158),1))</f>
        <v/>
      </c>
      <c r="O4158" s="7">
        <f>IF(COUNTA(A4158:K4158)=0,"",IF(OR(A4158="",B4158=""),"Preencher CPF e entrada",IF(COUNTIFS($A$12:$A$5011,A4158,$B$12:$B$5011,B4158)&gt;1,"CPF + dia duplicado",IF(OR(AND(G4158&lt;&gt;"",G4158&lt;&gt;0,G4158&lt;&gt;1),AND(H4158&lt;&gt;"",H4158&lt;&gt;0,H4158&lt;&gt;1)),"Flags devem ser 0 ou 1",IF(AND(H4158=1,LEN(TRIM(I4158))=0),"Preencher nome do indicante",IF(AND(H4158&lt;&gt;1,I4158&lt;&gt;""),"Nome sem indicação interna",IF(AND(G4158=1,F4158=""),"Fechamento sem conversa",IF(OR(AND(E4158&lt;&gt;"",E4158&lt;B4158),AND(F4158&lt;&gt;"",F4158&lt;B4158)),"Evento anterior à entrada",IF(AND(F4158&lt;&gt;"",E4158=""),"Conversa sem agendamento",IF(OR(E4158&gt;TODAY(),F4158&gt;TODAY()),"Verificar evento futuro","OK"))))))))))</f>
        <v/>
      </c>
    </row>
    <row r="4159" spans="12:15">
      <c r="L4159" s="5">
        <f>IF(OR(A4159="",B4159=""),"",B4159-WEEKDAY(B4159,2)+1)</f>
        <v/>
      </c>
      <c r="M4159" s="5">
        <f>IF(L4159="","",L4159+6)</f>
        <v/>
      </c>
      <c r="N4159" s="6">
        <f>IF(OR(A4159="",B4159=""),"",DATE(YEAR(B4159),MONTH(B4159),1))</f>
        <v/>
      </c>
      <c r="O4159" s="7">
        <f>IF(COUNTA(A4159:K4159)=0,"",IF(OR(A4159="",B4159=""),"Preencher CPF e entrada",IF(COUNTIFS($A$12:$A$5011,A4159,$B$12:$B$5011,B4159)&gt;1,"CPF + dia duplicado",IF(OR(AND(G4159&lt;&gt;"",G4159&lt;&gt;0,G4159&lt;&gt;1),AND(H4159&lt;&gt;"",H4159&lt;&gt;0,H4159&lt;&gt;1)),"Flags devem ser 0 ou 1",IF(AND(H4159=1,LEN(TRIM(I4159))=0),"Preencher nome do indicante",IF(AND(H4159&lt;&gt;1,I4159&lt;&gt;""),"Nome sem indicação interna",IF(AND(G4159=1,F4159=""),"Fechamento sem conversa",IF(OR(AND(E4159&lt;&gt;"",E4159&lt;B4159),AND(F4159&lt;&gt;"",F4159&lt;B4159)),"Evento anterior à entrada",IF(AND(F4159&lt;&gt;"",E4159=""),"Conversa sem agendamento",IF(OR(E4159&gt;TODAY(),F4159&gt;TODAY()),"Verificar evento futuro","OK"))))))))))</f>
        <v/>
      </c>
    </row>
    <row r="4160" spans="12:15">
      <c r="L4160" s="5">
        <f>IF(OR(A4160="",B4160=""),"",B4160-WEEKDAY(B4160,2)+1)</f>
        <v/>
      </c>
      <c r="M4160" s="5">
        <f>IF(L4160="","",L4160+6)</f>
        <v/>
      </c>
      <c r="N4160" s="6">
        <f>IF(OR(A4160="",B4160=""),"",DATE(YEAR(B4160),MONTH(B4160),1))</f>
        <v/>
      </c>
      <c r="O4160" s="7">
        <f>IF(COUNTA(A4160:K4160)=0,"",IF(OR(A4160="",B4160=""),"Preencher CPF e entrada",IF(COUNTIFS($A$12:$A$5011,A4160,$B$12:$B$5011,B4160)&gt;1,"CPF + dia duplicado",IF(OR(AND(G4160&lt;&gt;"",G4160&lt;&gt;0,G4160&lt;&gt;1),AND(H4160&lt;&gt;"",H4160&lt;&gt;0,H4160&lt;&gt;1)),"Flags devem ser 0 ou 1",IF(AND(H4160=1,LEN(TRIM(I4160))=0),"Preencher nome do indicante",IF(AND(H4160&lt;&gt;1,I4160&lt;&gt;""),"Nome sem indicação interna",IF(AND(G4160=1,F4160=""),"Fechamento sem conversa",IF(OR(AND(E4160&lt;&gt;"",E4160&lt;B4160),AND(F4160&lt;&gt;"",F4160&lt;B4160)),"Evento anterior à entrada",IF(AND(F4160&lt;&gt;"",E4160=""),"Conversa sem agendamento",IF(OR(E4160&gt;TODAY(),F4160&gt;TODAY()),"Verificar evento futuro","OK"))))))))))</f>
        <v/>
      </c>
    </row>
    <row r="4161" spans="12:15">
      <c r="L4161" s="5">
        <f>IF(OR(A4161="",B4161=""),"",B4161-WEEKDAY(B4161,2)+1)</f>
        <v/>
      </c>
      <c r="M4161" s="5">
        <f>IF(L4161="","",L4161+6)</f>
        <v/>
      </c>
      <c r="N4161" s="6">
        <f>IF(OR(A4161="",B4161=""),"",DATE(YEAR(B4161),MONTH(B4161),1))</f>
        <v/>
      </c>
      <c r="O4161" s="7">
        <f>IF(COUNTA(A4161:K4161)=0,"",IF(OR(A4161="",B4161=""),"Preencher CPF e entrada",IF(COUNTIFS($A$12:$A$5011,A4161,$B$12:$B$5011,B4161)&gt;1,"CPF + dia duplicado",IF(OR(AND(G4161&lt;&gt;"",G4161&lt;&gt;0,G4161&lt;&gt;1),AND(H4161&lt;&gt;"",H4161&lt;&gt;0,H4161&lt;&gt;1)),"Flags devem ser 0 ou 1",IF(AND(H4161=1,LEN(TRIM(I4161))=0),"Preencher nome do indicante",IF(AND(H4161&lt;&gt;1,I4161&lt;&gt;""),"Nome sem indicação interna",IF(AND(G4161=1,F4161=""),"Fechamento sem conversa",IF(OR(AND(E4161&lt;&gt;"",E4161&lt;B4161),AND(F4161&lt;&gt;"",F4161&lt;B4161)),"Evento anterior à entrada",IF(AND(F4161&lt;&gt;"",E4161=""),"Conversa sem agendamento",IF(OR(E4161&gt;TODAY(),F4161&gt;TODAY()),"Verificar evento futuro","OK"))))))))))</f>
        <v/>
      </c>
    </row>
    <row r="4162" spans="12:15">
      <c r="L4162" s="5">
        <f>IF(OR(A4162="",B4162=""),"",B4162-WEEKDAY(B4162,2)+1)</f>
        <v/>
      </c>
      <c r="M4162" s="5">
        <f>IF(L4162="","",L4162+6)</f>
        <v/>
      </c>
      <c r="N4162" s="6">
        <f>IF(OR(A4162="",B4162=""),"",DATE(YEAR(B4162),MONTH(B4162),1))</f>
        <v/>
      </c>
      <c r="O4162" s="7">
        <f>IF(COUNTA(A4162:K4162)=0,"",IF(OR(A4162="",B4162=""),"Preencher CPF e entrada",IF(COUNTIFS($A$12:$A$5011,A4162,$B$12:$B$5011,B4162)&gt;1,"CPF + dia duplicado",IF(OR(AND(G4162&lt;&gt;"",G4162&lt;&gt;0,G4162&lt;&gt;1),AND(H4162&lt;&gt;"",H4162&lt;&gt;0,H4162&lt;&gt;1)),"Flags devem ser 0 ou 1",IF(AND(H4162=1,LEN(TRIM(I4162))=0),"Preencher nome do indicante",IF(AND(H4162&lt;&gt;1,I4162&lt;&gt;""),"Nome sem indicação interna",IF(AND(G4162=1,F4162=""),"Fechamento sem conversa",IF(OR(AND(E4162&lt;&gt;"",E4162&lt;B4162),AND(F4162&lt;&gt;"",F4162&lt;B4162)),"Evento anterior à entrada",IF(AND(F4162&lt;&gt;"",E4162=""),"Conversa sem agendamento",IF(OR(E4162&gt;TODAY(),F4162&gt;TODAY()),"Verificar evento futuro","OK"))))))))))</f>
        <v/>
      </c>
    </row>
    <row r="4163" spans="12:15">
      <c r="L4163" s="5">
        <f>IF(OR(A4163="",B4163=""),"",B4163-WEEKDAY(B4163,2)+1)</f>
        <v/>
      </c>
      <c r="M4163" s="5">
        <f>IF(L4163="","",L4163+6)</f>
        <v/>
      </c>
      <c r="N4163" s="6">
        <f>IF(OR(A4163="",B4163=""),"",DATE(YEAR(B4163),MONTH(B4163),1))</f>
        <v/>
      </c>
      <c r="O4163" s="7">
        <f>IF(COUNTA(A4163:K4163)=0,"",IF(OR(A4163="",B4163=""),"Preencher CPF e entrada",IF(COUNTIFS($A$12:$A$5011,A4163,$B$12:$B$5011,B4163)&gt;1,"CPF + dia duplicado",IF(OR(AND(G4163&lt;&gt;"",G4163&lt;&gt;0,G4163&lt;&gt;1),AND(H4163&lt;&gt;"",H4163&lt;&gt;0,H4163&lt;&gt;1)),"Flags devem ser 0 ou 1",IF(AND(H4163=1,LEN(TRIM(I4163))=0),"Preencher nome do indicante",IF(AND(H4163&lt;&gt;1,I4163&lt;&gt;""),"Nome sem indicação interna",IF(AND(G4163=1,F4163=""),"Fechamento sem conversa",IF(OR(AND(E4163&lt;&gt;"",E4163&lt;B4163),AND(F4163&lt;&gt;"",F4163&lt;B4163)),"Evento anterior à entrada",IF(AND(F4163&lt;&gt;"",E4163=""),"Conversa sem agendamento",IF(OR(E4163&gt;TODAY(),F4163&gt;TODAY()),"Verificar evento futuro","OK"))))))))))</f>
        <v/>
      </c>
    </row>
    <row r="4164" spans="12:15">
      <c r="L4164" s="5">
        <f>IF(OR(A4164="",B4164=""),"",B4164-WEEKDAY(B4164,2)+1)</f>
        <v/>
      </c>
      <c r="M4164" s="5">
        <f>IF(L4164="","",L4164+6)</f>
        <v/>
      </c>
      <c r="N4164" s="6">
        <f>IF(OR(A4164="",B4164=""),"",DATE(YEAR(B4164),MONTH(B4164),1))</f>
        <v/>
      </c>
      <c r="O4164" s="7">
        <f>IF(COUNTA(A4164:K4164)=0,"",IF(OR(A4164="",B4164=""),"Preencher CPF e entrada",IF(COUNTIFS($A$12:$A$5011,A4164,$B$12:$B$5011,B4164)&gt;1,"CPF + dia duplicado",IF(OR(AND(G4164&lt;&gt;"",G4164&lt;&gt;0,G4164&lt;&gt;1),AND(H4164&lt;&gt;"",H4164&lt;&gt;0,H4164&lt;&gt;1)),"Flags devem ser 0 ou 1",IF(AND(H4164=1,LEN(TRIM(I4164))=0),"Preencher nome do indicante",IF(AND(H4164&lt;&gt;1,I4164&lt;&gt;""),"Nome sem indicação interna",IF(AND(G4164=1,F4164=""),"Fechamento sem conversa",IF(OR(AND(E4164&lt;&gt;"",E4164&lt;B4164),AND(F4164&lt;&gt;"",F4164&lt;B4164)),"Evento anterior à entrada",IF(AND(F4164&lt;&gt;"",E4164=""),"Conversa sem agendamento",IF(OR(E4164&gt;TODAY(),F4164&gt;TODAY()),"Verificar evento futuro","OK"))))))))))</f>
        <v/>
      </c>
    </row>
    <row r="4165" spans="12:15">
      <c r="L4165" s="5">
        <f>IF(OR(A4165="",B4165=""),"",B4165-WEEKDAY(B4165,2)+1)</f>
        <v/>
      </c>
      <c r="M4165" s="5">
        <f>IF(L4165="","",L4165+6)</f>
        <v/>
      </c>
      <c r="N4165" s="6">
        <f>IF(OR(A4165="",B4165=""),"",DATE(YEAR(B4165),MONTH(B4165),1))</f>
        <v/>
      </c>
      <c r="O4165" s="7">
        <f>IF(COUNTA(A4165:K4165)=0,"",IF(OR(A4165="",B4165=""),"Preencher CPF e entrada",IF(COUNTIFS($A$12:$A$5011,A4165,$B$12:$B$5011,B4165)&gt;1,"CPF + dia duplicado",IF(OR(AND(G4165&lt;&gt;"",G4165&lt;&gt;0,G4165&lt;&gt;1),AND(H4165&lt;&gt;"",H4165&lt;&gt;0,H4165&lt;&gt;1)),"Flags devem ser 0 ou 1",IF(AND(H4165=1,LEN(TRIM(I4165))=0),"Preencher nome do indicante",IF(AND(H4165&lt;&gt;1,I4165&lt;&gt;""),"Nome sem indicação interna",IF(AND(G4165=1,F4165=""),"Fechamento sem conversa",IF(OR(AND(E4165&lt;&gt;"",E4165&lt;B4165),AND(F4165&lt;&gt;"",F4165&lt;B4165)),"Evento anterior à entrada",IF(AND(F4165&lt;&gt;"",E4165=""),"Conversa sem agendamento",IF(OR(E4165&gt;TODAY(),F4165&gt;TODAY()),"Verificar evento futuro","OK"))))))))))</f>
        <v/>
      </c>
    </row>
    <row r="4166" spans="12:15">
      <c r="L4166" s="5">
        <f>IF(OR(A4166="",B4166=""),"",B4166-WEEKDAY(B4166,2)+1)</f>
        <v/>
      </c>
      <c r="M4166" s="5">
        <f>IF(L4166="","",L4166+6)</f>
        <v/>
      </c>
      <c r="N4166" s="6">
        <f>IF(OR(A4166="",B4166=""),"",DATE(YEAR(B4166),MONTH(B4166),1))</f>
        <v/>
      </c>
      <c r="O4166" s="7">
        <f>IF(COUNTA(A4166:K4166)=0,"",IF(OR(A4166="",B4166=""),"Preencher CPF e entrada",IF(COUNTIFS($A$12:$A$5011,A4166,$B$12:$B$5011,B4166)&gt;1,"CPF + dia duplicado",IF(OR(AND(G4166&lt;&gt;"",G4166&lt;&gt;0,G4166&lt;&gt;1),AND(H4166&lt;&gt;"",H4166&lt;&gt;0,H4166&lt;&gt;1)),"Flags devem ser 0 ou 1",IF(AND(H4166=1,LEN(TRIM(I4166))=0),"Preencher nome do indicante",IF(AND(H4166&lt;&gt;1,I4166&lt;&gt;""),"Nome sem indicação interna",IF(AND(G4166=1,F4166=""),"Fechamento sem conversa",IF(OR(AND(E4166&lt;&gt;"",E4166&lt;B4166),AND(F4166&lt;&gt;"",F4166&lt;B4166)),"Evento anterior à entrada",IF(AND(F4166&lt;&gt;"",E4166=""),"Conversa sem agendamento",IF(OR(E4166&gt;TODAY(),F4166&gt;TODAY()),"Verificar evento futuro","OK"))))))))))</f>
        <v/>
      </c>
    </row>
    <row r="4167" spans="12:15">
      <c r="L4167" s="5">
        <f>IF(OR(A4167="",B4167=""),"",B4167-WEEKDAY(B4167,2)+1)</f>
        <v/>
      </c>
      <c r="M4167" s="5">
        <f>IF(L4167="","",L4167+6)</f>
        <v/>
      </c>
      <c r="N4167" s="6">
        <f>IF(OR(A4167="",B4167=""),"",DATE(YEAR(B4167),MONTH(B4167),1))</f>
        <v/>
      </c>
      <c r="O4167" s="7">
        <f>IF(COUNTA(A4167:K4167)=0,"",IF(OR(A4167="",B4167=""),"Preencher CPF e entrada",IF(COUNTIFS($A$12:$A$5011,A4167,$B$12:$B$5011,B4167)&gt;1,"CPF + dia duplicado",IF(OR(AND(G4167&lt;&gt;"",G4167&lt;&gt;0,G4167&lt;&gt;1),AND(H4167&lt;&gt;"",H4167&lt;&gt;0,H4167&lt;&gt;1)),"Flags devem ser 0 ou 1",IF(AND(H4167=1,LEN(TRIM(I4167))=0),"Preencher nome do indicante",IF(AND(H4167&lt;&gt;1,I4167&lt;&gt;""),"Nome sem indicação interna",IF(AND(G4167=1,F4167=""),"Fechamento sem conversa",IF(OR(AND(E4167&lt;&gt;"",E4167&lt;B4167),AND(F4167&lt;&gt;"",F4167&lt;B4167)),"Evento anterior à entrada",IF(AND(F4167&lt;&gt;"",E4167=""),"Conversa sem agendamento",IF(OR(E4167&gt;TODAY(),F4167&gt;TODAY()),"Verificar evento futuro","OK"))))))))))</f>
        <v/>
      </c>
    </row>
    <row r="4168" spans="12:15">
      <c r="L4168" s="5">
        <f>IF(OR(A4168="",B4168=""),"",B4168-WEEKDAY(B4168,2)+1)</f>
        <v/>
      </c>
      <c r="M4168" s="5">
        <f>IF(L4168="","",L4168+6)</f>
        <v/>
      </c>
      <c r="N4168" s="6">
        <f>IF(OR(A4168="",B4168=""),"",DATE(YEAR(B4168),MONTH(B4168),1))</f>
        <v/>
      </c>
      <c r="O4168" s="7">
        <f>IF(COUNTA(A4168:K4168)=0,"",IF(OR(A4168="",B4168=""),"Preencher CPF e entrada",IF(COUNTIFS($A$12:$A$5011,A4168,$B$12:$B$5011,B4168)&gt;1,"CPF + dia duplicado",IF(OR(AND(G4168&lt;&gt;"",G4168&lt;&gt;0,G4168&lt;&gt;1),AND(H4168&lt;&gt;"",H4168&lt;&gt;0,H4168&lt;&gt;1)),"Flags devem ser 0 ou 1",IF(AND(H4168=1,LEN(TRIM(I4168))=0),"Preencher nome do indicante",IF(AND(H4168&lt;&gt;1,I4168&lt;&gt;""),"Nome sem indicação interna",IF(AND(G4168=1,F4168=""),"Fechamento sem conversa",IF(OR(AND(E4168&lt;&gt;"",E4168&lt;B4168),AND(F4168&lt;&gt;"",F4168&lt;B4168)),"Evento anterior à entrada",IF(AND(F4168&lt;&gt;"",E4168=""),"Conversa sem agendamento",IF(OR(E4168&gt;TODAY(),F4168&gt;TODAY()),"Verificar evento futuro","OK"))))))))))</f>
        <v/>
      </c>
    </row>
    <row r="4169" spans="12:15">
      <c r="L4169" s="5">
        <f>IF(OR(A4169="",B4169=""),"",B4169-WEEKDAY(B4169,2)+1)</f>
        <v/>
      </c>
      <c r="M4169" s="5">
        <f>IF(L4169="","",L4169+6)</f>
        <v/>
      </c>
      <c r="N4169" s="6">
        <f>IF(OR(A4169="",B4169=""),"",DATE(YEAR(B4169),MONTH(B4169),1))</f>
        <v/>
      </c>
      <c r="O4169" s="7">
        <f>IF(COUNTA(A4169:K4169)=0,"",IF(OR(A4169="",B4169=""),"Preencher CPF e entrada",IF(COUNTIFS($A$12:$A$5011,A4169,$B$12:$B$5011,B4169)&gt;1,"CPF + dia duplicado",IF(OR(AND(G4169&lt;&gt;"",G4169&lt;&gt;0,G4169&lt;&gt;1),AND(H4169&lt;&gt;"",H4169&lt;&gt;0,H4169&lt;&gt;1)),"Flags devem ser 0 ou 1",IF(AND(H4169=1,LEN(TRIM(I4169))=0),"Preencher nome do indicante",IF(AND(H4169&lt;&gt;1,I4169&lt;&gt;""),"Nome sem indicação interna",IF(AND(G4169=1,F4169=""),"Fechamento sem conversa",IF(OR(AND(E4169&lt;&gt;"",E4169&lt;B4169),AND(F4169&lt;&gt;"",F4169&lt;B4169)),"Evento anterior à entrada",IF(AND(F4169&lt;&gt;"",E4169=""),"Conversa sem agendamento",IF(OR(E4169&gt;TODAY(),F4169&gt;TODAY()),"Verificar evento futuro","OK"))))))))))</f>
        <v/>
      </c>
    </row>
    <row r="4170" spans="12:15">
      <c r="L4170" s="5">
        <f>IF(OR(A4170="",B4170=""),"",B4170-WEEKDAY(B4170,2)+1)</f>
        <v/>
      </c>
      <c r="M4170" s="5">
        <f>IF(L4170="","",L4170+6)</f>
        <v/>
      </c>
      <c r="N4170" s="6">
        <f>IF(OR(A4170="",B4170=""),"",DATE(YEAR(B4170),MONTH(B4170),1))</f>
        <v/>
      </c>
      <c r="O4170" s="7">
        <f>IF(COUNTA(A4170:K4170)=0,"",IF(OR(A4170="",B4170=""),"Preencher CPF e entrada",IF(COUNTIFS($A$12:$A$5011,A4170,$B$12:$B$5011,B4170)&gt;1,"CPF + dia duplicado",IF(OR(AND(G4170&lt;&gt;"",G4170&lt;&gt;0,G4170&lt;&gt;1),AND(H4170&lt;&gt;"",H4170&lt;&gt;0,H4170&lt;&gt;1)),"Flags devem ser 0 ou 1",IF(AND(H4170=1,LEN(TRIM(I4170))=0),"Preencher nome do indicante",IF(AND(H4170&lt;&gt;1,I4170&lt;&gt;""),"Nome sem indicação interna",IF(AND(G4170=1,F4170=""),"Fechamento sem conversa",IF(OR(AND(E4170&lt;&gt;"",E4170&lt;B4170),AND(F4170&lt;&gt;"",F4170&lt;B4170)),"Evento anterior à entrada",IF(AND(F4170&lt;&gt;"",E4170=""),"Conversa sem agendamento",IF(OR(E4170&gt;TODAY(),F4170&gt;TODAY()),"Verificar evento futuro","OK"))))))))))</f>
        <v/>
      </c>
    </row>
    <row r="4171" spans="12:15">
      <c r="L4171" s="5">
        <f>IF(OR(A4171="",B4171=""),"",B4171-WEEKDAY(B4171,2)+1)</f>
        <v/>
      </c>
      <c r="M4171" s="5">
        <f>IF(L4171="","",L4171+6)</f>
        <v/>
      </c>
      <c r="N4171" s="6">
        <f>IF(OR(A4171="",B4171=""),"",DATE(YEAR(B4171),MONTH(B4171),1))</f>
        <v/>
      </c>
      <c r="O4171" s="7">
        <f>IF(COUNTA(A4171:K4171)=0,"",IF(OR(A4171="",B4171=""),"Preencher CPF e entrada",IF(COUNTIFS($A$12:$A$5011,A4171,$B$12:$B$5011,B4171)&gt;1,"CPF + dia duplicado",IF(OR(AND(G4171&lt;&gt;"",G4171&lt;&gt;0,G4171&lt;&gt;1),AND(H4171&lt;&gt;"",H4171&lt;&gt;0,H4171&lt;&gt;1)),"Flags devem ser 0 ou 1",IF(AND(H4171=1,LEN(TRIM(I4171))=0),"Preencher nome do indicante",IF(AND(H4171&lt;&gt;1,I4171&lt;&gt;""),"Nome sem indicação interna",IF(AND(G4171=1,F4171=""),"Fechamento sem conversa",IF(OR(AND(E4171&lt;&gt;"",E4171&lt;B4171),AND(F4171&lt;&gt;"",F4171&lt;B4171)),"Evento anterior à entrada",IF(AND(F4171&lt;&gt;"",E4171=""),"Conversa sem agendamento",IF(OR(E4171&gt;TODAY(),F4171&gt;TODAY()),"Verificar evento futuro","OK"))))))))))</f>
        <v/>
      </c>
    </row>
    <row r="4172" spans="12:15">
      <c r="L4172" s="5">
        <f>IF(OR(A4172="",B4172=""),"",B4172-WEEKDAY(B4172,2)+1)</f>
        <v/>
      </c>
      <c r="M4172" s="5">
        <f>IF(L4172="","",L4172+6)</f>
        <v/>
      </c>
      <c r="N4172" s="6">
        <f>IF(OR(A4172="",B4172=""),"",DATE(YEAR(B4172),MONTH(B4172),1))</f>
        <v/>
      </c>
      <c r="O4172" s="7">
        <f>IF(COUNTA(A4172:K4172)=0,"",IF(OR(A4172="",B4172=""),"Preencher CPF e entrada",IF(COUNTIFS($A$12:$A$5011,A4172,$B$12:$B$5011,B4172)&gt;1,"CPF + dia duplicado",IF(OR(AND(G4172&lt;&gt;"",G4172&lt;&gt;0,G4172&lt;&gt;1),AND(H4172&lt;&gt;"",H4172&lt;&gt;0,H4172&lt;&gt;1)),"Flags devem ser 0 ou 1",IF(AND(H4172=1,LEN(TRIM(I4172))=0),"Preencher nome do indicante",IF(AND(H4172&lt;&gt;1,I4172&lt;&gt;""),"Nome sem indicação interna",IF(AND(G4172=1,F4172=""),"Fechamento sem conversa",IF(OR(AND(E4172&lt;&gt;"",E4172&lt;B4172),AND(F4172&lt;&gt;"",F4172&lt;B4172)),"Evento anterior à entrada",IF(AND(F4172&lt;&gt;"",E4172=""),"Conversa sem agendamento",IF(OR(E4172&gt;TODAY(),F4172&gt;TODAY()),"Verificar evento futuro","OK"))))))))))</f>
        <v/>
      </c>
    </row>
    <row r="4173" spans="12:15">
      <c r="L4173" s="5">
        <f>IF(OR(A4173="",B4173=""),"",B4173-WEEKDAY(B4173,2)+1)</f>
        <v/>
      </c>
      <c r="M4173" s="5">
        <f>IF(L4173="","",L4173+6)</f>
        <v/>
      </c>
      <c r="N4173" s="6">
        <f>IF(OR(A4173="",B4173=""),"",DATE(YEAR(B4173),MONTH(B4173),1))</f>
        <v/>
      </c>
      <c r="O4173" s="7">
        <f>IF(COUNTA(A4173:K4173)=0,"",IF(OR(A4173="",B4173=""),"Preencher CPF e entrada",IF(COUNTIFS($A$12:$A$5011,A4173,$B$12:$B$5011,B4173)&gt;1,"CPF + dia duplicado",IF(OR(AND(G4173&lt;&gt;"",G4173&lt;&gt;0,G4173&lt;&gt;1),AND(H4173&lt;&gt;"",H4173&lt;&gt;0,H4173&lt;&gt;1)),"Flags devem ser 0 ou 1",IF(AND(H4173=1,LEN(TRIM(I4173))=0),"Preencher nome do indicante",IF(AND(H4173&lt;&gt;1,I4173&lt;&gt;""),"Nome sem indicação interna",IF(AND(G4173=1,F4173=""),"Fechamento sem conversa",IF(OR(AND(E4173&lt;&gt;"",E4173&lt;B4173),AND(F4173&lt;&gt;"",F4173&lt;B4173)),"Evento anterior à entrada",IF(AND(F4173&lt;&gt;"",E4173=""),"Conversa sem agendamento",IF(OR(E4173&gt;TODAY(),F4173&gt;TODAY()),"Verificar evento futuro","OK"))))))))))</f>
        <v/>
      </c>
    </row>
    <row r="4174" spans="12:15">
      <c r="L4174" s="5">
        <f>IF(OR(A4174="",B4174=""),"",B4174-WEEKDAY(B4174,2)+1)</f>
        <v/>
      </c>
      <c r="M4174" s="5">
        <f>IF(L4174="","",L4174+6)</f>
        <v/>
      </c>
      <c r="N4174" s="6">
        <f>IF(OR(A4174="",B4174=""),"",DATE(YEAR(B4174),MONTH(B4174),1))</f>
        <v/>
      </c>
      <c r="O4174" s="7">
        <f>IF(COUNTA(A4174:K4174)=0,"",IF(OR(A4174="",B4174=""),"Preencher CPF e entrada",IF(COUNTIFS($A$12:$A$5011,A4174,$B$12:$B$5011,B4174)&gt;1,"CPF + dia duplicado",IF(OR(AND(G4174&lt;&gt;"",G4174&lt;&gt;0,G4174&lt;&gt;1),AND(H4174&lt;&gt;"",H4174&lt;&gt;0,H4174&lt;&gt;1)),"Flags devem ser 0 ou 1",IF(AND(H4174=1,LEN(TRIM(I4174))=0),"Preencher nome do indicante",IF(AND(H4174&lt;&gt;1,I4174&lt;&gt;""),"Nome sem indicação interna",IF(AND(G4174=1,F4174=""),"Fechamento sem conversa",IF(OR(AND(E4174&lt;&gt;"",E4174&lt;B4174),AND(F4174&lt;&gt;"",F4174&lt;B4174)),"Evento anterior à entrada",IF(AND(F4174&lt;&gt;"",E4174=""),"Conversa sem agendamento",IF(OR(E4174&gt;TODAY(),F4174&gt;TODAY()),"Verificar evento futuro","OK"))))))))))</f>
        <v/>
      </c>
    </row>
    <row r="4175" spans="12:15">
      <c r="L4175" s="5">
        <f>IF(OR(A4175="",B4175=""),"",B4175-WEEKDAY(B4175,2)+1)</f>
        <v/>
      </c>
      <c r="M4175" s="5">
        <f>IF(L4175="","",L4175+6)</f>
        <v/>
      </c>
      <c r="N4175" s="6">
        <f>IF(OR(A4175="",B4175=""),"",DATE(YEAR(B4175),MONTH(B4175),1))</f>
        <v/>
      </c>
      <c r="O4175" s="7">
        <f>IF(COUNTA(A4175:K4175)=0,"",IF(OR(A4175="",B4175=""),"Preencher CPF e entrada",IF(COUNTIFS($A$12:$A$5011,A4175,$B$12:$B$5011,B4175)&gt;1,"CPF + dia duplicado",IF(OR(AND(G4175&lt;&gt;"",G4175&lt;&gt;0,G4175&lt;&gt;1),AND(H4175&lt;&gt;"",H4175&lt;&gt;0,H4175&lt;&gt;1)),"Flags devem ser 0 ou 1",IF(AND(H4175=1,LEN(TRIM(I4175))=0),"Preencher nome do indicante",IF(AND(H4175&lt;&gt;1,I4175&lt;&gt;""),"Nome sem indicação interna",IF(AND(G4175=1,F4175=""),"Fechamento sem conversa",IF(OR(AND(E4175&lt;&gt;"",E4175&lt;B4175),AND(F4175&lt;&gt;"",F4175&lt;B4175)),"Evento anterior à entrada",IF(AND(F4175&lt;&gt;"",E4175=""),"Conversa sem agendamento",IF(OR(E4175&gt;TODAY(),F4175&gt;TODAY()),"Verificar evento futuro","OK"))))))))))</f>
        <v/>
      </c>
    </row>
    <row r="4176" spans="12:15">
      <c r="L4176" s="5">
        <f>IF(OR(A4176="",B4176=""),"",B4176-WEEKDAY(B4176,2)+1)</f>
        <v/>
      </c>
      <c r="M4176" s="5">
        <f>IF(L4176="","",L4176+6)</f>
        <v/>
      </c>
      <c r="N4176" s="6">
        <f>IF(OR(A4176="",B4176=""),"",DATE(YEAR(B4176),MONTH(B4176),1))</f>
        <v/>
      </c>
      <c r="O4176" s="7">
        <f>IF(COUNTA(A4176:K4176)=0,"",IF(OR(A4176="",B4176=""),"Preencher CPF e entrada",IF(COUNTIFS($A$12:$A$5011,A4176,$B$12:$B$5011,B4176)&gt;1,"CPF + dia duplicado",IF(OR(AND(G4176&lt;&gt;"",G4176&lt;&gt;0,G4176&lt;&gt;1),AND(H4176&lt;&gt;"",H4176&lt;&gt;0,H4176&lt;&gt;1)),"Flags devem ser 0 ou 1",IF(AND(H4176=1,LEN(TRIM(I4176))=0),"Preencher nome do indicante",IF(AND(H4176&lt;&gt;1,I4176&lt;&gt;""),"Nome sem indicação interna",IF(AND(G4176=1,F4176=""),"Fechamento sem conversa",IF(OR(AND(E4176&lt;&gt;"",E4176&lt;B4176),AND(F4176&lt;&gt;"",F4176&lt;B4176)),"Evento anterior à entrada",IF(AND(F4176&lt;&gt;"",E4176=""),"Conversa sem agendamento",IF(OR(E4176&gt;TODAY(),F4176&gt;TODAY()),"Verificar evento futuro","OK"))))))))))</f>
        <v/>
      </c>
    </row>
    <row r="4177" spans="12:15">
      <c r="L4177" s="5">
        <f>IF(OR(A4177="",B4177=""),"",B4177-WEEKDAY(B4177,2)+1)</f>
        <v/>
      </c>
      <c r="M4177" s="5">
        <f>IF(L4177="","",L4177+6)</f>
        <v/>
      </c>
      <c r="N4177" s="6">
        <f>IF(OR(A4177="",B4177=""),"",DATE(YEAR(B4177),MONTH(B4177),1))</f>
        <v/>
      </c>
      <c r="O4177" s="7">
        <f>IF(COUNTA(A4177:K4177)=0,"",IF(OR(A4177="",B4177=""),"Preencher CPF e entrada",IF(COUNTIFS($A$12:$A$5011,A4177,$B$12:$B$5011,B4177)&gt;1,"CPF + dia duplicado",IF(OR(AND(G4177&lt;&gt;"",G4177&lt;&gt;0,G4177&lt;&gt;1),AND(H4177&lt;&gt;"",H4177&lt;&gt;0,H4177&lt;&gt;1)),"Flags devem ser 0 ou 1",IF(AND(H4177=1,LEN(TRIM(I4177))=0),"Preencher nome do indicante",IF(AND(H4177&lt;&gt;1,I4177&lt;&gt;""),"Nome sem indicação interna",IF(AND(G4177=1,F4177=""),"Fechamento sem conversa",IF(OR(AND(E4177&lt;&gt;"",E4177&lt;B4177),AND(F4177&lt;&gt;"",F4177&lt;B4177)),"Evento anterior à entrada",IF(AND(F4177&lt;&gt;"",E4177=""),"Conversa sem agendamento",IF(OR(E4177&gt;TODAY(),F4177&gt;TODAY()),"Verificar evento futuro","OK"))))))))))</f>
        <v/>
      </c>
    </row>
    <row r="4178" spans="12:15">
      <c r="L4178" s="5">
        <f>IF(OR(A4178="",B4178=""),"",B4178-WEEKDAY(B4178,2)+1)</f>
        <v/>
      </c>
      <c r="M4178" s="5">
        <f>IF(L4178="","",L4178+6)</f>
        <v/>
      </c>
      <c r="N4178" s="6">
        <f>IF(OR(A4178="",B4178=""),"",DATE(YEAR(B4178),MONTH(B4178),1))</f>
        <v/>
      </c>
      <c r="O4178" s="7">
        <f>IF(COUNTA(A4178:K4178)=0,"",IF(OR(A4178="",B4178=""),"Preencher CPF e entrada",IF(COUNTIFS($A$12:$A$5011,A4178,$B$12:$B$5011,B4178)&gt;1,"CPF + dia duplicado",IF(OR(AND(G4178&lt;&gt;"",G4178&lt;&gt;0,G4178&lt;&gt;1),AND(H4178&lt;&gt;"",H4178&lt;&gt;0,H4178&lt;&gt;1)),"Flags devem ser 0 ou 1",IF(AND(H4178=1,LEN(TRIM(I4178))=0),"Preencher nome do indicante",IF(AND(H4178&lt;&gt;1,I4178&lt;&gt;""),"Nome sem indicação interna",IF(AND(G4178=1,F4178=""),"Fechamento sem conversa",IF(OR(AND(E4178&lt;&gt;"",E4178&lt;B4178),AND(F4178&lt;&gt;"",F4178&lt;B4178)),"Evento anterior à entrada",IF(AND(F4178&lt;&gt;"",E4178=""),"Conversa sem agendamento",IF(OR(E4178&gt;TODAY(),F4178&gt;TODAY()),"Verificar evento futuro","OK"))))))))))</f>
        <v/>
      </c>
    </row>
    <row r="4179" spans="12:15">
      <c r="L4179" s="5">
        <f>IF(OR(A4179="",B4179=""),"",B4179-WEEKDAY(B4179,2)+1)</f>
        <v/>
      </c>
      <c r="M4179" s="5">
        <f>IF(L4179="","",L4179+6)</f>
        <v/>
      </c>
      <c r="N4179" s="6">
        <f>IF(OR(A4179="",B4179=""),"",DATE(YEAR(B4179),MONTH(B4179),1))</f>
        <v/>
      </c>
      <c r="O4179" s="7">
        <f>IF(COUNTA(A4179:K4179)=0,"",IF(OR(A4179="",B4179=""),"Preencher CPF e entrada",IF(COUNTIFS($A$12:$A$5011,A4179,$B$12:$B$5011,B4179)&gt;1,"CPF + dia duplicado",IF(OR(AND(G4179&lt;&gt;"",G4179&lt;&gt;0,G4179&lt;&gt;1),AND(H4179&lt;&gt;"",H4179&lt;&gt;0,H4179&lt;&gt;1)),"Flags devem ser 0 ou 1",IF(AND(H4179=1,LEN(TRIM(I4179))=0),"Preencher nome do indicante",IF(AND(H4179&lt;&gt;1,I4179&lt;&gt;""),"Nome sem indicação interna",IF(AND(G4179=1,F4179=""),"Fechamento sem conversa",IF(OR(AND(E4179&lt;&gt;"",E4179&lt;B4179),AND(F4179&lt;&gt;"",F4179&lt;B4179)),"Evento anterior à entrada",IF(AND(F4179&lt;&gt;"",E4179=""),"Conversa sem agendamento",IF(OR(E4179&gt;TODAY(),F4179&gt;TODAY()),"Verificar evento futuro","OK"))))))))))</f>
        <v/>
      </c>
    </row>
    <row r="4180" spans="12:15">
      <c r="L4180" s="5">
        <f>IF(OR(A4180="",B4180=""),"",B4180-WEEKDAY(B4180,2)+1)</f>
        <v/>
      </c>
      <c r="M4180" s="5">
        <f>IF(L4180="","",L4180+6)</f>
        <v/>
      </c>
      <c r="N4180" s="6">
        <f>IF(OR(A4180="",B4180=""),"",DATE(YEAR(B4180),MONTH(B4180),1))</f>
        <v/>
      </c>
      <c r="O4180" s="7">
        <f>IF(COUNTA(A4180:K4180)=0,"",IF(OR(A4180="",B4180=""),"Preencher CPF e entrada",IF(COUNTIFS($A$12:$A$5011,A4180,$B$12:$B$5011,B4180)&gt;1,"CPF + dia duplicado",IF(OR(AND(G4180&lt;&gt;"",G4180&lt;&gt;0,G4180&lt;&gt;1),AND(H4180&lt;&gt;"",H4180&lt;&gt;0,H4180&lt;&gt;1)),"Flags devem ser 0 ou 1",IF(AND(H4180=1,LEN(TRIM(I4180))=0),"Preencher nome do indicante",IF(AND(H4180&lt;&gt;1,I4180&lt;&gt;""),"Nome sem indicação interna",IF(AND(G4180=1,F4180=""),"Fechamento sem conversa",IF(OR(AND(E4180&lt;&gt;"",E4180&lt;B4180),AND(F4180&lt;&gt;"",F4180&lt;B4180)),"Evento anterior à entrada",IF(AND(F4180&lt;&gt;"",E4180=""),"Conversa sem agendamento",IF(OR(E4180&gt;TODAY(),F4180&gt;TODAY()),"Verificar evento futuro","OK"))))))))))</f>
        <v/>
      </c>
    </row>
    <row r="4181" spans="12:15">
      <c r="L4181" s="5">
        <f>IF(OR(A4181="",B4181=""),"",B4181-WEEKDAY(B4181,2)+1)</f>
        <v/>
      </c>
      <c r="M4181" s="5">
        <f>IF(L4181="","",L4181+6)</f>
        <v/>
      </c>
      <c r="N4181" s="6">
        <f>IF(OR(A4181="",B4181=""),"",DATE(YEAR(B4181),MONTH(B4181),1))</f>
        <v/>
      </c>
      <c r="O4181" s="7">
        <f>IF(COUNTA(A4181:K4181)=0,"",IF(OR(A4181="",B4181=""),"Preencher CPF e entrada",IF(COUNTIFS($A$12:$A$5011,A4181,$B$12:$B$5011,B4181)&gt;1,"CPF + dia duplicado",IF(OR(AND(G4181&lt;&gt;"",G4181&lt;&gt;0,G4181&lt;&gt;1),AND(H4181&lt;&gt;"",H4181&lt;&gt;0,H4181&lt;&gt;1)),"Flags devem ser 0 ou 1",IF(AND(H4181=1,LEN(TRIM(I4181))=0),"Preencher nome do indicante",IF(AND(H4181&lt;&gt;1,I4181&lt;&gt;""),"Nome sem indicação interna",IF(AND(G4181=1,F4181=""),"Fechamento sem conversa",IF(OR(AND(E4181&lt;&gt;"",E4181&lt;B4181),AND(F4181&lt;&gt;"",F4181&lt;B4181)),"Evento anterior à entrada",IF(AND(F4181&lt;&gt;"",E4181=""),"Conversa sem agendamento",IF(OR(E4181&gt;TODAY(),F4181&gt;TODAY()),"Verificar evento futuro","OK"))))))))))</f>
        <v/>
      </c>
    </row>
    <row r="4182" spans="12:15">
      <c r="L4182" s="5">
        <f>IF(OR(A4182="",B4182=""),"",B4182-WEEKDAY(B4182,2)+1)</f>
        <v/>
      </c>
      <c r="M4182" s="5">
        <f>IF(L4182="","",L4182+6)</f>
        <v/>
      </c>
      <c r="N4182" s="6">
        <f>IF(OR(A4182="",B4182=""),"",DATE(YEAR(B4182),MONTH(B4182),1))</f>
        <v/>
      </c>
      <c r="O4182" s="7">
        <f>IF(COUNTA(A4182:K4182)=0,"",IF(OR(A4182="",B4182=""),"Preencher CPF e entrada",IF(COUNTIFS($A$12:$A$5011,A4182,$B$12:$B$5011,B4182)&gt;1,"CPF + dia duplicado",IF(OR(AND(G4182&lt;&gt;"",G4182&lt;&gt;0,G4182&lt;&gt;1),AND(H4182&lt;&gt;"",H4182&lt;&gt;0,H4182&lt;&gt;1)),"Flags devem ser 0 ou 1",IF(AND(H4182=1,LEN(TRIM(I4182))=0),"Preencher nome do indicante",IF(AND(H4182&lt;&gt;1,I4182&lt;&gt;""),"Nome sem indicação interna",IF(AND(G4182=1,F4182=""),"Fechamento sem conversa",IF(OR(AND(E4182&lt;&gt;"",E4182&lt;B4182),AND(F4182&lt;&gt;"",F4182&lt;B4182)),"Evento anterior à entrada",IF(AND(F4182&lt;&gt;"",E4182=""),"Conversa sem agendamento",IF(OR(E4182&gt;TODAY(),F4182&gt;TODAY()),"Verificar evento futuro","OK"))))))))))</f>
        <v/>
      </c>
    </row>
    <row r="4183" spans="12:15">
      <c r="L4183" s="5">
        <f>IF(OR(A4183="",B4183=""),"",B4183-WEEKDAY(B4183,2)+1)</f>
        <v/>
      </c>
      <c r="M4183" s="5">
        <f>IF(L4183="","",L4183+6)</f>
        <v/>
      </c>
      <c r="N4183" s="6">
        <f>IF(OR(A4183="",B4183=""),"",DATE(YEAR(B4183),MONTH(B4183),1))</f>
        <v/>
      </c>
      <c r="O4183" s="7">
        <f>IF(COUNTA(A4183:K4183)=0,"",IF(OR(A4183="",B4183=""),"Preencher CPF e entrada",IF(COUNTIFS($A$12:$A$5011,A4183,$B$12:$B$5011,B4183)&gt;1,"CPF + dia duplicado",IF(OR(AND(G4183&lt;&gt;"",G4183&lt;&gt;0,G4183&lt;&gt;1),AND(H4183&lt;&gt;"",H4183&lt;&gt;0,H4183&lt;&gt;1)),"Flags devem ser 0 ou 1",IF(AND(H4183=1,LEN(TRIM(I4183))=0),"Preencher nome do indicante",IF(AND(H4183&lt;&gt;1,I4183&lt;&gt;""),"Nome sem indicação interna",IF(AND(G4183=1,F4183=""),"Fechamento sem conversa",IF(OR(AND(E4183&lt;&gt;"",E4183&lt;B4183),AND(F4183&lt;&gt;"",F4183&lt;B4183)),"Evento anterior à entrada",IF(AND(F4183&lt;&gt;"",E4183=""),"Conversa sem agendamento",IF(OR(E4183&gt;TODAY(),F4183&gt;TODAY()),"Verificar evento futuro","OK"))))))))))</f>
        <v/>
      </c>
    </row>
    <row r="4184" spans="12:15">
      <c r="L4184" s="5">
        <f>IF(OR(A4184="",B4184=""),"",B4184-WEEKDAY(B4184,2)+1)</f>
        <v/>
      </c>
      <c r="M4184" s="5">
        <f>IF(L4184="","",L4184+6)</f>
        <v/>
      </c>
      <c r="N4184" s="6">
        <f>IF(OR(A4184="",B4184=""),"",DATE(YEAR(B4184),MONTH(B4184),1))</f>
        <v/>
      </c>
      <c r="O4184" s="7">
        <f>IF(COUNTA(A4184:K4184)=0,"",IF(OR(A4184="",B4184=""),"Preencher CPF e entrada",IF(COUNTIFS($A$12:$A$5011,A4184,$B$12:$B$5011,B4184)&gt;1,"CPF + dia duplicado",IF(OR(AND(G4184&lt;&gt;"",G4184&lt;&gt;0,G4184&lt;&gt;1),AND(H4184&lt;&gt;"",H4184&lt;&gt;0,H4184&lt;&gt;1)),"Flags devem ser 0 ou 1",IF(AND(H4184=1,LEN(TRIM(I4184))=0),"Preencher nome do indicante",IF(AND(H4184&lt;&gt;1,I4184&lt;&gt;""),"Nome sem indicação interna",IF(AND(G4184=1,F4184=""),"Fechamento sem conversa",IF(OR(AND(E4184&lt;&gt;"",E4184&lt;B4184),AND(F4184&lt;&gt;"",F4184&lt;B4184)),"Evento anterior à entrada",IF(AND(F4184&lt;&gt;"",E4184=""),"Conversa sem agendamento",IF(OR(E4184&gt;TODAY(),F4184&gt;TODAY()),"Verificar evento futuro","OK"))))))))))</f>
        <v/>
      </c>
    </row>
    <row r="4185" spans="12:15">
      <c r="L4185" s="5">
        <f>IF(OR(A4185="",B4185=""),"",B4185-WEEKDAY(B4185,2)+1)</f>
        <v/>
      </c>
      <c r="M4185" s="5">
        <f>IF(L4185="","",L4185+6)</f>
        <v/>
      </c>
      <c r="N4185" s="6">
        <f>IF(OR(A4185="",B4185=""),"",DATE(YEAR(B4185),MONTH(B4185),1))</f>
        <v/>
      </c>
      <c r="O4185" s="7">
        <f>IF(COUNTA(A4185:K4185)=0,"",IF(OR(A4185="",B4185=""),"Preencher CPF e entrada",IF(COUNTIFS($A$12:$A$5011,A4185,$B$12:$B$5011,B4185)&gt;1,"CPF + dia duplicado",IF(OR(AND(G4185&lt;&gt;"",G4185&lt;&gt;0,G4185&lt;&gt;1),AND(H4185&lt;&gt;"",H4185&lt;&gt;0,H4185&lt;&gt;1)),"Flags devem ser 0 ou 1",IF(AND(H4185=1,LEN(TRIM(I4185))=0),"Preencher nome do indicante",IF(AND(H4185&lt;&gt;1,I4185&lt;&gt;""),"Nome sem indicação interna",IF(AND(G4185=1,F4185=""),"Fechamento sem conversa",IF(OR(AND(E4185&lt;&gt;"",E4185&lt;B4185),AND(F4185&lt;&gt;"",F4185&lt;B4185)),"Evento anterior à entrada",IF(AND(F4185&lt;&gt;"",E4185=""),"Conversa sem agendamento",IF(OR(E4185&gt;TODAY(),F4185&gt;TODAY()),"Verificar evento futuro","OK"))))))))))</f>
        <v/>
      </c>
    </row>
    <row r="4186" spans="12:15">
      <c r="L4186" s="5">
        <f>IF(OR(A4186="",B4186=""),"",B4186-WEEKDAY(B4186,2)+1)</f>
        <v/>
      </c>
      <c r="M4186" s="5">
        <f>IF(L4186="","",L4186+6)</f>
        <v/>
      </c>
      <c r="N4186" s="6">
        <f>IF(OR(A4186="",B4186=""),"",DATE(YEAR(B4186),MONTH(B4186),1))</f>
        <v/>
      </c>
      <c r="O4186" s="7">
        <f>IF(COUNTA(A4186:K4186)=0,"",IF(OR(A4186="",B4186=""),"Preencher CPF e entrada",IF(COUNTIFS($A$12:$A$5011,A4186,$B$12:$B$5011,B4186)&gt;1,"CPF + dia duplicado",IF(OR(AND(G4186&lt;&gt;"",G4186&lt;&gt;0,G4186&lt;&gt;1),AND(H4186&lt;&gt;"",H4186&lt;&gt;0,H4186&lt;&gt;1)),"Flags devem ser 0 ou 1",IF(AND(H4186=1,LEN(TRIM(I4186))=0),"Preencher nome do indicante",IF(AND(H4186&lt;&gt;1,I4186&lt;&gt;""),"Nome sem indicação interna",IF(AND(G4186=1,F4186=""),"Fechamento sem conversa",IF(OR(AND(E4186&lt;&gt;"",E4186&lt;B4186),AND(F4186&lt;&gt;"",F4186&lt;B4186)),"Evento anterior à entrada",IF(AND(F4186&lt;&gt;"",E4186=""),"Conversa sem agendamento",IF(OR(E4186&gt;TODAY(),F4186&gt;TODAY()),"Verificar evento futuro","OK"))))))))))</f>
        <v/>
      </c>
    </row>
    <row r="4187" spans="12:15">
      <c r="L4187" s="5">
        <f>IF(OR(A4187="",B4187=""),"",B4187-WEEKDAY(B4187,2)+1)</f>
        <v/>
      </c>
      <c r="M4187" s="5">
        <f>IF(L4187="","",L4187+6)</f>
        <v/>
      </c>
      <c r="N4187" s="6">
        <f>IF(OR(A4187="",B4187=""),"",DATE(YEAR(B4187),MONTH(B4187),1))</f>
        <v/>
      </c>
      <c r="O4187" s="7">
        <f>IF(COUNTA(A4187:K4187)=0,"",IF(OR(A4187="",B4187=""),"Preencher CPF e entrada",IF(COUNTIFS($A$12:$A$5011,A4187,$B$12:$B$5011,B4187)&gt;1,"CPF + dia duplicado",IF(OR(AND(G4187&lt;&gt;"",G4187&lt;&gt;0,G4187&lt;&gt;1),AND(H4187&lt;&gt;"",H4187&lt;&gt;0,H4187&lt;&gt;1)),"Flags devem ser 0 ou 1",IF(AND(H4187=1,LEN(TRIM(I4187))=0),"Preencher nome do indicante",IF(AND(H4187&lt;&gt;1,I4187&lt;&gt;""),"Nome sem indicação interna",IF(AND(G4187=1,F4187=""),"Fechamento sem conversa",IF(OR(AND(E4187&lt;&gt;"",E4187&lt;B4187),AND(F4187&lt;&gt;"",F4187&lt;B4187)),"Evento anterior à entrada",IF(AND(F4187&lt;&gt;"",E4187=""),"Conversa sem agendamento",IF(OR(E4187&gt;TODAY(),F4187&gt;TODAY()),"Verificar evento futuro","OK"))))))))))</f>
        <v/>
      </c>
    </row>
    <row r="4188" spans="12:15">
      <c r="L4188" s="5">
        <f>IF(OR(A4188="",B4188=""),"",B4188-WEEKDAY(B4188,2)+1)</f>
        <v/>
      </c>
      <c r="M4188" s="5">
        <f>IF(L4188="","",L4188+6)</f>
        <v/>
      </c>
      <c r="N4188" s="6">
        <f>IF(OR(A4188="",B4188=""),"",DATE(YEAR(B4188),MONTH(B4188),1))</f>
        <v/>
      </c>
      <c r="O4188" s="7">
        <f>IF(COUNTA(A4188:K4188)=0,"",IF(OR(A4188="",B4188=""),"Preencher CPF e entrada",IF(COUNTIFS($A$12:$A$5011,A4188,$B$12:$B$5011,B4188)&gt;1,"CPF + dia duplicado",IF(OR(AND(G4188&lt;&gt;"",G4188&lt;&gt;0,G4188&lt;&gt;1),AND(H4188&lt;&gt;"",H4188&lt;&gt;0,H4188&lt;&gt;1)),"Flags devem ser 0 ou 1",IF(AND(H4188=1,LEN(TRIM(I4188))=0),"Preencher nome do indicante",IF(AND(H4188&lt;&gt;1,I4188&lt;&gt;""),"Nome sem indicação interna",IF(AND(G4188=1,F4188=""),"Fechamento sem conversa",IF(OR(AND(E4188&lt;&gt;"",E4188&lt;B4188),AND(F4188&lt;&gt;"",F4188&lt;B4188)),"Evento anterior à entrada",IF(AND(F4188&lt;&gt;"",E4188=""),"Conversa sem agendamento",IF(OR(E4188&gt;TODAY(),F4188&gt;TODAY()),"Verificar evento futuro","OK"))))))))))</f>
        <v/>
      </c>
    </row>
    <row r="4189" spans="12:15">
      <c r="L4189" s="5">
        <f>IF(OR(A4189="",B4189=""),"",B4189-WEEKDAY(B4189,2)+1)</f>
        <v/>
      </c>
      <c r="M4189" s="5">
        <f>IF(L4189="","",L4189+6)</f>
        <v/>
      </c>
      <c r="N4189" s="6">
        <f>IF(OR(A4189="",B4189=""),"",DATE(YEAR(B4189),MONTH(B4189),1))</f>
        <v/>
      </c>
      <c r="O4189" s="7">
        <f>IF(COUNTA(A4189:K4189)=0,"",IF(OR(A4189="",B4189=""),"Preencher CPF e entrada",IF(COUNTIFS($A$12:$A$5011,A4189,$B$12:$B$5011,B4189)&gt;1,"CPF + dia duplicado",IF(OR(AND(G4189&lt;&gt;"",G4189&lt;&gt;0,G4189&lt;&gt;1),AND(H4189&lt;&gt;"",H4189&lt;&gt;0,H4189&lt;&gt;1)),"Flags devem ser 0 ou 1",IF(AND(H4189=1,LEN(TRIM(I4189))=0),"Preencher nome do indicante",IF(AND(H4189&lt;&gt;1,I4189&lt;&gt;""),"Nome sem indicação interna",IF(AND(G4189=1,F4189=""),"Fechamento sem conversa",IF(OR(AND(E4189&lt;&gt;"",E4189&lt;B4189),AND(F4189&lt;&gt;"",F4189&lt;B4189)),"Evento anterior à entrada",IF(AND(F4189&lt;&gt;"",E4189=""),"Conversa sem agendamento",IF(OR(E4189&gt;TODAY(),F4189&gt;TODAY()),"Verificar evento futuro","OK"))))))))))</f>
        <v/>
      </c>
    </row>
    <row r="4190" spans="12:15">
      <c r="L4190" s="5">
        <f>IF(OR(A4190="",B4190=""),"",B4190-WEEKDAY(B4190,2)+1)</f>
        <v/>
      </c>
      <c r="M4190" s="5">
        <f>IF(L4190="","",L4190+6)</f>
        <v/>
      </c>
      <c r="N4190" s="6">
        <f>IF(OR(A4190="",B4190=""),"",DATE(YEAR(B4190),MONTH(B4190),1))</f>
        <v/>
      </c>
      <c r="O4190" s="7">
        <f>IF(COUNTA(A4190:K4190)=0,"",IF(OR(A4190="",B4190=""),"Preencher CPF e entrada",IF(COUNTIFS($A$12:$A$5011,A4190,$B$12:$B$5011,B4190)&gt;1,"CPF + dia duplicado",IF(OR(AND(G4190&lt;&gt;"",G4190&lt;&gt;0,G4190&lt;&gt;1),AND(H4190&lt;&gt;"",H4190&lt;&gt;0,H4190&lt;&gt;1)),"Flags devem ser 0 ou 1",IF(AND(H4190=1,LEN(TRIM(I4190))=0),"Preencher nome do indicante",IF(AND(H4190&lt;&gt;1,I4190&lt;&gt;""),"Nome sem indicação interna",IF(AND(G4190=1,F4190=""),"Fechamento sem conversa",IF(OR(AND(E4190&lt;&gt;"",E4190&lt;B4190),AND(F4190&lt;&gt;"",F4190&lt;B4190)),"Evento anterior à entrada",IF(AND(F4190&lt;&gt;"",E4190=""),"Conversa sem agendamento",IF(OR(E4190&gt;TODAY(),F4190&gt;TODAY()),"Verificar evento futuro","OK"))))))))))</f>
        <v/>
      </c>
    </row>
    <row r="4191" spans="12:15">
      <c r="L4191" s="5">
        <f>IF(OR(A4191="",B4191=""),"",B4191-WEEKDAY(B4191,2)+1)</f>
        <v/>
      </c>
      <c r="M4191" s="5">
        <f>IF(L4191="","",L4191+6)</f>
        <v/>
      </c>
      <c r="N4191" s="6">
        <f>IF(OR(A4191="",B4191=""),"",DATE(YEAR(B4191),MONTH(B4191),1))</f>
        <v/>
      </c>
      <c r="O4191" s="7">
        <f>IF(COUNTA(A4191:K4191)=0,"",IF(OR(A4191="",B4191=""),"Preencher CPF e entrada",IF(COUNTIFS($A$12:$A$5011,A4191,$B$12:$B$5011,B4191)&gt;1,"CPF + dia duplicado",IF(OR(AND(G4191&lt;&gt;"",G4191&lt;&gt;0,G4191&lt;&gt;1),AND(H4191&lt;&gt;"",H4191&lt;&gt;0,H4191&lt;&gt;1)),"Flags devem ser 0 ou 1",IF(AND(H4191=1,LEN(TRIM(I4191))=0),"Preencher nome do indicante",IF(AND(H4191&lt;&gt;1,I4191&lt;&gt;""),"Nome sem indicação interna",IF(AND(G4191=1,F4191=""),"Fechamento sem conversa",IF(OR(AND(E4191&lt;&gt;"",E4191&lt;B4191),AND(F4191&lt;&gt;"",F4191&lt;B4191)),"Evento anterior à entrada",IF(AND(F4191&lt;&gt;"",E4191=""),"Conversa sem agendamento",IF(OR(E4191&gt;TODAY(),F4191&gt;TODAY()),"Verificar evento futuro","OK"))))))))))</f>
        <v/>
      </c>
    </row>
    <row r="4192" spans="12:15">
      <c r="L4192" s="5">
        <f>IF(OR(A4192="",B4192=""),"",B4192-WEEKDAY(B4192,2)+1)</f>
        <v/>
      </c>
      <c r="M4192" s="5">
        <f>IF(L4192="","",L4192+6)</f>
        <v/>
      </c>
      <c r="N4192" s="6">
        <f>IF(OR(A4192="",B4192=""),"",DATE(YEAR(B4192),MONTH(B4192),1))</f>
        <v/>
      </c>
      <c r="O4192" s="7">
        <f>IF(COUNTA(A4192:K4192)=0,"",IF(OR(A4192="",B4192=""),"Preencher CPF e entrada",IF(COUNTIFS($A$12:$A$5011,A4192,$B$12:$B$5011,B4192)&gt;1,"CPF + dia duplicado",IF(OR(AND(G4192&lt;&gt;"",G4192&lt;&gt;0,G4192&lt;&gt;1),AND(H4192&lt;&gt;"",H4192&lt;&gt;0,H4192&lt;&gt;1)),"Flags devem ser 0 ou 1",IF(AND(H4192=1,LEN(TRIM(I4192))=0),"Preencher nome do indicante",IF(AND(H4192&lt;&gt;1,I4192&lt;&gt;""),"Nome sem indicação interna",IF(AND(G4192=1,F4192=""),"Fechamento sem conversa",IF(OR(AND(E4192&lt;&gt;"",E4192&lt;B4192),AND(F4192&lt;&gt;"",F4192&lt;B4192)),"Evento anterior à entrada",IF(AND(F4192&lt;&gt;"",E4192=""),"Conversa sem agendamento",IF(OR(E4192&gt;TODAY(),F4192&gt;TODAY()),"Verificar evento futuro","OK"))))))))))</f>
        <v/>
      </c>
    </row>
    <row r="4193" spans="12:15">
      <c r="L4193" s="5">
        <f>IF(OR(A4193="",B4193=""),"",B4193-WEEKDAY(B4193,2)+1)</f>
        <v/>
      </c>
      <c r="M4193" s="5">
        <f>IF(L4193="","",L4193+6)</f>
        <v/>
      </c>
      <c r="N4193" s="6">
        <f>IF(OR(A4193="",B4193=""),"",DATE(YEAR(B4193),MONTH(B4193),1))</f>
        <v/>
      </c>
      <c r="O4193" s="7">
        <f>IF(COUNTA(A4193:K4193)=0,"",IF(OR(A4193="",B4193=""),"Preencher CPF e entrada",IF(COUNTIFS($A$12:$A$5011,A4193,$B$12:$B$5011,B4193)&gt;1,"CPF + dia duplicado",IF(OR(AND(G4193&lt;&gt;"",G4193&lt;&gt;0,G4193&lt;&gt;1),AND(H4193&lt;&gt;"",H4193&lt;&gt;0,H4193&lt;&gt;1)),"Flags devem ser 0 ou 1",IF(AND(H4193=1,LEN(TRIM(I4193))=0),"Preencher nome do indicante",IF(AND(H4193&lt;&gt;1,I4193&lt;&gt;""),"Nome sem indicação interna",IF(AND(G4193=1,F4193=""),"Fechamento sem conversa",IF(OR(AND(E4193&lt;&gt;"",E4193&lt;B4193),AND(F4193&lt;&gt;"",F4193&lt;B4193)),"Evento anterior à entrada",IF(AND(F4193&lt;&gt;"",E4193=""),"Conversa sem agendamento",IF(OR(E4193&gt;TODAY(),F4193&gt;TODAY()),"Verificar evento futuro","OK"))))))))))</f>
        <v/>
      </c>
    </row>
    <row r="4194" spans="12:15">
      <c r="L4194" s="5">
        <f>IF(OR(A4194="",B4194=""),"",B4194-WEEKDAY(B4194,2)+1)</f>
        <v/>
      </c>
      <c r="M4194" s="5">
        <f>IF(L4194="","",L4194+6)</f>
        <v/>
      </c>
      <c r="N4194" s="6">
        <f>IF(OR(A4194="",B4194=""),"",DATE(YEAR(B4194),MONTH(B4194),1))</f>
        <v/>
      </c>
      <c r="O4194" s="7">
        <f>IF(COUNTA(A4194:K4194)=0,"",IF(OR(A4194="",B4194=""),"Preencher CPF e entrada",IF(COUNTIFS($A$12:$A$5011,A4194,$B$12:$B$5011,B4194)&gt;1,"CPF + dia duplicado",IF(OR(AND(G4194&lt;&gt;"",G4194&lt;&gt;0,G4194&lt;&gt;1),AND(H4194&lt;&gt;"",H4194&lt;&gt;0,H4194&lt;&gt;1)),"Flags devem ser 0 ou 1",IF(AND(H4194=1,LEN(TRIM(I4194))=0),"Preencher nome do indicante",IF(AND(H4194&lt;&gt;1,I4194&lt;&gt;""),"Nome sem indicação interna",IF(AND(G4194=1,F4194=""),"Fechamento sem conversa",IF(OR(AND(E4194&lt;&gt;"",E4194&lt;B4194),AND(F4194&lt;&gt;"",F4194&lt;B4194)),"Evento anterior à entrada",IF(AND(F4194&lt;&gt;"",E4194=""),"Conversa sem agendamento",IF(OR(E4194&gt;TODAY(),F4194&gt;TODAY()),"Verificar evento futuro","OK"))))))))))</f>
        <v/>
      </c>
    </row>
    <row r="4195" spans="12:15">
      <c r="L4195" s="5">
        <f>IF(OR(A4195="",B4195=""),"",B4195-WEEKDAY(B4195,2)+1)</f>
        <v/>
      </c>
      <c r="M4195" s="5">
        <f>IF(L4195="","",L4195+6)</f>
        <v/>
      </c>
      <c r="N4195" s="6">
        <f>IF(OR(A4195="",B4195=""),"",DATE(YEAR(B4195),MONTH(B4195),1))</f>
        <v/>
      </c>
      <c r="O4195" s="7">
        <f>IF(COUNTA(A4195:K4195)=0,"",IF(OR(A4195="",B4195=""),"Preencher CPF e entrada",IF(COUNTIFS($A$12:$A$5011,A4195,$B$12:$B$5011,B4195)&gt;1,"CPF + dia duplicado",IF(OR(AND(G4195&lt;&gt;"",G4195&lt;&gt;0,G4195&lt;&gt;1),AND(H4195&lt;&gt;"",H4195&lt;&gt;0,H4195&lt;&gt;1)),"Flags devem ser 0 ou 1",IF(AND(H4195=1,LEN(TRIM(I4195))=0),"Preencher nome do indicante",IF(AND(H4195&lt;&gt;1,I4195&lt;&gt;""),"Nome sem indicação interna",IF(AND(G4195=1,F4195=""),"Fechamento sem conversa",IF(OR(AND(E4195&lt;&gt;"",E4195&lt;B4195),AND(F4195&lt;&gt;"",F4195&lt;B4195)),"Evento anterior à entrada",IF(AND(F4195&lt;&gt;"",E4195=""),"Conversa sem agendamento",IF(OR(E4195&gt;TODAY(),F4195&gt;TODAY()),"Verificar evento futuro","OK"))))))))))</f>
        <v/>
      </c>
    </row>
    <row r="4196" spans="12:15">
      <c r="L4196" s="5">
        <f>IF(OR(A4196="",B4196=""),"",B4196-WEEKDAY(B4196,2)+1)</f>
        <v/>
      </c>
      <c r="M4196" s="5">
        <f>IF(L4196="","",L4196+6)</f>
        <v/>
      </c>
      <c r="N4196" s="6">
        <f>IF(OR(A4196="",B4196=""),"",DATE(YEAR(B4196),MONTH(B4196),1))</f>
        <v/>
      </c>
      <c r="O4196" s="7">
        <f>IF(COUNTA(A4196:K4196)=0,"",IF(OR(A4196="",B4196=""),"Preencher CPF e entrada",IF(COUNTIFS($A$12:$A$5011,A4196,$B$12:$B$5011,B4196)&gt;1,"CPF + dia duplicado",IF(OR(AND(G4196&lt;&gt;"",G4196&lt;&gt;0,G4196&lt;&gt;1),AND(H4196&lt;&gt;"",H4196&lt;&gt;0,H4196&lt;&gt;1)),"Flags devem ser 0 ou 1",IF(AND(H4196=1,LEN(TRIM(I4196))=0),"Preencher nome do indicante",IF(AND(H4196&lt;&gt;1,I4196&lt;&gt;""),"Nome sem indicação interna",IF(AND(G4196=1,F4196=""),"Fechamento sem conversa",IF(OR(AND(E4196&lt;&gt;"",E4196&lt;B4196),AND(F4196&lt;&gt;"",F4196&lt;B4196)),"Evento anterior à entrada",IF(AND(F4196&lt;&gt;"",E4196=""),"Conversa sem agendamento",IF(OR(E4196&gt;TODAY(),F4196&gt;TODAY()),"Verificar evento futuro","OK"))))))))))</f>
        <v/>
      </c>
    </row>
    <row r="4197" spans="12:15">
      <c r="L4197" s="5">
        <f>IF(OR(A4197="",B4197=""),"",B4197-WEEKDAY(B4197,2)+1)</f>
        <v/>
      </c>
      <c r="M4197" s="5">
        <f>IF(L4197="","",L4197+6)</f>
        <v/>
      </c>
      <c r="N4197" s="6">
        <f>IF(OR(A4197="",B4197=""),"",DATE(YEAR(B4197),MONTH(B4197),1))</f>
        <v/>
      </c>
      <c r="O4197" s="7">
        <f>IF(COUNTA(A4197:K4197)=0,"",IF(OR(A4197="",B4197=""),"Preencher CPF e entrada",IF(COUNTIFS($A$12:$A$5011,A4197,$B$12:$B$5011,B4197)&gt;1,"CPF + dia duplicado",IF(OR(AND(G4197&lt;&gt;"",G4197&lt;&gt;0,G4197&lt;&gt;1),AND(H4197&lt;&gt;"",H4197&lt;&gt;0,H4197&lt;&gt;1)),"Flags devem ser 0 ou 1",IF(AND(H4197=1,LEN(TRIM(I4197))=0),"Preencher nome do indicante",IF(AND(H4197&lt;&gt;1,I4197&lt;&gt;""),"Nome sem indicação interna",IF(AND(G4197=1,F4197=""),"Fechamento sem conversa",IF(OR(AND(E4197&lt;&gt;"",E4197&lt;B4197),AND(F4197&lt;&gt;"",F4197&lt;B4197)),"Evento anterior à entrada",IF(AND(F4197&lt;&gt;"",E4197=""),"Conversa sem agendamento",IF(OR(E4197&gt;TODAY(),F4197&gt;TODAY()),"Verificar evento futuro","OK"))))))))))</f>
        <v/>
      </c>
    </row>
    <row r="4198" spans="12:15">
      <c r="L4198" s="5">
        <f>IF(OR(A4198="",B4198=""),"",B4198-WEEKDAY(B4198,2)+1)</f>
        <v/>
      </c>
      <c r="M4198" s="5">
        <f>IF(L4198="","",L4198+6)</f>
        <v/>
      </c>
      <c r="N4198" s="6">
        <f>IF(OR(A4198="",B4198=""),"",DATE(YEAR(B4198),MONTH(B4198),1))</f>
        <v/>
      </c>
      <c r="O4198" s="7">
        <f>IF(COUNTA(A4198:K4198)=0,"",IF(OR(A4198="",B4198=""),"Preencher CPF e entrada",IF(COUNTIFS($A$12:$A$5011,A4198,$B$12:$B$5011,B4198)&gt;1,"CPF + dia duplicado",IF(OR(AND(G4198&lt;&gt;"",G4198&lt;&gt;0,G4198&lt;&gt;1),AND(H4198&lt;&gt;"",H4198&lt;&gt;0,H4198&lt;&gt;1)),"Flags devem ser 0 ou 1",IF(AND(H4198=1,LEN(TRIM(I4198))=0),"Preencher nome do indicante",IF(AND(H4198&lt;&gt;1,I4198&lt;&gt;""),"Nome sem indicação interna",IF(AND(G4198=1,F4198=""),"Fechamento sem conversa",IF(OR(AND(E4198&lt;&gt;"",E4198&lt;B4198),AND(F4198&lt;&gt;"",F4198&lt;B4198)),"Evento anterior à entrada",IF(AND(F4198&lt;&gt;"",E4198=""),"Conversa sem agendamento",IF(OR(E4198&gt;TODAY(),F4198&gt;TODAY()),"Verificar evento futuro","OK"))))))))))</f>
        <v/>
      </c>
    </row>
    <row r="4199" spans="12:15">
      <c r="L4199" s="5">
        <f>IF(OR(A4199="",B4199=""),"",B4199-WEEKDAY(B4199,2)+1)</f>
        <v/>
      </c>
      <c r="M4199" s="5">
        <f>IF(L4199="","",L4199+6)</f>
        <v/>
      </c>
      <c r="N4199" s="6">
        <f>IF(OR(A4199="",B4199=""),"",DATE(YEAR(B4199),MONTH(B4199),1))</f>
        <v/>
      </c>
      <c r="O4199" s="7">
        <f>IF(COUNTA(A4199:K4199)=0,"",IF(OR(A4199="",B4199=""),"Preencher CPF e entrada",IF(COUNTIFS($A$12:$A$5011,A4199,$B$12:$B$5011,B4199)&gt;1,"CPF + dia duplicado",IF(OR(AND(G4199&lt;&gt;"",G4199&lt;&gt;0,G4199&lt;&gt;1),AND(H4199&lt;&gt;"",H4199&lt;&gt;0,H4199&lt;&gt;1)),"Flags devem ser 0 ou 1",IF(AND(H4199=1,LEN(TRIM(I4199))=0),"Preencher nome do indicante",IF(AND(H4199&lt;&gt;1,I4199&lt;&gt;""),"Nome sem indicação interna",IF(AND(G4199=1,F4199=""),"Fechamento sem conversa",IF(OR(AND(E4199&lt;&gt;"",E4199&lt;B4199),AND(F4199&lt;&gt;"",F4199&lt;B4199)),"Evento anterior à entrada",IF(AND(F4199&lt;&gt;"",E4199=""),"Conversa sem agendamento",IF(OR(E4199&gt;TODAY(),F4199&gt;TODAY()),"Verificar evento futuro","OK"))))))))))</f>
        <v/>
      </c>
    </row>
    <row r="4200" spans="12:15">
      <c r="L4200" s="5">
        <f>IF(OR(A4200="",B4200=""),"",B4200-WEEKDAY(B4200,2)+1)</f>
        <v/>
      </c>
      <c r="M4200" s="5">
        <f>IF(L4200="","",L4200+6)</f>
        <v/>
      </c>
      <c r="N4200" s="6">
        <f>IF(OR(A4200="",B4200=""),"",DATE(YEAR(B4200),MONTH(B4200),1))</f>
        <v/>
      </c>
      <c r="O4200" s="7">
        <f>IF(COUNTA(A4200:K4200)=0,"",IF(OR(A4200="",B4200=""),"Preencher CPF e entrada",IF(COUNTIFS($A$12:$A$5011,A4200,$B$12:$B$5011,B4200)&gt;1,"CPF + dia duplicado",IF(OR(AND(G4200&lt;&gt;"",G4200&lt;&gt;0,G4200&lt;&gt;1),AND(H4200&lt;&gt;"",H4200&lt;&gt;0,H4200&lt;&gt;1)),"Flags devem ser 0 ou 1",IF(AND(H4200=1,LEN(TRIM(I4200))=0),"Preencher nome do indicante",IF(AND(H4200&lt;&gt;1,I4200&lt;&gt;""),"Nome sem indicação interna",IF(AND(G4200=1,F4200=""),"Fechamento sem conversa",IF(OR(AND(E4200&lt;&gt;"",E4200&lt;B4200),AND(F4200&lt;&gt;"",F4200&lt;B4200)),"Evento anterior à entrada",IF(AND(F4200&lt;&gt;"",E4200=""),"Conversa sem agendamento",IF(OR(E4200&gt;TODAY(),F4200&gt;TODAY()),"Verificar evento futuro","OK"))))))))))</f>
        <v/>
      </c>
    </row>
    <row r="4201" spans="12:15">
      <c r="L4201" s="5">
        <f>IF(OR(A4201="",B4201=""),"",B4201-WEEKDAY(B4201,2)+1)</f>
        <v/>
      </c>
      <c r="M4201" s="5">
        <f>IF(L4201="","",L4201+6)</f>
        <v/>
      </c>
      <c r="N4201" s="6">
        <f>IF(OR(A4201="",B4201=""),"",DATE(YEAR(B4201),MONTH(B4201),1))</f>
        <v/>
      </c>
      <c r="O4201" s="7">
        <f>IF(COUNTA(A4201:K4201)=0,"",IF(OR(A4201="",B4201=""),"Preencher CPF e entrada",IF(COUNTIFS($A$12:$A$5011,A4201,$B$12:$B$5011,B4201)&gt;1,"CPF + dia duplicado",IF(OR(AND(G4201&lt;&gt;"",G4201&lt;&gt;0,G4201&lt;&gt;1),AND(H4201&lt;&gt;"",H4201&lt;&gt;0,H4201&lt;&gt;1)),"Flags devem ser 0 ou 1",IF(AND(H4201=1,LEN(TRIM(I4201))=0),"Preencher nome do indicante",IF(AND(H4201&lt;&gt;1,I4201&lt;&gt;""),"Nome sem indicação interna",IF(AND(G4201=1,F4201=""),"Fechamento sem conversa",IF(OR(AND(E4201&lt;&gt;"",E4201&lt;B4201),AND(F4201&lt;&gt;"",F4201&lt;B4201)),"Evento anterior à entrada",IF(AND(F4201&lt;&gt;"",E4201=""),"Conversa sem agendamento",IF(OR(E4201&gt;TODAY(),F4201&gt;TODAY()),"Verificar evento futuro","OK"))))))))))</f>
        <v/>
      </c>
    </row>
    <row r="4202" spans="12:15">
      <c r="L4202" s="5">
        <f>IF(OR(A4202="",B4202=""),"",B4202-WEEKDAY(B4202,2)+1)</f>
        <v/>
      </c>
      <c r="M4202" s="5">
        <f>IF(L4202="","",L4202+6)</f>
        <v/>
      </c>
      <c r="N4202" s="6">
        <f>IF(OR(A4202="",B4202=""),"",DATE(YEAR(B4202),MONTH(B4202),1))</f>
        <v/>
      </c>
      <c r="O4202" s="7">
        <f>IF(COUNTA(A4202:K4202)=0,"",IF(OR(A4202="",B4202=""),"Preencher CPF e entrada",IF(COUNTIFS($A$12:$A$5011,A4202,$B$12:$B$5011,B4202)&gt;1,"CPF + dia duplicado",IF(OR(AND(G4202&lt;&gt;"",G4202&lt;&gt;0,G4202&lt;&gt;1),AND(H4202&lt;&gt;"",H4202&lt;&gt;0,H4202&lt;&gt;1)),"Flags devem ser 0 ou 1",IF(AND(H4202=1,LEN(TRIM(I4202))=0),"Preencher nome do indicante",IF(AND(H4202&lt;&gt;1,I4202&lt;&gt;""),"Nome sem indicação interna",IF(AND(G4202=1,F4202=""),"Fechamento sem conversa",IF(OR(AND(E4202&lt;&gt;"",E4202&lt;B4202),AND(F4202&lt;&gt;"",F4202&lt;B4202)),"Evento anterior à entrada",IF(AND(F4202&lt;&gt;"",E4202=""),"Conversa sem agendamento",IF(OR(E4202&gt;TODAY(),F4202&gt;TODAY()),"Verificar evento futuro","OK"))))))))))</f>
        <v/>
      </c>
    </row>
    <row r="4203" spans="12:15">
      <c r="L4203" s="5">
        <f>IF(OR(A4203="",B4203=""),"",B4203-WEEKDAY(B4203,2)+1)</f>
        <v/>
      </c>
      <c r="M4203" s="5">
        <f>IF(L4203="","",L4203+6)</f>
        <v/>
      </c>
      <c r="N4203" s="6">
        <f>IF(OR(A4203="",B4203=""),"",DATE(YEAR(B4203),MONTH(B4203),1))</f>
        <v/>
      </c>
      <c r="O4203" s="7">
        <f>IF(COUNTA(A4203:K4203)=0,"",IF(OR(A4203="",B4203=""),"Preencher CPF e entrada",IF(COUNTIFS($A$12:$A$5011,A4203,$B$12:$B$5011,B4203)&gt;1,"CPF + dia duplicado",IF(OR(AND(G4203&lt;&gt;"",G4203&lt;&gt;0,G4203&lt;&gt;1),AND(H4203&lt;&gt;"",H4203&lt;&gt;0,H4203&lt;&gt;1)),"Flags devem ser 0 ou 1",IF(AND(H4203=1,LEN(TRIM(I4203))=0),"Preencher nome do indicante",IF(AND(H4203&lt;&gt;1,I4203&lt;&gt;""),"Nome sem indicação interna",IF(AND(G4203=1,F4203=""),"Fechamento sem conversa",IF(OR(AND(E4203&lt;&gt;"",E4203&lt;B4203),AND(F4203&lt;&gt;"",F4203&lt;B4203)),"Evento anterior à entrada",IF(AND(F4203&lt;&gt;"",E4203=""),"Conversa sem agendamento",IF(OR(E4203&gt;TODAY(),F4203&gt;TODAY()),"Verificar evento futuro","OK"))))))))))</f>
        <v/>
      </c>
    </row>
    <row r="4204" spans="12:15">
      <c r="L4204" s="5">
        <f>IF(OR(A4204="",B4204=""),"",B4204-WEEKDAY(B4204,2)+1)</f>
        <v/>
      </c>
      <c r="M4204" s="5">
        <f>IF(L4204="","",L4204+6)</f>
        <v/>
      </c>
      <c r="N4204" s="6">
        <f>IF(OR(A4204="",B4204=""),"",DATE(YEAR(B4204),MONTH(B4204),1))</f>
        <v/>
      </c>
      <c r="O4204" s="7">
        <f>IF(COUNTA(A4204:K4204)=0,"",IF(OR(A4204="",B4204=""),"Preencher CPF e entrada",IF(COUNTIFS($A$12:$A$5011,A4204,$B$12:$B$5011,B4204)&gt;1,"CPF + dia duplicado",IF(OR(AND(G4204&lt;&gt;"",G4204&lt;&gt;0,G4204&lt;&gt;1),AND(H4204&lt;&gt;"",H4204&lt;&gt;0,H4204&lt;&gt;1)),"Flags devem ser 0 ou 1",IF(AND(H4204=1,LEN(TRIM(I4204))=0),"Preencher nome do indicante",IF(AND(H4204&lt;&gt;1,I4204&lt;&gt;""),"Nome sem indicação interna",IF(AND(G4204=1,F4204=""),"Fechamento sem conversa",IF(OR(AND(E4204&lt;&gt;"",E4204&lt;B4204),AND(F4204&lt;&gt;"",F4204&lt;B4204)),"Evento anterior à entrada",IF(AND(F4204&lt;&gt;"",E4204=""),"Conversa sem agendamento",IF(OR(E4204&gt;TODAY(),F4204&gt;TODAY()),"Verificar evento futuro","OK"))))))))))</f>
        <v/>
      </c>
    </row>
    <row r="4205" spans="12:15">
      <c r="L4205" s="5">
        <f>IF(OR(A4205="",B4205=""),"",B4205-WEEKDAY(B4205,2)+1)</f>
        <v/>
      </c>
      <c r="M4205" s="5">
        <f>IF(L4205="","",L4205+6)</f>
        <v/>
      </c>
      <c r="N4205" s="6">
        <f>IF(OR(A4205="",B4205=""),"",DATE(YEAR(B4205),MONTH(B4205),1))</f>
        <v/>
      </c>
      <c r="O4205" s="7">
        <f>IF(COUNTA(A4205:K4205)=0,"",IF(OR(A4205="",B4205=""),"Preencher CPF e entrada",IF(COUNTIFS($A$12:$A$5011,A4205,$B$12:$B$5011,B4205)&gt;1,"CPF + dia duplicado",IF(OR(AND(G4205&lt;&gt;"",G4205&lt;&gt;0,G4205&lt;&gt;1),AND(H4205&lt;&gt;"",H4205&lt;&gt;0,H4205&lt;&gt;1)),"Flags devem ser 0 ou 1",IF(AND(H4205=1,LEN(TRIM(I4205))=0),"Preencher nome do indicante",IF(AND(H4205&lt;&gt;1,I4205&lt;&gt;""),"Nome sem indicação interna",IF(AND(G4205=1,F4205=""),"Fechamento sem conversa",IF(OR(AND(E4205&lt;&gt;"",E4205&lt;B4205),AND(F4205&lt;&gt;"",F4205&lt;B4205)),"Evento anterior à entrada",IF(AND(F4205&lt;&gt;"",E4205=""),"Conversa sem agendamento",IF(OR(E4205&gt;TODAY(),F4205&gt;TODAY()),"Verificar evento futuro","OK"))))))))))</f>
        <v/>
      </c>
    </row>
    <row r="4206" spans="12:15">
      <c r="L4206" s="5">
        <f>IF(OR(A4206="",B4206=""),"",B4206-WEEKDAY(B4206,2)+1)</f>
        <v/>
      </c>
      <c r="M4206" s="5">
        <f>IF(L4206="","",L4206+6)</f>
        <v/>
      </c>
      <c r="N4206" s="6">
        <f>IF(OR(A4206="",B4206=""),"",DATE(YEAR(B4206),MONTH(B4206),1))</f>
        <v/>
      </c>
      <c r="O4206" s="7">
        <f>IF(COUNTA(A4206:K4206)=0,"",IF(OR(A4206="",B4206=""),"Preencher CPF e entrada",IF(COUNTIFS($A$12:$A$5011,A4206,$B$12:$B$5011,B4206)&gt;1,"CPF + dia duplicado",IF(OR(AND(G4206&lt;&gt;"",G4206&lt;&gt;0,G4206&lt;&gt;1),AND(H4206&lt;&gt;"",H4206&lt;&gt;0,H4206&lt;&gt;1)),"Flags devem ser 0 ou 1",IF(AND(H4206=1,LEN(TRIM(I4206))=0),"Preencher nome do indicante",IF(AND(H4206&lt;&gt;1,I4206&lt;&gt;""),"Nome sem indicação interna",IF(AND(G4206=1,F4206=""),"Fechamento sem conversa",IF(OR(AND(E4206&lt;&gt;"",E4206&lt;B4206),AND(F4206&lt;&gt;"",F4206&lt;B4206)),"Evento anterior à entrada",IF(AND(F4206&lt;&gt;"",E4206=""),"Conversa sem agendamento",IF(OR(E4206&gt;TODAY(),F4206&gt;TODAY()),"Verificar evento futuro","OK"))))))))))</f>
        <v/>
      </c>
    </row>
    <row r="4207" spans="12:15">
      <c r="L4207" s="5">
        <f>IF(OR(A4207="",B4207=""),"",B4207-WEEKDAY(B4207,2)+1)</f>
        <v/>
      </c>
      <c r="M4207" s="5">
        <f>IF(L4207="","",L4207+6)</f>
        <v/>
      </c>
      <c r="N4207" s="6">
        <f>IF(OR(A4207="",B4207=""),"",DATE(YEAR(B4207),MONTH(B4207),1))</f>
        <v/>
      </c>
      <c r="O4207" s="7">
        <f>IF(COUNTA(A4207:K4207)=0,"",IF(OR(A4207="",B4207=""),"Preencher CPF e entrada",IF(COUNTIFS($A$12:$A$5011,A4207,$B$12:$B$5011,B4207)&gt;1,"CPF + dia duplicado",IF(OR(AND(G4207&lt;&gt;"",G4207&lt;&gt;0,G4207&lt;&gt;1),AND(H4207&lt;&gt;"",H4207&lt;&gt;0,H4207&lt;&gt;1)),"Flags devem ser 0 ou 1",IF(AND(H4207=1,LEN(TRIM(I4207))=0),"Preencher nome do indicante",IF(AND(H4207&lt;&gt;1,I4207&lt;&gt;""),"Nome sem indicação interna",IF(AND(G4207=1,F4207=""),"Fechamento sem conversa",IF(OR(AND(E4207&lt;&gt;"",E4207&lt;B4207),AND(F4207&lt;&gt;"",F4207&lt;B4207)),"Evento anterior à entrada",IF(AND(F4207&lt;&gt;"",E4207=""),"Conversa sem agendamento",IF(OR(E4207&gt;TODAY(),F4207&gt;TODAY()),"Verificar evento futuro","OK"))))))))))</f>
        <v/>
      </c>
    </row>
    <row r="4208" spans="12:15">
      <c r="L4208" s="5">
        <f>IF(OR(A4208="",B4208=""),"",B4208-WEEKDAY(B4208,2)+1)</f>
        <v/>
      </c>
      <c r="M4208" s="5">
        <f>IF(L4208="","",L4208+6)</f>
        <v/>
      </c>
      <c r="N4208" s="6">
        <f>IF(OR(A4208="",B4208=""),"",DATE(YEAR(B4208),MONTH(B4208),1))</f>
        <v/>
      </c>
      <c r="O4208" s="7">
        <f>IF(COUNTA(A4208:K4208)=0,"",IF(OR(A4208="",B4208=""),"Preencher CPF e entrada",IF(COUNTIFS($A$12:$A$5011,A4208,$B$12:$B$5011,B4208)&gt;1,"CPF + dia duplicado",IF(OR(AND(G4208&lt;&gt;"",G4208&lt;&gt;0,G4208&lt;&gt;1),AND(H4208&lt;&gt;"",H4208&lt;&gt;0,H4208&lt;&gt;1)),"Flags devem ser 0 ou 1",IF(AND(H4208=1,LEN(TRIM(I4208))=0),"Preencher nome do indicante",IF(AND(H4208&lt;&gt;1,I4208&lt;&gt;""),"Nome sem indicação interna",IF(AND(G4208=1,F4208=""),"Fechamento sem conversa",IF(OR(AND(E4208&lt;&gt;"",E4208&lt;B4208),AND(F4208&lt;&gt;"",F4208&lt;B4208)),"Evento anterior à entrada",IF(AND(F4208&lt;&gt;"",E4208=""),"Conversa sem agendamento",IF(OR(E4208&gt;TODAY(),F4208&gt;TODAY()),"Verificar evento futuro","OK"))))))))))</f>
        <v/>
      </c>
    </row>
    <row r="4209" spans="12:15">
      <c r="L4209" s="5">
        <f>IF(OR(A4209="",B4209=""),"",B4209-WEEKDAY(B4209,2)+1)</f>
        <v/>
      </c>
      <c r="M4209" s="5">
        <f>IF(L4209="","",L4209+6)</f>
        <v/>
      </c>
      <c r="N4209" s="6">
        <f>IF(OR(A4209="",B4209=""),"",DATE(YEAR(B4209),MONTH(B4209),1))</f>
        <v/>
      </c>
      <c r="O4209" s="7">
        <f>IF(COUNTA(A4209:K4209)=0,"",IF(OR(A4209="",B4209=""),"Preencher CPF e entrada",IF(COUNTIFS($A$12:$A$5011,A4209,$B$12:$B$5011,B4209)&gt;1,"CPF + dia duplicado",IF(OR(AND(G4209&lt;&gt;"",G4209&lt;&gt;0,G4209&lt;&gt;1),AND(H4209&lt;&gt;"",H4209&lt;&gt;0,H4209&lt;&gt;1)),"Flags devem ser 0 ou 1",IF(AND(H4209=1,LEN(TRIM(I4209))=0),"Preencher nome do indicante",IF(AND(H4209&lt;&gt;1,I4209&lt;&gt;""),"Nome sem indicação interna",IF(AND(G4209=1,F4209=""),"Fechamento sem conversa",IF(OR(AND(E4209&lt;&gt;"",E4209&lt;B4209),AND(F4209&lt;&gt;"",F4209&lt;B4209)),"Evento anterior à entrada",IF(AND(F4209&lt;&gt;"",E4209=""),"Conversa sem agendamento",IF(OR(E4209&gt;TODAY(),F4209&gt;TODAY()),"Verificar evento futuro","OK"))))))))))</f>
        <v/>
      </c>
    </row>
    <row r="4210" spans="12:15">
      <c r="L4210" s="5">
        <f>IF(OR(A4210="",B4210=""),"",B4210-WEEKDAY(B4210,2)+1)</f>
        <v/>
      </c>
      <c r="M4210" s="5">
        <f>IF(L4210="","",L4210+6)</f>
        <v/>
      </c>
      <c r="N4210" s="6">
        <f>IF(OR(A4210="",B4210=""),"",DATE(YEAR(B4210),MONTH(B4210),1))</f>
        <v/>
      </c>
      <c r="O4210" s="7">
        <f>IF(COUNTA(A4210:K4210)=0,"",IF(OR(A4210="",B4210=""),"Preencher CPF e entrada",IF(COUNTIFS($A$12:$A$5011,A4210,$B$12:$B$5011,B4210)&gt;1,"CPF + dia duplicado",IF(OR(AND(G4210&lt;&gt;"",G4210&lt;&gt;0,G4210&lt;&gt;1),AND(H4210&lt;&gt;"",H4210&lt;&gt;0,H4210&lt;&gt;1)),"Flags devem ser 0 ou 1",IF(AND(H4210=1,LEN(TRIM(I4210))=0),"Preencher nome do indicante",IF(AND(H4210&lt;&gt;1,I4210&lt;&gt;""),"Nome sem indicação interna",IF(AND(G4210=1,F4210=""),"Fechamento sem conversa",IF(OR(AND(E4210&lt;&gt;"",E4210&lt;B4210),AND(F4210&lt;&gt;"",F4210&lt;B4210)),"Evento anterior à entrada",IF(AND(F4210&lt;&gt;"",E4210=""),"Conversa sem agendamento",IF(OR(E4210&gt;TODAY(),F4210&gt;TODAY()),"Verificar evento futuro","OK"))))))))))</f>
        <v/>
      </c>
    </row>
    <row r="4211" spans="12:15">
      <c r="L4211" s="5">
        <f>IF(OR(A4211="",B4211=""),"",B4211-WEEKDAY(B4211,2)+1)</f>
        <v/>
      </c>
      <c r="M4211" s="5">
        <f>IF(L4211="","",L4211+6)</f>
        <v/>
      </c>
      <c r="N4211" s="6">
        <f>IF(OR(A4211="",B4211=""),"",DATE(YEAR(B4211),MONTH(B4211),1))</f>
        <v/>
      </c>
      <c r="O4211" s="7">
        <f>IF(COUNTA(A4211:K4211)=0,"",IF(OR(A4211="",B4211=""),"Preencher CPF e entrada",IF(COUNTIFS($A$12:$A$5011,A4211,$B$12:$B$5011,B4211)&gt;1,"CPF + dia duplicado",IF(OR(AND(G4211&lt;&gt;"",G4211&lt;&gt;0,G4211&lt;&gt;1),AND(H4211&lt;&gt;"",H4211&lt;&gt;0,H4211&lt;&gt;1)),"Flags devem ser 0 ou 1",IF(AND(H4211=1,LEN(TRIM(I4211))=0),"Preencher nome do indicante",IF(AND(H4211&lt;&gt;1,I4211&lt;&gt;""),"Nome sem indicação interna",IF(AND(G4211=1,F4211=""),"Fechamento sem conversa",IF(OR(AND(E4211&lt;&gt;"",E4211&lt;B4211),AND(F4211&lt;&gt;"",F4211&lt;B4211)),"Evento anterior à entrada",IF(AND(F4211&lt;&gt;"",E4211=""),"Conversa sem agendamento",IF(OR(E4211&gt;TODAY(),F4211&gt;TODAY()),"Verificar evento futuro","OK"))))))))))</f>
        <v/>
      </c>
    </row>
    <row r="4212" spans="12:15">
      <c r="L4212" s="5">
        <f>IF(OR(A4212="",B4212=""),"",B4212-WEEKDAY(B4212,2)+1)</f>
        <v/>
      </c>
      <c r="M4212" s="5">
        <f>IF(L4212="","",L4212+6)</f>
        <v/>
      </c>
      <c r="N4212" s="6">
        <f>IF(OR(A4212="",B4212=""),"",DATE(YEAR(B4212),MONTH(B4212),1))</f>
        <v/>
      </c>
      <c r="O4212" s="7">
        <f>IF(COUNTA(A4212:K4212)=0,"",IF(OR(A4212="",B4212=""),"Preencher CPF e entrada",IF(COUNTIFS($A$12:$A$5011,A4212,$B$12:$B$5011,B4212)&gt;1,"CPF + dia duplicado",IF(OR(AND(G4212&lt;&gt;"",G4212&lt;&gt;0,G4212&lt;&gt;1),AND(H4212&lt;&gt;"",H4212&lt;&gt;0,H4212&lt;&gt;1)),"Flags devem ser 0 ou 1",IF(AND(H4212=1,LEN(TRIM(I4212))=0),"Preencher nome do indicante",IF(AND(H4212&lt;&gt;1,I4212&lt;&gt;""),"Nome sem indicação interna",IF(AND(G4212=1,F4212=""),"Fechamento sem conversa",IF(OR(AND(E4212&lt;&gt;"",E4212&lt;B4212),AND(F4212&lt;&gt;"",F4212&lt;B4212)),"Evento anterior à entrada",IF(AND(F4212&lt;&gt;"",E4212=""),"Conversa sem agendamento",IF(OR(E4212&gt;TODAY(),F4212&gt;TODAY()),"Verificar evento futuro","OK"))))))))))</f>
        <v/>
      </c>
    </row>
    <row r="4213" spans="12:15">
      <c r="L4213" s="5">
        <f>IF(OR(A4213="",B4213=""),"",B4213-WEEKDAY(B4213,2)+1)</f>
        <v/>
      </c>
      <c r="M4213" s="5">
        <f>IF(L4213="","",L4213+6)</f>
        <v/>
      </c>
      <c r="N4213" s="6">
        <f>IF(OR(A4213="",B4213=""),"",DATE(YEAR(B4213),MONTH(B4213),1))</f>
        <v/>
      </c>
      <c r="O4213" s="7">
        <f>IF(COUNTA(A4213:K4213)=0,"",IF(OR(A4213="",B4213=""),"Preencher CPF e entrada",IF(COUNTIFS($A$12:$A$5011,A4213,$B$12:$B$5011,B4213)&gt;1,"CPF + dia duplicado",IF(OR(AND(G4213&lt;&gt;"",G4213&lt;&gt;0,G4213&lt;&gt;1),AND(H4213&lt;&gt;"",H4213&lt;&gt;0,H4213&lt;&gt;1)),"Flags devem ser 0 ou 1",IF(AND(H4213=1,LEN(TRIM(I4213))=0),"Preencher nome do indicante",IF(AND(H4213&lt;&gt;1,I4213&lt;&gt;""),"Nome sem indicação interna",IF(AND(G4213=1,F4213=""),"Fechamento sem conversa",IF(OR(AND(E4213&lt;&gt;"",E4213&lt;B4213),AND(F4213&lt;&gt;"",F4213&lt;B4213)),"Evento anterior à entrada",IF(AND(F4213&lt;&gt;"",E4213=""),"Conversa sem agendamento",IF(OR(E4213&gt;TODAY(),F4213&gt;TODAY()),"Verificar evento futuro","OK"))))))))))</f>
        <v/>
      </c>
    </row>
    <row r="4214" spans="12:15">
      <c r="L4214" s="5">
        <f>IF(OR(A4214="",B4214=""),"",B4214-WEEKDAY(B4214,2)+1)</f>
        <v/>
      </c>
      <c r="M4214" s="5">
        <f>IF(L4214="","",L4214+6)</f>
        <v/>
      </c>
      <c r="N4214" s="6">
        <f>IF(OR(A4214="",B4214=""),"",DATE(YEAR(B4214),MONTH(B4214),1))</f>
        <v/>
      </c>
      <c r="O4214" s="7">
        <f>IF(COUNTA(A4214:K4214)=0,"",IF(OR(A4214="",B4214=""),"Preencher CPF e entrada",IF(COUNTIFS($A$12:$A$5011,A4214,$B$12:$B$5011,B4214)&gt;1,"CPF + dia duplicado",IF(OR(AND(G4214&lt;&gt;"",G4214&lt;&gt;0,G4214&lt;&gt;1),AND(H4214&lt;&gt;"",H4214&lt;&gt;0,H4214&lt;&gt;1)),"Flags devem ser 0 ou 1",IF(AND(H4214=1,LEN(TRIM(I4214))=0),"Preencher nome do indicante",IF(AND(H4214&lt;&gt;1,I4214&lt;&gt;""),"Nome sem indicação interna",IF(AND(G4214=1,F4214=""),"Fechamento sem conversa",IF(OR(AND(E4214&lt;&gt;"",E4214&lt;B4214),AND(F4214&lt;&gt;"",F4214&lt;B4214)),"Evento anterior à entrada",IF(AND(F4214&lt;&gt;"",E4214=""),"Conversa sem agendamento",IF(OR(E4214&gt;TODAY(),F4214&gt;TODAY()),"Verificar evento futuro","OK"))))))))))</f>
        <v/>
      </c>
    </row>
    <row r="4215" spans="12:15">
      <c r="L4215" s="5">
        <f>IF(OR(A4215="",B4215=""),"",B4215-WEEKDAY(B4215,2)+1)</f>
        <v/>
      </c>
      <c r="M4215" s="5">
        <f>IF(L4215="","",L4215+6)</f>
        <v/>
      </c>
      <c r="N4215" s="6">
        <f>IF(OR(A4215="",B4215=""),"",DATE(YEAR(B4215),MONTH(B4215),1))</f>
        <v/>
      </c>
      <c r="O4215" s="7">
        <f>IF(COUNTA(A4215:K4215)=0,"",IF(OR(A4215="",B4215=""),"Preencher CPF e entrada",IF(COUNTIFS($A$12:$A$5011,A4215,$B$12:$B$5011,B4215)&gt;1,"CPF + dia duplicado",IF(OR(AND(G4215&lt;&gt;"",G4215&lt;&gt;0,G4215&lt;&gt;1),AND(H4215&lt;&gt;"",H4215&lt;&gt;0,H4215&lt;&gt;1)),"Flags devem ser 0 ou 1",IF(AND(H4215=1,LEN(TRIM(I4215))=0),"Preencher nome do indicante",IF(AND(H4215&lt;&gt;1,I4215&lt;&gt;""),"Nome sem indicação interna",IF(AND(G4215=1,F4215=""),"Fechamento sem conversa",IF(OR(AND(E4215&lt;&gt;"",E4215&lt;B4215),AND(F4215&lt;&gt;"",F4215&lt;B4215)),"Evento anterior à entrada",IF(AND(F4215&lt;&gt;"",E4215=""),"Conversa sem agendamento",IF(OR(E4215&gt;TODAY(),F4215&gt;TODAY()),"Verificar evento futuro","OK"))))))))))</f>
        <v/>
      </c>
    </row>
    <row r="4216" spans="12:15">
      <c r="L4216" s="5">
        <f>IF(OR(A4216="",B4216=""),"",B4216-WEEKDAY(B4216,2)+1)</f>
        <v/>
      </c>
      <c r="M4216" s="5">
        <f>IF(L4216="","",L4216+6)</f>
        <v/>
      </c>
      <c r="N4216" s="6">
        <f>IF(OR(A4216="",B4216=""),"",DATE(YEAR(B4216),MONTH(B4216),1))</f>
        <v/>
      </c>
      <c r="O4216" s="7">
        <f>IF(COUNTA(A4216:K4216)=0,"",IF(OR(A4216="",B4216=""),"Preencher CPF e entrada",IF(COUNTIFS($A$12:$A$5011,A4216,$B$12:$B$5011,B4216)&gt;1,"CPF + dia duplicado",IF(OR(AND(G4216&lt;&gt;"",G4216&lt;&gt;0,G4216&lt;&gt;1),AND(H4216&lt;&gt;"",H4216&lt;&gt;0,H4216&lt;&gt;1)),"Flags devem ser 0 ou 1",IF(AND(H4216=1,LEN(TRIM(I4216))=0),"Preencher nome do indicante",IF(AND(H4216&lt;&gt;1,I4216&lt;&gt;""),"Nome sem indicação interna",IF(AND(G4216=1,F4216=""),"Fechamento sem conversa",IF(OR(AND(E4216&lt;&gt;"",E4216&lt;B4216),AND(F4216&lt;&gt;"",F4216&lt;B4216)),"Evento anterior à entrada",IF(AND(F4216&lt;&gt;"",E4216=""),"Conversa sem agendamento",IF(OR(E4216&gt;TODAY(),F4216&gt;TODAY()),"Verificar evento futuro","OK"))))))))))</f>
        <v/>
      </c>
    </row>
    <row r="4217" spans="12:15">
      <c r="L4217" s="5">
        <f>IF(OR(A4217="",B4217=""),"",B4217-WEEKDAY(B4217,2)+1)</f>
        <v/>
      </c>
      <c r="M4217" s="5">
        <f>IF(L4217="","",L4217+6)</f>
        <v/>
      </c>
      <c r="N4217" s="6">
        <f>IF(OR(A4217="",B4217=""),"",DATE(YEAR(B4217),MONTH(B4217),1))</f>
        <v/>
      </c>
      <c r="O4217" s="7">
        <f>IF(COUNTA(A4217:K4217)=0,"",IF(OR(A4217="",B4217=""),"Preencher CPF e entrada",IF(COUNTIFS($A$12:$A$5011,A4217,$B$12:$B$5011,B4217)&gt;1,"CPF + dia duplicado",IF(OR(AND(G4217&lt;&gt;"",G4217&lt;&gt;0,G4217&lt;&gt;1),AND(H4217&lt;&gt;"",H4217&lt;&gt;0,H4217&lt;&gt;1)),"Flags devem ser 0 ou 1",IF(AND(H4217=1,LEN(TRIM(I4217))=0),"Preencher nome do indicante",IF(AND(H4217&lt;&gt;1,I4217&lt;&gt;""),"Nome sem indicação interna",IF(AND(G4217=1,F4217=""),"Fechamento sem conversa",IF(OR(AND(E4217&lt;&gt;"",E4217&lt;B4217),AND(F4217&lt;&gt;"",F4217&lt;B4217)),"Evento anterior à entrada",IF(AND(F4217&lt;&gt;"",E4217=""),"Conversa sem agendamento",IF(OR(E4217&gt;TODAY(),F4217&gt;TODAY()),"Verificar evento futuro","OK"))))))))))</f>
        <v/>
      </c>
    </row>
    <row r="4218" spans="12:15">
      <c r="L4218" s="5">
        <f>IF(OR(A4218="",B4218=""),"",B4218-WEEKDAY(B4218,2)+1)</f>
        <v/>
      </c>
      <c r="M4218" s="5">
        <f>IF(L4218="","",L4218+6)</f>
        <v/>
      </c>
      <c r="N4218" s="6">
        <f>IF(OR(A4218="",B4218=""),"",DATE(YEAR(B4218),MONTH(B4218),1))</f>
        <v/>
      </c>
      <c r="O4218" s="7">
        <f>IF(COUNTA(A4218:K4218)=0,"",IF(OR(A4218="",B4218=""),"Preencher CPF e entrada",IF(COUNTIFS($A$12:$A$5011,A4218,$B$12:$B$5011,B4218)&gt;1,"CPF + dia duplicado",IF(OR(AND(G4218&lt;&gt;"",G4218&lt;&gt;0,G4218&lt;&gt;1),AND(H4218&lt;&gt;"",H4218&lt;&gt;0,H4218&lt;&gt;1)),"Flags devem ser 0 ou 1",IF(AND(H4218=1,LEN(TRIM(I4218))=0),"Preencher nome do indicante",IF(AND(H4218&lt;&gt;1,I4218&lt;&gt;""),"Nome sem indicação interna",IF(AND(G4218=1,F4218=""),"Fechamento sem conversa",IF(OR(AND(E4218&lt;&gt;"",E4218&lt;B4218),AND(F4218&lt;&gt;"",F4218&lt;B4218)),"Evento anterior à entrada",IF(AND(F4218&lt;&gt;"",E4218=""),"Conversa sem agendamento",IF(OR(E4218&gt;TODAY(),F4218&gt;TODAY()),"Verificar evento futuro","OK"))))))))))</f>
        <v/>
      </c>
    </row>
    <row r="4219" spans="12:15">
      <c r="L4219" s="5">
        <f>IF(OR(A4219="",B4219=""),"",B4219-WEEKDAY(B4219,2)+1)</f>
        <v/>
      </c>
      <c r="M4219" s="5">
        <f>IF(L4219="","",L4219+6)</f>
        <v/>
      </c>
      <c r="N4219" s="6">
        <f>IF(OR(A4219="",B4219=""),"",DATE(YEAR(B4219),MONTH(B4219),1))</f>
        <v/>
      </c>
      <c r="O4219" s="7">
        <f>IF(COUNTA(A4219:K4219)=0,"",IF(OR(A4219="",B4219=""),"Preencher CPF e entrada",IF(COUNTIFS($A$12:$A$5011,A4219,$B$12:$B$5011,B4219)&gt;1,"CPF + dia duplicado",IF(OR(AND(G4219&lt;&gt;"",G4219&lt;&gt;0,G4219&lt;&gt;1),AND(H4219&lt;&gt;"",H4219&lt;&gt;0,H4219&lt;&gt;1)),"Flags devem ser 0 ou 1",IF(AND(H4219=1,LEN(TRIM(I4219))=0),"Preencher nome do indicante",IF(AND(H4219&lt;&gt;1,I4219&lt;&gt;""),"Nome sem indicação interna",IF(AND(G4219=1,F4219=""),"Fechamento sem conversa",IF(OR(AND(E4219&lt;&gt;"",E4219&lt;B4219),AND(F4219&lt;&gt;"",F4219&lt;B4219)),"Evento anterior à entrada",IF(AND(F4219&lt;&gt;"",E4219=""),"Conversa sem agendamento",IF(OR(E4219&gt;TODAY(),F4219&gt;TODAY()),"Verificar evento futuro","OK"))))))))))</f>
        <v/>
      </c>
    </row>
    <row r="4220" spans="12:15">
      <c r="L4220" s="5">
        <f>IF(OR(A4220="",B4220=""),"",B4220-WEEKDAY(B4220,2)+1)</f>
        <v/>
      </c>
      <c r="M4220" s="5">
        <f>IF(L4220="","",L4220+6)</f>
        <v/>
      </c>
      <c r="N4220" s="6">
        <f>IF(OR(A4220="",B4220=""),"",DATE(YEAR(B4220),MONTH(B4220),1))</f>
        <v/>
      </c>
      <c r="O4220" s="7">
        <f>IF(COUNTA(A4220:K4220)=0,"",IF(OR(A4220="",B4220=""),"Preencher CPF e entrada",IF(COUNTIFS($A$12:$A$5011,A4220,$B$12:$B$5011,B4220)&gt;1,"CPF + dia duplicado",IF(OR(AND(G4220&lt;&gt;"",G4220&lt;&gt;0,G4220&lt;&gt;1),AND(H4220&lt;&gt;"",H4220&lt;&gt;0,H4220&lt;&gt;1)),"Flags devem ser 0 ou 1",IF(AND(H4220=1,LEN(TRIM(I4220))=0),"Preencher nome do indicante",IF(AND(H4220&lt;&gt;1,I4220&lt;&gt;""),"Nome sem indicação interna",IF(AND(G4220=1,F4220=""),"Fechamento sem conversa",IF(OR(AND(E4220&lt;&gt;"",E4220&lt;B4220),AND(F4220&lt;&gt;"",F4220&lt;B4220)),"Evento anterior à entrada",IF(AND(F4220&lt;&gt;"",E4220=""),"Conversa sem agendamento",IF(OR(E4220&gt;TODAY(),F4220&gt;TODAY()),"Verificar evento futuro","OK"))))))))))</f>
        <v/>
      </c>
    </row>
    <row r="4221" spans="12:15">
      <c r="L4221" s="5">
        <f>IF(OR(A4221="",B4221=""),"",B4221-WEEKDAY(B4221,2)+1)</f>
        <v/>
      </c>
      <c r="M4221" s="5">
        <f>IF(L4221="","",L4221+6)</f>
        <v/>
      </c>
      <c r="N4221" s="6">
        <f>IF(OR(A4221="",B4221=""),"",DATE(YEAR(B4221),MONTH(B4221),1))</f>
        <v/>
      </c>
      <c r="O4221" s="7">
        <f>IF(COUNTA(A4221:K4221)=0,"",IF(OR(A4221="",B4221=""),"Preencher CPF e entrada",IF(COUNTIFS($A$12:$A$5011,A4221,$B$12:$B$5011,B4221)&gt;1,"CPF + dia duplicado",IF(OR(AND(G4221&lt;&gt;"",G4221&lt;&gt;0,G4221&lt;&gt;1),AND(H4221&lt;&gt;"",H4221&lt;&gt;0,H4221&lt;&gt;1)),"Flags devem ser 0 ou 1",IF(AND(H4221=1,LEN(TRIM(I4221))=0),"Preencher nome do indicante",IF(AND(H4221&lt;&gt;1,I4221&lt;&gt;""),"Nome sem indicação interna",IF(AND(G4221=1,F4221=""),"Fechamento sem conversa",IF(OR(AND(E4221&lt;&gt;"",E4221&lt;B4221),AND(F4221&lt;&gt;"",F4221&lt;B4221)),"Evento anterior à entrada",IF(AND(F4221&lt;&gt;"",E4221=""),"Conversa sem agendamento",IF(OR(E4221&gt;TODAY(),F4221&gt;TODAY()),"Verificar evento futuro","OK"))))))))))</f>
        <v/>
      </c>
    </row>
    <row r="4222" spans="12:15">
      <c r="L4222" s="5">
        <f>IF(OR(A4222="",B4222=""),"",B4222-WEEKDAY(B4222,2)+1)</f>
        <v/>
      </c>
      <c r="M4222" s="5">
        <f>IF(L4222="","",L4222+6)</f>
        <v/>
      </c>
      <c r="N4222" s="6">
        <f>IF(OR(A4222="",B4222=""),"",DATE(YEAR(B4222),MONTH(B4222),1))</f>
        <v/>
      </c>
      <c r="O4222" s="7">
        <f>IF(COUNTA(A4222:K4222)=0,"",IF(OR(A4222="",B4222=""),"Preencher CPF e entrada",IF(COUNTIFS($A$12:$A$5011,A4222,$B$12:$B$5011,B4222)&gt;1,"CPF + dia duplicado",IF(OR(AND(G4222&lt;&gt;"",G4222&lt;&gt;0,G4222&lt;&gt;1),AND(H4222&lt;&gt;"",H4222&lt;&gt;0,H4222&lt;&gt;1)),"Flags devem ser 0 ou 1",IF(AND(H4222=1,LEN(TRIM(I4222))=0),"Preencher nome do indicante",IF(AND(H4222&lt;&gt;1,I4222&lt;&gt;""),"Nome sem indicação interna",IF(AND(G4222=1,F4222=""),"Fechamento sem conversa",IF(OR(AND(E4222&lt;&gt;"",E4222&lt;B4222),AND(F4222&lt;&gt;"",F4222&lt;B4222)),"Evento anterior à entrada",IF(AND(F4222&lt;&gt;"",E4222=""),"Conversa sem agendamento",IF(OR(E4222&gt;TODAY(),F4222&gt;TODAY()),"Verificar evento futuro","OK"))))))))))</f>
        <v/>
      </c>
    </row>
    <row r="4223" spans="12:15">
      <c r="L4223" s="5">
        <f>IF(OR(A4223="",B4223=""),"",B4223-WEEKDAY(B4223,2)+1)</f>
        <v/>
      </c>
      <c r="M4223" s="5">
        <f>IF(L4223="","",L4223+6)</f>
        <v/>
      </c>
      <c r="N4223" s="6">
        <f>IF(OR(A4223="",B4223=""),"",DATE(YEAR(B4223),MONTH(B4223),1))</f>
        <v/>
      </c>
      <c r="O4223" s="7">
        <f>IF(COUNTA(A4223:K4223)=0,"",IF(OR(A4223="",B4223=""),"Preencher CPF e entrada",IF(COUNTIFS($A$12:$A$5011,A4223,$B$12:$B$5011,B4223)&gt;1,"CPF + dia duplicado",IF(OR(AND(G4223&lt;&gt;"",G4223&lt;&gt;0,G4223&lt;&gt;1),AND(H4223&lt;&gt;"",H4223&lt;&gt;0,H4223&lt;&gt;1)),"Flags devem ser 0 ou 1",IF(AND(H4223=1,LEN(TRIM(I4223))=0),"Preencher nome do indicante",IF(AND(H4223&lt;&gt;1,I4223&lt;&gt;""),"Nome sem indicação interna",IF(AND(G4223=1,F4223=""),"Fechamento sem conversa",IF(OR(AND(E4223&lt;&gt;"",E4223&lt;B4223),AND(F4223&lt;&gt;"",F4223&lt;B4223)),"Evento anterior à entrada",IF(AND(F4223&lt;&gt;"",E4223=""),"Conversa sem agendamento",IF(OR(E4223&gt;TODAY(),F4223&gt;TODAY()),"Verificar evento futuro","OK"))))))))))</f>
        <v/>
      </c>
    </row>
    <row r="4224" spans="12:15">
      <c r="L4224" s="5">
        <f>IF(OR(A4224="",B4224=""),"",B4224-WEEKDAY(B4224,2)+1)</f>
        <v/>
      </c>
      <c r="M4224" s="5">
        <f>IF(L4224="","",L4224+6)</f>
        <v/>
      </c>
      <c r="N4224" s="6">
        <f>IF(OR(A4224="",B4224=""),"",DATE(YEAR(B4224),MONTH(B4224),1))</f>
        <v/>
      </c>
      <c r="O4224" s="7">
        <f>IF(COUNTA(A4224:K4224)=0,"",IF(OR(A4224="",B4224=""),"Preencher CPF e entrada",IF(COUNTIFS($A$12:$A$5011,A4224,$B$12:$B$5011,B4224)&gt;1,"CPF + dia duplicado",IF(OR(AND(G4224&lt;&gt;"",G4224&lt;&gt;0,G4224&lt;&gt;1),AND(H4224&lt;&gt;"",H4224&lt;&gt;0,H4224&lt;&gt;1)),"Flags devem ser 0 ou 1",IF(AND(H4224=1,LEN(TRIM(I4224))=0),"Preencher nome do indicante",IF(AND(H4224&lt;&gt;1,I4224&lt;&gt;""),"Nome sem indicação interna",IF(AND(G4224=1,F4224=""),"Fechamento sem conversa",IF(OR(AND(E4224&lt;&gt;"",E4224&lt;B4224),AND(F4224&lt;&gt;"",F4224&lt;B4224)),"Evento anterior à entrada",IF(AND(F4224&lt;&gt;"",E4224=""),"Conversa sem agendamento",IF(OR(E4224&gt;TODAY(),F4224&gt;TODAY()),"Verificar evento futuro","OK"))))))))))</f>
        <v/>
      </c>
    </row>
    <row r="4225" spans="12:15">
      <c r="L4225" s="5">
        <f>IF(OR(A4225="",B4225=""),"",B4225-WEEKDAY(B4225,2)+1)</f>
        <v/>
      </c>
      <c r="M4225" s="5">
        <f>IF(L4225="","",L4225+6)</f>
        <v/>
      </c>
      <c r="N4225" s="6">
        <f>IF(OR(A4225="",B4225=""),"",DATE(YEAR(B4225),MONTH(B4225),1))</f>
        <v/>
      </c>
      <c r="O4225" s="7">
        <f>IF(COUNTA(A4225:K4225)=0,"",IF(OR(A4225="",B4225=""),"Preencher CPF e entrada",IF(COUNTIFS($A$12:$A$5011,A4225,$B$12:$B$5011,B4225)&gt;1,"CPF + dia duplicado",IF(OR(AND(G4225&lt;&gt;"",G4225&lt;&gt;0,G4225&lt;&gt;1),AND(H4225&lt;&gt;"",H4225&lt;&gt;0,H4225&lt;&gt;1)),"Flags devem ser 0 ou 1",IF(AND(H4225=1,LEN(TRIM(I4225))=0),"Preencher nome do indicante",IF(AND(H4225&lt;&gt;1,I4225&lt;&gt;""),"Nome sem indicação interna",IF(AND(G4225=1,F4225=""),"Fechamento sem conversa",IF(OR(AND(E4225&lt;&gt;"",E4225&lt;B4225),AND(F4225&lt;&gt;"",F4225&lt;B4225)),"Evento anterior à entrada",IF(AND(F4225&lt;&gt;"",E4225=""),"Conversa sem agendamento",IF(OR(E4225&gt;TODAY(),F4225&gt;TODAY()),"Verificar evento futuro","OK"))))))))))</f>
        <v/>
      </c>
    </row>
    <row r="4226" spans="12:15">
      <c r="L4226" s="5">
        <f>IF(OR(A4226="",B4226=""),"",B4226-WEEKDAY(B4226,2)+1)</f>
        <v/>
      </c>
      <c r="M4226" s="5">
        <f>IF(L4226="","",L4226+6)</f>
        <v/>
      </c>
      <c r="N4226" s="6">
        <f>IF(OR(A4226="",B4226=""),"",DATE(YEAR(B4226),MONTH(B4226),1))</f>
        <v/>
      </c>
      <c r="O4226" s="7">
        <f>IF(COUNTA(A4226:K4226)=0,"",IF(OR(A4226="",B4226=""),"Preencher CPF e entrada",IF(COUNTIFS($A$12:$A$5011,A4226,$B$12:$B$5011,B4226)&gt;1,"CPF + dia duplicado",IF(OR(AND(G4226&lt;&gt;"",G4226&lt;&gt;0,G4226&lt;&gt;1),AND(H4226&lt;&gt;"",H4226&lt;&gt;0,H4226&lt;&gt;1)),"Flags devem ser 0 ou 1",IF(AND(H4226=1,LEN(TRIM(I4226))=0),"Preencher nome do indicante",IF(AND(H4226&lt;&gt;1,I4226&lt;&gt;""),"Nome sem indicação interna",IF(AND(G4226=1,F4226=""),"Fechamento sem conversa",IF(OR(AND(E4226&lt;&gt;"",E4226&lt;B4226),AND(F4226&lt;&gt;"",F4226&lt;B4226)),"Evento anterior à entrada",IF(AND(F4226&lt;&gt;"",E4226=""),"Conversa sem agendamento",IF(OR(E4226&gt;TODAY(),F4226&gt;TODAY()),"Verificar evento futuro","OK"))))))))))</f>
        <v/>
      </c>
    </row>
    <row r="4227" spans="12:15">
      <c r="L4227" s="5">
        <f>IF(OR(A4227="",B4227=""),"",B4227-WEEKDAY(B4227,2)+1)</f>
        <v/>
      </c>
      <c r="M4227" s="5">
        <f>IF(L4227="","",L4227+6)</f>
        <v/>
      </c>
      <c r="N4227" s="6">
        <f>IF(OR(A4227="",B4227=""),"",DATE(YEAR(B4227),MONTH(B4227),1))</f>
        <v/>
      </c>
      <c r="O4227" s="7">
        <f>IF(COUNTA(A4227:K4227)=0,"",IF(OR(A4227="",B4227=""),"Preencher CPF e entrada",IF(COUNTIFS($A$12:$A$5011,A4227,$B$12:$B$5011,B4227)&gt;1,"CPF + dia duplicado",IF(OR(AND(G4227&lt;&gt;"",G4227&lt;&gt;0,G4227&lt;&gt;1),AND(H4227&lt;&gt;"",H4227&lt;&gt;0,H4227&lt;&gt;1)),"Flags devem ser 0 ou 1",IF(AND(H4227=1,LEN(TRIM(I4227))=0),"Preencher nome do indicante",IF(AND(H4227&lt;&gt;1,I4227&lt;&gt;""),"Nome sem indicação interna",IF(AND(G4227=1,F4227=""),"Fechamento sem conversa",IF(OR(AND(E4227&lt;&gt;"",E4227&lt;B4227),AND(F4227&lt;&gt;"",F4227&lt;B4227)),"Evento anterior à entrada",IF(AND(F4227&lt;&gt;"",E4227=""),"Conversa sem agendamento",IF(OR(E4227&gt;TODAY(),F4227&gt;TODAY()),"Verificar evento futuro","OK"))))))))))</f>
        <v/>
      </c>
    </row>
    <row r="4228" spans="12:15">
      <c r="L4228" s="5">
        <f>IF(OR(A4228="",B4228=""),"",B4228-WEEKDAY(B4228,2)+1)</f>
        <v/>
      </c>
      <c r="M4228" s="5">
        <f>IF(L4228="","",L4228+6)</f>
        <v/>
      </c>
      <c r="N4228" s="6">
        <f>IF(OR(A4228="",B4228=""),"",DATE(YEAR(B4228),MONTH(B4228),1))</f>
        <v/>
      </c>
      <c r="O4228" s="7">
        <f>IF(COUNTA(A4228:K4228)=0,"",IF(OR(A4228="",B4228=""),"Preencher CPF e entrada",IF(COUNTIFS($A$12:$A$5011,A4228,$B$12:$B$5011,B4228)&gt;1,"CPF + dia duplicado",IF(OR(AND(G4228&lt;&gt;"",G4228&lt;&gt;0,G4228&lt;&gt;1),AND(H4228&lt;&gt;"",H4228&lt;&gt;0,H4228&lt;&gt;1)),"Flags devem ser 0 ou 1",IF(AND(H4228=1,LEN(TRIM(I4228))=0),"Preencher nome do indicante",IF(AND(H4228&lt;&gt;1,I4228&lt;&gt;""),"Nome sem indicação interna",IF(AND(G4228=1,F4228=""),"Fechamento sem conversa",IF(OR(AND(E4228&lt;&gt;"",E4228&lt;B4228),AND(F4228&lt;&gt;"",F4228&lt;B4228)),"Evento anterior à entrada",IF(AND(F4228&lt;&gt;"",E4228=""),"Conversa sem agendamento",IF(OR(E4228&gt;TODAY(),F4228&gt;TODAY()),"Verificar evento futuro","OK"))))))))))</f>
        <v/>
      </c>
    </row>
    <row r="4229" spans="12:15">
      <c r="L4229" s="5">
        <f>IF(OR(A4229="",B4229=""),"",B4229-WEEKDAY(B4229,2)+1)</f>
        <v/>
      </c>
      <c r="M4229" s="5">
        <f>IF(L4229="","",L4229+6)</f>
        <v/>
      </c>
      <c r="N4229" s="6">
        <f>IF(OR(A4229="",B4229=""),"",DATE(YEAR(B4229),MONTH(B4229),1))</f>
        <v/>
      </c>
      <c r="O4229" s="7">
        <f>IF(COUNTA(A4229:K4229)=0,"",IF(OR(A4229="",B4229=""),"Preencher CPF e entrada",IF(COUNTIFS($A$12:$A$5011,A4229,$B$12:$B$5011,B4229)&gt;1,"CPF + dia duplicado",IF(OR(AND(G4229&lt;&gt;"",G4229&lt;&gt;0,G4229&lt;&gt;1),AND(H4229&lt;&gt;"",H4229&lt;&gt;0,H4229&lt;&gt;1)),"Flags devem ser 0 ou 1",IF(AND(H4229=1,LEN(TRIM(I4229))=0),"Preencher nome do indicante",IF(AND(H4229&lt;&gt;1,I4229&lt;&gt;""),"Nome sem indicação interna",IF(AND(G4229=1,F4229=""),"Fechamento sem conversa",IF(OR(AND(E4229&lt;&gt;"",E4229&lt;B4229),AND(F4229&lt;&gt;"",F4229&lt;B4229)),"Evento anterior à entrada",IF(AND(F4229&lt;&gt;"",E4229=""),"Conversa sem agendamento",IF(OR(E4229&gt;TODAY(),F4229&gt;TODAY()),"Verificar evento futuro","OK"))))))))))</f>
        <v/>
      </c>
    </row>
    <row r="4230" spans="12:15">
      <c r="L4230" s="5">
        <f>IF(OR(A4230="",B4230=""),"",B4230-WEEKDAY(B4230,2)+1)</f>
        <v/>
      </c>
      <c r="M4230" s="5">
        <f>IF(L4230="","",L4230+6)</f>
        <v/>
      </c>
      <c r="N4230" s="6">
        <f>IF(OR(A4230="",B4230=""),"",DATE(YEAR(B4230),MONTH(B4230),1))</f>
        <v/>
      </c>
      <c r="O4230" s="7">
        <f>IF(COUNTA(A4230:K4230)=0,"",IF(OR(A4230="",B4230=""),"Preencher CPF e entrada",IF(COUNTIFS($A$12:$A$5011,A4230,$B$12:$B$5011,B4230)&gt;1,"CPF + dia duplicado",IF(OR(AND(G4230&lt;&gt;"",G4230&lt;&gt;0,G4230&lt;&gt;1),AND(H4230&lt;&gt;"",H4230&lt;&gt;0,H4230&lt;&gt;1)),"Flags devem ser 0 ou 1",IF(AND(H4230=1,LEN(TRIM(I4230))=0),"Preencher nome do indicante",IF(AND(H4230&lt;&gt;1,I4230&lt;&gt;""),"Nome sem indicação interna",IF(AND(G4230=1,F4230=""),"Fechamento sem conversa",IF(OR(AND(E4230&lt;&gt;"",E4230&lt;B4230),AND(F4230&lt;&gt;"",F4230&lt;B4230)),"Evento anterior à entrada",IF(AND(F4230&lt;&gt;"",E4230=""),"Conversa sem agendamento",IF(OR(E4230&gt;TODAY(),F4230&gt;TODAY()),"Verificar evento futuro","OK"))))))))))</f>
        <v/>
      </c>
    </row>
    <row r="4231" spans="12:15">
      <c r="L4231" s="5">
        <f>IF(OR(A4231="",B4231=""),"",B4231-WEEKDAY(B4231,2)+1)</f>
        <v/>
      </c>
      <c r="M4231" s="5">
        <f>IF(L4231="","",L4231+6)</f>
        <v/>
      </c>
      <c r="N4231" s="6">
        <f>IF(OR(A4231="",B4231=""),"",DATE(YEAR(B4231),MONTH(B4231),1))</f>
        <v/>
      </c>
      <c r="O4231" s="7">
        <f>IF(COUNTA(A4231:K4231)=0,"",IF(OR(A4231="",B4231=""),"Preencher CPF e entrada",IF(COUNTIFS($A$12:$A$5011,A4231,$B$12:$B$5011,B4231)&gt;1,"CPF + dia duplicado",IF(OR(AND(G4231&lt;&gt;"",G4231&lt;&gt;0,G4231&lt;&gt;1),AND(H4231&lt;&gt;"",H4231&lt;&gt;0,H4231&lt;&gt;1)),"Flags devem ser 0 ou 1",IF(AND(H4231=1,LEN(TRIM(I4231))=0),"Preencher nome do indicante",IF(AND(H4231&lt;&gt;1,I4231&lt;&gt;""),"Nome sem indicação interna",IF(AND(G4231=1,F4231=""),"Fechamento sem conversa",IF(OR(AND(E4231&lt;&gt;"",E4231&lt;B4231),AND(F4231&lt;&gt;"",F4231&lt;B4231)),"Evento anterior à entrada",IF(AND(F4231&lt;&gt;"",E4231=""),"Conversa sem agendamento",IF(OR(E4231&gt;TODAY(),F4231&gt;TODAY()),"Verificar evento futuro","OK"))))))))))</f>
        <v/>
      </c>
    </row>
    <row r="4232" spans="12:15">
      <c r="L4232" s="5">
        <f>IF(OR(A4232="",B4232=""),"",B4232-WEEKDAY(B4232,2)+1)</f>
        <v/>
      </c>
      <c r="M4232" s="5">
        <f>IF(L4232="","",L4232+6)</f>
        <v/>
      </c>
      <c r="N4232" s="6">
        <f>IF(OR(A4232="",B4232=""),"",DATE(YEAR(B4232),MONTH(B4232),1))</f>
        <v/>
      </c>
      <c r="O4232" s="7">
        <f>IF(COUNTA(A4232:K4232)=0,"",IF(OR(A4232="",B4232=""),"Preencher CPF e entrada",IF(COUNTIFS($A$12:$A$5011,A4232,$B$12:$B$5011,B4232)&gt;1,"CPF + dia duplicado",IF(OR(AND(G4232&lt;&gt;"",G4232&lt;&gt;0,G4232&lt;&gt;1),AND(H4232&lt;&gt;"",H4232&lt;&gt;0,H4232&lt;&gt;1)),"Flags devem ser 0 ou 1",IF(AND(H4232=1,LEN(TRIM(I4232))=0),"Preencher nome do indicante",IF(AND(H4232&lt;&gt;1,I4232&lt;&gt;""),"Nome sem indicação interna",IF(AND(G4232=1,F4232=""),"Fechamento sem conversa",IF(OR(AND(E4232&lt;&gt;"",E4232&lt;B4232),AND(F4232&lt;&gt;"",F4232&lt;B4232)),"Evento anterior à entrada",IF(AND(F4232&lt;&gt;"",E4232=""),"Conversa sem agendamento",IF(OR(E4232&gt;TODAY(),F4232&gt;TODAY()),"Verificar evento futuro","OK"))))))))))</f>
        <v/>
      </c>
    </row>
    <row r="4233" spans="12:15">
      <c r="L4233" s="5">
        <f>IF(OR(A4233="",B4233=""),"",B4233-WEEKDAY(B4233,2)+1)</f>
        <v/>
      </c>
      <c r="M4233" s="5">
        <f>IF(L4233="","",L4233+6)</f>
        <v/>
      </c>
      <c r="N4233" s="6">
        <f>IF(OR(A4233="",B4233=""),"",DATE(YEAR(B4233),MONTH(B4233),1))</f>
        <v/>
      </c>
      <c r="O4233" s="7">
        <f>IF(COUNTA(A4233:K4233)=0,"",IF(OR(A4233="",B4233=""),"Preencher CPF e entrada",IF(COUNTIFS($A$12:$A$5011,A4233,$B$12:$B$5011,B4233)&gt;1,"CPF + dia duplicado",IF(OR(AND(G4233&lt;&gt;"",G4233&lt;&gt;0,G4233&lt;&gt;1),AND(H4233&lt;&gt;"",H4233&lt;&gt;0,H4233&lt;&gt;1)),"Flags devem ser 0 ou 1",IF(AND(H4233=1,LEN(TRIM(I4233))=0),"Preencher nome do indicante",IF(AND(H4233&lt;&gt;1,I4233&lt;&gt;""),"Nome sem indicação interna",IF(AND(G4233=1,F4233=""),"Fechamento sem conversa",IF(OR(AND(E4233&lt;&gt;"",E4233&lt;B4233),AND(F4233&lt;&gt;"",F4233&lt;B4233)),"Evento anterior à entrada",IF(AND(F4233&lt;&gt;"",E4233=""),"Conversa sem agendamento",IF(OR(E4233&gt;TODAY(),F4233&gt;TODAY()),"Verificar evento futuro","OK"))))))))))</f>
        <v/>
      </c>
    </row>
    <row r="4234" spans="12:15">
      <c r="L4234" s="5">
        <f>IF(OR(A4234="",B4234=""),"",B4234-WEEKDAY(B4234,2)+1)</f>
        <v/>
      </c>
      <c r="M4234" s="5">
        <f>IF(L4234="","",L4234+6)</f>
        <v/>
      </c>
      <c r="N4234" s="6">
        <f>IF(OR(A4234="",B4234=""),"",DATE(YEAR(B4234),MONTH(B4234),1))</f>
        <v/>
      </c>
      <c r="O4234" s="7">
        <f>IF(COUNTA(A4234:K4234)=0,"",IF(OR(A4234="",B4234=""),"Preencher CPF e entrada",IF(COUNTIFS($A$12:$A$5011,A4234,$B$12:$B$5011,B4234)&gt;1,"CPF + dia duplicado",IF(OR(AND(G4234&lt;&gt;"",G4234&lt;&gt;0,G4234&lt;&gt;1),AND(H4234&lt;&gt;"",H4234&lt;&gt;0,H4234&lt;&gt;1)),"Flags devem ser 0 ou 1",IF(AND(H4234=1,LEN(TRIM(I4234))=0),"Preencher nome do indicante",IF(AND(H4234&lt;&gt;1,I4234&lt;&gt;""),"Nome sem indicação interna",IF(AND(G4234=1,F4234=""),"Fechamento sem conversa",IF(OR(AND(E4234&lt;&gt;"",E4234&lt;B4234),AND(F4234&lt;&gt;"",F4234&lt;B4234)),"Evento anterior à entrada",IF(AND(F4234&lt;&gt;"",E4234=""),"Conversa sem agendamento",IF(OR(E4234&gt;TODAY(),F4234&gt;TODAY()),"Verificar evento futuro","OK"))))))))))</f>
        <v/>
      </c>
    </row>
    <row r="4235" spans="12:15">
      <c r="L4235" s="5">
        <f>IF(OR(A4235="",B4235=""),"",B4235-WEEKDAY(B4235,2)+1)</f>
        <v/>
      </c>
      <c r="M4235" s="5">
        <f>IF(L4235="","",L4235+6)</f>
        <v/>
      </c>
      <c r="N4235" s="6">
        <f>IF(OR(A4235="",B4235=""),"",DATE(YEAR(B4235),MONTH(B4235),1))</f>
        <v/>
      </c>
      <c r="O4235" s="7">
        <f>IF(COUNTA(A4235:K4235)=0,"",IF(OR(A4235="",B4235=""),"Preencher CPF e entrada",IF(COUNTIFS($A$12:$A$5011,A4235,$B$12:$B$5011,B4235)&gt;1,"CPF + dia duplicado",IF(OR(AND(G4235&lt;&gt;"",G4235&lt;&gt;0,G4235&lt;&gt;1),AND(H4235&lt;&gt;"",H4235&lt;&gt;0,H4235&lt;&gt;1)),"Flags devem ser 0 ou 1",IF(AND(H4235=1,LEN(TRIM(I4235))=0),"Preencher nome do indicante",IF(AND(H4235&lt;&gt;1,I4235&lt;&gt;""),"Nome sem indicação interna",IF(AND(G4235=1,F4235=""),"Fechamento sem conversa",IF(OR(AND(E4235&lt;&gt;"",E4235&lt;B4235),AND(F4235&lt;&gt;"",F4235&lt;B4235)),"Evento anterior à entrada",IF(AND(F4235&lt;&gt;"",E4235=""),"Conversa sem agendamento",IF(OR(E4235&gt;TODAY(),F4235&gt;TODAY()),"Verificar evento futuro","OK"))))))))))</f>
        <v/>
      </c>
    </row>
    <row r="4236" spans="12:15">
      <c r="L4236" s="5">
        <f>IF(OR(A4236="",B4236=""),"",B4236-WEEKDAY(B4236,2)+1)</f>
        <v/>
      </c>
      <c r="M4236" s="5">
        <f>IF(L4236="","",L4236+6)</f>
        <v/>
      </c>
      <c r="N4236" s="6">
        <f>IF(OR(A4236="",B4236=""),"",DATE(YEAR(B4236),MONTH(B4236),1))</f>
        <v/>
      </c>
      <c r="O4236" s="7">
        <f>IF(COUNTA(A4236:K4236)=0,"",IF(OR(A4236="",B4236=""),"Preencher CPF e entrada",IF(COUNTIFS($A$12:$A$5011,A4236,$B$12:$B$5011,B4236)&gt;1,"CPF + dia duplicado",IF(OR(AND(G4236&lt;&gt;"",G4236&lt;&gt;0,G4236&lt;&gt;1),AND(H4236&lt;&gt;"",H4236&lt;&gt;0,H4236&lt;&gt;1)),"Flags devem ser 0 ou 1",IF(AND(H4236=1,LEN(TRIM(I4236))=0),"Preencher nome do indicante",IF(AND(H4236&lt;&gt;1,I4236&lt;&gt;""),"Nome sem indicação interna",IF(AND(G4236=1,F4236=""),"Fechamento sem conversa",IF(OR(AND(E4236&lt;&gt;"",E4236&lt;B4236),AND(F4236&lt;&gt;"",F4236&lt;B4236)),"Evento anterior à entrada",IF(AND(F4236&lt;&gt;"",E4236=""),"Conversa sem agendamento",IF(OR(E4236&gt;TODAY(),F4236&gt;TODAY()),"Verificar evento futuro","OK"))))))))))</f>
        <v/>
      </c>
    </row>
    <row r="4237" spans="12:15">
      <c r="L4237" s="5">
        <f>IF(OR(A4237="",B4237=""),"",B4237-WEEKDAY(B4237,2)+1)</f>
        <v/>
      </c>
      <c r="M4237" s="5">
        <f>IF(L4237="","",L4237+6)</f>
        <v/>
      </c>
      <c r="N4237" s="6">
        <f>IF(OR(A4237="",B4237=""),"",DATE(YEAR(B4237),MONTH(B4237),1))</f>
        <v/>
      </c>
      <c r="O4237" s="7">
        <f>IF(COUNTA(A4237:K4237)=0,"",IF(OR(A4237="",B4237=""),"Preencher CPF e entrada",IF(COUNTIFS($A$12:$A$5011,A4237,$B$12:$B$5011,B4237)&gt;1,"CPF + dia duplicado",IF(OR(AND(G4237&lt;&gt;"",G4237&lt;&gt;0,G4237&lt;&gt;1),AND(H4237&lt;&gt;"",H4237&lt;&gt;0,H4237&lt;&gt;1)),"Flags devem ser 0 ou 1",IF(AND(H4237=1,LEN(TRIM(I4237))=0),"Preencher nome do indicante",IF(AND(H4237&lt;&gt;1,I4237&lt;&gt;""),"Nome sem indicação interna",IF(AND(G4237=1,F4237=""),"Fechamento sem conversa",IF(OR(AND(E4237&lt;&gt;"",E4237&lt;B4237),AND(F4237&lt;&gt;"",F4237&lt;B4237)),"Evento anterior à entrada",IF(AND(F4237&lt;&gt;"",E4237=""),"Conversa sem agendamento",IF(OR(E4237&gt;TODAY(),F4237&gt;TODAY()),"Verificar evento futuro","OK"))))))))))</f>
        <v/>
      </c>
    </row>
    <row r="4238" spans="12:15">
      <c r="L4238" s="5">
        <f>IF(OR(A4238="",B4238=""),"",B4238-WEEKDAY(B4238,2)+1)</f>
        <v/>
      </c>
      <c r="M4238" s="5">
        <f>IF(L4238="","",L4238+6)</f>
        <v/>
      </c>
      <c r="N4238" s="6">
        <f>IF(OR(A4238="",B4238=""),"",DATE(YEAR(B4238),MONTH(B4238),1))</f>
        <v/>
      </c>
      <c r="O4238" s="7">
        <f>IF(COUNTA(A4238:K4238)=0,"",IF(OR(A4238="",B4238=""),"Preencher CPF e entrada",IF(COUNTIFS($A$12:$A$5011,A4238,$B$12:$B$5011,B4238)&gt;1,"CPF + dia duplicado",IF(OR(AND(G4238&lt;&gt;"",G4238&lt;&gt;0,G4238&lt;&gt;1),AND(H4238&lt;&gt;"",H4238&lt;&gt;0,H4238&lt;&gt;1)),"Flags devem ser 0 ou 1",IF(AND(H4238=1,LEN(TRIM(I4238))=0),"Preencher nome do indicante",IF(AND(H4238&lt;&gt;1,I4238&lt;&gt;""),"Nome sem indicação interna",IF(AND(G4238=1,F4238=""),"Fechamento sem conversa",IF(OR(AND(E4238&lt;&gt;"",E4238&lt;B4238),AND(F4238&lt;&gt;"",F4238&lt;B4238)),"Evento anterior à entrada",IF(AND(F4238&lt;&gt;"",E4238=""),"Conversa sem agendamento",IF(OR(E4238&gt;TODAY(),F4238&gt;TODAY()),"Verificar evento futuro","OK"))))))))))</f>
        <v/>
      </c>
    </row>
    <row r="4239" spans="12:15">
      <c r="L4239" s="5">
        <f>IF(OR(A4239="",B4239=""),"",B4239-WEEKDAY(B4239,2)+1)</f>
        <v/>
      </c>
      <c r="M4239" s="5">
        <f>IF(L4239="","",L4239+6)</f>
        <v/>
      </c>
      <c r="N4239" s="6">
        <f>IF(OR(A4239="",B4239=""),"",DATE(YEAR(B4239),MONTH(B4239),1))</f>
        <v/>
      </c>
      <c r="O4239" s="7">
        <f>IF(COUNTA(A4239:K4239)=0,"",IF(OR(A4239="",B4239=""),"Preencher CPF e entrada",IF(COUNTIFS($A$12:$A$5011,A4239,$B$12:$B$5011,B4239)&gt;1,"CPF + dia duplicado",IF(OR(AND(G4239&lt;&gt;"",G4239&lt;&gt;0,G4239&lt;&gt;1),AND(H4239&lt;&gt;"",H4239&lt;&gt;0,H4239&lt;&gt;1)),"Flags devem ser 0 ou 1",IF(AND(H4239=1,LEN(TRIM(I4239))=0),"Preencher nome do indicante",IF(AND(H4239&lt;&gt;1,I4239&lt;&gt;""),"Nome sem indicação interna",IF(AND(G4239=1,F4239=""),"Fechamento sem conversa",IF(OR(AND(E4239&lt;&gt;"",E4239&lt;B4239),AND(F4239&lt;&gt;"",F4239&lt;B4239)),"Evento anterior à entrada",IF(AND(F4239&lt;&gt;"",E4239=""),"Conversa sem agendamento",IF(OR(E4239&gt;TODAY(),F4239&gt;TODAY()),"Verificar evento futuro","OK"))))))))))</f>
        <v/>
      </c>
    </row>
    <row r="4240" spans="12:15">
      <c r="L4240" s="5">
        <f>IF(OR(A4240="",B4240=""),"",B4240-WEEKDAY(B4240,2)+1)</f>
        <v/>
      </c>
      <c r="M4240" s="5">
        <f>IF(L4240="","",L4240+6)</f>
        <v/>
      </c>
      <c r="N4240" s="6">
        <f>IF(OR(A4240="",B4240=""),"",DATE(YEAR(B4240),MONTH(B4240),1))</f>
        <v/>
      </c>
      <c r="O4240" s="7">
        <f>IF(COUNTA(A4240:K4240)=0,"",IF(OR(A4240="",B4240=""),"Preencher CPF e entrada",IF(COUNTIFS($A$12:$A$5011,A4240,$B$12:$B$5011,B4240)&gt;1,"CPF + dia duplicado",IF(OR(AND(G4240&lt;&gt;"",G4240&lt;&gt;0,G4240&lt;&gt;1),AND(H4240&lt;&gt;"",H4240&lt;&gt;0,H4240&lt;&gt;1)),"Flags devem ser 0 ou 1",IF(AND(H4240=1,LEN(TRIM(I4240))=0),"Preencher nome do indicante",IF(AND(H4240&lt;&gt;1,I4240&lt;&gt;""),"Nome sem indicação interna",IF(AND(G4240=1,F4240=""),"Fechamento sem conversa",IF(OR(AND(E4240&lt;&gt;"",E4240&lt;B4240),AND(F4240&lt;&gt;"",F4240&lt;B4240)),"Evento anterior à entrada",IF(AND(F4240&lt;&gt;"",E4240=""),"Conversa sem agendamento",IF(OR(E4240&gt;TODAY(),F4240&gt;TODAY()),"Verificar evento futuro","OK"))))))))))</f>
        <v/>
      </c>
    </row>
    <row r="4241" spans="12:15">
      <c r="L4241" s="5">
        <f>IF(OR(A4241="",B4241=""),"",B4241-WEEKDAY(B4241,2)+1)</f>
        <v/>
      </c>
      <c r="M4241" s="5">
        <f>IF(L4241="","",L4241+6)</f>
        <v/>
      </c>
      <c r="N4241" s="6">
        <f>IF(OR(A4241="",B4241=""),"",DATE(YEAR(B4241),MONTH(B4241),1))</f>
        <v/>
      </c>
      <c r="O4241" s="7">
        <f>IF(COUNTA(A4241:K4241)=0,"",IF(OR(A4241="",B4241=""),"Preencher CPF e entrada",IF(COUNTIFS($A$12:$A$5011,A4241,$B$12:$B$5011,B4241)&gt;1,"CPF + dia duplicado",IF(OR(AND(G4241&lt;&gt;"",G4241&lt;&gt;0,G4241&lt;&gt;1),AND(H4241&lt;&gt;"",H4241&lt;&gt;0,H4241&lt;&gt;1)),"Flags devem ser 0 ou 1",IF(AND(H4241=1,LEN(TRIM(I4241))=0),"Preencher nome do indicante",IF(AND(H4241&lt;&gt;1,I4241&lt;&gt;""),"Nome sem indicação interna",IF(AND(G4241=1,F4241=""),"Fechamento sem conversa",IF(OR(AND(E4241&lt;&gt;"",E4241&lt;B4241),AND(F4241&lt;&gt;"",F4241&lt;B4241)),"Evento anterior à entrada",IF(AND(F4241&lt;&gt;"",E4241=""),"Conversa sem agendamento",IF(OR(E4241&gt;TODAY(),F4241&gt;TODAY()),"Verificar evento futuro","OK"))))))))))</f>
        <v/>
      </c>
    </row>
    <row r="4242" spans="12:15">
      <c r="L4242" s="5">
        <f>IF(OR(A4242="",B4242=""),"",B4242-WEEKDAY(B4242,2)+1)</f>
        <v/>
      </c>
      <c r="M4242" s="5">
        <f>IF(L4242="","",L4242+6)</f>
        <v/>
      </c>
      <c r="N4242" s="6">
        <f>IF(OR(A4242="",B4242=""),"",DATE(YEAR(B4242),MONTH(B4242),1))</f>
        <v/>
      </c>
      <c r="O4242" s="7">
        <f>IF(COUNTA(A4242:K4242)=0,"",IF(OR(A4242="",B4242=""),"Preencher CPF e entrada",IF(COUNTIFS($A$12:$A$5011,A4242,$B$12:$B$5011,B4242)&gt;1,"CPF + dia duplicado",IF(OR(AND(G4242&lt;&gt;"",G4242&lt;&gt;0,G4242&lt;&gt;1),AND(H4242&lt;&gt;"",H4242&lt;&gt;0,H4242&lt;&gt;1)),"Flags devem ser 0 ou 1",IF(AND(H4242=1,LEN(TRIM(I4242))=0),"Preencher nome do indicante",IF(AND(H4242&lt;&gt;1,I4242&lt;&gt;""),"Nome sem indicação interna",IF(AND(G4242=1,F4242=""),"Fechamento sem conversa",IF(OR(AND(E4242&lt;&gt;"",E4242&lt;B4242),AND(F4242&lt;&gt;"",F4242&lt;B4242)),"Evento anterior à entrada",IF(AND(F4242&lt;&gt;"",E4242=""),"Conversa sem agendamento",IF(OR(E4242&gt;TODAY(),F4242&gt;TODAY()),"Verificar evento futuro","OK"))))))))))</f>
        <v/>
      </c>
    </row>
    <row r="4243" spans="12:15">
      <c r="L4243" s="5">
        <f>IF(OR(A4243="",B4243=""),"",B4243-WEEKDAY(B4243,2)+1)</f>
        <v/>
      </c>
      <c r="M4243" s="5">
        <f>IF(L4243="","",L4243+6)</f>
        <v/>
      </c>
      <c r="N4243" s="6">
        <f>IF(OR(A4243="",B4243=""),"",DATE(YEAR(B4243),MONTH(B4243),1))</f>
        <v/>
      </c>
      <c r="O4243" s="7">
        <f>IF(COUNTA(A4243:K4243)=0,"",IF(OR(A4243="",B4243=""),"Preencher CPF e entrada",IF(COUNTIFS($A$12:$A$5011,A4243,$B$12:$B$5011,B4243)&gt;1,"CPF + dia duplicado",IF(OR(AND(G4243&lt;&gt;"",G4243&lt;&gt;0,G4243&lt;&gt;1),AND(H4243&lt;&gt;"",H4243&lt;&gt;0,H4243&lt;&gt;1)),"Flags devem ser 0 ou 1",IF(AND(H4243=1,LEN(TRIM(I4243))=0),"Preencher nome do indicante",IF(AND(H4243&lt;&gt;1,I4243&lt;&gt;""),"Nome sem indicação interna",IF(AND(G4243=1,F4243=""),"Fechamento sem conversa",IF(OR(AND(E4243&lt;&gt;"",E4243&lt;B4243),AND(F4243&lt;&gt;"",F4243&lt;B4243)),"Evento anterior à entrada",IF(AND(F4243&lt;&gt;"",E4243=""),"Conversa sem agendamento",IF(OR(E4243&gt;TODAY(),F4243&gt;TODAY()),"Verificar evento futuro","OK"))))))))))</f>
        <v/>
      </c>
    </row>
    <row r="4244" spans="12:15">
      <c r="L4244" s="5">
        <f>IF(OR(A4244="",B4244=""),"",B4244-WEEKDAY(B4244,2)+1)</f>
        <v/>
      </c>
      <c r="M4244" s="5">
        <f>IF(L4244="","",L4244+6)</f>
        <v/>
      </c>
      <c r="N4244" s="6">
        <f>IF(OR(A4244="",B4244=""),"",DATE(YEAR(B4244),MONTH(B4244),1))</f>
        <v/>
      </c>
      <c r="O4244" s="7">
        <f>IF(COUNTA(A4244:K4244)=0,"",IF(OR(A4244="",B4244=""),"Preencher CPF e entrada",IF(COUNTIFS($A$12:$A$5011,A4244,$B$12:$B$5011,B4244)&gt;1,"CPF + dia duplicado",IF(OR(AND(G4244&lt;&gt;"",G4244&lt;&gt;0,G4244&lt;&gt;1),AND(H4244&lt;&gt;"",H4244&lt;&gt;0,H4244&lt;&gt;1)),"Flags devem ser 0 ou 1",IF(AND(H4244=1,LEN(TRIM(I4244))=0),"Preencher nome do indicante",IF(AND(H4244&lt;&gt;1,I4244&lt;&gt;""),"Nome sem indicação interna",IF(AND(G4244=1,F4244=""),"Fechamento sem conversa",IF(OR(AND(E4244&lt;&gt;"",E4244&lt;B4244),AND(F4244&lt;&gt;"",F4244&lt;B4244)),"Evento anterior à entrada",IF(AND(F4244&lt;&gt;"",E4244=""),"Conversa sem agendamento",IF(OR(E4244&gt;TODAY(),F4244&gt;TODAY()),"Verificar evento futuro","OK"))))))))))</f>
        <v/>
      </c>
    </row>
    <row r="4245" spans="12:15">
      <c r="L4245" s="5">
        <f>IF(OR(A4245="",B4245=""),"",B4245-WEEKDAY(B4245,2)+1)</f>
        <v/>
      </c>
      <c r="M4245" s="5">
        <f>IF(L4245="","",L4245+6)</f>
        <v/>
      </c>
      <c r="N4245" s="6">
        <f>IF(OR(A4245="",B4245=""),"",DATE(YEAR(B4245),MONTH(B4245),1))</f>
        <v/>
      </c>
      <c r="O4245" s="7">
        <f>IF(COUNTA(A4245:K4245)=0,"",IF(OR(A4245="",B4245=""),"Preencher CPF e entrada",IF(COUNTIFS($A$12:$A$5011,A4245,$B$12:$B$5011,B4245)&gt;1,"CPF + dia duplicado",IF(OR(AND(G4245&lt;&gt;"",G4245&lt;&gt;0,G4245&lt;&gt;1),AND(H4245&lt;&gt;"",H4245&lt;&gt;0,H4245&lt;&gt;1)),"Flags devem ser 0 ou 1",IF(AND(H4245=1,LEN(TRIM(I4245))=0),"Preencher nome do indicante",IF(AND(H4245&lt;&gt;1,I4245&lt;&gt;""),"Nome sem indicação interna",IF(AND(G4245=1,F4245=""),"Fechamento sem conversa",IF(OR(AND(E4245&lt;&gt;"",E4245&lt;B4245),AND(F4245&lt;&gt;"",F4245&lt;B4245)),"Evento anterior à entrada",IF(AND(F4245&lt;&gt;"",E4245=""),"Conversa sem agendamento",IF(OR(E4245&gt;TODAY(),F4245&gt;TODAY()),"Verificar evento futuro","OK"))))))))))</f>
        <v/>
      </c>
    </row>
    <row r="4246" spans="12:15">
      <c r="L4246" s="5">
        <f>IF(OR(A4246="",B4246=""),"",B4246-WEEKDAY(B4246,2)+1)</f>
        <v/>
      </c>
      <c r="M4246" s="5">
        <f>IF(L4246="","",L4246+6)</f>
        <v/>
      </c>
      <c r="N4246" s="6">
        <f>IF(OR(A4246="",B4246=""),"",DATE(YEAR(B4246),MONTH(B4246),1))</f>
        <v/>
      </c>
      <c r="O4246" s="7">
        <f>IF(COUNTA(A4246:K4246)=0,"",IF(OR(A4246="",B4246=""),"Preencher CPF e entrada",IF(COUNTIFS($A$12:$A$5011,A4246,$B$12:$B$5011,B4246)&gt;1,"CPF + dia duplicado",IF(OR(AND(G4246&lt;&gt;"",G4246&lt;&gt;0,G4246&lt;&gt;1),AND(H4246&lt;&gt;"",H4246&lt;&gt;0,H4246&lt;&gt;1)),"Flags devem ser 0 ou 1",IF(AND(H4246=1,LEN(TRIM(I4246))=0),"Preencher nome do indicante",IF(AND(H4246&lt;&gt;1,I4246&lt;&gt;""),"Nome sem indicação interna",IF(AND(G4246=1,F4246=""),"Fechamento sem conversa",IF(OR(AND(E4246&lt;&gt;"",E4246&lt;B4246),AND(F4246&lt;&gt;"",F4246&lt;B4246)),"Evento anterior à entrada",IF(AND(F4246&lt;&gt;"",E4246=""),"Conversa sem agendamento",IF(OR(E4246&gt;TODAY(),F4246&gt;TODAY()),"Verificar evento futuro","OK"))))))))))</f>
        <v/>
      </c>
    </row>
    <row r="4247" spans="12:15">
      <c r="L4247" s="5">
        <f>IF(OR(A4247="",B4247=""),"",B4247-WEEKDAY(B4247,2)+1)</f>
        <v/>
      </c>
      <c r="M4247" s="5">
        <f>IF(L4247="","",L4247+6)</f>
        <v/>
      </c>
      <c r="N4247" s="6">
        <f>IF(OR(A4247="",B4247=""),"",DATE(YEAR(B4247),MONTH(B4247),1))</f>
        <v/>
      </c>
      <c r="O4247" s="7">
        <f>IF(COUNTA(A4247:K4247)=0,"",IF(OR(A4247="",B4247=""),"Preencher CPF e entrada",IF(COUNTIFS($A$12:$A$5011,A4247,$B$12:$B$5011,B4247)&gt;1,"CPF + dia duplicado",IF(OR(AND(G4247&lt;&gt;"",G4247&lt;&gt;0,G4247&lt;&gt;1),AND(H4247&lt;&gt;"",H4247&lt;&gt;0,H4247&lt;&gt;1)),"Flags devem ser 0 ou 1",IF(AND(H4247=1,LEN(TRIM(I4247))=0),"Preencher nome do indicante",IF(AND(H4247&lt;&gt;1,I4247&lt;&gt;""),"Nome sem indicação interna",IF(AND(G4247=1,F4247=""),"Fechamento sem conversa",IF(OR(AND(E4247&lt;&gt;"",E4247&lt;B4247),AND(F4247&lt;&gt;"",F4247&lt;B4247)),"Evento anterior à entrada",IF(AND(F4247&lt;&gt;"",E4247=""),"Conversa sem agendamento",IF(OR(E4247&gt;TODAY(),F4247&gt;TODAY()),"Verificar evento futuro","OK"))))))))))</f>
        <v/>
      </c>
    </row>
    <row r="4248" spans="12:15">
      <c r="L4248" s="5">
        <f>IF(OR(A4248="",B4248=""),"",B4248-WEEKDAY(B4248,2)+1)</f>
        <v/>
      </c>
      <c r="M4248" s="5">
        <f>IF(L4248="","",L4248+6)</f>
        <v/>
      </c>
      <c r="N4248" s="6">
        <f>IF(OR(A4248="",B4248=""),"",DATE(YEAR(B4248),MONTH(B4248),1))</f>
        <v/>
      </c>
      <c r="O4248" s="7">
        <f>IF(COUNTA(A4248:K4248)=0,"",IF(OR(A4248="",B4248=""),"Preencher CPF e entrada",IF(COUNTIFS($A$12:$A$5011,A4248,$B$12:$B$5011,B4248)&gt;1,"CPF + dia duplicado",IF(OR(AND(G4248&lt;&gt;"",G4248&lt;&gt;0,G4248&lt;&gt;1),AND(H4248&lt;&gt;"",H4248&lt;&gt;0,H4248&lt;&gt;1)),"Flags devem ser 0 ou 1",IF(AND(H4248=1,LEN(TRIM(I4248))=0),"Preencher nome do indicante",IF(AND(H4248&lt;&gt;1,I4248&lt;&gt;""),"Nome sem indicação interna",IF(AND(G4248=1,F4248=""),"Fechamento sem conversa",IF(OR(AND(E4248&lt;&gt;"",E4248&lt;B4248),AND(F4248&lt;&gt;"",F4248&lt;B4248)),"Evento anterior à entrada",IF(AND(F4248&lt;&gt;"",E4248=""),"Conversa sem agendamento",IF(OR(E4248&gt;TODAY(),F4248&gt;TODAY()),"Verificar evento futuro","OK"))))))))))</f>
        <v/>
      </c>
    </row>
    <row r="4249" spans="12:15">
      <c r="L4249" s="5">
        <f>IF(OR(A4249="",B4249=""),"",B4249-WEEKDAY(B4249,2)+1)</f>
        <v/>
      </c>
      <c r="M4249" s="5">
        <f>IF(L4249="","",L4249+6)</f>
        <v/>
      </c>
      <c r="N4249" s="6">
        <f>IF(OR(A4249="",B4249=""),"",DATE(YEAR(B4249),MONTH(B4249),1))</f>
        <v/>
      </c>
      <c r="O4249" s="7">
        <f>IF(COUNTA(A4249:K4249)=0,"",IF(OR(A4249="",B4249=""),"Preencher CPF e entrada",IF(COUNTIFS($A$12:$A$5011,A4249,$B$12:$B$5011,B4249)&gt;1,"CPF + dia duplicado",IF(OR(AND(G4249&lt;&gt;"",G4249&lt;&gt;0,G4249&lt;&gt;1),AND(H4249&lt;&gt;"",H4249&lt;&gt;0,H4249&lt;&gt;1)),"Flags devem ser 0 ou 1",IF(AND(H4249=1,LEN(TRIM(I4249))=0),"Preencher nome do indicante",IF(AND(H4249&lt;&gt;1,I4249&lt;&gt;""),"Nome sem indicação interna",IF(AND(G4249=1,F4249=""),"Fechamento sem conversa",IF(OR(AND(E4249&lt;&gt;"",E4249&lt;B4249),AND(F4249&lt;&gt;"",F4249&lt;B4249)),"Evento anterior à entrada",IF(AND(F4249&lt;&gt;"",E4249=""),"Conversa sem agendamento",IF(OR(E4249&gt;TODAY(),F4249&gt;TODAY()),"Verificar evento futuro","OK"))))))))))</f>
        <v/>
      </c>
    </row>
    <row r="4250" spans="12:15">
      <c r="L4250" s="5">
        <f>IF(OR(A4250="",B4250=""),"",B4250-WEEKDAY(B4250,2)+1)</f>
        <v/>
      </c>
      <c r="M4250" s="5">
        <f>IF(L4250="","",L4250+6)</f>
        <v/>
      </c>
      <c r="N4250" s="6">
        <f>IF(OR(A4250="",B4250=""),"",DATE(YEAR(B4250),MONTH(B4250),1))</f>
        <v/>
      </c>
      <c r="O4250" s="7">
        <f>IF(COUNTA(A4250:K4250)=0,"",IF(OR(A4250="",B4250=""),"Preencher CPF e entrada",IF(COUNTIFS($A$12:$A$5011,A4250,$B$12:$B$5011,B4250)&gt;1,"CPF + dia duplicado",IF(OR(AND(G4250&lt;&gt;"",G4250&lt;&gt;0,G4250&lt;&gt;1),AND(H4250&lt;&gt;"",H4250&lt;&gt;0,H4250&lt;&gt;1)),"Flags devem ser 0 ou 1",IF(AND(H4250=1,LEN(TRIM(I4250))=0),"Preencher nome do indicante",IF(AND(H4250&lt;&gt;1,I4250&lt;&gt;""),"Nome sem indicação interna",IF(AND(G4250=1,F4250=""),"Fechamento sem conversa",IF(OR(AND(E4250&lt;&gt;"",E4250&lt;B4250),AND(F4250&lt;&gt;"",F4250&lt;B4250)),"Evento anterior à entrada",IF(AND(F4250&lt;&gt;"",E4250=""),"Conversa sem agendamento",IF(OR(E4250&gt;TODAY(),F4250&gt;TODAY()),"Verificar evento futuro","OK"))))))))))</f>
        <v/>
      </c>
    </row>
    <row r="4251" spans="12:15">
      <c r="L4251" s="5">
        <f>IF(OR(A4251="",B4251=""),"",B4251-WEEKDAY(B4251,2)+1)</f>
        <v/>
      </c>
      <c r="M4251" s="5">
        <f>IF(L4251="","",L4251+6)</f>
        <v/>
      </c>
      <c r="N4251" s="6">
        <f>IF(OR(A4251="",B4251=""),"",DATE(YEAR(B4251),MONTH(B4251),1))</f>
        <v/>
      </c>
      <c r="O4251" s="7">
        <f>IF(COUNTA(A4251:K4251)=0,"",IF(OR(A4251="",B4251=""),"Preencher CPF e entrada",IF(COUNTIFS($A$12:$A$5011,A4251,$B$12:$B$5011,B4251)&gt;1,"CPF + dia duplicado",IF(OR(AND(G4251&lt;&gt;"",G4251&lt;&gt;0,G4251&lt;&gt;1),AND(H4251&lt;&gt;"",H4251&lt;&gt;0,H4251&lt;&gt;1)),"Flags devem ser 0 ou 1",IF(AND(H4251=1,LEN(TRIM(I4251))=0),"Preencher nome do indicante",IF(AND(H4251&lt;&gt;1,I4251&lt;&gt;""),"Nome sem indicação interna",IF(AND(G4251=1,F4251=""),"Fechamento sem conversa",IF(OR(AND(E4251&lt;&gt;"",E4251&lt;B4251),AND(F4251&lt;&gt;"",F4251&lt;B4251)),"Evento anterior à entrada",IF(AND(F4251&lt;&gt;"",E4251=""),"Conversa sem agendamento",IF(OR(E4251&gt;TODAY(),F4251&gt;TODAY()),"Verificar evento futuro","OK"))))))))))</f>
        <v/>
      </c>
    </row>
    <row r="4252" spans="12:15">
      <c r="L4252" s="5">
        <f>IF(OR(A4252="",B4252=""),"",B4252-WEEKDAY(B4252,2)+1)</f>
        <v/>
      </c>
      <c r="M4252" s="5">
        <f>IF(L4252="","",L4252+6)</f>
        <v/>
      </c>
      <c r="N4252" s="6">
        <f>IF(OR(A4252="",B4252=""),"",DATE(YEAR(B4252),MONTH(B4252),1))</f>
        <v/>
      </c>
      <c r="O4252" s="7">
        <f>IF(COUNTA(A4252:K4252)=0,"",IF(OR(A4252="",B4252=""),"Preencher CPF e entrada",IF(COUNTIFS($A$12:$A$5011,A4252,$B$12:$B$5011,B4252)&gt;1,"CPF + dia duplicado",IF(OR(AND(G4252&lt;&gt;"",G4252&lt;&gt;0,G4252&lt;&gt;1),AND(H4252&lt;&gt;"",H4252&lt;&gt;0,H4252&lt;&gt;1)),"Flags devem ser 0 ou 1",IF(AND(H4252=1,LEN(TRIM(I4252))=0),"Preencher nome do indicante",IF(AND(H4252&lt;&gt;1,I4252&lt;&gt;""),"Nome sem indicação interna",IF(AND(G4252=1,F4252=""),"Fechamento sem conversa",IF(OR(AND(E4252&lt;&gt;"",E4252&lt;B4252),AND(F4252&lt;&gt;"",F4252&lt;B4252)),"Evento anterior à entrada",IF(AND(F4252&lt;&gt;"",E4252=""),"Conversa sem agendamento",IF(OR(E4252&gt;TODAY(),F4252&gt;TODAY()),"Verificar evento futuro","OK"))))))))))</f>
        <v/>
      </c>
    </row>
    <row r="4253" spans="12:15">
      <c r="L4253" s="5">
        <f>IF(OR(A4253="",B4253=""),"",B4253-WEEKDAY(B4253,2)+1)</f>
        <v/>
      </c>
      <c r="M4253" s="5">
        <f>IF(L4253="","",L4253+6)</f>
        <v/>
      </c>
      <c r="N4253" s="6">
        <f>IF(OR(A4253="",B4253=""),"",DATE(YEAR(B4253),MONTH(B4253),1))</f>
        <v/>
      </c>
      <c r="O4253" s="7">
        <f>IF(COUNTA(A4253:K4253)=0,"",IF(OR(A4253="",B4253=""),"Preencher CPF e entrada",IF(COUNTIFS($A$12:$A$5011,A4253,$B$12:$B$5011,B4253)&gt;1,"CPF + dia duplicado",IF(OR(AND(G4253&lt;&gt;"",G4253&lt;&gt;0,G4253&lt;&gt;1),AND(H4253&lt;&gt;"",H4253&lt;&gt;0,H4253&lt;&gt;1)),"Flags devem ser 0 ou 1",IF(AND(H4253=1,LEN(TRIM(I4253))=0),"Preencher nome do indicante",IF(AND(H4253&lt;&gt;1,I4253&lt;&gt;""),"Nome sem indicação interna",IF(AND(G4253=1,F4253=""),"Fechamento sem conversa",IF(OR(AND(E4253&lt;&gt;"",E4253&lt;B4253),AND(F4253&lt;&gt;"",F4253&lt;B4253)),"Evento anterior à entrada",IF(AND(F4253&lt;&gt;"",E4253=""),"Conversa sem agendamento",IF(OR(E4253&gt;TODAY(),F4253&gt;TODAY()),"Verificar evento futuro","OK"))))))))))</f>
        <v/>
      </c>
    </row>
    <row r="4254" spans="12:15">
      <c r="L4254" s="5">
        <f>IF(OR(A4254="",B4254=""),"",B4254-WEEKDAY(B4254,2)+1)</f>
        <v/>
      </c>
      <c r="M4254" s="5">
        <f>IF(L4254="","",L4254+6)</f>
        <v/>
      </c>
      <c r="N4254" s="6">
        <f>IF(OR(A4254="",B4254=""),"",DATE(YEAR(B4254),MONTH(B4254),1))</f>
        <v/>
      </c>
      <c r="O4254" s="7">
        <f>IF(COUNTA(A4254:K4254)=0,"",IF(OR(A4254="",B4254=""),"Preencher CPF e entrada",IF(COUNTIFS($A$12:$A$5011,A4254,$B$12:$B$5011,B4254)&gt;1,"CPF + dia duplicado",IF(OR(AND(G4254&lt;&gt;"",G4254&lt;&gt;0,G4254&lt;&gt;1),AND(H4254&lt;&gt;"",H4254&lt;&gt;0,H4254&lt;&gt;1)),"Flags devem ser 0 ou 1",IF(AND(H4254=1,LEN(TRIM(I4254))=0),"Preencher nome do indicante",IF(AND(H4254&lt;&gt;1,I4254&lt;&gt;""),"Nome sem indicação interna",IF(AND(G4254=1,F4254=""),"Fechamento sem conversa",IF(OR(AND(E4254&lt;&gt;"",E4254&lt;B4254),AND(F4254&lt;&gt;"",F4254&lt;B4254)),"Evento anterior à entrada",IF(AND(F4254&lt;&gt;"",E4254=""),"Conversa sem agendamento",IF(OR(E4254&gt;TODAY(),F4254&gt;TODAY()),"Verificar evento futuro","OK"))))))))))</f>
        <v/>
      </c>
    </row>
    <row r="4255" spans="12:15">
      <c r="L4255" s="5">
        <f>IF(OR(A4255="",B4255=""),"",B4255-WEEKDAY(B4255,2)+1)</f>
        <v/>
      </c>
      <c r="M4255" s="5">
        <f>IF(L4255="","",L4255+6)</f>
        <v/>
      </c>
      <c r="N4255" s="6">
        <f>IF(OR(A4255="",B4255=""),"",DATE(YEAR(B4255),MONTH(B4255),1))</f>
        <v/>
      </c>
      <c r="O4255" s="7">
        <f>IF(COUNTA(A4255:K4255)=0,"",IF(OR(A4255="",B4255=""),"Preencher CPF e entrada",IF(COUNTIFS($A$12:$A$5011,A4255,$B$12:$B$5011,B4255)&gt;1,"CPF + dia duplicado",IF(OR(AND(G4255&lt;&gt;"",G4255&lt;&gt;0,G4255&lt;&gt;1),AND(H4255&lt;&gt;"",H4255&lt;&gt;0,H4255&lt;&gt;1)),"Flags devem ser 0 ou 1",IF(AND(H4255=1,LEN(TRIM(I4255))=0),"Preencher nome do indicante",IF(AND(H4255&lt;&gt;1,I4255&lt;&gt;""),"Nome sem indicação interna",IF(AND(G4255=1,F4255=""),"Fechamento sem conversa",IF(OR(AND(E4255&lt;&gt;"",E4255&lt;B4255),AND(F4255&lt;&gt;"",F4255&lt;B4255)),"Evento anterior à entrada",IF(AND(F4255&lt;&gt;"",E4255=""),"Conversa sem agendamento",IF(OR(E4255&gt;TODAY(),F4255&gt;TODAY()),"Verificar evento futuro","OK"))))))))))</f>
        <v/>
      </c>
    </row>
    <row r="4256" spans="12:15">
      <c r="L4256" s="5">
        <f>IF(OR(A4256="",B4256=""),"",B4256-WEEKDAY(B4256,2)+1)</f>
        <v/>
      </c>
      <c r="M4256" s="5">
        <f>IF(L4256="","",L4256+6)</f>
        <v/>
      </c>
      <c r="N4256" s="6">
        <f>IF(OR(A4256="",B4256=""),"",DATE(YEAR(B4256),MONTH(B4256),1))</f>
        <v/>
      </c>
      <c r="O4256" s="7">
        <f>IF(COUNTA(A4256:K4256)=0,"",IF(OR(A4256="",B4256=""),"Preencher CPF e entrada",IF(COUNTIFS($A$12:$A$5011,A4256,$B$12:$B$5011,B4256)&gt;1,"CPF + dia duplicado",IF(OR(AND(G4256&lt;&gt;"",G4256&lt;&gt;0,G4256&lt;&gt;1),AND(H4256&lt;&gt;"",H4256&lt;&gt;0,H4256&lt;&gt;1)),"Flags devem ser 0 ou 1",IF(AND(H4256=1,LEN(TRIM(I4256))=0),"Preencher nome do indicante",IF(AND(H4256&lt;&gt;1,I4256&lt;&gt;""),"Nome sem indicação interna",IF(AND(G4256=1,F4256=""),"Fechamento sem conversa",IF(OR(AND(E4256&lt;&gt;"",E4256&lt;B4256),AND(F4256&lt;&gt;"",F4256&lt;B4256)),"Evento anterior à entrada",IF(AND(F4256&lt;&gt;"",E4256=""),"Conversa sem agendamento",IF(OR(E4256&gt;TODAY(),F4256&gt;TODAY()),"Verificar evento futuro","OK"))))))))))</f>
        <v/>
      </c>
    </row>
    <row r="4257" spans="12:15">
      <c r="L4257" s="5">
        <f>IF(OR(A4257="",B4257=""),"",B4257-WEEKDAY(B4257,2)+1)</f>
        <v/>
      </c>
      <c r="M4257" s="5">
        <f>IF(L4257="","",L4257+6)</f>
        <v/>
      </c>
      <c r="N4257" s="6">
        <f>IF(OR(A4257="",B4257=""),"",DATE(YEAR(B4257),MONTH(B4257),1))</f>
        <v/>
      </c>
      <c r="O4257" s="7">
        <f>IF(COUNTA(A4257:K4257)=0,"",IF(OR(A4257="",B4257=""),"Preencher CPF e entrada",IF(COUNTIFS($A$12:$A$5011,A4257,$B$12:$B$5011,B4257)&gt;1,"CPF + dia duplicado",IF(OR(AND(G4257&lt;&gt;"",G4257&lt;&gt;0,G4257&lt;&gt;1),AND(H4257&lt;&gt;"",H4257&lt;&gt;0,H4257&lt;&gt;1)),"Flags devem ser 0 ou 1",IF(AND(H4257=1,LEN(TRIM(I4257))=0),"Preencher nome do indicante",IF(AND(H4257&lt;&gt;1,I4257&lt;&gt;""),"Nome sem indicação interna",IF(AND(G4257=1,F4257=""),"Fechamento sem conversa",IF(OR(AND(E4257&lt;&gt;"",E4257&lt;B4257),AND(F4257&lt;&gt;"",F4257&lt;B4257)),"Evento anterior à entrada",IF(AND(F4257&lt;&gt;"",E4257=""),"Conversa sem agendamento",IF(OR(E4257&gt;TODAY(),F4257&gt;TODAY()),"Verificar evento futuro","OK"))))))))))</f>
        <v/>
      </c>
    </row>
    <row r="4258" spans="12:15">
      <c r="L4258" s="5">
        <f>IF(OR(A4258="",B4258=""),"",B4258-WEEKDAY(B4258,2)+1)</f>
        <v/>
      </c>
      <c r="M4258" s="5">
        <f>IF(L4258="","",L4258+6)</f>
        <v/>
      </c>
      <c r="N4258" s="6">
        <f>IF(OR(A4258="",B4258=""),"",DATE(YEAR(B4258),MONTH(B4258),1))</f>
        <v/>
      </c>
      <c r="O4258" s="7">
        <f>IF(COUNTA(A4258:K4258)=0,"",IF(OR(A4258="",B4258=""),"Preencher CPF e entrada",IF(COUNTIFS($A$12:$A$5011,A4258,$B$12:$B$5011,B4258)&gt;1,"CPF + dia duplicado",IF(OR(AND(G4258&lt;&gt;"",G4258&lt;&gt;0,G4258&lt;&gt;1),AND(H4258&lt;&gt;"",H4258&lt;&gt;0,H4258&lt;&gt;1)),"Flags devem ser 0 ou 1",IF(AND(H4258=1,LEN(TRIM(I4258))=0),"Preencher nome do indicante",IF(AND(H4258&lt;&gt;1,I4258&lt;&gt;""),"Nome sem indicação interna",IF(AND(G4258=1,F4258=""),"Fechamento sem conversa",IF(OR(AND(E4258&lt;&gt;"",E4258&lt;B4258),AND(F4258&lt;&gt;"",F4258&lt;B4258)),"Evento anterior à entrada",IF(AND(F4258&lt;&gt;"",E4258=""),"Conversa sem agendamento",IF(OR(E4258&gt;TODAY(),F4258&gt;TODAY()),"Verificar evento futuro","OK"))))))))))</f>
        <v/>
      </c>
    </row>
    <row r="4259" spans="12:15">
      <c r="L4259" s="5">
        <f>IF(OR(A4259="",B4259=""),"",B4259-WEEKDAY(B4259,2)+1)</f>
        <v/>
      </c>
      <c r="M4259" s="5">
        <f>IF(L4259="","",L4259+6)</f>
        <v/>
      </c>
      <c r="N4259" s="6">
        <f>IF(OR(A4259="",B4259=""),"",DATE(YEAR(B4259),MONTH(B4259),1))</f>
        <v/>
      </c>
      <c r="O4259" s="7">
        <f>IF(COUNTA(A4259:K4259)=0,"",IF(OR(A4259="",B4259=""),"Preencher CPF e entrada",IF(COUNTIFS($A$12:$A$5011,A4259,$B$12:$B$5011,B4259)&gt;1,"CPF + dia duplicado",IF(OR(AND(G4259&lt;&gt;"",G4259&lt;&gt;0,G4259&lt;&gt;1),AND(H4259&lt;&gt;"",H4259&lt;&gt;0,H4259&lt;&gt;1)),"Flags devem ser 0 ou 1",IF(AND(H4259=1,LEN(TRIM(I4259))=0),"Preencher nome do indicante",IF(AND(H4259&lt;&gt;1,I4259&lt;&gt;""),"Nome sem indicação interna",IF(AND(G4259=1,F4259=""),"Fechamento sem conversa",IF(OR(AND(E4259&lt;&gt;"",E4259&lt;B4259),AND(F4259&lt;&gt;"",F4259&lt;B4259)),"Evento anterior à entrada",IF(AND(F4259&lt;&gt;"",E4259=""),"Conversa sem agendamento",IF(OR(E4259&gt;TODAY(),F4259&gt;TODAY()),"Verificar evento futuro","OK"))))))))))</f>
        <v/>
      </c>
    </row>
    <row r="4260" spans="12:15">
      <c r="L4260" s="5">
        <f>IF(OR(A4260="",B4260=""),"",B4260-WEEKDAY(B4260,2)+1)</f>
        <v/>
      </c>
      <c r="M4260" s="5">
        <f>IF(L4260="","",L4260+6)</f>
        <v/>
      </c>
      <c r="N4260" s="6">
        <f>IF(OR(A4260="",B4260=""),"",DATE(YEAR(B4260),MONTH(B4260),1))</f>
        <v/>
      </c>
      <c r="O4260" s="7">
        <f>IF(COUNTA(A4260:K4260)=0,"",IF(OR(A4260="",B4260=""),"Preencher CPF e entrada",IF(COUNTIFS($A$12:$A$5011,A4260,$B$12:$B$5011,B4260)&gt;1,"CPF + dia duplicado",IF(OR(AND(G4260&lt;&gt;"",G4260&lt;&gt;0,G4260&lt;&gt;1),AND(H4260&lt;&gt;"",H4260&lt;&gt;0,H4260&lt;&gt;1)),"Flags devem ser 0 ou 1",IF(AND(H4260=1,LEN(TRIM(I4260))=0),"Preencher nome do indicante",IF(AND(H4260&lt;&gt;1,I4260&lt;&gt;""),"Nome sem indicação interna",IF(AND(G4260=1,F4260=""),"Fechamento sem conversa",IF(OR(AND(E4260&lt;&gt;"",E4260&lt;B4260),AND(F4260&lt;&gt;"",F4260&lt;B4260)),"Evento anterior à entrada",IF(AND(F4260&lt;&gt;"",E4260=""),"Conversa sem agendamento",IF(OR(E4260&gt;TODAY(),F4260&gt;TODAY()),"Verificar evento futuro","OK"))))))))))</f>
        <v/>
      </c>
    </row>
    <row r="4261" spans="12:15">
      <c r="L4261" s="5">
        <f>IF(OR(A4261="",B4261=""),"",B4261-WEEKDAY(B4261,2)+1)</f>
        <v/>
      </c>
      <c r="M4261" s="5">
        <f>IF(L4261="","",L4261+6)</f>
        <v/>
      </c>
      <c r="N4261" s="6">
        <f>IF(OR(A4261="",B4261=""),"",DATE(YEAR(B4261),MONTH(B4261),1))</f>
        <v/>
      </c>
      <c r="O4261" s="7">
        <f>IF(COUNTA(A4261:K4261)=0,"",IF(OR(A4261="",B4261=""),"Preencher CPF e entrada",IF(COUNTIFS($A$12:$A$5011,A4261,$B$12:$B$5011,B4261)&gt;1,"CPF + dia duplicado",IF(OR(AND(G4261&lt;&gt;"",G4261&lt;&gt;0,G4261&lt;&gt;1),AND(H4261&lt;&gt;"",H4261&lt;&gt;0,H4261&lt;&gt;1)),"Flags devem ser 0 ou 1",IF(AND(H4261=1,LEN(TRIM(I4261))=0),"Preencher nome do indicante",IF(AND(H4261&lt;&gt;1,I4261&lt;&gt;""),"Nome sem indicação interna",IF(AND(G4261=1,F4261=""),"Fechamento sem conversa",IF(OR(AND(E4261&lt;&gt;"",E4261&lt;B4261),AND(F4261&lt;&gt;"",F4261&lt;B4261)),"Evento anterior à entrada",IF(AND(F4261&lt;&gt;"",E4261=""),"Conversa sem agendamento",IF(OR(E4261&gt;TODAY(),F4261&gt;TODAY()),"Verificar evento futuro","OK"))))))))))</f>
        <v/>
      </c>
    </row>
    <row r="4262" spans="12:15">
      <c r="L4262" s="5">
        <f>IF(OR(A4262="",B4262=""),"",B4262-WEEKDAY(B4262,2)+1)</f>
        <v/>
      </c>
      <c r="M4262" s="5">
        <f>IF(L4262="","",L4262+6)</f>
        <v/>
      </c>
      <c r="N4262" s="6">
        <f>IF(OR(A4262="",B4262=""),"",DATE(YEAR(B4262),MONTH(B4262),1))</f>
        <v/>
      </c>
      <c r="O4262" s="7">
        <f>IF(COUNTA(A4262:K4262)=0,"",IF(OR(A4262="",B4262=""),"Preencher CPF e entrada",IF(COUNTIFS($A$12:$A$5011,A4262,$B$12:$B$5011,B4262)&gt;1,"CPF + dia duplicado",IF(OR(AND(G4262&lt;&gt;"",G4262&lt;&gt;0,G4262&lt;&gt;1),AND(H4262&lt;&gt;"",H4262&lt;&gt;0,H4262&lt;&gt;1)),"Flags devem ser 0 ou 1",IF(AND(H4262=1,LEN(TRIM(I4262))=0),"Preencher nome do indicante",IF(AND(H4262&lt;&gt;1,I4262&lt;&gt;""),"Nome sem indicação interna",IF(AND(G4262=1,F4262=""),"Fechamento sem conversa",IF(OR(AND(E4262&lt;&gt;"",E4262&lt;B4262),AND(F4262&lt;&gt;"",F4262&lt;B4262)),"Evento anterior à entrada",IF(AND(F4262&lt;&gt;"",E4262=""),"Conversa sem agendamento",IF(OR(E4262&gt;TODAY(),F4262&gt;TODAY()),"Verificar evento futuro","OK"))))))))))</f>
        <v/>
      </c>
    </row>
    <row r="4263" spans="12:15">
      <c r="L4263" s="5">
        <f>IF(OR(A4263="",B4263=""),"",B4263-WEEKDAY(B4263,2)+1)</f>
        <v/>
      </c>
      <c r="M4263" s="5">
        <f>IF(L4263="","",L4263+6)</f>
        <v/>
      </c>
      <c r="N4263" s="6">
        <f>IF(OR(A4263="",B4263=""),"",DATE(YEAR(B4263),MONTH(B4263),1))</f>
        <v/>
      </c>
      <c r="O4263" s="7">
        <f>IF(COUNTA(A4263:K4263)=0,"",IF(OR(A4263="",B4263=""),"Preencher CPF e entrada",IF(COUNTIFS($A$12:$A$5011,A4263,$B$12:$B$5011,B4263)&gt;1,"CPF + dia duplicado",IF(OR(AND(G4263&lt;&gt;"",G4263&lt;&gt;0,G4263&lt;&gt;1),AND(H4263&lt;&gt;"",H4263&lt;&gt;0,H4263&lt;&gt;1)),"Flags devem ser 0 ou 1",IF(AND(H4263=1,LEN(TRIM(I4263))=0),"Preencher nome do indicante",IF(AND(H4263&lt;&gt;1,I4263&lt;&gt;""),"Nome sem indicação interna",IF(AND(G4263=1,F4263=""),"Fechamento sem conversa",IF(OR(AND(E4263&lt;&gt;"",E4263&lt;B4263),AND(F4263&lt;&gt;"",F4263&lt;B4263)),"Evento anterior à entrada",IF(AND(F4263&lt;&gt;"",E4263=""),"Conversa sem agendamento",IF(OR(E4263&gt;TODAY(),F4263&gt;TODAY()),"Verificar evento futuro","OK"))))))))))</f>
        <v/>
      </c>
    </row>
    <row r="4264" spans="12:15">
      <c r="L4264" s="5">
        <f>IF(OR(A4264="",B4264=""),"",B4264-WEEKDAY(B4264,2)+1)</f>
        <v/>
      </c>
      <c r="M4264" s="5">
        <f>IF(L4264="","",L4264+6)</f>
        <v/>
      </c>
      <c r="N4264" s="6">
        <f>IF(OR(A4264="",B4264=""),"",DATE(YEAR(B4264),MONTH(B4264),1))</f>
        <v/>
      </c>
      <c r="O4264" s="7">
        <f>IF(COUNTA(A4264:K4264)=0,"",IF(OR(A4264="",B4264=""),"Preencher CPF e entrada",IF(COUNTIFS($A$12:$A$5011,A4264,$B$12:$B$5011,B4264)&gt;1,"CPF + dia duplicado",IF(OR(AND(G4264&lt;&gt;"",G4264&lt;&gt;0,G4264&lt;&gt;1),AND(H4264&lt;&gt;"",H4264&lt;&gt;0,H4264&lt;&gt;1)),"Flags devem ser 0 ou 1",IF(AND(H4264=1,LEN(TRIM(I4264))=0),"Preencher nome do indicante",IF(AND(H4264&lt;&gt;1,I4264&lt;&gt;""),"Nome sem indicação interna",IF(AND(G4264=1,F4264=""),"Fechamento sem conversa",IF(OR(AND(E4264&lt;&gt;"",E4264&lt;B4264),AND(F4264&lt;&gt;"",F4264&lt;B4264)),"Evento anterior à entrada",IF(AND(F4264&lt;&gt;"",E4264=""),"Conversa sem agendamento",IF(OR(E4264&gt;TODAY(),F4264&gt;TODAY()),"Verificar evento futuro","OK"))))))))))</f>
        <v/>
      </c>
    </row>
    <row r="4265" spans="12:15">
      <c r="L4265" s="5">
        <f>IF(OR(A4265="",B4265=""),"",B4265-WEEKDAY(B4265,2)+1)</f>
        <v/>
      </c>
      <c r="M4265" s="5">
        <f>IF(L4265="","",L4265+6)</f>
        <v/>
      </c>
      <c r="N4265" s="6">
        <f>IF(OR(A4265="",B4265=""),"",DATE(YEAR(B4265),MONTH(B4265),1))</f>
        <v/>
      </c>
      <c r="O4265" s="7">
        <f>IF(COUNTA(A4265:K4265)=0,"",IF(OR(A4265="",B4265=""),"Preencher CPF e entrada",IF(COUNTIFS($A$12:$A$5011,A4265,$B$12:$B$5011,B4265)&gt;1,"CPF + dia duplicado",IF(OR(AND(G4265&lt;&gt;"",G4265&lt;&gt;0,G4265&lt;&gt;1),AND(H4265&lt;&gt;"",H4265&lt;&gt;0,H4265&lt;&gt;1)),"Flags devem ser 0 ou 1",IF(AND(H4265=1,LEN(TRIM(I4265))=0),"Preencher nome do indicante",IF(AND(H4265&lt;&gt;1,I4265&lt;&gt;""),"Nome sem indicação interna",IF(AND(G4265=1,F4265=""),"Fechamento sem conversa",IF(OR(AND(E4265&lt;&gt;"",E4265&lt;B4265),AND(F4265&lt;&gt;"",F4265&lt;B4265)),"Evento anterior à entrada",IF(AND(F4265&lt;&gt;"",E4265=""),"Conversa sem agendamento",IF(OR(E4265&gt;TODAY(),F4265&gt;TODAY()),"Verificar evento futuro","OK"))))))))))</f>
        <v/>
      </c>
    </row>
    <row r="4266" spans="12:15">
      <c r="L4266" s="5">
        <f>IF(OR(A4266="",B4266=""),"",B4266-WEEKDAY(B4266,2)+1)</f>
        <v/>
      </c>
      <c r="M4266" s="5">
        <f>IF(L4266="","",L4266+6)</f>
        <v/>
      </c>
      <c r="N4266" s="6">
        <f>IF(OR(A4266="",B4266=""),"",DATE(YEAR(B4266),MONTH(B4266),1))</f>
        <v/>
      </c>
      <c r="O4266" s="7">
        <f>IF(COUNTA(A4266:K4266)=0,"",IF(OR(A4266="",B4266=""),"Preencher CPF e entrada",IF(COUNTIFS($A$12:$A$5011,A4266,$B$12:$B$5011,B4266)&gt;1,"CPF + dia duplicado",IF(OR(AND(G4266&lt;&gt;"",G4266&lt;&gt;0,G4266&lt;&gt;1),AND(H4266&lt;&gt;"",H4266&lt;&gt;0,H4266&lt;&gt;1)),"Flags devem ser 0 ou 1",IF(AND(H4266=1,LEN(TRIM(I4266))=0),"Preencher nome do indicante",IF(AND(H4266&lt;&gt;1,I4266&lt;&gt;""),"Nome sem indicação interna",IF(AND(G4266=1,F4266=""),"Fechamento sem conversa",IF(OR(AND(E4266&lt;&gt;"",E4266&lt;B4266),AND(F4266&lt;&gt;"",F4266&lt;B4266)),"Evento anterior à entrada",IF(AND(F4266&lt;&gt;"",E4266=""),"Conversa sem agendamento",IF(OR(E4266&gt;TODAY(),F4266&gt;TODAY()),"Verificar evento futuro","OK"))))))))))</f>
        <v/>
      </c>
    </row>
    <row r="4267" spans="12:15">
      <c r="L4267" s="5">
        <f>IF(OR(A4267="",B4267=""),"",B4267-WEEKDAY(B4267,2)+1)</f>
        <v/>
      </c>
      <c r="M4267" s="5">
        <f>IF(L4267="","",L4267+6)</f>
        <v/>
      </c>
      <c r="N4267" s="6">
        <f>IF(OR(A4267="",B4267=""),"",DATE(YEAR(B4267),MONTH(B4267),1))</f>
        <v/>
      </c>
      <c r="O4267" s="7">
        <f>IF(COUNTA(A4267:K4267)=0,"",IF(OR(A4267="",B4267=""),"Preencher CPF e entrada",IF(COUNTIFS($A$12:$A$5011,A4267,$B$12:$B$5011,B4267)&gt;1,"CPF + dia duplicado",IF(OR(AND(G4267&lt;&gt;"",G4267&lt;&gt;0,G4267&lt;&gt;1),AND(H4267&lt;&gt;"",H4267&lt;&gt;0,H4267&lt;&gt;1)),"Flags devem ser 0 ou 1",IF(AND(H4267=1,LEN(TRIM(I4267))=0),"Preencher nome do indicante",IF(AND(H4267&lt;&gt;1,I4267&lt;&gt;""),"Nome sem indicação interna",IF(AND(G4267=1,F4267=""),"Fechamento sem conversa",IF(OR(AND(E4267&lt;&gt;"",E4267&lt;B4267),AND(F4267&lt;&gt;"",F4267&lt;B4267)),"Evento anterior à entrada",IF(AND(F4267&lt;&gt;"",E4267=""),"Conversa sem agendamento",IF(OR(E4267&gt;TODAY(),F4267&gt;TODAY()),"Verificar evento futuro","OK"))))))))))</f>
        <v/>
      </c>
    </row>
    <row r="4268" spans="12:15">
      <c r="L4268" s="5">
        <f>IF(OR(A4268="",B4268=""),"",B4268-WEEKDAY(B4268,2)+1)</f>
        <v/>
      </c>
      <c r="M4268" s="5">
        <f>IF(L4268="","",L4268+6)</f>
        <v/>
      </c>
      <c r="N4268" s="6">
        <f>IF(OR(A4268="",B4268=""),"",DATE(YEAR(B4268),MONTH(B4268),1))</f>
        <v/>
      </c>
      <c r="O4268" s="7">
        <f>IF(COUNTA(A4268:K4268)=0,"",IF(OR(A4268="",B4268=""),"Preencher CPF e entrada",IF(COUNTIFS($A$12:$A$5011,A4268,$B$12:$B$5011,B4268)&gt;1,"CPF + dia duplicado",IF(OR(AND(G4268&lt;&gt;"",G4268&lt;&gt;0,G4268&lt;&gt;1),AND(H4268&lt;&gt;"",H4268&lt;&gt;0,H4268&lt;&gt;1)),"Flags devem ser 0 ou 1",IF(AND(H4268=1,LEN(TRIM(I4268))=0),"Preencher nome do indicante",IF(AND(H4268&lt;&gt;1,I4268&lt;&gt;""),"Nome sem indicação interna",IF(AND(G4268=1,F4268=""),"Fechamento sem conversa",IF(OR(AND(E4268&lt;&gt;"",E4268&lt;B4268),AND(F4268&lt;&gt;"",F4268&lt;B4268)),"Evento anterior à entrada",IF(AND(F4268&lt;&gt;"",E4268=""),"Conversa sem agendamento",IF(OR(E4268&gt;TODAY(),F4268&gt;TODAY()),"Verificar evento futuro","OK"))))))))))</f>
        <v/>
      </c>
    </row>
    <row r="4269" spans="12:15">
      <c r="L4269" s="5">
        <f>IF(OR(A4269="",B4269=""),"",B4269-WEEKDAY(B4269,2)+1)</f>
        <v/>
      </c>
      <c r="M4269" s="5">
        <f>IF(L4269="","",L4269+6)</f>
        <v/>
      </c>
      <c r="N4269" s="6">
        <f>IF(OR(A4269="",B4269=""),"",DATE(YEAR(B4269),MONTH(B4269),1))</f>
        <v/>
      </c>
      <c r="O4269" s="7">
        <f>IF(COUNTA(A4269:K4269)=0,"",IF(OR(A4269="",B4269=""),"Preencher CPF e entrada",IF(COUNTIFS($A$12:$A$5011,A4269,$B$12:$B$5011,B4269)&gt;1,"CPF + dia duplicado",IF(OR(AND(G4269&lt;&gt;"",G4269&lt;&gt;0,G4269&lt;&gt;1),AND(H4269&lt;&gt;"",H4269&lt;&gt;0,H4269&lt;&gt;1)),"Flags devem ser 0 ou 1",IF(AND(H4269=1,LEN(TRIM(I4269))=0),"Preencher nome do indicante",IF(AND(H4269&lt;&gt;1,I4269&lt;&gt;""),"Nome sem indicação interna",IF(AND(G4269=1,F4269=""),"Fechamento sem conversa",IF(OR(AND(E4269&lt;&gt;"",E4269&lt;B4269),AND(F4269&lt;&gt;"",F4269&lt;B4269)),"Evento anterior à entrada",IF(AND(F4269&lt;&gt;"",E4269=""),"Conversa sem agendamento",IF(OR(E4269&gt;TODAY(),F4269&gt;TODAY()),"Verificar evento futuro","OK"))))))))))</f>
        <v/>
      </c>
    </row>
    <row r="4270" spans="12:15">
      <c r="L4270" s="5">
        <f>IF(OR(A4270="",B4270=""),"",B4270-WEEKDAY(B4270,2)+1)</f>
        <v/>
      </c>
      <c r="M4270" s="5">
        <f>IF(L4270="","",L4270+6)</f>
        <v/>
      </c>
      <c r="N4270" s="6">
        <f>IF(OR(A4270="",B4270=""),"",DATE(YEAR(B4270),MONTH(B4270),1))</f>
        <v/>
      </c>
      <c r="O4270" s="7">
        <f>IF(COUNTA(A4270:K4270)=0,"",IF(OR(A4270="",B4270=""),"Preencher CPF e entrada",IF(COUNTIFS($A$12:$A$5011,A4270,$B$12:$B$5011,B4270)&gt;1,"CPF + dia duplicado",IF(OR(AND(G4270&lt;&gt;"",G4270&lt;&gt;0,G4270&lt;&gt;1),AND(H4270&lt;&gt;"",H4270&lt;&gt;0,H4270&lt;&gt;1)),"Flags devem ser 0 ou 1",IF(AND(H4270=1,LEN(TRIM(I4270))=0),"Preencher nome do indicante",IF(AND(H4270&lt;&gt;1,I4270&lt;&gt;""),"Nome sem indicação interna",IF(AND(G4270=1,F4270=""),"Fechamento sem conversa",IF(OR(AND(E4270&lt;&gt;"",E4270&lt;B4270),AND(F4270&lt;&gt;"",F4270&lt;B4270)),"Evento anterior à entrada",IF(AND(F4270&lt;&gt;"",E4270=""),"Conversa sem agendamento",IF(OR(E4270&gt;TODAY(),F4270&gt;TODAY()),"Verificar evento futuro","OK"))))))))))</f>
        <v/>
      </c>
    </row>
    <row r="4271" spans="12:15">
      <c r="L4271" s="5">
        <f>IF(OR(A4271="",B4271=""),"",B4271-WEEKDAY(B4271,2)+1)</f>
        <v/>
      </c>
      <c r="M4271" s="5">
        <f>IF(L4271="","",L4271+6)</f>
        <v/>
      </c>
      <c r="N4271" s="6">
        <f>IF(OR(A4271="",B4271=""),"",DATE(YEAR(B4271),MONTH(B4271),1))</f>
        <v/>
      </c>
      <c r="O4271" s="7">
        <f>IF(COUNTA(A4271:K4271)=0,"",IF(OR(A4271="",B4271=""),"Preencher CPF e entrada",IF(COUNTIFS($A$12:$A$5011,A4271,$B$12:$B$5011,B4271)&gt;1,"CPF + dia duplicado",IF(OR(AND(G4271&lt;&gt;"",G4271&lt;&gt;0,G4271&lt;&gt;1),AND(H4271&lt;&gt;"",H4271&lt;&gt;0,H4271&lt;&gt;1)),"Flags devem ser 0 ou 1",IF(AND(H4271=1,LEN(TRIM(I4271))=0),"Preencher nome do indicante",IF(AND(H4271&lt;&gt;1,I4271&lt;&gt;""),"Nome sem indicação interna",IF(AND(G4271=1,F4271=""),"Fechamento sem conversa",IF(OR(AND(E4271&lt;&gt;"",E4271&lt;B4271),AND(F4271&lt;&gt;"",F4271&lt;B4271)),"Evento anterior à entrada",IF(AND(F4271&lt;&gt;"",E4271=""),"Conversa sem agendamento",IF(OR(E4271&gt;TODAY(),F4271&gt;TODAY()),"Verificar evento futuro","OK"))))))))))</f>
        <v/>
      </c>
    </row>
    <row r="4272" spans="12:15">
      <c r="L4272" s="5">
        <f>IF(OR(A4272="",B4272=""),"",B4272-WEEKDAY(B4272,2)+1)</f>
        <v/>
      </c>
      <c r="M4272" s="5">
        <f>IF(L4272="","",L4272+6)</f>
        <v/>
      </c>
      <c r="N4272" s="6">
        <f>IF(OR(A4272="",B4272=""),"",DATE(YEAR(B4272),MONTH(B4272),1))</f>
        <v/>
      </c>
      <c r="O4272" s="7">
        <f>IF(COUNTA(A4272:K4272)=0,"",IF(OR(A4272="",B4272=""),"Preencher CPF e entrada",IF(COUNTIFS($A$12:$A$5011,A4272,$B$12:$B$5011,B4272)&gt;1,"CPF + dia duplicado",IF(OR(AND(G4272&lt;&gt;"",G4272&lt;&gt;0,G4272&lt;&gt;1),AND(H4272&lt;&gt;"",H4272&lt;&gt;0,H4272&lt;&gt;1)),"Flags devem ser 0 ou 1",IF(AND(H4272=1,LEN(TRIM(I4272))=0),"Preencher nome do indicante",IF(AND(H4272&lt;&gt;1,I4272&lt;&gt;""),"Nome sem indicação interna",IF(AND(G4272=1,F4272=""),"Fechamento sem conversa",IF(OR(AND(E4272&lt;&gt;"",E4272&lt;B4272),AND(F4272&lt;&gt;"",F4272&lt;B4272)),"Evento anterior à entrada",IF(AND(F4272&lt;&gt;"",E4272=""),"Conversa sem agendamento",IF(OR(E4272&gt;TODAY(),F4272&gt;TODAY()),"Verificar evento futuro","OK"))))))))))</f>
        <v/>
      </c>
    </row>
    <row r="4273" spans="12:15">
      <c r="L4273" s="5">
        <f>IF(OR(A4273="",B4273=""),"",B4273-WEEKDAY(B4273,2)+1)</f>
        <v/>
      </c>
      <c r="M4273" s="5">
        <f>IF(L4273="","",L4273+6)</f>
        <v/>
      </c>
      <c r="N4273" s="6">
        <f>IF(OR(A4273="",B4273=""),"",DATE(YEAR(B4273),MONTH(B4273),1))</f>
        <v/>
      </c>
      <c r="O4273" s="7">
        <f>IF(COUNTA(A4273:K4273)=0,"",IF(OR(A4273="",B4273=""),"Preencher CPF e entrada",IF(COUNTIFS($A$12:$A$5011,A4273,$B$12:$B$5011,B4273)&gt;1,"CPF + dia duplicado",IF(OR(AND(G4273&lt;&gt;"",G4273&lt;&gt;0,G4273&lt;&gt;1),AND(H4273&lt;&gt;"",H4273&lt;&gt;0,H4273&lt;&gt;1)),"Flags devem ser 0 ou 1",IF(AND(H4273=1,LEN(TRIM(I4273))=0),"Preencher nome do indicante",IF(AND(H4273&lt;&gt;1,I4273&lt;&gt;""),"Nome sem indicação interna",IF(AND(G4273=1,F4273=""),"Fechamento sem conversa",IF(OR(AND(E4273&lt;&gt;"",E4273&lt;B4273),AND(F4273&lt;&gt;"",F4273&lt;B4273)),"Evento anterior à entrada",IF(AND(F4273&lt;&gt;"",E4273=""),"Conversa sem agendamento",IF(OR(E4273&gt;TODAY(),F4273&gt;TODAY()),"Verificar evento futuro","OK"))))))))))</f>
        <v/>
      </c>
    </row>
    <row r="4274" spans="12:15">
      <c r="L4274" s="5">
        <f>IF(OR(A4274="",B4274=""),"",B4274-WEEKDAY(B4274,2)+1)</f>
        <v/>
      </c>
      <c r="M4274" s="5">
        <f>IF(L4274="","",L4274+6)</f>
        <v/>
      </c>
      <c r="N4274" s="6">
        <f>IF(OR(A4274="",B4274=""),"",DATE(YEAR(B4274),MONTH(B4274),1))</f>
        <v/>
      </c>
      <c r="O4274" s="7">
        <f>IF(COUNTA(A4274:K4274)=0,"",IF(OR(A4274="",B4274=""),"Preencher CPF e entrada",IF(COUNTIFS($A$12:$A$5011,A4274,$B$12:$B$5011,B4274)&gt;1,"CPF + dia duplicado",IF(OR(AND(G4274&lt;&gt;"",G4274&lt;&gt;0,G4274&lt;&gt;1),AND(H4274&lt;&gt;"",H4274&lt;&gt;0,H4274&lt;&gt;1)),"Flags devem ser 0 ou 1",IF(AND(H4274=1,LEN(TRIM(I4274))=0),"Preencher nome do indicante",IF(AND(H4274&lt;&gt;1,I4274&lt;&gt;""),"Nome sem indicação interna",IF(AND(G4274=1,F4274=""),"Fechamento sem conversa",IF(OR(AND(E4274&lt;&gt;"",E4274&lt;B4274),AND(F4274&lt;&gt;"",F4274&lt;B4274)),"Evento anterior à entrada",IF(AND(F4274&lt;&gt;"",E4274=""),"Conversa sem agendamento",IF(OR(E4274&gt;TODAY(),F4274&gt;TODAY()),"Verificar evento futuro","OK"))))))))))</f>
        <v/>
      </c>
    </row>
    <row r="4275" spans="12:15">
      <c r="L4275" s="5">
        <f>IF(OR(A4275="",B4275=""),"",B4275-WEEKDAY(B4275,2)+1)</f>
        <v/>
      </c>
      <c r="M4275" s="5">
        <f>IF(L4275="","",L4275+6)</f>
        <v/>
      </c>
      <c r="N4275" s="6">
        <f>IF(OR(A4275="",B4275=""),"",DATE(YEAR(B4275),MONTH(B4275),1))</f>
        <v/>
      </c>
      <c r="O4275" s="7">
        <f>IF(COUNTA(A4275:K4275)=0,"",IF(OR(A4275="",B4275=""),"Preencher CPF e entrada",IF(COUNTIFS($A$12:$A$5011,A4275,$B$12:$B$5011,B4275)&gt;1,"CPF + dia duplicado",IF(OR(AND(G4275&lt;&gt;"",G4275&lt;&gt;0,G4275&lt;&gt;1),AND(H4275&lt;&gt;"",H4275&lt;&gt;0,H4275&lt;&gt;1)),"Flags devem ser 0 ou 1",IF(AND(H4275=1,LEN(TRIM(I4275))=0),"Preencher nome do indicante",IF(AND(H4275&lt;&gt;1,I4275&lt;&gt;""),"Nome sem indicação interna",IF(AND(G4275=1,F4275=""),"Fechamento sem conversa",IF(OR(AND(E4275&lt;&gt;"",E4275&lt;B4275),AND(F4275&lt;&gt;"",F4275&lt;B4275)),"Evento anterior à entrada",IF(AND(F4275&lt;&gt;"",E4275=""),"Conversa sem agendamento",IF(OR(E4275&gt;TODAY(),F4275&gt;TODAY()),"Verificar evento futuro","OK"))))))))))</f>
        <v/>
      </c>
    </row>
    <row r="4276" spans="12:15">
      <c r="L4276" s="5">
        <f>IF(OR(A4276="",B4276=""),"",B4276-WEEKDAY(B4276,2)+1)</f>
        <v/>
      </c>
      <c r="M4276" s="5">
        <f>IF(L4276="","",L4276+6)</f>
        <v/>
      </c>
      <c r="N4276" s="6">
        <f>IF(OR(A4276="",B4276=""),"",DATE(YEAR(B4276),MONTH(B4276),1))</f>
        <v/>
      </c>
      <c r="O4276" s="7">
        <f>IF(COUNTA(A4276:K4276)=0,"",IF(OR(A4276="",B4276=""),"Preencher CPF e entrada",IF(COUNTIFS($A$12:$A$5011,A4276,$B$12:$B$5011,B4276)&gt;1,"CPF + dia duplicado",IF(OR(AND(G4276&lt;&gt;"",G4276&lt;&gt;0,G4276&lt;&gt;1),AND(H4276&lt;&gt;"",H4276&lt;&gt;0,H4276&lt;&gt;1)),"Flags devem ser 0 ou 1",IF(AND(H4276=1,LEN(TRIM(I4276))=0),"Preencher nome do indicante",IF(AND(H4276&lt;&gt;1,I4276&lt;&gt;""),"Nome sem indicação interna",IF(AND(G4276=1,F4276=""),"Fechamento sem conversa",IF(OR(AND(E4276&lt;&gt;"",E4276&lt;B4276),AND(F4276&lt;&gt;"",F4276&lt;B4276)),"Evento anterior à entrada",IF(AND(F4276&lt;&gt;"",E4276=""),"Conversa sem agendamento",IF(OR(E4276&gt;TODAY(),F4276&gt;TODAY()),"Verificar evento futuro","OK"))))))))))</f>
        <v/>
      </c>
    </row>
    <row r="4277" spans="12:15">
      <c r="L4277" s="5">
        <f>IF(OR(A4277="",B4277=""),"",B4277-WEEKDAY(B4277,2)+1)</f>
        <v/>
      </c>
      <c r="M4277" s="5">
        <f>IF(L4277="","",L4277+6)</f>
        <v/>
      </c>
      <c r="N4277" s="6">
        <f>IF(OR(A4277="",B4277=""),"",DATE(YEAR(B4277),MONTH(B4277),1))</f>
        <v/>
      </c>
      <c r="O4277" s="7">
        <f>IF(COUNTA(A4277:K4277)=0,"",IF(OR(A4277="",B4277=""),"Preencher CPF e entrada",IF(COUNTIFS($A$12:$A$5011,A4277,$B$12:$B$5011,B4277)&gt;1,"CPF + dia duplicado",IF(OR(AND(G4277&lt;&gt;"",G4277&lt;&gt;0,G4277&lt;&gt;1),AND(H4277&lt;&gt;"",H4277&lt;&gt;0,H4277&lt;&gt;1)),"Flags devem ser 0 ou 1",IF(AND(H4277=1,LEN(TRIM(I4277))=0),"Preencher nome do indicante",IF(AND(H4277&lt;&gt;1,I4277&lt;&gt;""),"Nome sem indicação interna",IF(AND(G4277=1,F4277=""),"Fechamento sem conversa",IF(OR(AND(E4277&lt;&gt;"",E4277&lt;B4277),AND(F4277&lt;&gt;"",F4277&lt;B4277)),"Evento anterior à entrada",IF(AND(F4277&lt;&gt;"",E4277=""),"Conversa sem agendamento",IF(OR(E4277&gt;TODAY(),F4277&gt;TODAY()),"Verificar evento futuro","OK"))))))))))</f>
        <v/>
      </c>
    </row>
    <row r="4278" spans="12:15">
      <c r="L4278" s="5">
        <f>IF(OR(A4278="",B4278=""),"",B4278-WEEKDAY(B4278,2)+1)</f>
        <v/>
      </c>
      <c r="M4278" s="5">
        <f>IF(L4278="","",L4278+6)</f>
        <v/>
      </c>
      <c r="N4278" s="6">
        <f>IF(OR(A4278="",B4278=""),"",DATE(YEAR(B4278),MONTH(B4278),1))</f>
        <v/>
      </c>
      <c r="O4278" s="7">
        <f>IF(COUNTA(A4278:K4278)=0,"",IF(OR(A4278="",B4278=""),"Preencher CPF e entrada",IF(COUNTIFS($A$12:$A$5011,A4278,$B$12:$B$5011,B4278)&gt;1,"CPF + dia duplicado",IF(OR(AND(G4278&lt;&gt;"",G4278&lt;&gt;0,G4278&lt;&gt;1),AND(H4278&lt;&gt;"",H4278&lt;&gt;0,H4278&lt;&gt;1)),"Flags devem ser 0 ou 1",IF(AND(H4278=1,LEN(TRIM(I4278))=0),"Preencher nome do indicante",IF(AND(H4278&lt;&gt;1,I4278&lt;&gt;""),"Nome sem indicação interna",IF(AND(G4278=1,F4278=""),"Fechamento sem conversa",IF(OR(AND(E4278&lt;&gt;"",E4278&lt;B4278),AND(F4278&lt;&gt;"",F4278&lt;B4278)),"Evento anterior à entrada",IF(AND(F4278&lt;&gt;"",E4278=""),"Conversa sem agendamento",IF(OR(E4278&gt;TODAY(),F4278&gt;TODAY()),"Verificar evento futuro","OK"))))))))))</f>
        <v/>
      </c>
    </row>
    <row r="4279" spans="12:15">
      <c r="L4279" s="5">
        <f>IF(OR(A4279="",B4279=""),"",B4279-WEEKDAY(B4279,2)+1)</f>
        <v/>
      </c>
      <c r="M4279" s="5">
        <f>IF(L4279="","",L4279+6)</f>
        <v/>
      </c>
      <c r="N4279" s="6">
        <f>IF(OR(A4279="",B4279=""),"",DATE(YEAR(B4279),MONTH(B4279),1))</f>
        <v/>
      </c>
      <c r="O4279" s="7">
        <f>IF(COUNTA(A4279:K4279)=0,"",IF(OR(A4279="",B4279=""),"Preencher CPF e entrada",IF(COUNTIFS($A$12:$A$5011,A4279,$B$12:$B$5011,B4279)&gt;1,"CPF + dia duplicado",IF(OR(AND(G4279&lt;&gt;"",G4279&lt;&gt;0,G4279&lt;&gt;1),AND(H4279&lt;&gt;"",H4279&lt;&gt;0,H4279&lt;&gt;1)),"Flags devem ser 0 ou 1",IF(AND(H4279=1,LEN(TRIM(I4279))=0),"Preencher nome do indicante",IF(AND(H4279&lt;&gt;1,I4279&lt;&gt;""),"Nome sem indicação interna",IF(AND(G4279=1,F4279=""),"Fechamento sem conversa",IF(OR(AND(E4279&lt;&gt;"",E4279&lt;B4279),AND(F4279&lt;&gt;"",F4279&lt;B4279)),"Evento anterior à entrada",IF(AND(F4279&lt;&gt;"",E4279=""),"Conversa sem agendamento",IF(OR(E4279&gt;TODAY(),F4279&gt;TODAY()),"Verificar evento futuro","OK"))))))))))</f>
        <v/>
      </c>
    </row>
    <row r="4280" spans="12:15">
      <c r="L4280" s="5">
        <f>IF(OR(A4280="",B4280=""),"",B4280-WEEKDAY(B4280,2)+1)</f>
        <v/>
      </c>
      <c r="M4280" s="5">
        <f>IF(L4280="","",L4280+6)</f>
        <v/>
      </c>
      <c r="N4280" s="6">
        <f>IF(OR(A4280="",B4280=""),"",DATE(YEAR(B4280),MONTH(B4280),1))</f>
        <v/>
      </c>
      <c r="O4280" s="7">
        <f>IF(COUNTA(A4280:K4280)=0,"",IF(OR(A4280="",B4280=""),"Preencher CPF e entrada",IF(COUNTIFS($A$12:$A$5011,A4280,$B$12:$B$5011,B4280)&gt;1,"CPF + dia duplicado",IF(OR(AND(G4280&lt;&gt;"",G4280&lt;&gt;0,G4280&lt;&gt;1),AND(H4280&lt;&gt;"",H4280&lt;&gt;0,H4280&lt;&gt;1)),"Flags devem ser 0 ou 1",IF(AND(H4280=1,LEN(TRIM(I4280))=0),"Preencher nome do indicante",IF(AND(H4280&lt;&gt;1,I4280&lt;&gt;""),"Nome sem indicação interna",IF(AND(G4280=1,F4280=""),"Fechamento sem conversa",IF(OR(AND(E4280&lt;&gt;"",E4280&lt;B4280),AND(F4280&lt;&gt;"",F4280&lt;B4280)),"Evento anterior à entrada",IF(AND(F4280&lt;&gt;"",E4280=""),"Conversa sem agendamento",IF(OR(E4280&gt;TODAY(),F4280&gt;TODAY()),"Verificar evento futuro","OK"))))))))))</f>
        <v/>
      </c>
    </row>
    <row r="4281" spans="12:15">
      <c r="L4281" s="5">
        <f>IF(OR(A4281="",B4281=""),"",B4281-WEEKDAY(B4281,2)+1)</f>
        <v/>
      </c>
      <c r="M4281" s="5">
        <f>IF(L4281="","",L4281+6)</f>
        <v/>
      </c>
      <c r="N4281" s="6">
        <f>IF(OR(A4281="",B4281=""),"",DATE(YEAR(B4281),MONTH(B4281),1))</f>
        <v/>
      </c>
      <c r="O4281" s="7">
        <f>IF(COUNTA(A4281:K4281)=0,"",IF(OR(A4281="",B4281=""),"Preencher CPF e entrada",IF(COUNTIFS($A$12:$A$5011,A4281,$B$12:$B$5011,B4281)&gt;1,"CPF + dia duplicado",IF(OR(AND(G4281&lt;&gt;"",G4281&lt;&gt;0,G4281&lt;&gt;1),AND(H4281&lt;&gt;"",H4281&lt;&gt;0,H4281&lt;&gt;1)),"Flags devem ser 0 ou 1",IF(AND(H4281=1,LEN(TRIM(I4281))=0),"Preencher nome do indicante",IF(AND(H4281&lt;&gt;1,I4281&lt;&gt;""),"Nome sem indicação interna",IF(AND(G4281=1,F4281=""),"Fechamento sem conversa",IF(OR(AND(E4281&lt;&gt;"",E4281&lt;B4281),AND(F4281&lt;&gt;"",F4281&lt;B4281)),"Evento anterior à entrada",IF(AND(F4281&lt;&gt;"",E4281=""),"Conversa sem agendamento",IF(OR(E4281&gt;TODAY(),F4281&gt;TODAY()),"Verificar evento futuro","OK"))))))))))</f>
        <v/>
      </c>
    </row>
    <row r="4282" spans="12:15">
      <c r="L4282" s="5">
        <f>IF(OR(A4282="",B4282=""),"",B4282-WEEKDAY(B4282,2)+1)</f>
        <v/>
      </c>
      <c r="M4282" s="5">
        <f>IF(L4282="","",L4282+6)</f>
        <v/>
      </c>
      <c r="N4282" s="6">
        <f>IF(OR(A4282="",B4282=""),"",DATE(YEAR(B4282),MONTH(B4282),1))</f>
        <v/>
      </c>
      <c r="O4282" s="7">
        <f>IF(COUNTA(A4282:K4282)=0,"",IF(OR(A4282="",B4282=""),"Preencher CPF e entrada",IF(COUNTIFS($A$12:$A$5011,A4282,$B$12:$B$5011,B4282)&gt;1,"CPF + dia duplicado",IF(OR(AND(G4282&lt;&gt;"",G4282&lt;&gt;0,G4282&lt;&gt;1),AND(H4282&lt;&gt;"",H4282&lt;&gt;0,H4282&lt;&gt;1)),"Flags devem ser 0 ou 1",IF(AND(H4282=1,LEN(TRIM(I4282))=0),"Preencher nome do indicante",IF(AND(H4282&lt;&gt;1,I4282&lt;&gt;""),"Nome sem indicação interna",IF(AND(G4282=1,F4282=""),"Fechamento sem conversa",IF(OR(AND(E4282&lt;&gt;"",E4282&lt;B4282),AND(F4282&lt;&gt;"",F4282&lt;B4282)),"Evento anterior à entrada",IF(AND(F4282&lt;&gt;"",E4282=""),"Conversa sem agendamento",IF(OR(E4282&gt;TODAY(),F4282&gt;TODAY()),"Verificar evento futuro","OK"))))))))))</f>
        <v/>
      </c>
    </row>
    <row r="4283" spans="12:15">
      <c r="L4283" s="5">
        <f>IF(OR(A4283="",B4283=""),"",B4283-WEEKDAY(B4283,2)+1)</f>
        <v/>
      </c>
      <c r="M4283" s="5">
        <f>IF(L4283="","",L4283+6)</f>
        <v/>
      </c>
      <c r="N4283" s="6">
        <f>IF(OR(A4283="",B4283=""),"",DATE(YEAR(B4283),MONTH(B4283),1))</f>
        <v/>
      </c>
      <c r="O4283" s="7">
        <f>IF(COUNTA(A4283:K4283)=0,"",IF(OR(A4283="",B4283=""),"Preencher CPF e entrada",IF(COUNTIFS($A$12:$A$5011,A4283,$B$12:$B$5011,B4283)&gt;1,"CPF + dia duplicado",IF(OR(AND(G4283&lt;&gt;"",G4283&lt;&gt;0,G4283&lt;&gt;1),AND(H4283&lt;&gt;"",H4283&lt;&gt;0,H4283&lt;&gt;1)),"Flags devem ser 0 ou 1",IF(AND(H4283=1,LEN(TRIM(I4283))=0),"Preencher nome do indicante",IF(AND(H4283&lt;&gt;1,I4283&lt;&gt;""),"Nome sem indicação interna",IF(AND(G4283=1,F4283=""),"Fechamento sem conversa",IF(OR(AND(E4283&lt;&gt;"",E4283&lt;B4283),AND(F4283&lt;&gt;"",F4283&lt;B4283)),"Evento anterior à entrada",IF(AND(F4283&lt;&gt;"",E4283=""),"Conversa sem agendamento",IF(OR(E4283&gt;TODAY(),F4283&gt;TODAY()),"Verificar evento futuro","OK"))))))))))</f>
        <v/>
      </c>
    </row>
    <row r="4284" spans="12:15">
      <c r="L4284" s="5">
        <f>IF(OR(A4284="",B4284=""),"",B4284-WEEKDAY(B4284,2)+1)</f>
        <v/>
      </c>
      <c r="M4284" s="5">
        <f>IF(L4284="","",L4284+6)</f>
        <v/>
      </c>
      <c r="N4284" s="6">
        <f>IF(OR(A4284="",B4284=""),"",DATE(YEAR(B4284),MONTH(B4284),1))</f>
        <v/>
      </c>
      <c r="O4284" s="7">
        <f>IF(COUNTA(A4284:K4284)=0,"",IF(OR(A4284="",B4284=""),"Preencher CPF e entrada",IF(COUNTIFS($A$12:$A$5011,A4284,$B$12:$B$5011,B4284)&gt;1,"CPF + dia duplicado",IF(OR(AND(G4284&lt;&gt;"",G4284&lt;&gt;0,G4284&lt;&gt;1),AND(H4284&lt;&gt;"",H4284&lt;&gt;0,H4284&lt;&gt;1)),"Flags devem ser 0 ou 1",IF(AND(H4284=1,LEN(TRIM(I4284))=0),"Preencher nome do indicante",IF(AND(H4284&lt;&gt;1,I4284&lt;&gt;""),"Nome sem indicação interna",IF(AND(G4284=1,F4284=""),"Fechamento sem conversa",IF(OR(AND(E4284&lt;&gt;"",E4284&lt;B4284),AND(F4284&lt;&gt;"",F4284&lt;B4284)),"Evento anterior à entrada",IF(AND(F4284&lt;&gt;"",E4284=""),"Conversa sem agendamento",IF(OR(E4284&gt;TODAY(),F4284&gt;TODAY()),"Verificar evento futuro","OK"))))))))))</f>
        <v/>
      </c>
    </row>
    <row r="4285" spans="12:15">
      <c r="L4285" s="5">
        <f>IF(OR(A4285="",B4285=""),"",B4285-WEEKDAY(B4285,2)+1)</f>
        <v/>
      </c>
      <c r="M4285" s="5">
        <f>IF(L4285="","",L4285+6)</f>
        <v/>
      </c>
      <c r="N4285" s="6">
        <f>IF(OR(A4285="",B4285=""),"",DATE(YEAR(B4285),MONTH(B4285),1))</f>
        <v/>
      </c>
      <c r="O4285" s="7">
        <f>IF(COUNTA(A4285:K4285)=0,"",IF(OR(A4285="",B4285=""),"Preencher CPF e entrada",IF(COUNTIFS($A$12:$A$5011,A4285,$B$12:$B$5011,B4285)&gt;1,"CPF + dia duplicado",IF(OR(AND(G4285&lt;&gt;"",G4285&lt;&gt;0,G4285&lt;&gt;1),AND(H4285&lt;&gt;"",H4285&lt;&gt;0,H4285&lt;&gt;1)),"Flags devem ser 0 ou 1",IF(AND(H4285=1,LEN(TRIM(I4285))=0),"Preencher nome do indicante",IF(AND(H4285&lt;&gt;1,I4285&lt;&gt;""),"Nome sem indicação interna",IF(AND(G4285=1,F4285=""),"Fechamento sem conversa",IF(OR(AND(E4285&lt;&gt;"",E4285&lt;B4285),AND(F4285&lt;&gt;"",F4285&lt;B4285)),"Evento anterior à entrada",IF(AND(F4285&lt;&gt;"",E4285=""),"Conversa sem agendamento",IF(OR(E4285&gt;TODAY(),F4285&gt;TODAY()),"Verificar evento futuro","OK"))))))))))</f>
        <v/>
      </c>
    </row>
    <row r="4286" spans="12:15">
      <c r="L4286" s="5">
        <f>IF(OR(A4286="",B4286=""),"",B4286-WEEKDAY(B4286,2)+1)</f>
        <v/>
      </c>
      <c r="M4286" s="5">
        <f>IF(L4286="","",L4286+6)</f>
        <v/>
      </c>
      <c r="N4286" s="6">
        <f>IF(OR(A4286="",B4286=""),"",DATE(YEAR(B4286),MONTH(B4286),1))</f>
        <v/>
      </c>
      <c r="O4286" s="7">
        <f>IF(COUNTA(A4286:K4286)=0,"",IF(OR(A4286="",B4286=""),"Preencher CPF e entrada",IF(COUNTIFS($A$12:$A$5011,A4286,$B$12:$B$5011,B4286)&gt;1,"CPF + dia duplicado",IF(OR(AND(G4286&lt;&gt;"",G4286&lt;&gt;0,G4286&lt;&gt;1),AND(H4286&lt;&gt;"",H4286&lt;&gt;0,H4286&lt;&gt;1)),"Flags devem ser 0 ou 1",IF(AND(H4286=1,LEN(TRIM(I4286))=0),"Preencher nome do indicante",IF(AND(H4286&lt;&gt;1,I4286&lt;&gt;""),"Nome sem indicação interna",IF(AND(G4286=1,F4286=""),"Fechamento sem conversa",IF(OR(AND(E4286&lt;&gt;"",E4286&lt;B4286),AND(F4286&lt;&gt;"",F4286&lt;B4286)),"Evento anterior à entrada",IF(AND(F4286&lt;&gt;"",E4286=""),"Conversa sem agendamento",IF(OR(E4286&gt;TODAY(),F4286&gt;TODAY()),"Verificar evento futuro","OK"))))))))))</f>
        <v/>
      </c>
    </row>
    <row r="4287" spans="12:15">
      <c r="L4287" s="5">
        <f>IF(OR(A4287="",B4287=""),"",B4287-WEEKDAY(B4287,2)+1)</f>
        <v/>
      </c>
      <c r="M4287" s="5">
        <f>IF(L4287="","",L4287+6)</f>
        <v/>
      </c>
      <c r="N4287" s="6">
        <f>IF(OR(A4287="",B4287=""),"",DATE(YEAR(B4287),MONTH(B4287),1))</f>
        <v/>
      </c>
      <c r="O4287" s="7">
        <f>IF(COUNTA(A4287:K4287)=0,"",IF(OR(A4287="",B4287=""),"Preencher CPF e entrada",IF(COUNTIFS($A$12:$A$5011,A4287,$B$12:$B$5011,B4287)&gt;1,"CPF + dia duplicado",IF(OR(AND(G4287&lt;&gt;"",G4287&lt;&gt;0,G4287&lt;&gt;1),AND(H4287&lt;&gt;"",H4287&lt;&gt;0,H4287&lt;&gt;1)),"Flags devem ser 0 ou 1",IF(AND(H4287=1,LEN(TRIM(I4287))=0),"Preencher nome do indicante",IF(AND(H4287&lt;&gt;1,I4287&lt;&gt;""),"Nome sem indicação interna",IF(AND(G4287=1,F4287=""),"Fechamento sem conversa",IF(OR(AND(E4287&lt;&gt;"",E4287&lt;B4287),AND(F4287&lt;&gt;"",F4287&lt;B4287)),"Evento anterior à entrada",IF(AND(F4287&lt;&gt;"",E4287=""),"Conversa sem agendamento",IF(OR(E4287&gt;TODAY(),F4287&gt;TODAY()),"Verificar evento futuro","OK"))))))))))</f>
        <v/>
      </c>
    </row>
    <row r="4288" spans="12:15">
      <c r="L4288" s="5">
        <f>IF(OR(A4288="",B4288=""),"",B4288-WEEKDAY(B4288,2)+1)</f>
        <v/>
      </c>
      <c r="M4288" s="5">
        <f>IF(L4288="","",L4288+6)</f>
        <v/>
      </c>
      <c r="N4288" s="6">
        <f>IF(OR(A4288="",B4288=""),"",DATE(YEAR(B4288),MONTH(B4288),1))</f>
        <v/>
      </c>
      <c r="O4288" s="7">
        <f>IF(COUNTA(A4288:K4288)=0,"",IF(OR(A4288="",B4288=""),"Preencher CPF e entrada",IF(COUNTIFS($A$12:$A$5011,A4288,$B$12:$B$5011,B4288)&gt;1,"CPF + dia duplicado",IF(OR(AND(G4288&lt;&gt;"",G4288&lt;&gt;0,G4288&lt;&gt;1),AND(H4288&lt;&gt;"",H4288&lt;&gt;0,H4288&lt;&gt;1)),"Flags devem ser 0 ou 1",IF(AND(H4288=1,LEN(TRIM(I4288))=0),"Preencher nome do indicante",IF(AND(H4288&lt;&gt;1,I4288&lt;&gt;""),"Nome sem indicação interna",IF(AND(G4288=1,F4288=""),"Fechamento sem conversa",IF(OR(AND(E4288&lt;&gt;"",E4288&lt;B4288),AND(F4288&lt;&gt;"",F4288&lt;B4288)),"Evento anterior à entrada",IF(AND(F4288&lt;&gt;"",E4288=""),"Conversa sem agendamento",IF(OR(E4288&gt;TODAY(),F4288&gt;TODAY()),"Verificar evento futuro","OK"))))))))))</f>
        <v/>
      </c>
    </row>
    <row r="4289" spans="12:15">
      <c r="L4289" s="5">
        <f>IF(OR(A4289="",B4289=""),"",B4289-WEEKDAY(B4289,2)+1)</f>
        <v/>
      </c>
      <c r="M4289" s="5">
        <f>IF(L4289="","",L4289+6)</f>
        <v/>
      </c>
      <c r="N4289" s="6">
        <f>IF(OR(A4289="",B4289=""),"",DATE(YEAR(B4289),MONTH(B4289),1))</f>
        <v/>
      </c>
      <c r="O4289" s="7">
        <f>IF(COUNTA(A4289:K4289)=0,"",IF(OR(A4289="",B4289=""),"Preencher CPF e entrada",IF(COUNTIFS($A$12:$A$5011,A4289,$B$12:$B$5011,B4289)&gt;1,"CPF + dia duplicado",IF(OR(AND(G4289&lt;&gt;"",G4289&lt;&gt;0,G4289&lt;&gt;1),AND(H4289&lt;&gt;"",H4289&lt;&gt;0,H4289&lt;&gt;1)),"Flags devem ser 0 ou 1",IF(AND(H4289=1,LEN(TRIM(I4289))=0),"Preencher nome do indicante",IF(AND(H4289&lt;&gt;1,I4289&lt;&gt;""),"Nome sem indicação interna",IF(AND(G4289=1,F4289=""),"Fechamento sem conversa",IF(OR(AND(E4289&lt;&gt;"",E4289&lt;B4289),AND(F4289&lt;&gt;"",F4289&lt;B4289)),"Evento anterior à entrada",IF(AND(F4289&lt;&gt;"",E4289=""),"Conversa sem agendamento",IF(OR(E4289&gt;TODAY(),F4289&gt;TODAY()),"Verificar evento futuro","OK"))))))))))</f>
        <v/>
      </c>
    </row>
    <row r="4290" spans="12:15">
      <c r="L4290" s="5">
        <f>IF(OR(A4290="",B4290=""),"",B4290-WEEKDAY(B4290,2)+1)</f>
        <v/>
      </c>
      <c r="M4290" s="5">
        <f>IF(L4290="","",L4290+6)</f>
        <v/>
      </c>
      <c r="N4290" s="6">
        <f>IF(OR(A4290="",B4290=""),"",DATE(YEAR(B4290),MONTH(B4290),1))</f>
        <v/>
      </c>
      <c r="O4290" s="7">
        <f>IF(COUNTA(A4290:K4290)=0,"",IF(OR(A4290="",B4290=""),"Preencher CPF e entrada",IF(COUNTIFS($A$12:$A$5011,A4290,$B$12:$B$5011,B4290)&gt;1,"CPF + dia duplicado",IF(OR(AND(G4290&lt;&gt;"",G4290&lt;&gt;0,G4290&lt;&gt;1),AND(H4290&lt;&gt;"",H4290&lt;&gt;0,H4290&lt;&gt;1)),"Flags devem ser 0 ou 1",IF(AND(H4290=1,LEN(TRIM(I4290))=0),"Preencher nome do indicante",IF(AND(H4290&lt;&gt;1,I4290&lt;&gt;""),"Nome sem indicação interna",IF(AND(G4290=1,F4290=""),"Fechamento sem conversa",IF(OR(AND(E4290&lt;&gt;"",E4290&lt;B4290),AND(F4290&lt;&gt;"",F4290&lt;B4290)),"Evento anterior à entrada",IF(AND(F4290&lt;&gt;"",E4290=""),"Conversa sem agendamento",IF(OR(E4290&gt;TODAY(),F4290&gt;TODAY()),"Verificar evento futuro","OK"))))))))))</f>
        <v/>
      </c>
    </row>
    <row r="4291" spans="12:15">
      <c r="L4291" s="5">
        <f>IF(OR(A4291="",B4291=""),"",B4291-WEEKDAY(B4291,2)+1)</f>
        <v/>
      </c>
      <c r="M4291" s="5">
        <f>IF(L4291="","",L4291+6)</f>
        <v/>
      </c>
      <c r="N4291" s="6">
        <f>IF(OR(A4291="",B4291=""),"",DATE(YEAR(B4291),MONTH(B4291),1))</f>
        <v/>
      </c>
      <c r="O4291" s="7">
        <f>IF(COUNTA(A4291:K4291)=0,"",IF(OR(A4291="",B4291=""),"Preencher CPF e entrada",IF(COUNTIFS($A$12:$A$5011,A4291,$B$12:$B$5011,B4291)&gt;1,"CPF + dia duplicado",IF(OR(AND(G4291&lt;&gt;"",G4291&lt;&gt;0,G4291&lt;&gt;1),AND(H4291&lt;&gt;"",H4291&lt;&gt;0,H4291&lt;&gt;1)),"Flags devem ser 0 ou 1",IF(AND(H4291=1,LEN(TRIM(I4291))=0),"Preencher nome do indicante",IF(AND(H4291&lt;&gt;1,I4291&lt;&gt;""),"Nome sem indicação interna",IF(AND(G4291=1,F4291=""),"Fechamento sem conversa",IF(OR(AND(E4291&lt;&gt;"",E4291&lt;B4291),AND(F4291&lt;&gt;"",F4291&lt;B4291)),"Evento anterior à entrada",IF(AND(F4291&lt;&gt;"",E4291=""),"Conversa sem agendamento",IF(OR(E4291&gt;TODAY(),F4291&gt;TODAY()),"Verificar evento futuro","OK"))))))))))</f>
        <v/>
      </c>
    </row>
    <row r="4292" spans="12:15">
      <c r="L4292" s="5">
        <f>IF(OR(A4292="",B4292=""),"",B4292-WEEKDAY(B4292,2)+1)</f>
        <v/>
      </c>
      <c r="M4292" s="5">
        <f>IF(L4292="","",L4292+6)</f>
        <v/>
      </c>
      <c r="N4292" s="6">
        <f>IF(OR(A4292="",B4292=""),"",DATE(YEAR(B4292),MONTH(B4292),1))</f>
        <v/>
      </c>
      <c r="O4292" s="7">
        <f>IF(COUNTA(A4292:K4292)=0,"",IF(OR(A4292="",B4292=""),"Preencher CPF e entrada",IF(COUNTIFS($A$12:$A$5011,A4292,$B$12:$B$5011,B4292)&gt;1,"CPF + dia duplicado",IF(OR(AND(G4292&lt;&gt;"",G4292&lt;&gt;0,G4292&lt;&gt;1),AND(H4292&lt;&gt;"",H4292&lt;&gt;0,H4292&lt;&gt;1)),"Flags devem ser 0 ou 1",IF(AND(H4292=1,LEN(TRIM(I4292))=0),"Preencher nome do indicante",IF(AND(H4292&lt;&gt;1,I4292&lt;&gt;""),"Nome sem indicação interna",IF(AND(G4292=1,F4292=""),"Fechamento sem conversa",IF(OR(AND(E4292&lt;&gt;"",E4292&lt;B4292),AND(F4292&lt;&gt;"",F4292&lt;B4292)),"Evento anterior à entrada",IF(AND(F4292&lt;&gt;"",E4292=""),"Conversa sem agendamento",IF(OR(E4292&gt;TODAY(),F4292&gt;TODAY()),"Verificar evento futuro","OK"))))))))))</f>
        <v/>
      </c>
    </row>
    <row r="4293" spans="12:15">
      <c r="L4293" s="5">
        <f>IF(OR(A4293="",B4293=""),"",B4293-WEEKDAY(B4293,2)+1)</f>
        <v/>
      </c>
      <c r="M4293" s="5">
        <f>IF(L4293="","",L4293+6)</f>
        <v/>
      </c>
      <c r="N4293" s="6">
        <f>IF(OR(A4293="",B4293=""),"",DATE(YEAR(B4293),MONTH(B4293),1))</f>
        <v/>
      </c>
      <c r="O4293" s="7">
        <f>IF(COUNTA(A4293:K4293)=0,"",IF(OR(A4293="",B4293=""),"Preencher CPF e entrada",IF(COUNTIFS($A$12:$A$5011,A4293,$B$12:$B$5011,B4293)&gt;1,"CPF + dia duplicado",IF(OR(AND(G4293&lt;&gt;"",G4293&lt;&gt;0,G4293&lt;&gt;1),AND(H4293&lt;&gt;"",H4293&lt;&gt;0,H4293&lt;&gt;1)),"Flags devem ser 0 ou 1",IF(AND(H4293=1,LEN(TRIM(I4293))=0),"Preencher nome do indicante",IF(AND(H4293&lt;&gt;1,I4293&lt;&gt;""),"Nome sem indicação interna",IF(AND(G4293=1,F4293=""),"Fechamento sem conversa",IF(OR(AND(E4293&lt;&gt;"",E4293&lt;B4293),AND(F4293&lt;&gt;"",F4293&lt;B4293)),"Evento anterior à entrada",IF(AND(F4293&lt;&gt;"",E4293=""),"Conversa sem agendamento",IF(OR(E4293&gt;TODAY(),F4293&gt;TODAY()),"Verificar evento futuro","OK"))))))))))</f>
        <v/>
      </c>
    </row>
    <row r="4294" spans="12:15">
      <c r="L4294" s="5">
        <f>IF(OR(A4294="",B4294=""),"",B4294-WEEKDAY(B4294,2)+1)</f>
        <v/>
      </c>
      <c r="M4294" s="5">
        <f>IF(L4294="","",L4294+6)</f>
        <v/>
      </c>
      <c r="N4294" s="6">
        <f>IF(OR(A4294="",B4294=""),"",DATE(YEAR(B4294),MONTH(B4294),1))</f>
        <v/>
      </c>
      <c r="O4294" s="7">
        <f>IF(COUNTA(A4294:K4294)=0,"",IF(OR(A4294="",B4294=""),"Preencher CPF e entrada",IF(COUNTIFS($A$12:$A$5011,A4294,$B$12:$B$5011,B4294)&gt;1,"CPF + dia duplicado",IF(OR(AND(G4294&lt;&gt;"",G4294&lt;&gt;0,G4294&lt;&gt;1),AND(H4294&lt;&gt;"",H4294&lt;&gt;0,H4294&lt;&gt;1)),"Flags devem ser 0 ou 1",IF(AND(H4294=1,LEN(TRIM(I4294))=0),"Preencher nome do indicante",IF(AND(H4294&lt;&gt;1,I4294&lt;&gt;""),"Nome sem indicação interna",IF(AND(G4294=1,F4294=""),"Fechamento sem conversa",IF(OR(AND(E4294&lt;&gt;"",E4294&lt;B4294),AND(F4294&lt;&gt;"",F4294&lt;B4294)),"Evento anterior à entrada",IF(AND(F4294&lt;&gt;"",E4294=""),"Conversa sem agendamento",IF(OR(E4294&gt;TODAY(),F4294&gt;TODAY()),"Verificar evento futuro","OK"))))))))))</f>
        <v/>
      </c>
    </row>
    <row r="4295" spans="12:15">
      <c r="L4295" s="5">
        <f>IF(OR(A4295="",B4295=""),"",B4295-WEEKDAY(B4295,2)+1)</f>
        <v/>
      </c>
      <c r="M4295" s="5">
        <f>IF(L4295="","",L4295+6)</f>
        <v/>
      </c>
      <c r="N4295" s="6">
        <f>IF(OR(A4295="",B4295=""),"",DATE(YEAR(B4295),MONTH(B4295),1))</f>
        <v/>
      </c>
      <c r="O4295" s="7">
        <f>IF(COUNTA(A4295:K4295)=0,"",IF(OR(A4295="",B4295=""),"Preencher CPF e entrada",IF(COUNTIFS($A$12:$A$5011,A4295,$B$12:$B$5011,B4295)&gt;1,"CPF + dia duplicado",IF(OR(AND(G4295&lt;&gt;"",G4295&lt;&gt;0,G4295&lt;&gt;1),AND(H4295&lt;&gt;"",H4295&lt;&gt;0,H4295&lt;&gt;1)),"Flags devem ser 0 ou 1",IF(AND(H4295=1,LEN(TRIM(I4295))=0),"Preencher nome do indicante",IF(AND(H4295&lt;&gt;1,I4295&lt;&gt;""),"Nome sem indicação interna",IF(AND(G4295=1,F4295=""),"Fechamento sem conversa",IF(OR(AND(E4295&lt;&gt;"",E4295&lt;B4295),AND(F4295&lt;&gt;"",F4295&lt;B4295)),"Evento anterior à entrada",IF(AND(F4295&lt;&gt;"",E4295=""),"Conversa sem agendamento",IF(OR(E4295&gt;TODAY(),F4295&gt;TODAY()),"Verificar evento futuro","OK"))))))))))</f>
        <v/>
      </c>
    </row>
    <row r="4296" spans="12:15">
      <c r="L4296" s="5">
        <f>IF(OR(A4296="",B4296=""),"",B4296-WEEKDAY(B4296,2)+1)</f>
        <v/>
      </c>
      <c r="M4296" s="5">
        <f>IF(L4296="","",L4296+6)</f>
        <v/>
      </c>
      <c r="N4296" s="6">
        <f>IF(OR(A4296="",B4296=""),"",DATE(YEAR(B4296),MONTH(B4296),1))</f>
        <v/>
      </c>
      <c r="O4296" s="7">
        <f>IF(COUNTA(A4296:K4296)=0,"",IF(OR(A4296="",B4296=""),"Preencher CPF e entrada",IF(COUNTIFS($A$12:$A$5011,A4296,$B$12:$B$5011,B4296)&gt;1,"CPF + dia duplicado",IF(OR(AND(G4296&lt;&gt;"",G4296&lt;&gt;0,G4296&lt;&gt;1),AND(H4296&lt;&gt;"",H4296&lt;&gt;0,H4296&lt;&gt;1)),"Flags devem ser 0 ou 1",IF(AND(H4296=1,LEN(TRIM(I4296))=0),"Preencher nome do indicante",IF(AND(H4296&lt;&gt;1,I4296&lt;&gt;""),"Nome sem indicação interna",IF(AND(G4296=1,F4296=""),"Fechamento sem conversa",IF(OR(AND(E4296&lt;&gt;"",E4296&lt;B4296),AND(F4296&lt;&gt;"",F4296&lt;B4296)),"Evento anterior à entrada",IF(AND(F4296&lt;&gt;"",E4296=""),"Conversa sem agendamento",IF(OR(E4296&gt;TODAY(),F4296&gt;TODAY()),"Verificar evento futuro","OK"))))))))))</f>
        <v/>
      </c>
    </row>
    <row r="4297" spans="12:15">
      <c r="L4297" s="5">
        <f>IF(OR(A4297="",B4297=""),"",B4297-WEEKDAY(B4297,2)+1)</f>
        <v/>
      </c>
      <c r="M4297" s="5">
        <f>IF(L4297="","",L4297+6)</f>
        <v/>
      </c>
      <c r="N4297" s="6">
        <f>IF(OR(A4297="",B4297=""),"",DATE(YEAR(B4297),MONTH(B4297),1))</f>
        <v/>
      </c>
      <c r="O4297" s="7">
        <f>IF(COUNTA(A4297:K4297)=0,"",IF(OR(A4297="",B4297=""),"Preencher CPF e entrada",IF(COUNTIFS($A$12:$A$5011,A4297,$B$12:$B$5011,B4297)&gt;1,"CPF + dia duplicado",IF(OR(AND(G4297&lt;&gt;"",G4297&lt;&gt;0,G4297&lt;&gt;1),AND(H4297&lt;&gt;"",H4297&lt;&gt;0,H4297&lt;&gt;1)),"Flags devem ser 0 ou 1",IF(AND(H4297=1,LEN(TRIM(I4297))=0),"Preencher nome do indicante",IF(AND(H4297&lt;&gt;1,I4297&lt;&gt;""),"Nome sem indicação interna",IF(AND(G4297=1,F4297=""),"Fechamento sem conversa",IF(OR(AND(E4297&lt;&gt;"",E4297&lt;B4297),AND(F4297&lt;&gt;"",F4297&lt;B4297)),"Evento anterior à entrada",IF(AND(F4297&lt;&gt;"",E4297=""),"Conversa sem agendamento",IF(OR(E4297&gt;TODAY(),F4297&gt;TODAY()),"Verificar evento futuro","OK"))))))))))</f>
        <v/>
      </c>
    </row>
    <row r="4298" spans="12:15">
      <c r="L4298" s="5">
        <f>IF(OR(A4298="",B4298=""),"",B4298-WEEKDAY(B4298,2)+1)</f>
        <v/>
      </c>
      <c r="M4298" s="5">
        <f>IF(L4298="","",L4298+6)</f>
        <v/>
      </c>
      <c r="N4298" s="6">
        <f>IF(OR(A4298="",B4298=""),"",DATE(YEAR(B4298),MONTH(B4298),1))</f>
        <v/>
      </c>
      <c r="O4298" s="7">
        <f>IF(COUNTA(A4298:K4298)=0,"",IF(OR(A4298="",B4298=""),"Preencher CPF e entrada",IF(COUNTIFS($A$12:$A$5011,A4298,$B$12:$B$5011,B4298)&gt;1,"CPF + dia duplicado",IF(OR(AND(G4298&lt;&gt;"",G4298&lt;&gt;0,G4298&lt;&gt;1),AND(H4298&lt;&gt;"",H4298&lt;&gt;0,H4298&lt;&gt;1)),"Flags devem ser 0 ou 1",IF(AND(H4298=1,LEN(TRIM(I4298))=0),"Preencher nome do indicante",IF(AND(H4298&lt;&gt;1,I4298&lt;&gt;""),"Nome sem indicação interna",IF(AND(G4298=1,F4298=""),"Fechamento sem conversa",IF(OR(AND(E4298&lt;&gt;"",E4298&lt;B4298),AND(F4298&lt;&gt;"",F4298&lt;B4298)),"Evento anterior à entrada",IF(AND(F4298&lt;&gt;"",E4298=""),"Conversa sem agendamento",IF(OR(E4298&gt;TODAY(),F4298&gt;TODAY()),"Verificar evento futuro","OK"))))))))))</f>
        <v/>
      </c>
    </row>
    <row r="4299" spans="12:15">
      <c r="L4299" s="5">
        <f>IF(OR(A4299="",B4299=""),"",B4299-WEEKDAY(B4299,2)+1)</f>
        <v/>
      </c>
      <c r="M4299" s="5">
        <f>IF(L4299="","",L4299+6)</f>
        <v/>
      </c>
      <c r="N4299" s="6">
        <f>IF(OR(A4299="",B4299=""),"",DATE(YEAR(B4299),MONTH(B4299),1))</f>
        <v/>
      </c>
      <c r="O4299" s="7">
        <f>IF(COUNTA(A4299:K4299)=0,"",IF(OR(A4299="",B4299=""),"Preencher CPF e entrada",IF(COUNTIFS($A$12:$A$5011,A4299,$B$12:$B$5011,B4299)&gt;1,"CPF + dia duplicado",IF(OR(AND(G4299&lt;&gt;"",G4299&lt;&gt;0,G4299&lt;&gt;1),AND(H4299&lt;&gt;"",H4299&lt;&gt;0,H4299&lt;&gt;1)),"Flags devem ser 0 ou 1",IF(AND(H4299=1,LEN(TRIM(I4299))=0),"Preencher nome do indicante",IF(AND(H4299&lt;&gt;1,I4299&lt;&gt;""),"Nome sem indicação interna",IF(AND(G4299=1,F4299=""),"Fechamento sem conversa",IF(OR(AND(E4299&lt;&gt;"",E4299&lt;B4299),AND(F4299&lt;&gt;"",F4299&lt;B4299)),"Evento anterior à entrada",IF(AND(F4299&lt;&gt;"",E4299=""),"Conversa sem agendamento",IF(OR(E4299&gt;TODAY(),F4299&gt;TODAY()),"Verificar evento futuro","OK"))))))))))</f>
        <v/>
      </c>
    </row>
    <row r="4300" spans="12:15">
      <c r="L4300" s="5">
        <f>IF(OR(A4300="",B4300=""),"",B4300-WEEKDAY(B4300,2)+1)</f>
        <v/>
      </c>
      <c r="M4300" s="5">
        <f>IF(L4300="","",L4300+6)</f>
        <v/>
      </c>
      <c r="N4300" s="6">
        <f>IF(OR(A4300="",B4300=""),"",DATE(YEAR(B4300),MONTH(B4300),1))</f>
        <v/>
      </c>
      <c r="O4300" s="7">
        <f>IF(COUNTA(A4300:K4300)=0,"",IF(OR(A4300="",B4300=""),"Preencher CPF e entrada",IF(COUNTIFS($A$12:$A$5011,A4300,$B$12:$B$5011,B4300)&gt;1,"CPF + dia duplicado",IF(OR(AND(G4300&lt;&gt;"",G4300&lt;&gt;0,G4300&lt;&gt;1),AND(H4300&lt;&gt;"",H4300&lt;&gt;0,H4300&lt;&gt;1)),"Flags devem ser 0 ou 1",IF(AND(H4300=1,LEN(TRIM(I4300))=0),"Preencher nome do indicante",IF(AND(H4300&lt;&gt;1,I4300&lt;&gt;""),"Nome sem indicação interna",IF(AND(G4300=1,F4300=""),"Fechamento sem conversa",IF(OR(AND(E4300&lt;&gt;"",E4300&lt;B4300),AND(F4300&lt;&gt;"",F4300&lt;B4300)),"Evento anterior à entrada",IF(AND(F4300&lt;&gt;"",E4300=""),"Conversa sem agendamento",IF(OR(E4300&gt;TODAY(),F4300&gt;TODAY()),"Verificar evento futuro","OK"))))))))))</f>
        <v/>
      </c>
    </row>
    <row r="4301" spans="12:15">
      <c r="L4301" s="5">
        <f>IF(OR(A4301="",B4301=""),"",B4301-WEEKDAY(B4301,2)+1)</f>
        <v/>
      </c>
      <c r="M4301" s="5">
        <f>IF(L4301="","",L4301+6)</f>
        <v/>
      </c>
      <c r="N4301" s="6">
        <f>IF(OR(A4301="",B4301=""),"",DATE(YEAR(B4301),MONTH(B4301),1))</f>
        <v/>
      </c>
      <c r="O4301" s="7">
        <f>IF(COUNTA(A4301:K4301)=0,"",IF(OR(A4301="",B4301=""),"Preencher CPF e entrada",IF(COUNTIFS($A$12:$A$5011,A4301,$B$12:$B$5011,B4301)&gt;1,"CPF + dia duplicado",IF(OR(AND(G4301&lt;&gt;"",G4301&lt;&gt;0,G4301&lt;&gt;1),AND(H4301&lt;&gt;"",H4301&lt;&gt;0,H4301&lt;&gt;1)),"Flags devem ser 0 ou 1",IF(AND(H4301=1,LEN(TRIM(I4301))=0),"Preencher nome do indicante",IF(AND(H4301&lt;&gt;1,I4301&lt;&gt;""),"Nome sem indicação interna",IF(AND(G4301=1,F4301=""),"Fechamento sem conversa",IF(OR(AND(E4301&lt;&gt;"",E4301&lt;B4301),AND(F4301&lt;&gt;"",F4301&lt;B4301)),"Evento anterior à entrada",IF(AND(F4301&lt;&gt;"",E4301=""),"Conversa sem agendamento",IF(OR(E4301&gt;TODAY(),F4301&gt;TODAY()),"Verificar evento futuro","OK"))))))))))</f>
        <v/>
      </c>
    </row>
    <row r="4302" spans="12:15">
      <c r="L4302" s="5">
        <f>IF(OR(A4302="",B4302=""),"",B4302-WEEKDAY(B4302,2)+1)</f>
        <v/>
      </c>
      <c r="M4302" s="5">
        <f>IF(L4302="","",L4302+6)</f>
        <v/>
      </c>
      <c r="N4302" s="6">
        <f>IF(OR(A4302="",B4302=""),"",DATE(YEAR(B4302),MONTH(B4302),1))</f>
        <v/>
      </c>
      <c r="O4302" s="7">
        <f>IF(COUNTA(A4302:K4302)=0,"",IF(OR(A4302="",B4302=""),"Preencher CPF e entrada",IF(COUNTIFS($A$12:$A$5011,A4302,$B$12:$B$5011,B4302)&gt;1,"CPF + dia duplicado",IF(OR(AND(G4302&lt;&gt;"",G4302&lt;&gt;0,G4302&lt;&gt;1),AND(H4302&lt;&gt;"",H4302&lt;&gt;0,H4302&lt;&gt;1)),"Flags devem ser 0 ou 1",IF(AND(H4302=1,LEN(TRIM(I4302))=0),"Preencher nome do indicante",IF(AND(H4302&lt;&gt;1,I4302&lt;&gt;""),"Nome sem indicação interna",IF(AND(G4302=1,F4302=""),"Fechamento sem conversa",IF(OR(AND(E4302&lt;&gt;"",E4302&lt;B4302),AND(F4302&lt;&gt;"",F4302&lt;B4302)),"Evento anterior à entrada",IF(AND(F4302&lt;&gt;"",E4302=""),"Conversa sem agendamento",IF(OR(E4302&gt;TODAY(),F4302&gt;TODAY()),"Verificar evento futuro","OK"))))))))))</f>
        <v/>
      </c>
    </row>
    <row r="4303" spans="12:15">
      <c r="L4303" s="5">
        <f>IF(OR(A4303="",B4303=""),"",B4303-WEEKDAY(B4303,2)+1)</f>
        <v/>
      </c>
      <c r="M4303" s="5">
        <f>IF(L4303="","",L4303+6)</f>
        <v/>
      </c>
      <c r="N4303" s="6">
        <f>IF(OR(A4303="",B4303=""),"",DATE(YEAR(B4303),MONTH(B4303),1))</f>
        <v/>
      </c>
      <c r="O4303" s="7">
        <f>IF(COUNTA(A4303:K4303)=0,"",IF(OR(A4303="",B4303=""),"Preencher CPF e entrada",IF(COUNTIFS($A$12:$A$5011,A4303,$B$12:$B$5011,B4303)&gt;1,"CPF + dia duplicado",IF(OR(AND(G4303&lt;&gt;"",G4303&lt;&gt;0,G4303&lt;&gt;1),AND(H4303&lt;&gt;"",H4303&lt;&gt;0,H4303&lt;&gt;1)),"Flags devem ser 0 ou 1",IF(AND(H4303=1,LEN(TRIM(I4303))=0),"Preencher nome do indicante",IF(AND(H4303&lt;&gt;1,I4303&lt;&gt;""),"Nome sem indicação interna",IF(AND(G4303=1,F4303=""),"Fechamento sem conversa",IF(OR(AND(E4303&lt;&gt;"",E4303&lt;B4303),AND(F4303&lt;&gt;"",F4303&lt;B4303)),"Evento anterior à entrada",IF(AND(F4303&lt;&gt;"",E4303=""),"Conversa sem agendamento",IF(OR(E4303&gt;TODAY(),F4303&gt;TODAY()),"Verificar evento futuro","OK"))))))))))</f>
        <v/>
      </c>
    </row>
    <row r="4304" spans="12:15">
      <c r="L4304" s="5">
        <f>IF(OR(A4304="",B4304=""),"",B4304-WEEKDAY(B4304,2)+1)</f>
        <v/>
      </c>
      <c r="M4304" s="5">
        <f>IF(L4304="","",L4304+6)</f>
        <v/>
      </c>
      <c r="N4304" s="6">
        <f>IF(OR(A4304="",B4304=""),"",DATE(YEAR(B4304),MONTH(B4304),1))</f>
        <v/>
      </c>
      <c r="O4304" s="7">
        <f>IF(COUNTA(A4304:K4304)=0,"",IF(OR(A4304="",B4304=""),"Preencher CPF e entrada",IF(COUNTIFS($A$12:$A$5011,A4304,$B$12:$B$5011,B4304)&gt;1,"CPF + dia duplicado",IF(OR(AND(G4304&lt;&gt;"",G4304&lt;&gt;0,G4304&lt;&gt;1),AND(H4304&lt;&gt;"",H4304&lt;&gt;0,H4304&lt;&gt;1)),"Flags devem ser 0 ou 1",IF(AND(H4304=1,LEN(TRIM(I4304))=0),"Preencher nome do indicante",IF(AND(H4304&lt;&gt;1,I4304&lt;&gt;""),"Nome sem indicação interna",IF(AND(G4304=1,F4304=""),"Fechamento sem conversa",IF(OR(AND(E4304&lt;&gt;"",E4304&lt;B4304),AND(F4304&lt;&gt;"",F4304&lt;B4304)),"Evento anterior à entrada",IF(AND(F4304&lt;&gt;"",E4304=""),"Conversa sem agendamento",IF(OR(E4304&gt;TODAY(),F4304&gt;TODAY()),"Verificar evento futuro","OK"))))))))))</f>
        <v/>
      </c>
    </row>
    <row r="4305" spans="12:15">
      <c r="L4305" s="5">
        <f>IF(OR(A4305="",B4305=""),"",B4305-WEEKDAY(B4305,2)+1)</f>
        <v/>
      </c>
      <c r="M4305" s="5">
        <f>IF(L4305="","",L4305+6)</f>
        <v/>
      </c>
      <c r="N4305" s="6">
        <f>IF(OR(A4305="",B4305=""),"",DATE(YEAR(B4305),MONTH(B4305),1))</f>
        <v/>
      </c>
      <c r="O4305" s="7">
        <f>IF(COUNTA(A4305:K4305)=0,"",IF(OR(A4305="",B4305=""),"Preencher CPF e entrada",IF(COUNTIFS($A$12:$A$5011,A4305,$B$12:$B$5011,B4305)&gt;1,"CPF + dia duplicado",IF(OR(AND(G4305&lt;&gt;"",G4305&lt;&gt;0,G4305&lt;&gt;1),AND(H4305&lt;&gt;"",H4305&lt;&gt;0,H4305&lt;&gt;1)),"Flags devem ser 0 ou 1",IF(AND(H4305=1,LEN(TRIM(I4305))=0),"Preencher nome do indicante",IF(AND(H4305&lt;&gt;1,I4305&lt;&gt;""),"Nome sem indicação interna",IF(AND(G4305=1,F4305=""),"Fechamento sem conversa",IF(OR(AND(E4305&lt;&gt;"",E4305&lt;B4305),AND(F4305&lt;&gt;"",F4305&lt;B4305)),"Evento anterior à entrada",IF(AND(F4305&lt;&gt;"",E4305=""),"Conversa sem agendamento",IF(OR(E4305&gt;TODAY(),F4305&gt;TODAY()),"Verificar evento futuro","OK"))))))))))</f>
        <v/>
      </c>
    </row>
    <row r="4306" spans="12:15">
      <c r="L4306" s="5">
        <f>IF(OR(A4306="",B4306=""),"",B4306-WEEKDAY(B4306,2)+1)</f>
        <v/>
      </c>
      <c r="M4306" s="5">
        <f>IF(L4306="","",L4306+6)</f>
        <v/>
      </c>
      <c r="N4306" s="6">
        <f>IF(OR(A4306="",B4306=""),"",DATE(YEAR(B4306),MONTH(B4306),1))</f>
        <v/>
      </c>
      <c r="O4306" s="7">
        <f>IF(COUNTA(A4306:K4306)=0,"",IF(OR(A4306="",B4306=""),"Preencher CPF e entrada",IF(COUNTIFS($A$12:$A$5011,A4306,$B$12:$B$5011,B4306)&gt;1,"CPF + dia duplicado",IF(OR(AND(G4306&lt;&gt;"",G4306&lt;&gt;0,G4306&lt;&gt;1),AND(H4306&lt;&gt;"",H4306&lt;&gt;0,H4306&lt;&gt;1)),"Flags devem ser 0 ou 1",IF(AND(H4306=1,LEN(TRIM(I4306))=0),"Preencher nome do indicante",IF(AND(H4306&lt;&gt;1,I4306&lt;&gt;""),"Nome sem indicação interna",IF(AND(G4306=1,F4306=""),"Fechamento sem conversa",IF(OR(AND(E4306&lt;&gt;"",E4306&lt;B4306),AND(F4306&lt;&gt;"",F4306&lt;B4306)),"Evento anterior à entrada",IF(AND(F4306&lt;&gt;"",E4306=""),"Conversa sem agendamento",IF(OR(E4306&gt;TODAY(),F4306&gt;TODAY()),"Verificar evento futuro","OK"))))))))))</f>
        <v/>
      </c>
    </row>
    <row r="4307" spans="12:15">
      <c r="L4307" s="5">
        <f>IF(OR(A4307="",B4307=""),"",B4307-WEEKDAY(B4307,2)+1)</f>
        <v/>
      </c>
      <c r="M4307" s="5">
        <f>IF(L4307="","",L4307+6)</f>
        <v/>
      </c>
      <c r="N4307" s="6">
        <f>IF(OR(A4307="",B4307=""),"",DATE(YEAR(B4307),MONTH(B4307),1))</f>
        <v/>
      </c>
      <c r="O4307" s="7">
        <f>IF(COUNTA(A4307:K4307)=0,"",IF(OR(A4307="",B4307=""),"Preencher CPF e entrada",IF(COUNTIFS($A$12:$A$5011,A4307,$B$12:$B$5011,B4307)&gt;1,"CPF + dia duplicado",IF(OR(AND(G4307&lt;&gt;"",G4307&lt;&gt;0,G4307&lt;&gt;1),AND(H4307&lt;&gt;"",H4307&lt;&gt;0,H4307&lt;&gt;1)),"Flags devem ser 0 ou 1",IF(AND(H4307=1,LEN(TRIM(I4307))=0),"Preencher nome do indicante",IF(AND(H4307&lt;&gt;1,I4307&lt;&gt;""),"Nome sem indicação interna",IF(AND(G4307=1,F4307=""),"Fechamento sem conversa",IF(OR(AND(E4307&lt;&gt;"",E4307&lt;B4307),AND(F4307&lt;&gt;"",F4307&lt;B4307)),"Evento anterior à entrada",IF(AND(F4307&lt;&gt;"",E4307=""),"Conversa sem agendamento",IF(OR(E4307&gt;TODAY(),F4307&gt;TODAY()),"Verificar evento futuro","OK"))))))))))</f>
        <v/>
      </c>
    </row>
    <row r="4308" spans="12:15">
      <c r="L4308" s="5">
        <f>IF(OR(A4308="",B4308=""),"",B4308-WEEKDAY(B4308,2)+1)</f>
        <v/>
      </c>
      <c r="M4308" s="5">
        <f>IF(L4308="","",L4308+6)</f>
        <v/>
      </c>
      <c r="N4308" s="6">
        <f>IF(OR(A4308="",B4308=""),"",DATE(YEAR(B4308),MONTH(B4308),1))</f>
        <v/>
      </c>
      <c r="O4308" s="7">
        <f>IF(COUNTA(A4308:K4308)=0,"",IF(OR(A4308="",B4308=""),"Preencher CPF e entrada",IF(COUNTIFS($A$12:$A$5011,A4308,$B$12:$B$5011,B4308)&gt;1,"CPF + dia duplicado",IF(OR(AND(G4308&lt;&gt;"",G4308&lt;&gt;0,G4308&lt;&gt;1),AND(H4308&lt;&gt;"",H4308&lt;&gt;0,H4308&lt;&gt;1)),"Flags devem ser 0 ou 1",IF(AND(H4308=1,LEN(TRIM(I4308))=0),"Preencher nome do indicante",IF(AND(H4308&lt;&gt;1,I4308&lt;&gt;""),"Nome sem indicação interna",IF(AND(G4308=1,F4308=""),"Fechamento sem conversa",IF(OR(AND(E4308&lt;&gt;"",E4308&lt;B4308),AND(F4308&lt;&gt;"",F4308&lt;B4308)),"Evento anterior à entrada",IF(AND(F4308&lt;&gt;"",E4308=""),"Conversa sem agendamento",IF(OR(E4308&gt;TODAY(),F4308&gt;TODAY()),"Verificar evento futuro","OK"))))))))))</f>
        <v/>
      </c>
    </row>
    <row r="4309" spans="12:15">
      <c r="L4309" s="5">
        <f>IF(OR(A4309="",B4309=""),"",B4309-WEEKDAY(B4309,2)+1)</f>
        <v/>
      </c>
      <c r="M4309" s="5">
        <f>IF(L4309="","",L4309+6)</f>
        <v/>
      </c>
      <c r="N4309" s="6">
        <f>IF(OR(A4309="",B4309=""),"",DATE(YEAR(B4309),MONTH(B4309),1))</f>
        <v/>
      </c>
      <c r="O4309" s="7">
        <f>IF(COUNTA(A4309:K4309)=0,"",IF(OR(A4309="",B4309=""),"Preencher CPF e entrada",IF(COUNTIFS($A$12:$A$5011,A4309,$B$12:$B$5011,B4309)&gt;1,"CPF + dia duplicado",IF(OR(AND(G4309&lt;&gt;"",G4309&lt;&gt;0,G4309&lt;&gt;1),AND(H4309&lt;&gt;"",H4309&lt;&gt;0,H4309&lt;&gt;1)),"Flags devem ser 0 ou 1",IF(AND(H4309=1,LEN(TRIM(I4309))=0),"Preencher nome do indicante",IF(AND(H4309&lt;&gt;1,I4309&lt;&gt;""),"Nome sem indicação interna",IF(AND(G4309=1,F4309=""),"Fechamento sem conversa",IF(OR(AND(E4309&lt;&gt;"",E4309&lt;B4309),AND(F4309&lt;&gt;"",F4309&lt;B4309)),"Evento anterior à entrada",IF(AND(F4309&lt;&gt;"",E4309=""),"Conversa sem agendamento",IF(OR(E4309&gt;TODAY(),F4309&gt;TODAY()),"Verificar evento futuro","OK"))))))))))</f>
        <v/>
      </c>
    </row>
    <row r="4310" spans="12:15">
      <c r="L4310" s="5">
        <f>IF(OR(A4310="",B4310=""),"",B4310-WEEKDAY(B4310,2)+1)</f>
        <v/>
      </c>
      <c r="M4310" s="5">
        <f>IF(L4310="","",L4310+6)</f>
        <v/>
      </c>
      <c r="N4310" s="6">
        <f>IF(OR(A4310="",B4310=""),"",DATE(YEAR(B4310),MONTH(B4310),1))</f>
        <v/>
      </c>
      <c r="O4310" s="7">
        <f>IF(COUNTA(A4310:K4310)=0,"",IF(OR(A4310="",B4310=""),"Preencher CPF e entrada",IF(COUNTIFS($A$12:$A$5011,A4310,$B$12:$B$5011,B4310)&gt;1,"CPF + dia duplicado",IF(OR(AND(G4310&lt;&gt;"",G4310&lt;&gt;0,G4310&lt;&gt;1),AND(H4310&lt;&gt;"",H4310&lt;&gt;0,H4310&lt;&gt;1)),"Flags devem ser 0 ou 1",IF(AND(H4310=1,LEN(TRIM(I4310))=0),"Preencher nome do indicante",IF(AND(H4310&lt;&gt;1,I4310&lt;&gt;""),"Nome sem indicação interna",IF(AND(G4310=1,F4310=""),"Fechamento sem conversa",IF(OR(AND(E4310&lt;&gt;"",E4310&lt;B4310),AND(F4310&lt;&gt;"",F4310&lt;B4310)),"Evento anterior à entrada",IF(AND(F4310&lt;&gt;"",E4310=""),"Conversa sem agendamento",IF(OR(E4310&gt;TODAY(),F4310&gt;TODAY()),"Verificar evento futuro","OK"))))))))))</f>
        <v/>
      </c>
    </row>
    <row r="4311" spans="12:15">
      <c r="L4311" s="5">
        <f>IF(OR(A4311="",B4311=""),"",B4311-WEEKDAY(B4311,2)+1)</f>
        <v/>
      </c>
      <c r="M4311" s="5">
        <f>IF(L4311="","",L4311+6)</f>
        <v/>
      </c>
      <c r="N4311" s="6">
        <f>IF(OR(A4311="",B4311=""),"",DATE(YEAR(B4311),MONTH(B4311),1))</f>
        <v/>
      </c>
      <c r="O4311" s="7">
        <f>IF(COUNTA(A4311:K4311)=0,"",IF(OR(A4311="",B4311=""),"Preencher CPF e entrada",IF(COUNTIFS($A$12:$A$5011,A4311,$B$12:$B$5011,B4311)&gt;1,"CPF + dia duplicado",IF(OR(AND(G4311&lt;&gt;"",G4311&lt;&gt;0,G4311&lt;&gt;1),AND(H4311&lt;&gt;"",H4311&lt;&gt;0,H4311&lt;&gt;1)),"Flags devem ser 0 ou 1",IF(AND(H4311=1,LEN(TRIM(I4311))=0),"Preencher nome do indicante",IF(AND(H4311&lt;&gt;1,I4311&lt;&gt;""),"Nome sem indicação interna",IF(AND(G4311=1,F4311=""),"Fechamento sem conversa",IF(OR(AND(E4311&lt;&gt;"",E4311&lt;B4311),AND(F4311&lt;&gt;"",F4311&lt;B4311)),"Evento anterior à entrada",IF(AND(F4311&lt;&gt;"",E4311=""),"Conversa sem agendamento",IF(OR(E4311&gt;TODAY(),F4311&gt;TODAY()),"Verificar evento futuro","OK"))))))))))</f>
        <v/>
      </c>
    </row>
    <row r="4312" spans="12:15">
      <c r="L4312" s="5">
        <f>IF(OR(A4312="",B4312=""),"",B4312-WEEKDAY(B4312,2)+1)</f>
        <v/>
      </c>
      <c r="M4312" s="5">
        <f>IF(L4312="","",L4312+6)</f>
        <v/>
      </c>
      <c r="N4312" s="6">
        <f>IF(OR(A4312="",B4312=""),"",DATE(YEAR(B4312),MONTH(B4312),1))</f>
        <v/>
      </c>
      <c r="O4312" s="7">
        <f>IF(COUNTA(A4312:K4312)=0,"",IF(OR(A4312="",B4312=""),"Preencher CPF e entrada",IF(COUNTIFS($A$12:$A$5011,A4312,$B$12:$B$5011,B4312)&gt;1,"CPF + dia duplicado",IF(OR(AND(G4312&lt;&gt;"",G4312&lt;&gt;0,G4312&lt;&gt;1),AND(H4312&lt;&gt;"",H4312&lt;&gt;0,H4312&lt;&gt;1)),"Flags devem ser 0 ou 1",IF(AND(H4312=1,LEN(TRIM(I4312))=0),"Preencher nome do indicante",IF(AND(H4312&lt;&gt;1,I4312&lt;&gt;""),"Nome sem indicação interna",IF(AND(G4312=1,F4312=""),"Fechamento sem conversa",IF(OR(AND(E4312&lt;&gt;"",E4312&lt;B4312),AND(F4312&lt;&gt;"",F4312&lt;B4312)),"Evento anterior à entrada",IF(AND(F4312&lt;&gt;"",E4312=""),"Conversa sem agendamento",IF(OR(E4312&gt;TODAY(),F4312&gt;TODAY()),"Verificar evento futuro","OK"))))))))))</f>
        <v/>
      </c>
    </row>
    <row r="4313" spans="12:15">
      <c r="L4313" s="5">
        <f>IF(OR(A4313="",B4313=""),"",B4313-WEEKDAY(B4313,2)+1)</f>
        <v/>
      </c>
      <c r="M4313" s="5">
        <f>IF(L4313="","",L4313+6)</f>
        <v/>
      </c>
      <c r="N4313" s="6">
        <f>IF(OR(A4313="",B4313=""),"",DATE(YEAR(B4313),MONTH(B4313),1))</f>
        <v/>
      </c>
      <c r="O4313" s="7">
        <f>IF(COUNTA(A4313:K4313)=0,"",IF(OR(A4313="",B4313=""),"Preencher CPF e entrada",IF(COUNTIFS($A$12:$A$5011,A4313,$B$12:$B$5011,B4313)&gt;1,"CPF + dia duplicado",IF(OR(AND(G4313&lt;&gt;"",G4313&lt;&gt;0,G4313&lt;&gt;1),AND(H4313&lt;&gt;"",H4313&lt;&gt;0,H4313&lt;&gt;1)),"Flags devem ser 0 ou 1",IF(AND(H4313=1,LEN(TRIM(I4313))=0),"Preencher nome do indicante",IF(AND(H4313&lt;&gt;1,I4313&lt;&gt;""),"Nome sem indicação interna",IF(AND(G4313=1,F4313=""),"Fechamento sem conversa",IF(OR(AND(E4313&lt;&gt;"",E4313&lt;B4313),AND(F4313&lt;&gt;"",F4313&lt;B4313)),"Evento anterior à entrada",IF(AND(F4313&lt;&gt;"",E4313=""),"Conversa sem agendamento",IF(OR(E4313&gt;TODAY(),F4313&gt;TODAY()),"Verificar evento futuro","OK"))))))))))</f>
        <v/>
      </c>
    </row>
    <row r="4314" spans="12:15">
      <c r="L4314" s="5">
        <f>IF(OR(A4314="",B4314=""),"",B4314-WEEKDAY(B4314,2)+1)</f>
        <v/>
      </c>
      <c r="M4314" s="5">
        <f>IF(L4314="","",L4314+6)</f>
        <v/>
      </c>
      <c r="N4314" s="6">
        <f>IF(OR(A4314="",B4314=""),"",DATE(YEAR(B4314),MONTH(B4314),1))</f>
        <v/>
      </c>
      <c r="O4314" s="7">
        <f>IF(COUNTA(A4314:K4314)=0,"",IF(OR(A4314="",B4314=""),"Preencher CPF e entrada",IF(COUNTIFS($A$12:$A$5011,A4314,$B$12:$B$5011,B4314)&gt;1,"CPF + dia duplicado",IF(OR(AND(G4314&lt;&gt;"",G4314&lt;&gt;0,G4314&lt;&gt;1),AND(H4314&lt;&gt;"",H4314&lt;&gt;0,H4314&lt;&gt;1)),"Flags devem ser 0 ou 1",IF(AND(H4314=1,LEN(TRIM(I4314))=0),"Preencher nome do indicante",IF(AND(H4314&lt;&gt;1,I4314&lt;&gt;""),"Nome sem indicação interna",IF(AND(G4314=1,F4314=""),"Fechamento sem conversa",IF(OR(AND(E4314&lt;&gt;"",E4314&lt;B4314),AND(F4314&lt;&gt;"",F4314&lt;B4314)),"Evento anterior à entrada",IF(AND(F4314&lt;&gt;"",E4314=""),"Conversa sem agendamento",IF(OR(E4314&gt;TODAY(),F4314&gt;TODAY()),"Verificar evento futuro","OK"))))))))))</f>
        <v/>
      </c>
    </row>
    <row r="4315" spans="12:15">
      <c r="L4315" s="5">
        <f>IF(OR(A4315="",B4315=""),"",B4315-WEEKDAY(B4315,2)+1)</f>
        <v/>
      </c>
      <c r="M4315" s="5">
        <f>IF(L4315="","",L4315+6)</f>
        <v/>
      </c>
      <c r="N4315" s="6">
        <f>IF(OR(A4315="",B4315=""),"",DATE(YEAR(B4315),MONTH(B4315),1))</f>
        <v/>
      </c>
      <c r="O4315" s="7">
        <f>IF(COUNTA(A4315:K4315)=0,"",IF(OR(A4315="",B4315=""),"Preencher CPF e entrada",IF(COUNTIFS($A$12:$A$5011,A4315,$B$12:$B$5011,B4315)&gt;1,"CPF + dia duplicado",IF(OR(AND(G4315&lt;&gt;"",G4315&lt;&gt;0,G4315&lt;&gt;1),AND(H4315&lt;&gt;"",H4315&lt;&gt;0,H4315&lt;&gt;1)),"Flags devem ser 0 ou 1",IF(AND(H4315=1,LEN(TRIM(I4315))=0),"Preencher nome do indicante",IF(AND(H4315&lt;&gt;1,I4315&lt;&gt;""),"Nome sem indicação interna",IF(AND(G4315=1,F4315=""),"Fechamento sem conversa",IF(OR(AND(E4315&lt;&gt;"",E4315&lt;B4315),AND(F4315&lt;&gt;"",F4315&lt;B4315)),"Evento anterior à entrada",IF(AND(F4315&lt;&gt;"",E4315=""),"Conversa sem agendamento",IF(OR(E4315&gt;TODAY(),F4315&gt;TODAY()),"Verificar evento futuro","OK"))))))))))</f>
        <v/>
      </c>
    </row>
    <row r="4316" spans="12:15">
      <c r="L4316" s="5">
        <f>IF(OR(A4316="",B4316=""),"",B4316-WEEKDAY(B4316,2)+1)</f>
        <v/>
      </c>
      <c r="M4316" s="5">
        <f>IF(L4316="","",L4316+6)</f>
        <v/>
      </c>
      <c r="N4316" s="6">
        <f>IF(OR(A4316="",B4316=""),"",DATE(YEAR(B4316),MONTH(B4316),1))</f>
        <v/>
      </c>
      <c r="O4316" s="7">
        <f>IF(COUNTA(A4316:K4316)=0,"",IF(OR(A4316="",B4316=""),"Preencher CPF e entrada",IF(COUNTIFS($A$12:$A$5011,A4316,$B$12:$B$5011,B4316)&gt;1,"CPF + dia duplicado",IF(OR(AND(G4316&lt;&gt;"",G4316&lt;&gt;0,G4316&lt;&gt;1),AND(H4316&lt;&gt;"",H4316&lt;&gt;0,H4316&lt;&gt;1)),"Flags devem ser 0 ou 1",IF(AND(H4316=1,LEN(TRIM(I4316))=0),"Preencher nome do indicante",IF(AND(H4316&lt;&gt;1,I4316&lt;&gt;""),"Nome sem indicação interna",IF(AND(G4316=1,F4316=""),"Fechamento sem conversa",IF(OR(AND(E4316&lt;&gt;"",E4316&lt;B4316),AND(F4316&lt;&gt;"",F4316&lt;B4316)),"Evento anterior à entrada",IF(AND(F4316&lt;&gt;"",E4316=""),"Conversa sem agendamento",IF(OR(E4316&gt;TODAY(),F4316&gt;TODAY()),"Verificar evento futuro","OK"))))))))))</f>
        <v/>
      </c>
    </row>
    <row r="4317" spans="12:15">
      <c r="L4317" s="5">
        <f>IF(OR(A4317="",B4317=""),"",B4317-WEEKDAY(B4317,2)+1)</f>
        <v/>
      </c>
      <c r="M4317" s="5">
        <f>IF(L4317="","",L4317+6)</f>
        <v/>
      </c>
      <c r="N4317" s="6">
        <f>IF(OR(A4317="",B4317=""),"",DATE(YEAR(B4317),MONTH(B4317),1))</f>
        <v/>
      </c>
      <c r="O4317" s="7">
        <f>IF(COUNTA(A4317:K4317)=0,"",IF(OR(A4317="",B4317=""),"Preencher CPF e entrada",IF(COUNTIFS($A$12:$A$5011,A4317,$B$12:$B$5011,B4317)&gt;1,"CPF + dia duplicado",IF(OR(AND(G4317&lt;&gt;"",G4317&lt;&gt;0,G4317&lt;&gt;1),AND(H4317&lt;&gt;"",H4317&lt;&gt;0,H4317&lt;&gt;1)),"Flags devem ser 0 ou 1",IF(AND(H4317=1,LEN(TRIM(I4317))=0),"Preencher nome do indicante",IF(AND(H4317&lt;&gt;1,I4317&lt;&gt;""),"Nome sem indicação interna",IF(AND(G4317=1,F4317=""),"Fechamento sem conversa",IF(OR(AND(E4317&lt;&gt;"",E4317&lt;B4317),AND(F4317&lt;&gt;"",F4317&lt;B4317)),"Evento anterior à entrada",IF(AND(F4317&lt;&gt;"",E4317=""),"Conversa sem agendamento",IF(OR(E4317&gt;TODAY(),F4317&gt;TODAY()),"Verificar evento futuro","OK"))))))))))</f>
        <v/>
      </c>
    </row>
    <row r="4318" spans="12:15">
      <c r="L4318" s="5">
        <f>IF(OR(A4318="",B4318=""),"",B4318-WEEKDAY(B4318,2)+1)</f>
        <v/>
      </c>
      <c r="M4318" s="5">
        <f>IF(L4318="","",L4318+6)</f>
        <v/>
      </c>
      <c r="N4318" s="6">
        <f>IF(OR(A4318="",B4318=""),"",DATE(YEAR(B4318),MONTH(B4318),1))</f>
        <v/>
      </c>
      <c r="O4318" s="7">
        <f>IF(COUNTA(A4318:K4318)=0,"",IF(OR(A4318="",B4318=""),"Preencher CPF e entrada",IF(COUNTIFS($A$12:$A$5011,A4318,$B$12:$B$5011,B4318)&gt;1,"CPF + dia duplicado",IF(OR(AND(G4318&lt;&gt;"",G4318&lt;&gt;0,G4318&lt;&gt;1),AND(H4318&lt;&gt;"",H4318&lt;&gt;0,H4318&lt;&gt;1)),"Flags devem ser 0 ou 1",IF(AND(H4318=1,LEN(TRIM(I4318))=0),"Preencher nome do indicante",IF(AND(H4318&lt;&gt;1,I4318&lt;&gt;""),"Nome sem indicação interna",IF(AND(G4318=1,F4318=""),"Fechamento sem conversa",IF(OR(AND(E4318&lt;&gt;"",E4318&lt;B4318),AND(F4318&lt;&gt;"",F4318&lt;B4318)),"Evento anterior à entrada",IF(AND(F4318&lt;&gt;"",E4318=""),"Conversa sem agendamento",IF(OR(E4318&gt;TODAY(),F4318&gt;TODAY()),"Verificar evento futuro","OK"))))))))))</f>
        <v/>
      </c>
    </row>
    <row r="4319" spans="12:15">
      <c r="L4319" s="5">
        <f>IF(OR(A4319="",B4319=""),"",B4319-WEEKDAY(B4319,2)+1)</f>
        <v/>
      </c>
      <c r="M4319" s="5">
        <f>IF(L4319="","",L4319+6)</f>
        <v/>
      </c>
      <c r="N4319" s="6">
        <f>IF(OR(A4319="",B4319=""),"",DATE(YEAR(B4319),MONTH(B4319),1))</f>
        <v/>
      </c>
      <c r="O4319" s="7">
        <f>IF(COUNTA(A4319:K4319)=0,"",IF(OR(A4319="",B4319=""),"Preencher CPF e entrada",IF(COUNTIFS($A$12:$A$5011,A4319,$B$12:$B$5011,B4319)&gt;1,"CPF + dia duplicado",IF(OR(AND(G4319&lt;&gt;"",G4319&lt;&gt;0,G4319&lt;&gt;1),AND(H4319&lt;&gt;"",H4319&lt;&gt;0,H4319&lt;&gt;1)),"Flags devem ser 0 ou 1",IF(AND(H4319=1,LEN(TRIM(I4319))=0),"Preencher nome do indicante",IF(AND(H4319&lt;&gt;1,I4319&lt;&gt;""),"Nome sem indicação interna",IF(AND(G4319=1,F4319=""),"Fechamento sem conversa",IF(OR(AND(E4319&lt;&gt;"",E4319&lt;B4319),AND(F4319&lt;&gt;"",F4319&lt;B4319)),"Evento anterior à entrada",IF(AND(F4319&lt;&gt;"",E4319=""),"Conversa sem agendamento",IF(OR(E4319&gt;TODAY(),F4319&gt;TODAY()),"Verificar evento futuro","OK"))))))))))</f>
        <v/>
      </c>
    </row>
    <row r="4320" spans="12:15">
      <c r="L4320" s="5">
        <f>IF(OR(A4320="",B4320=""),"",B4320-WEEKDAY(B4320,2)+1)</f>
        <v/>
      </c>
      <c r="M4320" s="5">
        <f>IF(L4320="","",L4320+6)</f>
        <v/>
      </c>
      <c r="N4320" s="6">
        <f>IF(OR(A4320="",B4320=""),"",DATE(YEAR(B4320),MONTH(B4320),1))</f>
        <v/>
      </c>
      <c r="O4320" s="7">
        <f>IF(COUNTA(A4320:K4320)=0,"",IF(OR(A4320="",B4320=""),"Preencher CPF e entrada",IF(COUNTIFS($A$12:$A$5011,A4320,$B$12:$B$5011,B4320)&gt;1,"CPF + dia duplicado",IF(OR(AND(G4320&lt;&gt;"",G4320&lt;&gt;0,G4320&lt;&gt;1),AND(H4320&lt;&gt;"",H4320&lt;&gt;0,H4320&lt;&gt;1)),"Flags devem ser 0 ou 1",IF(AND(H4320=1,LEN(TRIM(I4320))=0),"Preencher nome do indicante",IF(AND(H4320&lt;&gt;1,I4320&lt;&gt;""),"Nome sem indicação interna",IF(AND(G4320=1,F4320=""),"Fechamento sem conversa",IF(OR(AND(E4320&lt;&gt;"",E4320&lt;B4320),AND(F4320&lt;&gt;"",F4320&lt;B4320)),"Evento anterior à entrada",IF(AND(F4320&lt;&gt;"",E4320=""),"Conversa sem agendamento",IF(OR(E4320&gt;TODAY(),F4320&gt;TODAY()),"Verificar evento futuro","OK"))))))))))</f>
        <v/>
      </c>
    </row>
    <row r="4321" spans="12:15">
      <c r="L4321" s="5">
        <f>IF(OR(A4321="",B4321=""),"",B4321-WEEKDAY(B4321,2)+1)</f>
        <v/>
      </c>
      <c r="M4321" s="5">
        <f>IF(L4321="","",L4321+6)</f>
        <v/>
      </c>
      <c r="N4321" s="6">
        <f>IF(OR(A4321="",B4321=""),"",DATE(YEAR(B4321),MONTH(B4321),1))</f>
        <v/>
      </c>
      <c r="O4321" s="7">
        <f>IF(COUNTA(A4321:K4321)=0,"",IF(OR(A4321="",B4321=""),"Preencher CPF e entrada",IF(COUNTIFS($A$12:$A$5011,A4321,$B$12:$B$5011,B4321)&gt;1,"CPF + dia duplicado",IF(OR(AND(G4321&lt;&gt;"",G4321&lt;&gt;0,G4321&lt;&gt;1),AND(H4321&lt;&gt;"",H4321&lt;&gt;0,H4321&lt;&gt;1)),"Flags devem ser 0 ou 1",IF(AND(H4321=1,LEN(TRIM(I4321))=0),"Preencher nome do indicante",IF(AND(H4321&lt;&gt;1,I4321&lt;&gt;""),"Nome sem indicação interna",IF(AND(G4321=1,F4321=""),"Fechamento sem conversa",IF(OR(AND(E4321&lt;&gt;"",E4321&lt;B4321),AND(F4321&lt;&gt;"",F4321&lt;B4321)),"Evento anterior à entrada",IF(AND(F4321&lt;&gt;"",E4321=""),"Conversa sem agendamento",IF(OR(E4321&gt;TODAY(),F4321&gt;TODAY()),"Verificar evento futuro","OK"))))))))))</f>
        <v/>
      </c>
    </row>
    <row r="4322" spans="12:15">
      <c r="L4322" s="5">
        <f>IF(OR(A4322="",B4322=""),"",B4322-WEEKDAY(B4322,2)+1)</f>
        <v/>
      </c>
      <c r="M4322" s="5">
        <f>IF(L4322="","",L4322+6)</f>
        <v/>
      </c>
      <c r="N4322" s="6">
        <f>IF(OR(A4322="",B4322=""),"",DATE(YEAR(B4322),MONTH(B4322),1))</f>
        <v/>
      </c>
      <c r="O4322" s="7">
        <f>IF(COUNTA(A4322:K4322)=0,"",IF(OR(A4322="",B4322=""),"Preencher CPF e entrada",IF(COUNTIFS($A$12:$A$5011,A4322,$B$12:$B$5011,B4322)&gt;1,"CPF + dia duplicado",IF(OR(AND(G4322&lt;&gt;"",G4322&lt;&gt;0,G4322&lt;&gt;1),AND(H4322&lt;&gt;"",H4322&lt;&gt;0,H4322&lt;&gt;1)),"Flags devem ser 0 ou 1",IF(AND(H4322=1,LEN(TRIM(I4322))=0),"Preencher nome do indicante",IF(AND(H4322&lt;&gt;1,I4322&lt;&gt;""),"Nome sem indicação interna",IF(AND(G4322=1,F4322=""),"Fechamento sem conversa",IF(OR(AND(E4322&lt;&gt;"",E4322&lt;B4322),AND(F4322&lt;&gt;"",F4322&lt;B4322)),"Evento anterior à entrada",IF(AND(F4322&lt;&gt;"",E4322=""),"Conversa sem agendamento",IF(OR(E4322&gt;TODAY(),F4322&gt;TODAY()),"Verificar evento futuro","OK"))))))))))</f>
        <v/>
      </c>
    </row>
    <row r="4323" spans="12:15">
      <c r="L4323" s="5">
        <f>IF(OR(A4323="",B4323=""),"",B4323-WEEKDAY(B4323,2)+1)</f>
        <v/>
      </c>
      <c r="M4323" s="5">
        <f>IF(L4323="","",L4323+6)</f>
        <v/>
      </c>
      <c r="N4323" s="6">
        <f>IF(OR(A4323="",B4323=""),"",DATE(YEAR(B4323),MONTH(B4323),1))</f>
        <v/>
      </c>
      <c r="O4323" s="7">
        <f>IF(COUNTA(A4323:K4323)=0,"",IF(OR(A4323="",B4323=""),"Preencher CPF e entrada",IF(COUNTIFS($A$12:$A$5011,A4323,$B$12:$B$5011,B4323)&gt;1,"CPF + dia duplicado",IF(OR(AND(G4323&lt;&gt;"",G4323&lt;&gt;0,G4323&lt;&gt;1),AND(H4323&lt;&gt;"",H4323&lt;&gt;0,H4323&lt;&gt;1)),"Flags devem ser 0 ou 1",IF(AND(H4323=1,LEN(TRIM(I4323))=0),"Preencher nome do indicante",IF(AND(H4323&lt;&gt;1,I4323&lt;&gt;""),"Nome sem indicação interna",IF(AND(G4323=1,F4323=""),"Fechamento sem conversa",IF(OR(AND(E4323&lt;&gt;"",E4323&lt;B4323),AND(F4323&lt;&gt;"",F4323&lt;B4323)),"Evento anterior à entrada",IF(AND(F4323&lt;&gt;"",E4323=""),"Conversa sem agendamento",IF(OR(E4323&gt;TODAY(),F4323&gt;TODAY()),"Verificar evento futuro","OK"))))))))))</f>
        <v/>
      </c>
    </row>
    <row r="4324" spans="12:15">
      <c r="L4324" s="5">
        <f>IF(OR(A4324="",B4324=""),"",B4324-WEEKDAY(B4324,2)+1)</f>
        <v/>
      </c>
      <c r="M4324" s="5">
        <f>IF(L4324="","",L4324+6)</f>
        <v/>
      </c>
      <c r="N4324" s="6">
        <f>IF(OR(A4324="",B4324=""),"",DATE(YEAR(B4324),MONTH(B4324),1))</f>
        <v/>
      </c>
      <c r="O4324" s="7">
        <f>IF(COUNTA(A4324:K4324)=0,"",IF(OR(A4324="",B4324=""),"Preencher CPF e entrada",IF(COUNTIFS($A$12:$A$5011,A4324,$B$12:$B$5011,B4324)&gt;1,"CPF + dia duplicado",IF(OR(AND(G4324&lt;&gt;"",G4324&lt;&gt;0,G4324&lt;&gt;1),AND(H4324&lt;&gt;"",H4324&lt;&gt;0,H4324&lt;&gt;1)),"Flags devem ser 0 ou 1",IF(AND(H4324=1,LEN(TRIM(I4324))=0),"Preencher nome do indicante",IF(AND(H4324&lt;&gt;1,I4324&lt;&gt;""),"Nome sem indicação interna",IF(AND(G4324=1,F4324=""),"Fechamento sem conversa",IF(OR(AND(E4324&lt;&gt;"",E4324&lt;B4324),AND(F4324&lt;&gt;"",F4324&lt;B4324)),"Evento anterior à entrada",IF(AND(F4324&lt;&gt;"",E4324=""),"Conversa sem agendamento",IF(OR(E4324&gt;TODAY(),F4324&gt;TODAY()),"Verificar evento futuro","OK"))))))))))</f>
        <v/>
      </c>
    </row>
    <row r="4325" spans="12:15">
      <c r="L4325" s="5">
        <f>IF(OR(A4325="",B4325=""),"",B4325-WEEKDAY(B4325,2)+1)</f>
        <v/>
      </c>
      <c r="M4325" s="5">
        <f>IF(L4325="","",L4325+6)</f>
        <v/>
      </c>
      <c r="N4325" s="6">
        <f>IF(OR(A4325="",B4325=""),"",DATE(YEAR(B4325),MONTH(B4325),1))</f>
        <v/>
      </c>
      <c r="O4325" s="7">
        <f>IF(COUNTA(A4325:K4325)=0,"",IF(OR(A4325="",B4325=""),"Preencher CPF e entrada",IF(COUNTIFS($A$12:$A$5011,A4325,$B$12:$B$5011,B4325)&gt;1,"CPF + dia duplicado",IF(OR(AND(G4325&lt;&gt;"",G4325&lt;&gt;0,G4325&lt;&gt;1),AND(H4325&lt;&gt;"",H4325&lt;&gt;0,H4325&lt;&gt;1)),"Flags devem ser 0 ou 1",IF(AND(H4325=1,LEN(TRIM(I4325))=0),"Preencher nome do indicante",IF(AND(H4325&lt;&gt;1,I4325&lt;&gt;""),"Nome sem indicação interna",IF(AND(G4325=1,F4325=""),"Fechamento sem conversa",IF(OR(AND(E4325&lt;&gt;"",E4325&lt;B4325),AND(F4325&lt;&gt;"",F4325&lt;B4325)),"Evento anterior à entrada",IF(AND(F4325&lt;&gt;"",E4325=""),"Conversa sem agendamento",IF(OR(E4325&gt;TODAY(),F4325&gt;TODAY()),"Verificar evento futuro","OK"))))))))))</f>
        <v/>
      </c>
    </row>
    <row r="4326" spans="12:15">
      <c r="L4326" s="5">
        <f>IF(OR(A4326="",B4326=""),"",B4326-WEEKDAY(B4326,2)+1)</f>
        <v/>
      </c>
      <c r="M4326" s="5">
        <f>IF(L4326="","",L4326+6)</f>
        <v/>
      </c>
      <c r="N4326" s="6">
        <f>IF(OR(A4326="",B4326=""),"",DATE(YEAR(B4326),MONTH(B4326),1))</f>
        <v/>
      </c>
      <c r="O4326" s="7">
        <f>IF(COUNTA(A4326:K4326)=0,"",IF(OR(A4326="",B4326=""),"Preencher CPF e entrada",IF(COUNTIFS($A$12:$A$5011,A4326,$B$12:$B$5011,B4326)&gt;1,"CPF + dia duplicado",IF(OR(AND(G4326&lt;&gt;"",G4326&lt;&gt;0,G4326&lt;&gt;1),AND(H4326&lt;&gt;"",H4326&lt;&gt;0,H4326&lt;&gt;1)),"Flags devem ser 0 ou 1",IF(AND(H4326=1,LEN(TRIM(I4326))=0),"Preencher nome do indicante",IF(AND(H4326&lt;&gt;1,I4326&lt;&gt;""),"Nome sem indicação interna",IF(AND(G4326=1,F4326=""),"Fechamento sem conversa",IF(OR(AND(E4326&lt;&gt;"",E4326&lt;B4326),AND(F4326&lt;&gt;"",F4326&lt;B4326)),"Evento anterior à entrada",IF(AND(F4326&lt;&gt;"",E4326=""),"Conversa sem agendamento",IF(OR(E4326&gt;TODAY(),F4326&gt;TODAY()),"Verificar evento futuro","OK"))))))))))</f>
        <v/>
      </c>
    </row>
    <row r="4327" spans="12:15">
      <c r="L4327" s="5">
        <f>IF(OR(A4327="",B4327=""),"",B4327-WEEKDAY(B4327,2)+1)</f>
        <v/>
      </c>
      <c r="M4327" s="5">
        <f>IF(L4327="","",L4327+6)</f>
        <v/>
      </c>
      <c r="N4327" s="6">
        <f>IF(OR(A4327="",B4327=""),"",DATE(YEAR(B4327),MONTH(B4327),1))</f>
        <v/>
      </c>
      <c r="O4327" s="7">
        <f>IF(COUNTA(A4327:K4327)=0,"",IF(OR(A4327="",B4327=""),"Preencher CPF e entrada",IF(COUNTIFS($A$12:$A$5011,A4327,$B$12:$B$5011,B4327)&gt;1,"CPF + dia duplicado",IF(OR(AND(G4327&lt;&gt;"",G4327&lt;&gt;0,G4327&lt;&gt;1),AND(H4327&lt;&gt;"",H4327&lt;&gt;0,H4327&lt;&gt;1)),"Flags devem ser 0 ou 1",IF(AND(H4327=1,LEN(TRIM(I4327))=0),"Preencher nome do indicante",IF(AND(H4327&lt;&gt;1,I4327&lt;&gt;""),"Nome sem indicação interna",IF(AND(G4327=1,F4327=""),"Fechamento sem conversa",IF(OR(AND(E4327&lt;&gt;"",E4327&lt;B4327),AND(F4327&lt;&gt;"",F4327&lt;B4327)),"Evento anterior à entrada",IF(AND(F4327&lt;&gt;"",E4327=""),"Conversa sem agendamento",IF(OR(E4327&gt;TODAY(),F4327&gt;TODAY()),"Verificar evento futuro","OK"))))))))))</f>
        <v/>
      </c>
    </row>
    <row r="4328" spans="12:15">
      <c r="L4328" s="5">
        <f>IF(OR(A4328="",B4328=""),"",B4328-WEEKDAY(B4328,2)+1)</f>
        <v/>
      </c>
      <c r="M4328" s="5">
        <f>IF(L4328="","",L4328+6)</f>
        <v/>
      </c>
      <c r="N4328" s="6">
        <f>IF(OR(A4328="",B4328=""),"",DATE(YEAR(B4328),MONTH(B4328),1))</f>
        <v/>
      </c>
      <c r="O4328" s="7">
        <f>IF(COUNTA(A4328:K4328)=0,"",IF(OR(A4328="",B4328=""),"Preencher CPF e entrada",IF(COUNTIFS($A$12:$A$5011,A4328,$B$12:$B$5011,B4328)&gt;1,"CPF + dia duplicado",IF(OR(AND(G4328&lt;&gt;"",G4328&lt;&gt;0,G4328&lt;&gt;1),AND(H4328&lt;&gt;"",H4328&lt;&gt;0,H4328&lt;&gt;1)),"Flags devem ser 0 ou 1",IF(AND(H4328=1,LEN(TRIM(I4328))=0),"Preencher nome do indicante",IF(AND(H4328&lt;&gt;1,I4328&lt;&gt;""),"Nome sem indicação interna",IF(AND(G4328=1,F4328=""),"Fechamento sem conversa",IF(OR(AND(E4328&lt;&gt;"",E4328&lt;B4328),AND(F4328&lt;&gt;"",F4328&lt;B4328)),"Evento anterior à entrada",IF(AND(F4328&lt;&gt;"",E4328=""),"Conversa sem agendamento",IF(OR(E4328&gt;TODAY(),F4328&gt;TODAY()),"Verificar evento futuro","OK"))))))))))</f>
        <v/>
      </c>
    </row>
    <row r="4329" spans="12:15">
      <c r="L4329" s="5">
        <f>IF(OR(A4329="",B4329=""),"",B4329-WEEKDAY(B4329,2)+1)</f>
        <v/>
      </c>
      <c r="M4329" s="5">
        <f>IF(L4329="","",L4329+6)</f>
        <v/>
      </c>
      <c r="N4329" s="6">
        <f>IF(OR(A4329="",B4329=""),"",DATE(YEAR(B4329),MONTH(B4329),1))</f>
        <v/>
      </c>
      <c r="O4329" s="7">
        <f>IF(COUNTA(A4329:K4329)=0,"",IF(OR(A4329="",B4329=""),"Preencher CPF e entrada",IF(COUNTIFS($A$12:$A$5011,A4329,$B$12:$B$5011,B4329)&gt;1,"CPF + dia duplicado",IF(OR(AND(G4329&lt;&gt;"",G4329&lt;&gt;0,G4329&lt;&gt;1),AND(H4329&lt;&gt;"",H4329&lt;&gt;0,H4329&lt;&gt;1)),"Flags devem ser 0 ou 1",IF(AND(H4329=1,LEN(TRIM(I4329))=0),"Preencher nome do indicante",IF(AND(H4329&lt;&gt;1,I4329&lt;&gt;""),"Nome sem indicação interna",IF(AND(G4329=1,F4329=""),"Fechamento sem conversa",IF(OR(AND(E4329&lt;&gt;"",E4329&lt;B4329),AND(F4329&lt;&gt;"",F4329&lt;B4329)),"Evento anterior à entrada",IF(AND(F4329&lt;&gt;"",E4329=""),"Conversa sem agendamento",IF(OR(E4329&gt;TODAY(),F4329&gt;TODAY()),"Verificar evento futuro","OK"))))))))))</f>
        <v/>
      </c>
    </row>
    <row r="4330" spans="12:15">
      <c r="L4330" s="5">
        <f>IF(OR(A4330="",B4330=""),"",B4330-WEEKDAY(B4330,2)+1)</f>
        <v/>
      </c>
      <c r="M4330" s="5">
        <f>IF(L4330="","",L4330+6)</f>
        <v/>
      </c>
      <c r="N4330" s="6">
        <f>IF(OR(A4330="",B4330=""),"",DATE(YEAR(B4330),MONTH(B4330),1))</f>
        <v/>
      </c>
      <c r="O4330" s="7">
        <f>IF(COUNTA(A4330:K4330)=0,"",IF(OR(A4330="",B4330=""),"Preencher CPF e entrada",IF(COUNTIFS($A$12:$A$5011,A4330,$B$12:$B$5011,B4330)&gt;1,"CPF + dia duplicado",IF(OR(AND(G4330&lt;&gt;"",G4330&lt;&gt;0,G4330&lt;&gt;1),AND(H4330&lt;&gt;"",H4330&lt;&gt;0,H4330&lt;&gt;1)),"Flags devem ser 0 ou 1",IF(AND(H4330=1,LEN(TRIM(I4330))=0),"Preencher nome do indicante",IF(AND(H4330&lt;&gt;1,I4330&lt;&gt;""),"Nome sem indicação interna",IF(AND(G4330=1,F4330=""),"Fechamento sem conversa",IF(OR(AND(E4330&lt;&gt;"",E4330&lt;B4330),AND(F4330&lt;&gt;"",F4330&lt;B4330)),"Evento anterior à entrada",IF(AND(F4330&lt;&gt;"",E4330=""),"Conversa sem agendamento",IF(OR(E4330&gt;TODAY(),F4330&gt;TODAY()),"Verificar evento futuro","OK"))))))))))</f>
        <v/>
      </c>
    </row>
    <row r="4331" spans="12:15">
      <c r="L4331" s="5">
        <f>IF(OR(A4331="",B4331=""),"",B4331-WEEKDAY(B4331,2)+1)</f>
        <v/>
      </c>
      <c r="M4331" s="5">
        <f>IF(L4331="","",L4331+6)</f>
        <v/>
      </c>
      <c r="N4331" s="6">
        <f>IF(OR(A4331="",B4331=""),"",DATE(YEAR(B4331),MONTH(B4331),1))</f>
        <v/>
      </c>
      <c r="O4331" s="7">
        <f>IF(COUNTA(A4331:K4331)=0,"",IF(OR(A4331="",B4331=""),"Preencher CPF e entrada",IF(COUNTIFS($A$12:$A$5011,A4331,$B$12:$B$5011,B4331)&gt;1,"CPF + dia duplicado",IF(OR(AND(G4331&lt;&gt;"",G4331&lt;&gt;0,G4331&lt;&gt;1),AND(H4331&lt;&gt;"",H4331&lt;&gt;0,H4331&lt;&gt;1)),"Flags devem ser 0 ou 1",IF(AND(H4331=1,LEN(TRIM(I4331))=0),"Preencher nome do indicante",IF(AND(H4331&lt;&gt;1,I4331&lt;&gt;""),"Nome sem indicação interna",IF(AND(G4331=1,F4331=""),"Fechamento sem conversa",IF(OR(AND(E4331&lt;&gt;"",E4331&lt;B4331),AND(F4331&lt;&gt;"",F4331&lt;B4331)),"Evento anterior à entrada",IF(AND(F4331&lt;&gt;"",E4331=""),"Conversa sem agendamento",IF(OR(E4331&gt;TODAY(),F4331&gt;TODAY()),"Verificar evento futuro","OK"))))))))))</f>
        <v/>
      </c>
    </row>
    <row r="4332" spans="12:15">
      <c r="L4332" s="5">
        <f>IF(OR(A4332="",B4332=""),"",B4332-WEEKDAY(B4332,2)+1)</f>
        <v/>
      </c>
      <c r="M4332" s="5">
        <f>IF(L4332="","",L4332+6)</f>
        <v/>
      </c>
      <c r="N4332" s="6">
        <f>IF(OR(A4332="",B4332=""),"",DATE(YEAR(B4332),MONTH(B4332),1))</f>
        <v/>
      </c>
      <c r="O4332" s="7">
        <f>IF(COUNTA(A4332:K4332)=0,"",IF(OR(A4332="",B4332=""),"Preencher CPF e entrada",IF(COUNTIFS($A$12:$A$5011,A4332,$B$12:$B$5011,B4332)&gt;1,"CPF + dia duplicado",IF(OR(AND(G4332&lt;&gt;"",G4332&lt;&gt;0,G4332&lt;&gt;1),AND(H4332&lt;&gt;"",H4332&lt;&gt;0,H4332&lt;&gt;1)),"Flags devem ser 0 ou 1",IF(AND(H4332=1,LEN(TRIM(I4332))=0),"Preencher nome do indicante",IF(AND(H4332&lt;&gt;1,I4332&lt;&gt;""),"Nome sem indicação interna",IF(AND(G4332=1,F4332=""),"Fechamento sem conversa",IF(OR(AND(E4332&lt;&gt;"",E4332&lt;B4332),AND(F4332&lt;&gt;"",F4332&lt;B4332)),"Evento anterior à entrada",IF(AND(F4332&lt;&gt;"",E4332=""),"Conversa sem agendamento",IF(OR(E4332&gt;TODAY(),F4332&gt;TODAY()),"Verificar evento futuro","OK"))))))))))</f>
        <v/>
      </c>
    </row>
    <row r="4333" spans="12:15">
      <c r="L4333" s="5">
        <f>IF(OR(A4333="",B4333=""),"",B4333-WEEKDAY(B4333,2)+1)</f>
        <v/>
      </c>
      <c r="M4333" s="5">
        <f>IF(L4333="","",L4333+6)</f>
        <v/>
      </c>
      <c r="N4333" s="6">
        <f>IF(OR(A4333="",B4333=""),"",DATE(YEAR(B4333),MONTH(B4333),1))</f>
        <v/>
      </c>
      <c r="O4333" s="7">
        <f>IF(COUNTA(A4333:K4333)=0,"",IF(OR(A4333="",B4333=""),"Preencher CPF e entrada",IF(COUNTIFS($A$12:$A$5011,A4333,$B$12:$B$5011,B4333)&gt;1,"CPF + dia duplicado",IF(OR(AND(G4333&lt;&gt;"",G4333&lt;&gt;0,G4333&lt;&gt;1),AND(H4333&lt;&gt;"",H4333&lt;&gt;0,H4333&lt;&gt;1)),"Flags devem ser 0 ou 1",IF(AND(H4333=1,LEN(TRIM(I4333))=0),"Preencher nome do indicante",IF(AND(H4333&lt;&gt;1,I4333&lt;&gt;""),"Nome sem indicação interna",IF(AND(G4333=1,F4333=""),"Fechamento sem conversa",IF(OR(AND(E4333&lt;&gt;"",E4333&lt;B4333),AND(F4333&lt;&gt;"",F4333&lt;B4333)),"Evento anterior à entrada",IF(AND(F4333&lt;&gt;"",E4333=""),"Conversa sem agendamento",IF(OR(E4333&gt;TODAY(),F4333&gt;TODAY()),"Verificar evento futuro","OK"))))))))))</f>
        <v/>
      </c>
    </row>
    <row r="4334" spans="12:15">
      <c r="L4334" s="5">
        <f>IF(OR(A4334="",B4334=""),"",B4334-WEEKDAY(B4334,2)+1)</f>
        <v/>
      </c>
      <c r="M4334" s="5">
        <f>IF(L4334="","",L4334+6)</f>
        <v/>
      </c>
      <c r="N4334" s="6">
        <f>IF(OR(A4334="",B4334=""),"",DATE(YEAR(B4334),MONTH(B4334),1))</f>
        <v/>
      </c>
      <c r="O4334" s="7">
        <f>IF(COUNTA(A4334:K4334)=0,"",IF(OR(A4334="",B4334=""),"Preencher CPF e entrada",IF(COUNTIFS($A$12:$A$5011,A4334,$B$12:$B$5011,B4334)&gt;1,"CPF + dia duplicado",IF(OR(AND(G4334&lt;&gt;"",G4334&lt;&gt;0,G4334&lt;&gt;1),AND(H4334&lt;&gt;"",H4334&lt;&gt;0,H4334&lt;&gt;1)),"Flags devem ser 0 ou 1",IF(AND(H4334=1,LEN(TRIM(I4334))=0),"Preencher nome do indicante",IF(AND(H4334&lt;&gt;1,I4334&lt;&gt;""),"Nome sem indicação interna",IF(AND(G4334=1,F4334=""),"Fechamento sem conversa",IF(OR(AND(E4334&lt;&gt;"",E4334&lt;B4334),AND(F4334&lt;&gt;"",F4334&lt;B4334)),"Evento anterior à entrada",IF(AND(F4334&lt;&gt;"",E4334=""),"Conversa sem agendamento",IF(OR(E4334&gt;TODAY(),F4334&gt;TODAY()),"Verificar evento futuro","OK"))))))))))</f>
        <v/>
      </c>
    </row>
    <row r="4335" spans="12:15">
      <c r="L4335" s="5">
        <f>IF(OR(A4335="",B4335=""),"",B4335-WEEKDAY(B4335,2)+1)</f>
        <v/>
      </c>
      <c r="M4335" s="5">
        <f>IF(L4335="","",L4335+6)</f>
        <v/>
      </c>
      <c r="N4335" s="6">
        <f>IF(OR(A4335="",B4335=""),"",DATE(YEAR(B4335),MONTH(B4335),1))</f>
        <v/>
      </c>
      <c r="O4335" s="7">
        <f>IF(COUNTA(A4335:K4335)=0,"",IF(OR(A4335="",B4335=""),"Preencher CPF e entrada",IF(COUNTIFS($A$12:$A$5011,A4335,$B$12:$B$5011,B4335)&gt;1,"CPF + dia duplicado",IF(OR(AND(G4335&lt;&gt;"",G4335&lt;&gt;0,G4335&lt;&gt;1),AND(H4335&lt;&gt;"",H4335&lt;&gt;0,H4335&lt;&gt;1)),"Flags devem ser 0 ou 1",IF(AND(H4335=1,LEN(TRIM(I4335))=0),"Preencher nome do indicante",IF(AND(H4335&lt;&gt;1,I4335&lt;&gt;""),"Nome sem indicação interna",IF(AND(G4335=1,F4335=""),"Fechamento sem conversa",IF(OR(AND(E4335&lt;&gt;"",E4335&lt;B4335),AND(F4335&lt;&gt;"",F4335&lt;B4335)),"Evento anterior à entrada",IF(AND(F4335&lt;&gt;"",E4335=""),"Conversa sem agendamento",IF(OR(E4335&gt;TODAY(),F4335&gt;TODAY()),"Verificar evento futuro","OK"))))))))))</f>
        <v/>
      </c>
    </row>
    <row r="4336" spans="12:15">
      <c r="L4336" s="5">
        <f>IF(OR(A4336="",B4336=""),"",B4336-WEEKDAY(B4336,2)+1)</f>
        <v/>
      </c>
      <c r="M4336" s="5">
        <f>IF(L4336="","",L4336+6)</f>
        <v/>
      </c>
      <c r="N4336" s="6">
        <f>IF(OR(A4336="",B4336=""),"",DATE(YEAR(B4336),MONTH(B4336),1))</f>
        <v/>
      </c>
      <c r="O4336" s="7">
        <f>IF(COUNTA(A4336:K4336)=0,"",IF(OR(A4336="",B4336=""),"Preencher CPF e entrada",IF(COUNTIFS($A$12:$A$5011,A4336,$B$12:$B$5011,B4336)&gt;1,"CPF + dia duplicado",IF(OR(AND(G4336&lt;&gt;"",G4336&lt;&gt;0,G4336&lt;&gt;1),AND(H4336&lt;&gt;"",H4336&lt;&gt;0,H4336&lt;&gt;1)),"Flags devem ser 0 ou 1",IF(AND(H4336=1,LEN(TRIM(I4336))=0),"Preencher nome do indicante",IF(AND(H4336&lt;&gt;1,I4336&lt;&gt;""),"Nome sem indicação interna",IF(AND(G4336=1,F4336=""),"Fechamento sem conversa",IF(OR(AND(E4336&lt;&gt;"",E4336&lt;B4336),AND(F4336&lt;&gt;"",F4336&lt;B4336)),"Evento anterior à entrada",IF(AND(F4336&lt;&gt;"",E4336=""),"Conversa sem agendamento",IF(OR(E4336&gt;TODAY(),F4336&gt;TODAY()),"Verificar evento futuro","OK"))))))))))</f>
        <v/>
      </c>
    </row>
    <row r="4337" spans="12:15">
      <c r="L4337" s="5">
        <f>IF(OR(A4337="",B4337=""),"",B4337-WEEKDAY(B4337,2)+1)</f>
        <v/>
      </c>
      <c r="M4337" s="5">
        <f>IF(L4337="","",L4337+6)</f>
        <v/>
      </c>
      <c r="N4337" s="6">
        <f>IF(OR(A4337="",B4337=""),"",DATE(YEAR(B4337),MONTH(B4337),1))</f>
        <v/>
      </c>
      <c r="O4337" s="7">
        <f>IF(COUNTA(A4337:K4337)=0,"",IF(OR(A4337="",B4337=""),"Preencher CPF e entrada",IF(COUNTIFS($A$12:$A$5011,A4337,$B$12:$B$5011,B4337)&gt;1,"CPF + dia duplicado",IF(OR(AND(G4337&lt;&gt;"",G4337&lt;&gt;0,G4337&lt;&gt;1),AND(H4337&lt;&gt;"",H4337&lt;&gt;0,H4337&lt;&gt;1)),"Flags devem ser 0 ou 1",IF(AND(H4337=1,LEN(TRIM(I4337))=0),"Preencher nome do indicante",IF(AND(H4337&lt;&gt;1,I4337&lt;&gt;""),"Nome sem indicação interna",IF(AND(G4337=1,F4337=""),"Fechamento sem conversa",IF(OR(AND(E4337&lt;&gt;"",E4337&lt;B4337),AND(F4337&lt;&gt;"",F4337&lt;B4337)),"Evento anterior à entrada",IF(AND(F4337&lt;&gt;"",E4337=""),"Conversa sem agendamento",IF(OR(E4337&gt;TODAY(),F4337&gt;TODAY()),"Verificar evento futuro","OK"))))))))))</f>
        <v/>
      </c>
    </row>
    <row r="4338" spans="12:15">
      <c r="L4338" s="5">
        <f>IF(OR(A4338="",B4338=""),"",B4338-WEEKDAY(B4338,2)+1)</f>
        <v/>
      </c>
      <c r="M4338" s="5">
        <f>IF(L4338="","",L4338+6)</f>
        <v/>
      </c>
      <c r="N4338" s="6">
        <f>IF(OR(A4338="",B4338=""),"",DATE(YEAR(B4338),MONTH(B4338),1))</f>
        <v/>
      </c>
      <c r="O4338" s="7">
        <f>IF(COUNTA(A4338:K4338)=0,"",IF(OR(A4338="",B4338=""),"Preencher CPF e entrada",IF(COUNTIFS($A$12:$A$5011,A4338,$B$12:$B$5011,B4338)&gt;1,"CPF + dia duplicado",IF(OR(AND(G4338&lt;&gt;"",G4338&lt;&gt;0,G4338&lt;&gt;1),AND(H4338&lt;&gt;"",H4338&lt;&gt;0,H4338&lt;&gt;1)),"Flags devem ser 0 ou 1",IF(AND(H4338=1,LEN(TRIM(I4338))=0),"Preencher nome do indicante",IF(AND(H4338&lt;&gt;1,I4338&lt;&gt;""),"Nome sem indicação interna",IF(AND(G4338=1,F4338=""),"Fechamento sem conversa",IF(OR(AND(E4338&lt;&gt;"",E4338&lt;B4338),AND(F4338&lt;&gt;"",F4338&lt;B4338)),"Evento anterior à entrada",IF(AND(F4338&lt;&gt;"",E4338=""),"Conversa sem agendamento",IF(OR(E4338&gt;TODAY(),F4338&gt;TODAY()),"Verificar evento futuro","OK"))))))))))</f>
        <v/>
      </c>
    </row>
    <row r="4339" spans="12:15">
      <c r="L4339" s="5">
        <f>IF(OR(A4339="",B4339=""),"",B4339-WEEKDAY(B4339,2)+1)</f>
        <v/>
      </c>
      <c r="M4339" s="5">
        <f>IF(L4339="","",L4339+6)</f>
        <v/>
      </c>
      <c r="N4339" s="6">
        <f>IF(OR(A4339="",B4339=""),"",DATE(YEAR(B4339),MONTH(B4339),1))</f>
        <v/>
      </c>
      <c r="O4339" s="7">
        <f>IF(COUNTA(A4339:K4339)=0,"",IF(OR(A4339="",B4339=""),"Preencher CPF e entrada",IF(COUNTIFS($A$12:$A$5011,A4339,$B$12:$B$5011,B4339)&gt;1,"CPF + dia duplicado",IF(OR(AND(G4339&lt;&gt;"",G4339&lt;&gt;0,G4339&lt;&gt;1),AND(H4339&lt;&gt;"",H4339&lt;&gt;0,H4339&lt;&gt;1)),"Flags devem ser 0 ou 1",IF(AND(H4339=1,LEN(TRIM(I4339))=0),"Preencher nome do indicante",IF(AND(H4339&lt;&gt;1,I4339&lt;&gt;""),"Nome sem indicação interna",IF(AND(G4339=1,F4339=""),"Fechamento sem conversa",IF(OR(AND(E4339&lt;&gt;"",E4339&lt;B4339),AND(F4339&lt;&gt;"",F4339&lt;B4339)),"Evento anterior à entrada",IF(AND(F4339&lt;&gt;"",E4339=""),"Conversa sem agendamento",IF(OR(E4339&gt;TODAY(),F4339&gt;TODAY()),"Verificar evento futuro","OK"))))))))))</f>
        <v/>
      </c>
    </row>
    <row r="4340" spans="12:15">
      <c r="L4340" s="5">
        <f>IF(OR(A4340="",B4340=""),"",B4340-WEEKDAY(B4340,2)+1)</f>
        <v/>
      </c>
      <c r="M4340" s="5">
        <f>IF(L4340="","",L4340+6)</f>
        <v/>
      </c>
      <c r="N4340" s="6">
        <f>IF(OR(A4340="",B4340=""),"",DATE(YEAR(B4340),MONTH(B4340),1))</f>
        <v/>
      </c>
      <c r="O4340" s="7">
        <f>IF(COUNTA(A4340:K4340)=0,"",IF(OR(A4340="",B4340=""),"Preencher CPF e entrada",IF(COUNTIFS($A$12:$A$5011,A4340,$B$12:$B$5011,B4340)&gt;1,"CPF + dia duplicado",IF(OR(AND(G4340&lt;&gt;"",G4340&lt;&gt;0,G4340&lt;&gt;1),AND(H4340&lt;&gt;"",H4340&lt;&gt;0,H4340&lt;&gt;1)),"Flags devem ser 0 ou 1",IF(AND(H4340=1,LEN(TRIM(I4340))=0),"Preencher nome do indicante",IF(AND(H4340&lt;&gt;1,I4340&lt;&gt;""),"Nome sem indicação interna",IF(AND(G4340=1,F4340=""),"Fechamento sem conversa",IF(OR(AND(E4340&lt;&gt;"",E4340&lt;B4340),AND(F4340&lt;&gt;"",F4340&lt;B4340)),"Evento anterior à entrada",IF(AND(F4340&lt;&gt;"",E4340=""),"Conversa sem agendamento",IF(OR(E4340&gt;TODAY(),F4340&gt;TODAY()),"Verificar evento futuro","OK"))))))))))</f>
        <v/>
      </c>
    </row>
    <row r="4341" spans="12:15">
      <c r="L4341" s="5">
        <f>IF(OR(A4341="",B4341=""),"",B4341-WEEKDAY(B4341,2)+1)</f>
        <v/>
      </c>
      <c r="M4341" s="5">
        <f>IF(L4341="","",L4341+6)</f>
        <v/>
      </c>
      <c r="N4341" s="6">
        <f>IF(OR(A4341="",B4341=""),"",DATE(YEAR(B4341),MONTH(B4341),1))</f>
        <v/>
      </c>
      <c r="O4341" s="7">
        <f>IF(COUNTA(A4341:K4341)=0,"",IF(OR(A4341="",B4341=""),"Preencher CPF e entrada",IF(COUNTIFS($A$12:$A$5011,A4341,$B$12:$B$5011,B4341)&gt;1,"CPF + dia duplicado",IF(OR(AND(G4341&lt;&gt;"",G4341&lt;&gt;0,G4341&lt;&gt;1),AND(H4341&lt;&gt;"",H4341&lt;&gt;0,H4341&lt;&gt;1)),"Flags devem ser 0 ou 1",IF(AND(H4341=1,LEN(TRIM(I4341))=0),"Preencher nome do indicante",IF(AND(H4341&lt;&gt;1,I4341&lt;&gt;""),"Nome sem indicação interna",IF(AND(G4341=1,F4341=""),"Fechamento sem conversa",IF(OR(AND(E4341&lt;&gt;"",E4341&lt;B4341),AND(F4341&lt;&gt;"",F4341&lt;B4341)),"Evento anterior à entrada",IF(AND(F4341&lt;&gt;"",E4341=""),"Conversa sem agendamento",IF(OR(E4341&gt;TODAY(),F4341&gt;TODAY()),"Verificar evento futuro","OK"))))))))))</f>
        <v/>
      </c>
    </row>
    <row r="4342" spans="12:15">
      <c r="L4342" s="5">
        <f>IF(OR(A4342="",B4342=""),"",B4342-WEEKDAY(B4342,2)+1)</f>
        <v/>
      </c>
      <c r="M4342" s="5">
        <f>IF(L4342="","",L4342+6)</f>
        <v/>
      </c>
      <c r="N4342" s="6">
        <f>IF(OR(A4342="",B4342=""),"",DATE(YEAR(B4342),MONTH(B4342),1))</f>
        <v/>
      </c>
      <c r="O4342" s="7">
        <f>IF(COUNTA(A4342:K4342)=0,"",IF(OR(A4342="",B4342=""),"Preencher CPF e entrada",IF(COUNTIFS($A$12:$A$5011,A4342,$B$12:$B$5011,B4342)&gt;1,"CPF + dia duplicado",IF(OR(AND(G4342&lt;&gt;"",G4342&lt;&gt;0,G4342&lt;&gt;1),AND(H4342&lt;&gt;"",H4342&lt;&gt;0,H4342&lt;&gt;1)),"Flags devem ser 0 ou 1",IF(AND(H4342=1,LEN(TRIM(I4342))=0),"Preencher nome do indicante",IF(AND(H4342&lt;&gt;1,I4342&lt;&gt;""),"Nome sem indicação interna",IF(AND(G4342=1,F4342=""),"Fechamento sem conversa",IF(OR(AND(E4342&lt;&gt;"",E4342&lt;B4342),AND(F4342&lt;&gt;"",F4342&lt;B4342)),"Evento anterior à entrada",IF(AND(F4342&lt;&gt;"",E4342=""),"Conversa sem agendamento",IF(OR(E4342&gt;TODAY(),F4342&gt;TODAY()),"Verificar evento futuro","OK"))))))))))</f>
        <v/>
      </c>
    </row>
    <row r="4343" spans="12:15">
      <c r="L4343" s="5">
        <f>IF(OR(A4343="",B4343=""),"",B4343-WEEKDAY(B4343,2)+1)</f>
        <v/>
      </c>
      <c r="M4343" s="5">
        <f>IF(L4343="","",L4343+6)</f>
        <v/>
      </c>
      <c r="N4343" s="6">
        <f>IF(OR(A4343="",B4343=""),"",DATE(YEAR(B4343),MONTH(B4343),1))</f>
        <v/>
      </c>
      <c r="O4343" s="7">
        <f>IF(COUNTA(A4343:K4343)=0,"",IF(OR(A4343="",B4343=""),"Preencher CPF e entrada",IF(COUNTIFS($A$12:$A$5011,A4343,$B$12:$B$5011,B4343)&gt;1,"CPF + dia duplicado",IF(OR(AND(G4343&lt;&gt;"",G4343&lt;&gt;0,G4343&lt;&gt;1),AND(H4343&lt;&gt;"",H4343&lt;&gt;0,H4343&lt;&gt;1)),"Flags devem ser 0 ou 1",IF(AND(H4343=1,LEN(TRIM(I4343))=0),"Preencher nome do indicante",IF(AND(H4343&lt;&gt;1,I4343&lt;&gt;""),"Nome sem indicação interna",IF(AND(G4343=1,F4343=""),"Fechamento sem conversa",IF(OR(AND(E4343&lt;&gt;"",E4343&lt;B4343),AND(F4343&lt;&gt;"",F4343&lt;B4343)),"Evento anterior à entrada",IF(AND(F4343&lt;&gt;"",E4343=""),"Conversa sem agendamento",IF(OR(E4343&gt;TODAY(),F4343&gt;TODAY()),"Verificar evento futuro","OK"))))))))))</f>
        <v/>
      </c>
    </row>
    <row r="4344" spans="12:15">
      <c r="L4344" s="5">
        <f>IF(OR(A4344="",B4344=""),"",B4344-WEEKDAY(B4344,2)+1)</f>
        <v/>
      </c>
      <c r="M4344" s="5">
        <f>IF(L4344="","",L4344+6)</f>
        <v/>
      </c>
      <c r="N4344" s="6">
        <f>IF(OR(A4344="",B4344=""),"",DATE(YEAR(B4344),MONTH(B4344),1))</f>
        <v/>
      </c>
      <c r="O4344" s="7">
        <f>IF(COUNTA(A4344:K4344)=0,"",IF(OR(A4344="",B4344=""),"Preencher CPF e entrada",IF(COUNTIFS($A$12:$A$5011,A4344,$B$12:$B$5011,B4344)&gt;1,"CPF + dia duplicado",IF(OR(AND(G4344&lt;&gt;"",G4344&lt;&gt;0,G4344&lt;&gt;1),AND(H4344&lt;&gt;"",H4344&lt;&gt;0,H4344&lt;&gt;1)),"Flags devem ser 0 ou 1",IF(AND(H4344=1,LEN(TRIM(I4344))=0),"Preencher nome do indicante",IF(AND(H4344&lt;&gt;1,I4344&lt;&gt;""),"Nome sem indicação interna",IF(AND(G4344=1,F4344=""),"Fechamento sem conversa",IF(OR(AND(E4344&lt;&gt;"",E4344&lt;B4344),AND(F4344&lt;&gt;"",F4344&lt;B4344)),"Evento anterior à entrada",IF(AND(F4344&lt;&gt;"",E4344=""),"Conversa sem agendamento",IF(OR(E4344&gt;TODAY(),F4344&gt;TODAY()),"Verificar evento futuro","OK"))))))))))</f>
        <v/>
      </c>
    </row>
    <row r="4345" spans="12:15">
      <c r="L4345" s="5">
        <f>IF(OR(A4345="",B4345=""),"",B4345-WEEKDAY(B4345,2)+1)</f>
        <v/>
      </c>
      <c r="M4345" s="5">
        <f>IF(L4345="","",L4345+6)</f>
        <v/>
      </c>
      <c r="N4345" s="6">
        <f>IF(OR(A4345="",B4345=""),"",DATE(YEAR(B4345),MONTH(B4345),1))</f>
        <v/>
      </c>
      <c r="O4345" s="7">
        <f>IF(COUNTA(A4345:K4345)=0,"",IF(OR(A4345="",B4345=""),"Preencher CPF e entrada",IF(COUNTIFS($A$12:$A$5011,A4345,$B$12:$B$5011,B4345)&gt;1,"CPF + dia duplicado",IF(OR(AND(G4345&lt;&gt;"",G4345&lt;&gt;0,G4345&lt;&gt;1),AND(H4345&lt;&gt;"",H4345&lt;&gt;0,H4345&lt;&gt;1)),"Flags devem ser 0 ou 1",IF(AND(H4345=1,LEN(TRIM(I4345))=0),"Preencher nome do indicante",IF(AND(H4345&lt;&gt;1,I4345&lt;&gt;""),"Nome sem indicação interna",IF(AND(G4345=1,F4345=""),"Fechamento sem conversa",IF(OR(AND(E4345&lt;&gt;"",E4345&lt;B4345),AND(F4345&lt;&gt;"",F4345&lt;B4345)),"Evento anterior à entrada",IF(AND(F4345&lt;&gt;"",E4345=""),"Conversa sem agendamento",IF(OR(E4345&gt;TODAY(),F4345&gt;TODAY()),"Verificar evento futuro","OK"))))))))))</f>
        <v/>
      </c>
    </row>
    <row r="4346" spans="12:15">
      <c r="L4346" s="5">
        <f>IF(OR(A4346="",B4346=""),"",B4346-WEEKDAY(B4346,2)+1)</f>
        <v/>
      </c>
      <c r="M4346" s="5">
        <f>IF(L4346="","",L4346+6)</f>
        <v/>
      </c>
      <c r="N4346" s="6">
        <f>IF(OR(A4346="",B4346=""),"",DATE(YEAR(B4346),MONTH(B4346),1))</f>
        <v/>
      </c>
      <c r="O4346" s="7">
        <f>IF(COUNTA(A4346:K4346)=0,"",IF(OR(A4346="",B4346=""),"Preencher CPF e entrada",IF(COUNTIFS($A$12:$A$5011,A4346,$B$12:$B$5011,B4346)&gt;1,"CPF + dia duplicado",IF(OR(AND(G4346&lt;&gt;"",G4346&lt;&gt;0,G4346&lt;&gt;1),AND(H4346&lt;&gt;"",H4346&lt;&gt;0,H4346&lt;&gt;1)),"Flags devem ser 0 ou 1",IF(AND(H4346=1,LEN(TRIM(I4346))=0),"Preencher nome do indicante",IF(AND(H4346&lt;&gt;1,I4346&lt;&gt;""),"Nome sem indicação interna",IF(AND(G4346=1,F4346=""),"Fechamento sem conversa",IF(OR(AND(E4346&lt;&gt;"",E4346&lt;B4346),AND(F4346&lt;&gt;"",F4346&lt;B4346)),"Evento anterior à entrada",IF(AND(F4346&lt;&gt;"",E4346=""),"Conversa sem agendamento",IF(OR(E4346&gt;TODAY(),F4346&gt;TODAY()),"Verificar evento futuro","OK"))))))))))</f>
        <v/>
      </c>
    </row>
    <row r="4347" spans="12:15">
      <c r="L4347" s="5">
        <f>IF(OR(A4347="",B4347=""),"",B4347-WEEKDAY(B4347,2)+1)</f>
        <v/>
      </c>
      <c r="M4347" s="5">
        <f>IF(L4347="","",L4347+6)</f>
        <v/>
      </c>
      <c r="N4347" s="6">
        <f>IF(OR(A4347="",B4347=""),"",DATE(YEAR(B4347),MONTH(B4347),1))</f>
        <v/>
      </c>
      <c r="O4347" s="7">
        <f>IF(COUNTA(A4347:K4347)=0,"",IF(OR(A4347="",B4347=""),"Preencher CPF e entrada",IF(COUNTIFS($A$12:$A$5011,A4347,$B$12:$B$5011,B4347)&gt;1,"CPF + dia duplicado",IF(OR(AND(G4347&lt;&gt;"",G4347&lt;&gt;0,G4347&lt;&gt;1),AND(H4347&lt;&gt;"",H4347&lt;&gt;0,H4347&lt;&gt;1)),"Flags devem ser 0 ou 1",IF(AND(H4347=1,LEN(TRIM(I4347))=0),"Preencher nome do indicante",IF(AND(H4347&lt;&gt;1,I4347&lt;&gt;""),"Nome sem indicação interna",IF(AND(G4347=1,F4347=""),"Fechamento sem conversa",IF(OR(AND(E4347&lt;&gt;"",E4347&lt;B4347),AND(F4347&lt;&gt;"",F4347&lt;B4347)),"Evento anterior à entrada",IF(AND(F4347&lt;&gt;"",E4347=""),"Conversa sem agendamento",IF(OR(E4347&gt;TODAY(),F4347&gt;TODAY()),"Verificar evento futuro","OK"))))))))))</f>
        <v/>
      </c>
    </row>
    <row r="4348" spans="12:15">
      <c r="L4348" s="5">
        <f>IF(OR(A4348="",B4348=""),"",B4348-WEEKDAY(B4348,2)+1)</f>
        <v/>
      </c>
      <c r="M4348" s="5">
        <f>IF(L4348="","",L4348+6)</f>
        <v/>
      </c>
      <c r="N4348" s="6">
        <f>IF(OR(A4348="",B4348=""),"",DATE(YEAR(B4348),MONTH(B4348),1))</f>
        <v/>
      </c>
      <c r="O4348" s="7">
        <f>IF(COUNTA(A4348:K4348)=0,"",IF(OR(A4348="",B4348=""),"Preencher CPF e entrada",IF(COUNTIFS($A$12:$A$5011,A4348,$B$12:$B$5011,B4348)&gt;1,"CPF + dia duplicado",IF(OR(AND(G4348&lt;&gt;"",G4348&lt;&gt;0,G4348&lt;&gt;1),AND(H4348&lt;&gt;"",H4348&lt;&gt;0,H4348&lt;&gt;1)),"Flags devem ser 0 ou 1",IF(AND(H4348=1,LEN(TRIM(I4348))=0),"Preencher nome do indicante",IF(AND(H4348&lt;&gt;1,I4348&lt;&gt;""),"Nome sem indicação interna",IF(AND(G4348=1,F4348=""),"Fechamento sem conversa",IF(OR(AND(E4348&lt;&gt;"",E4348&lt;B4348),AND(F4348&lt;&gt;"",F4348&lt;B4348)),"Evento anterior à entrada",IF(AND(F4348&lt;&gt;"",E4348=""),"Conversa sem agendamento",IF(OR(E4348&gt;TODAY(),F4348&gt;TODAY()),"Verificar evento futuro","OK"))))))))))</f>
        <v/>
      </c>
    </row>
    <row r="4349" spans="12:15">
      <c r="L4349" s="5">
        <f>IF(OR(A4349="",B4349=""),"",B4349-WEEKDAY(B4349,2)+1)</f>
        <v/>
      </c>
      <c r="M4349" s="5">
        <f>IF(L4349="","",L4349+6)</f>
        <v/>
      </c>
      <c r="N4349" s="6">
        <f>IF(OR(A4349="",B4349=""),"",DATE(YEAR(B4349),MONTH(B4349),1))</f>
        <v/>
      </c>
      <c r="O4349" s="7">
        <f>IF(COUNTA(A4349:K4349)=0,"",IF(OR(A4349="",B4349=""),"Preencher CPF e entrada",IF(COUNTIFS($A$12:$A$5011,A4349,$B$12:$B$5011,B4349)&gt;1,"CPF + dia duplicado",IF(OR(AND(G4349&lt;&gt;"",G4349&lt;&gt;0,G4349&lt;&gt;1),AND(H4349&lt;&gt;"",H4349&lt;&gt;0,H4349&lt;&gt;1)),"Flags devem ser 0 ou 1",IF(AND(H4349=1,LEN(TRIM(I4349))=0),"Preencher nome do indicante",IF(AND(H4349&lt;&gt;1,I4349&lt;&gt;""),"Nome sem indicação interna",IF(AND(G4349=1,F4349=""),"Fechamento sem conversa",IF(OR(AND(E4349&lt;&gt;"",E4349&lt;B4349),AND(F4349&lt;&gt;"",F4349&lt;B4349)),"Evento anterior à entrada",IF(AND(F4349&lt;&gt;"",E4349=""),"Conversa sem agendamento",IF(OR(E4349&gt;TODAY(),F4349&gt;TODAY()),"Verificar evento futuro","OK"))))))))))</f>
        <v/>
      </c>
    </row>
    <row r="4350" spans="12:15">
      <c r="L4350" s="5">
        <f>IF(OR(A4350="",B4350=""),"",B4350-WEEKDAY(B4350,2)+1)</f>
        <v/>
      </c>
      <c r="M4350" s="5">
        <f>IF(L4350="","",L4350+6)</f>
        <v/>
      </c>
      <c r="N4350" s="6">
        <f>IF(OR(A4350="",B4350=""),"",DATE(YEAR(B4350),MONTH(B4350),1))</f>
        <v/>
      </c>
      <c r="O4350" s="7">
        <f>IF(COUNTA(A4350:K4350)=0,"",IF(OR(A4350="",B4350=""),"Preencher CPF e entrada",IF(COUNTIFS($A$12:$A$5011,A4350,$B$12:$B$5011,B4350)&gt;1,"CPF + dia duplicado",IF(OR(AND(G4350&lt;&gt;"",G4350&lt;&gt;0,G4350&lt;&gt;1),AND(H4350&lt;&gt;"",H4350&lt;&gt;0,H4350&lt;&gt;1)),"Flags devem ser 0 ou 1",IF(AND(H4350=1,LEN(TRIM(I4350))=0),"Preencher nome do indicante",IF(AND(H4350&lt;&gt;1,I4350&lt;&gt;""),"Nome sem indicação interna",IF(AND(G4350=1,F4350=""),"Fechamento sem conversa",IF(OR(AND(E4350&lt;&gt;"",E4350&lt;B4350),AND(F4350&lt;&gt;"",F4350&lt;B4350)),"Evento anterior à entrada",IF(AND(F4350&lt;&gt;"",E4350=""),"Conversa sem agendamento",IF(OR(E4350&gt;TODAY(),F4350&gt;TODAY()),"Verificar evento futuro","OK"))))))))))</f>
        <v/>
      </c>
    </row>
    <row r="4351" spans="12:15">
      <c r="L4351" s="5">
        <f>IF(OR(A4351="",B4351=""),"",B4351-WEEKDAY(B4351,2)+1)</f>
        <v/>
      </c>
      <c r="M4351" s="5">
        <f>IF(L4351="","",L4351+6)</f>
        <v/>
      </c>
      <c r="N4351" s="6">
        <f>IF(OR(A4351="",B4351=""),"",DATE(YEAR(B4351),MONTH(B4351),1))</f>
        <v/>
      </c>
      <c r="O4351" s="7">
        <f>IF(COUNTA(A4351:K4351)=0,"",IF(OR(A4351="",B4351=""),"Preencher CPF e entrada",IF(COUNTIFS($A$12:$A$5011,A4351,$B$12:$B$5011,B4351)&gt;1,"CPF + dia duplicado",IF(OR(AND(G4351&lt;&gt;"",G4351&lt;&gt;0,G4351&lt;&gt;1),AND(H4351&lt;&gt;"",H4351&lt;&gt;0,H4351&lt;&gt;1)),"Flags devem ser 0 ou 1",IF(AND(H4351=1,LEN(TRIM(I4351))=0),"Preencher nome do indicante",IF(AND(H4351&lt;&gt;1,I4351&lt;&gt;""),"Nome sem indicação interna",IF(AND(G4351=1,F4351=""),"Fechamento sem conversa",IF(OR(AND(E4351&lt;&gt;"",E4351&lt;B4351),AND(F4351&lt;&gt;"",F4351&lt;B4351)),"Evento anterior à entrada",IF(AND(F4351&lt;&gt;"",E4351=""),"Conversa sem agendamento",IF(OR(E4351&gt;TODAY(),F4351&gt;TODAY()),"Verificar evento futuro","OK"))))))))))</f>
        <v/>
      </c>
    </row>
    <row r="4352" spans="12:15">
      <c r="L4352" s="5">
        <f>IF(OR(A4352="",B4352=""),"",B4352-WEEKDAY(B4352,2)+1)</f>
        <v/>
      </c>
      <c r="M4352" s="5">
        <f>IF(L4352="","",L4352+6)</f>
        <v/>
      </c>
      <c r="N4352" s="6">
        <f>IF(OR(A4352="",B4352=""),"",DATE(YEAR(B4352),MONTH(B4352),1))</f>
        <v/>
      </c>
      <c r="O4352" s="7">
        <f>IF(COUNTA(A4352:K4352)=0,"",IF(OR(A4352="",B4352=""),"Preencher CPF e entrada",IF(COUNTIFS($A$12:$A$5011,A4352,$B$12:$B$5011,B4352)&gt;1,"CPF + dia duplicado",IF(OR(AND(G4352&lt;&gt;"",G4352&lt;&gt;0,G4352&lt;&gt;1),AND(H4352&lt;&gt;"",H4352&lt;&gt;0,H4352&lt;&gt;1)),"Flags devem ser 0 ou 1",IF(AND(H4352=1,LEN(TRIM(I4352))=0),"Preencher nome do indicante",IF(AND(H4352&lt;&gt;1,I4352&lt;&gt;""),"Nome sem indicação interna",IF(AND(G4352=1,F4352=""),"Fechamento sem conversa",IF(OR(AND(E4352&lt;&gt;"",E4352&lt;B4352),AND(F4352&lt;&gt;"",F4352&lt;B4352)),"Evento anterior à entrada",IF(AND(F4352&lt;&gt;"",E4352=""),"Conversa sem agendamento",IF(OR(E4352&gt;TODAY(),F4352&gt;TODAY()),"Verificar evento futuro","OK"))))))))))</f>
        <v/>
      </c>
    </row>
    <row r="4353" spans="12:15">
      <c r="L4353" s="5">
        <f>IF(OR(A4353="",B4353=""),"",B4353-WEEKDAY(B4353,2)+1)</f>
        <v/>
      </c>
      <c r="M4353" s="5">
        <f>IF(L4353="","",L4353+6)</f>
        <v/>
      </c>
      <c r="N4353" s="6">
        <f>IF(OR(A4353="",B4353=""),"",DATE(YEAR(B4353),MONTH(B4353),1))</f>
        <v/>
      </c>
      <c r="O4353" s="7">
        <f>IF(COUNTA(A4353:K4353)=0,"",IF(OR(A4353="",B4353=""),"Preencher CPF e entrada",IF(COUNTIFS($A$12:$A$5011,A4353,$B$12:$B$5011,B4353)&gt;1,"CPF + dia duplicado",IF(OR(AND(G4353&lt;&gt;"",G4353&lt;&gt;0,G4353&lt;&gt;1),AND(H4353&lt;&gt;"",H4353&lt;&gt;0,H4353&lt;&gt;1)),"Flags devem ser 0 ou 1",IF(AND(H4353=1,LEN(TRIM(I4353))=0),"Preencher nome do indicante",IF(AND(H4353&lt;&gt;1,I4353&lt;&gt;""),"Nome sem indicação interna",IF(AND(G4353=1,F4353=""),"Fechamento sem conversa",IF(OR(AND(E4353&lt;&gt;"",E4353&lt;B4353),AND(F4353&lt;&gt;"",F4353&lt;B4353)),"Evento anterior à entrada",IF(AND(F4353&lt;&gt;"",E4353=""),"Conversa sem agendamento",IF(OR(E4353&gt;TODAY(),F4353&gt;TODAY()),"Verificar evento futuro","OK"))))))))))</f>
        <v/>
      </c>
    </row>
    <row r="4354" spans="12:15">
      <c r="L4354" s="5">
        <f>IF(OR(A4354="",B4354=""),"",B4354-WEEKDAY(B4354,2)+1)</f>
        <v/>
      </c>
      <c r="M4354" s="5">
        <f>IF(L4354="","",L4354+6)</f>
        <v/>
      </c>
      <c r="N4354" s="6">
        <f>IF(OR(A4354="",B4354=""),"",DATE(YEAR(B4354),MONTH(B4354),1))</f>
        <v/>
      </c>
      <c r="O4354" s="7">
        <f>IF(COUNTA(A4354:K4354)=0,"",IF(OR(A4354="",B4354=""),"Preencher CPF e entrada",IF(COUNTIFS($A$12:$A$5011,A4354,$B$12:$B$5011,B4354)&gt;1,"CPF + dia duplicado",IF(OR(AND(G4354&lt;&gt;"",G4354&lt;&gt;0,G4354&lt;&gt;1),AND(H4354&lt;&gt;"",H4354&lt;&gt;0,H4354&lt;&gt;1)),"Flags devem ser 0 ou 1",IF(AND(H4354=1,LEN(TRIM(I4354))=0),"Preencher nome do indicante",IF(AND(H4354&lt;&gt;1,I4354&lt;&gt;""),"Nome sem indicação interna",IF(AND(G4354=1,F4354=""),"Fechamento sem conversa",IF(OR(AND(E4354&lt;&gt;"",E4354&lt;B4354),AND(F4354&lt;&gt;"",F4354&lt;B4354)),"Evento anterior à entrada",IF(AND(F4354&lt;&gt;"",E4354=""),"Conversa sem agendamento",IF(OR(E4354&gt;TODAY(),F4354&gt;TODAY()),"Verificar evento futuro","OK"))))))))))</f>
        <v/>
      </c>
    </row>
    <row r="4355" spans="12:15">
      <c r="L4355" s="5">
        <f>IF(OR(A4355="",B4355=""),"",B4355-WEEKDAY(B4355,2)+1)</f>
        <v/>
      </c>
      <c r="M4355" s="5">
        <f>IF(L4355="","",L4355+6)</f>
        <v/>
      </c>
      <c r="N4355" s="6">
        <f>IF(OR(A4355="",B4355=""),"",DATE(YEAR(B4355),MONTH(B4355),1))</f>
        <v/>
      </c>
      <c r="O4355" s="7">
        <f>IF(COUNTA(A4355:K4355)=0,"",IF(OR(A4355="",B4355=""),"Preencher CPF e entrada",IF(COUNTIFS($A$12:$A$5011,A4355,$B$12:$B$5011,B4355)&gt;1,"CPF + dia duplicado",IF(OR(AND(G4355&lt;&gt;"",G4355&lt;&gt;0,G4355&lt;&gt;1),AND(H4355&lt;&gt;"",H4355&lt;&gt;0,H4355&lt;&gt;1)),"Flags devem ser 0 ou 1",IF(AND(H4355=1,LEN(TRIM(I4355))=0),"Preencher nome do indicante",IF(AND(H4355&lt;&gt;1,I4355&lt;&gt;""),"Nome sem indicação interna",IF(AND(G4355=1,F4355=""),"Fechamento sem conversa",IF(OR(AND(E4355&lt;&gt;"",E4355&lt;B4355),AND(F4355&lt;&gt;"",F4355&lt;B4355)),"Evento anterior à entrada",IF(AND(F4355&lt;&gt;"",E4355=""),"Conversa sem agendamento",IF(OR(E4355&gt;TODAY(),F4355&gt;TODAY()),"Verificar evento futuro","OK"))))))))))</f>
        <v/>
      </c>
    </row>
    <row r="4356" spans="12:15">
      <c r="L4356" s="5">
        <f>IF(OR(A4356="",B4356=""),"",B4356-WEEKDAY(B4356,2)+1)</f>
        <v/>
      </c>
      <c r="M4356" s="5">
        <f>IF(L4356="","",L4356+6)</f>
        <v/>
      </c>
      <c r="N4356" s="6">
        <f>IF(OR(A4356="",B4356=""),"",DATE(YEAR(B4356),MONTH(B4356),1))</f>
        <v/>
      </c>
      <c r="O4356" s="7">
        <f>IF(COUNTA(A4356:K4356)=0,"",IF(OR(A4356="",B4356=""),"Preencher CPF e entrada",IF(COUNTIFS($A$12:$A$5011,A4356,$B$12:$B$5011,B4356)&gt;1,"CPF + dia duplicado",IF(OR(AND(G4356&lt;&gt;"",G4356&lt;&gt;0,G4356&lt;&gt;1),AND(H4356&lt;&gt;"",H4356&lt;&gt;0,H4356&lt;&gt;1)),"Flags devem ser 0 ou 1",IF(AND(H4356=1,LEN(TRIM(I4356))=0),"Preencher nome do indicante",IF(AND(H4356&lt;&gt;1,I4356&lt;&gt;""),"Nome sem indicação interna",IF(AND(G4356=1,F4356=""),"Fechamento sem conversa",IF(OR(AND(E4356&lt;&gt;"",E4356&lt;B4356),AND(F4356&lt;&gt;"",F4356&lt;B4356)),"Evento anterior à entrada",IF(AND(F4356&lt;&gt;"",E4356=""),"Conversa sem agendamento",IF(OR(E4356&gt;TODAY(),F4356&gt;TODAY()),"Verificar evento futuro","OK"))))))))))</f>
        <v/>
      </c>
    </row>
    <row r="4357" spans="12:15">
      <c r="L4357" s="5">
        <f>IF(OR(A4357="",B4357=""),"",B4357-WEEKDAY(B4357,2)+1)</f>
        <v/>
      </c>
      <c r="M4357" s="5">
        <f>IF(L4357="","",L4357+6)</f>
        <v/>
      </c>
      <c r="N4357" s="6">
        <f>IF(OR(A4357="",B4357=""),"",DATE(YEAR(B4357),MONTH(B4357),1))</f>
        <v/>
      </c>
      <c r="O4357" s="7">
        <f>IF(COUNTA(A4357:K4357)=0,"",IF(OR(A4357="",B4357=""),"Preencher CPF e entrada",IF(COUNTIFS($A$12:$A$5011,A4357,$B$12:$B$5011,B4357)&gt;1,"CPF + dia duplicado",IF(OR(AND(G4357&lt;&gt;"",G4357&lt;&gt;0,G4357&lt;&gt;1),AND(H4357&lt;&gt;"",H4357&lt;&gt;0,H4357&lt;&gt;1)),"Flags devem ser 0 ou 1",IF(AND(H4357=1,LEN(TRIM(I4357))=0),"Preencher nome do indicante",IF(AND(H4357&lt;&gt;1,I4357&lt;&gt;""),"Nome sem indicação interna",IF(AND(G4357=1,F4357=""),"Fechamento sem conversa",IF(OR(AND(E4357&lt;&gt;"",E4357&lt;B4357),AND(F4357&lt;&gt;"",F4357&lt;B4357)),"Evento anterior à entrada",IF(AND(F4357&lt;&gt;"",E4357=""),"Conversa sem agendamento",IF(OR(E4357&gt;TODAY(),F4357&gt;TODAY()),"Verificar evento futuro","OK"))))))))))</f>
        <v/>
      </c>
    </row>
    <row r="4358" spans="12:15">
      <c r="L4358" s="5">
        <f>IF(OR(A4358="",B4358=""),"",B4358-WEEKDAY(B4358,2)+1)</f>
        <v/>
      </c>
      <c r="M4358" s="5">
        <f>IF(L4358="","",L4358+6)</f>
        <v/>
      </c>
      <c r="N4358" s="6">
        <f>IF(OR(A4358="",B4358=""),"",DATE(YEAR(B4358),MONTH(B4358),1))</f>
        <v/>
      </c>
      <c r="O4358" s="7">
        <f>IF(COUNTA(A4358:K4358)=0,"",IF(OR(A4358="",B4358=""),"Preencher CPF e entrada",IF(COUNTIFS($A$12:$A$5011,A4358,$B$12:$B$5011,B4358)&gt;1,"CPF + dia duplicado",IF(OR(AND(G4358&lt;&gt;"",G4358&lt;&gt;0,G4358&lt;&gt;1),AND(H4358&lt;&gt;"",H4358&lt;&gt;0,H4358&lt;&gt;1)),"Flags devem ser 0 ou 1",IF(AND(H4358=1,LEN(TRIM(I4358))=0),"Preencher nome do indicante",IF(AND(H4358&lt;&gt;1,I4358&lt;&gt;""),"Nome sem indicação interna",IF(AND(G4358=1,F4358=""),"Fechamento sem conversa",IF(OR(AND(E4358&lt;&gt;"",E4358&lt;B4358),AND(F4358&lt;&gt;"",F4358&lt;B4358)),"Evento anterior à entrada",IF(AND(F4358&lt;&gt;"",E4358=""),"Conversa sem agendamento",IF(OR(E4358&gt;TODAY(),F4358&gt;TODAY()),"Verificar evento futuro","OK"))))))))))</f>
        <v/>
      </c>
    </row>
    <row r="4359" spans="12:15">
      <c r="L4359" s="5">
        <f>IF(OR(A4359="",B4359=""),"",B4359-WEEKDAY(B4359,2)+1)</f>
        <v/>
      </c>
      <c r="M4359" s="5">
        <f>IF(L4359="","",L4359+6)</f>
        <v/>
      </c>
      <c r="N4359" s="6">
        <f>IF(OR(A4359="",B4359=""),"",DATE(YEAR(B4359),MONTH(B4359),1))</f>
        <v/>
      </c>
      <c r="O4359" s="7">
        <f>IF(COUNTA(A4359:K4359)=0,"",IF(OR(A4359="",B4359=""),"Preencher CPF e entrada",IF(COUNTIFS($A$12:$A$5011,A4359,$B$12:$B$5011,B4359)&gt;1,"CPF + dia duplicado",IF(OR(AND(G4359&lt;&gt;"",G4359&lt;&gt;0,G4359&lt;&gt;1),AND(H4359&lt;&gt;"",H4359&lt;&gt;0,H4359&lt;&gt;1)),"Flags devem ser 0 ou 1",IF(AND(H4359=1,LEN(TRIM(I4359))=0),"Preencher nome do indicante",IF(AND(H4359&lt;&gt;1,I4359&lt;&gt;""),"Nome sem indicação interna",IF(AND(G4359=1,F4359=""),"Fechamento sem conversa",IF(OR(AND(E4359&lt;&gt;"",E4359&lt;B4359),AND(F4359&lt;&gt;"",F4359&lt;B4359)),"Evento anterior à entrada",IF(AND(F4359&lt;&gt;"",E4359=""),"Conversa sem agendamento",IF(OR(E4359&gt;TODAY(),F4359&gt;TODAY()),"Verificar evento futuro","OK"))))))))))</f>
        <v/>
      </c>
    </row>
    <row r="4360" spans="12:15">
      <c r="L4360" s="5">
        <f>IF(OR(A4360="",B4360=""),"",B4360-WEEKDAY(B4360,2)+1)</f>
        <v/>
      </c>
      <c r="M4360" s="5">
        <f>IF(L4360="","",L4360+6)</f>
        <v/>
      </c>
      <c r="N4360" s="6">
        <f>IF(OR(A4360="",B4360=""),"",DATE(YEAR(B4360),MONTH(B4360),1))</f>
        <v/>
      </c>
      <c r="O4360" s="7">
        <f>IF(COUNTA(A4360:K4360)=0,"",IF(OR(A4360="",B4360=""),"Preencher CPF e entrada",IF(COUNTIFS($A$12:$A$5011,A4360,$B$12:$B$5011,B4360)&gt;1,"CPF + dia duplicado",IF(OR(AND(G4360&lt;&gt;"",G4360&lt;&gt;0,G4360&lt;&gt;1),AND(H4360&lt;&gt;"",H4360&lt;&gt;0,H4360&lt;&gt;1)),"Flags devem ser 0 ou 1",IF(AND(H4360=1,LEN(TRIM(I4360))=0),"Preencher nome do indicante",IF(AND(H4360&lt;&gt;1,I4360&lt;&gt;""),"Nome sem indicação interna",IF(AND(G4360=1,F4360=""),"Fechamento sem conversa",IF(OR(AND(E4360&lt;&gt;"",E4360&lt;B4360),AND(F4360&lt;&gt;"",F4360&lt;B4360)),"Evento anterior à entrada",IF(AND(F4360&lt;&gt;"",E4360=""),"Conversa sem agendamento",IF(OR(E4360&gt;TODAY(),F4360&gt;TODAY()),"Verificar evento futuro","OK"))))))))))</f>
        <v/>
      </c>
    </row>
    <row r="4361" spans="12:15">
      <c r="L4361" s="5">
        <f>IF(OR(A4361="",B4361=""),"",B4361-WEEKDAY(B4361,2)+1)</f>
        <v/>
      </c>
      <c r="M4361" s="5">
        <f>IF(L4361="","",L4361+6)</f>
        <v/>
      </c>
      <c r="N4361" s="6">
        <f>IF(OR(A4361="",B4361=""),"",DATE(YEAR(B4361),MONTH(B4361),1))</f>
        <v/>
      </c>
      <c r="O4361" s="7">
        <f>IF(COUNTA(A4361:K4361)=0,"",IF(OR(A4361="",B4361=""),"Preencher CPF e entrada",IF(COUNTIFS($A$12:$A$5011,A4361,$B$12:$B$5011,B4361)&gt;1,"CPF + dia duplicado",IF(OR(AND(G4361&lt;&gt;"",G4361&lt;&gt;0,G4361&lt;&gt;1),AND(H4361&lt;&gt;"",H4361&lt;&gt;0,H4361&lt;&gt;1)),"Flags devem ser 0 ou 1",IF(AND(H4361=1,LEN(TRIM(I4361))=0),"Preencher nome do indicante",IF(AND(H4361&lt;&gt;1,I4361&lt;&gt;""),"Nome sem indicação interna",IF(AND(G4361=1,F4361=""),"Fechamento sem conversa",IF(OR(AND(E4361&lt;&gt;"",E4361&lt;B4361),AND(F4361&lt;&gt;"",F4361&lt;B4361)),"Evento anterior à entrada",IF(AND(F4361&lt;&gt;"",E4361=""),"Conversa sem agendamento",IF(OR(E4361&gt;TODAY(),F4361&gt;TODAY()),"Verificar evento futuro","OK"))))))))))</f>
        <v/>
      </c>
    </row>
    <row r="4362" spans="12:15">
      <c r="L4362" s="5">
        <f>IF(OR(A4362="",B4362=""),"",B4362-WEEKDAY(B4362,2)+1)</f>
        <v/>
      </c>
      <c r="M4362" s="5">
        <f>IF(L4362="","",L4362+6)</f>
        <v/>
      </c>
      <c r="N4362" s="6">
        <f>IF(OR(A4362="",B4362=""),"",DATE(YEAR(B4362),MONTH(B4362),1))</f>
        <v/>
      </c>
      <c r="O4362" s="7">
        <f>IF(COUNTA(A4362:K4362)=0,"",IF(OR(A4362="",B4362=""),"Preencher CPF e entrada",IF(COUNTIFS($A$12:$A$5011,A4362,$B$12:$B$5011,B4362)&gt;1,"CPF + dia duplicado",IF(OR(AND(G4362&lt;&gt;"",G4362&lt;&gt;0,G4362&lt;&gt;1),AND(H4362&lt;&gt;"",H4362&lt;&gt;0,H4362&lt;&gt;1)),"Flags devem ser 0 ou 1",IF(AND(H4362=1,LEN(TRIM(I4362))=0),"Preencher nome do indicante",IF(AND(H4362&lt;&gt;1,I4362&lt;&gt;""),"Nome sem indicação interna",IF(AND(G4362=1,F4362=""),"Fechamento sem conversa",IF(OR(AND(E4362&lt;&gt;"",E4362&lt;B4362),AND(F4362&lt;&gt;"",F4362&lt;B4362)),"Evento anterior à entrada",IF(AND(F4362&lt;&gt;"",E4362=""),"Conversa sem agendamento",IF(OR(E4362&gt;TODAY(),F4362&gt;TODAY()),"Verificar evento futuro","OK"))))))))))</f>
        <v/>
      </c>
    </row>
    <row r="4363" spans="12:15">
      <c r="L4363" s="5">
        <f>IF(OR(A4363="",B4363=""),"",B4363-WEEKDAY(B4363,2)+1)</f>
        <v/>
      </c>
      <c r="M4363" s="5">
        <f>IF(L4363="","",L4363+6)</f>
        <v/>
      </c>
      <c r="N4363" s="6">
        <f>IF(OR(A4363="",B4363=""),"",DATE(YEAR(B4363),MONTH(B4363),1))</f>
        <v/>
      </c>
      <c r="O4363" s="7">
        <f>IF(COUNTA(A4363:K4363)=0,"",IF(OR(A4363="",B4363=""),"Preencher CPF e entrada",IF(COUNTIFS($A$12:$A$5011,A4363,$B$12:$B$5011,B4363)&gt;1,"CPF + dia duplicado",IF(OR(AND(G4363&lt;&gt;"",G4363&lt;&gt;0,G4363&lt;&gt;1),AND(H4363&lt;&gt;"",H4363&lt;&gt;0,H4363&lt;&gt;1)),"Flags devem ser 0 ou 1",IF(AND(H4363=1,LEN(TRIM(I4363))=0),"Preencher nome do indicante",IF(AND(H4363&lt;&gt;1,I4363&lt;&gt;""),"Nome sem indicação interna",IF(AND(G4363=1,F4363=""),"Fechamento sem conversa",IF(OR(AND(E4363&lt;&gt;"",E4363&lt;B4363),AND(F4363&lt;&gt;"",F4363&lt;B4363)),"Evento anterior à entrada",IF(AND(F4363&lt;&gt;"",E4363=""),"Conversa sem agendamento",IF(OR(E4363&gt;TODAY(),F4363&gt;TODAY()),"Verificar evento futuro","OK"))))))))))</f>
        <v/>
      </c>
    </row>
    <row r="4364" spans="12:15">
      <c r="L4364" s="5">
        <f>IF(OR(A4364="",B4364=""),"",B4364-WEEKDAY(B4364,2)+1)</f>
        <v/>
      </c>
      <c r="M4364" s="5">
        <f>IF(L4364="","",L4364+6)</f>
        <v/>
      </c>
      <c r="N4364" s="6">
        <f>IF(OR(A4364="",B4364=""),"",DATE(YEAR(B4364),MONTH(B4364),1))</f>
        <v/>
      </c>
      <c r="O4364" s="7">
        <f>IF(COUNTA(A4364:K4364)=0,"",IF(OR(A4364="",B4364=""),"Preencher CPF e entrada",IF(COUNTIFS($A$12:$A$5011,A4364,$B$12:$B$5011,B4364)&gt;1,"CPF + dia duplicado",IF(OR(AND(G4364&lt;&gt;"",G4364&lt;&gt;0,G4364&lt;&gt;1),AND(H4364&lt;&gt;"",H4364&lt;&gt;0,H4364&lt;&gt;1)),"Flags devem ser 0 ou 1",IF(AND(H4364=1,LEN(TRIM(I4364))=0),"Preencher nome do indicante",IF(AND(H4364&lt;&gt;1,I4364&lt;&gt;""),"Nome sem indicação interna",IF(AND(G4364=1,F4364=""),"Fechamento sem conversa",IF(OR(AND(E4364&lt;&gt;"",E4364&lt;B4364),AND(F4364&lt;&gt;"",F4364&lt;B4364)),"Evento anterior à entrada",IF(AND(F4364&lt;&gt;"",E4364=""),"Conversa sem agendamento",IF(OR(E4364&gt;TODAY(),F4364&gt;TODAY()),"Verificar evento futuro","OK"))))))))))</f>
        <v/>
      </c>
    </row>
    <row r="4365" spans="12:15">
      <c r="L4365" s="5">
        <f>IF(OR(A4365="",B4365=""),"",B4365-WEEKDAY(B4365,2)+1)</f>
        <v/>
      </c>
      <c r="M4365" s="5">
        <f>IF(L4365="","",L4365+6)</f>
        <v/>
      </c>
      <c r="N4365" s="6">
        <f>IF(OR(A4365="",B4365=""),"",DATE(YEAR(B4365),MONTH(B4365),1))</f>
        <v/>
      </c>
      <c r="O4365" s="7">
        <f>IF(COUNTA(A4365:K4365)=0,"",IF(OR(A4365="",B4365=""),"Preencher CPF e entrada",IF(COUNTIFS($A$12:$A$5011,A4365,$B$12:$B$5011,B4365)&gt;1,"CPF + dia duplicado",IF(OR(AND(G4365&lt;&gt;"",G4365&lt;&gt;0,G4365&lt;&gt;1),AND(H4365&lt;&gt;"",H4365&lt;&gt;0,H4365&lt;&gt;1)),"Flags devem ser 0 ou 1",IF(AND(H4365=1,LEN(TRIM(I4365))=0),"Preencher nome do indicante",IF(AND(H4365&lt;&gt;1,I4365&lt;&gt;""),"Nome sem indicação interna",IF(AND(G4365=1,F4365=""),"Fechamento sem conversa",IF(OR(AND(E4365&lt;&gt;"",E4365&lt;B4365),AND(F4365&lt;&gt;"",F4365&lt;B4365)),"Evento anterior à entrada",IF(AND(F4365&lt;&gt;"",E4365=""),"Conversa sem agendamento",IF(OR(E4365&gt;TODAY(),F4365&gt;TODAY()),"Verificar evento futuro","OK"))))))))))</f>
        <v/>
      </c>
    </row>
    <row r="4366" spans="12:15">
      <c r="L4366" s="5">
        <f>IF(OR(A4366="",B4366=""),"",B4366-WEEKDAY(B4366,2)+1)</f>
        <v/>
      </c>
      <c r="M4366" s="5">
        <f>IF(L4366="","",L4366+6)</f>
        <v/>
      </c>
      <c r="N4366" s="6">
        <f>IF(OR(A4366="",B4366=""),"",DATE(YEAR(B4366),MONTH(B4366),1))</f>
        <v/>
      </c>
      <c r="O4366" s="7">
        <f>IF(COUNTA(A4366:K4366)=0,"",IF(OR(A4366="",B4366=""),"Preencher CPF e entrada",IF(COUNTIFS($A$12:$A$5011,A4366,$B$12:$B$5011,B4366)&gt;1,"CPF + dia duplicado",IF(OR(AND(G4366&lt;&gt;"",G4366&lt;&gt;0,G4366&lt;&gt;1),AND(H4366&lt;&gt;"",H4366&lt;&gt;0,H4366&lt;&gt;1)),"Flags devem ser 0 ou 1",IF(AND(H4366=1,LEN(TRIM(I4366))=0),"Preencher nome do indicante",IF(AND(H4366&lt;&gt;1,I4366&lt;&gt;""),"Nome sem indicação interna",IF(AND(G4366=1,F4366=""),"Fechamento sem conversa",IF(OR(AND(E4366&lt;&gt;"",E4366&lt;B4366),AND(F4366&lt;&gt;"",F4366&lt;B4366)),"Evento anterior à entrada",IF(AND(F4366&lt;&gt;"",E4366=""),"Conversa sem agendamento",IF(OR(E4366&gt;TODAY(),F4366&gt;TODAY()),"Verificar evento futuro","OK"))))))))))</f>
        <v/>
      </c>
    </row>
    <row r="4367" spans="12:15">
      <c r="L4367" s="5">
        <f>IF(OR(A4367="",B4367=""),"",B4367-WEEKDAY(B4367,2)+1)</f>
        <v/>
      </c>
      <c r="M4367" s="5">
        <f>IF(L4367="","",L4367+6)</f>
        <v/>
      </c>
      <c r="N4367" s="6">
        <f>IF(OR(A4367="",B4367=""),"",DATE(YEAR(B4367),MONTH(B4367),1))</f>
        <v/>
      </c>
      <c r="O4367" s="7">
        <f>IF(COUNTA(A4367:K4367)=0,"",IF(OR(A4367="",B4367=""),"Preencher CPF e entrada",IF(COUNTIFS($A$12:$A$5011,A4367,$B$12:$B$5011,B4367)&gt;1,"CPF + dia duplicado",IF(OR(AND(G4367&lt;&gt;"",G4367&lt;&gt;0,G4367&lt;&gt;1),AND(H4367&lt;&gt;"",H4367&lt;&gt;0,H4367&lt;&gt;1)),"Flags devem ser 0 ou 1",IF(AND(H4367=1,LEN(TRIM(I4367))=0),"Preencher nome do indicante",IF(AND(H4367&lt;&gt;1,I4367&lt;&gt;""),"Nome sem indicação interna",IF(AND(G4367=1,F4367=""),"Fechamento sem conversa",IF(OR(AND(E4367&lt;&gt;"",E4367&lt;B4367),AND(F4367&lt;&gt;"",F4367&lt;B4367)),"Evento anterior à entrada",IF(AND(F4367&lt;&gt;"",E4367=""),"Conversa sem agendamento",IF(OR(E4367&gt;TODAY(),F4367&gt;TODAY()),"Verificar evento futuro","OK"))))))))))</f>
        <v/>
      </c>
    </row>
    <row r="4368" spans="12:15">
      <c r="L4368" s="5">
        <f>IF(OR(A4368="",B4368=""),"",B4368-WEEKDAY(B4368,2)+1)</f>
        <v/>
      </c>
      <c r="M4368" s="5">
        <f>IF(L4368="","",L4368+6)</f>
        <v/>
      </c>
      <c r="N4368" s="6">
        <f>IF(OR(A4368="",B4368=""),"",DATE(YEAR(B4368),MONTH(B4368),1))</f>
        <v/>
      </c>
      <c r="O4368" s="7">
        <f>IF(COUNTA(A4368:K4368)=0,"",IF(OR(A4368="",B4368=""),"Preencher CPF e entrada",IF(COUNTIFS($A$12:$A$5011,A4368,$B$12:$B$5011,B4368)&gt;1,"CPF + dia duplicado",IF(OR(AND(G4368&lt;&gt;"",G4368&lt;&gt;0,G4368&lt;&gt;1),AND(H4368&lt;&gt;"",H4368&lt;&gt;0,H4368&lt;&gt;1)),"Flags devem ser 0 ou 1",IF(AND(H4368=1,LEN(TRIM(I4368))=0),"Preencher nome do indicante",IF(AND(H4368&lt;&gt;1,I4368&lt;&gt;""),"Nome sem indicação interna",IF(AND(G4368=1,F4368=""),"Fechamento sem conversa",IF(OR(AND(E4368&lt;&gt;"",E4368&lt;B4368),AND(F4368&lt;&gt;"",F4368&lt;B4368)),"Evento anterior à entrada",IF(AND(F4368&lt;&gt;"",E4368=""),"Conversa sem agendamento",IF(OR(E4368&gt;TODAY(),F4368&gt;TODAY()),"Verificar evento futuro","OK"))))))))))</f>
        <v/>
      </c>
    </row>
    <row r="4369" spans="12:15">
      <c r="L4369" s="5">
        <f>IF(OR(A4369="",B4369=""),"",B4369-WEEKDAY(B4369,2)+1)</f>
        <v/>
      </c>
      <c r="M4369" s="5">
        <f>IF(L4369="","",L4369+6)</f>
        <v/>
      </c>
      <c r="N4369" s="6">
        <f>IF(OR(A4369="",B4369=""),"",DATE(YEAR(B4369),MONTH(B4369),1))</f>
        <v/>
      </c>
      <c r="O4369" s="7">
        <f>IF(COUNTA(A4369:K4369)=0,"",IF(OR(A4369="",B4369=""),"Preencher CPF e entrada",IF(COUNTIFS($A$12:$A$5011,A4369,$B$12:$B$5011,B4369)&gt;1,"CPF + dia duplicado",IF(OR(AND(G4369&lt;&gt;"",G4369&lt;&gt;0,G4369&lt;&gt;1),AND(H4369&lt;&gt;"",H4369&lt;&gt;0,H4369&lt;&gt;1)),"Flags devem ser 0 ou 1",IF(AND(H4369=1,LEN(TRIM(I4369))=0),"Preencher nome do indicante",IF(AND(H4369&lt;&gt;1,I4369&lt;&gt;""),"Nome sem indicação interna",IF(AND(G4369=1,F4369=""),"Fechamento sem conversa",IF(OR(AND(E4369&lt;&gt;"",E4369&lt;B4369),AND(F4369&lt;&gt;"",F4369&lt;B4369)),"Evento anterior à entrada",IF(AND(F4369&lt;&gt;"",E4369=""),"Conversa sem agendamento",IF(OR(E4369&gt;TODAY(),F4369&gt;TODAY()),"Verificar evento futuro","OK"))))))))))</f>
        <v/>
      </c>
    </row>
    <row r="4370" spans="12:15">
      <c r="L4370" s="5">
        <f>IF(OR(A4370="",B4370=""),"",B4370-WEEKDAY(B4370,2)+1)</f>
        <v/>
      </c>
      <c r="M4370" s="5">
        <f>IF(L4370="","",L4370+6)</f>
        <v/>
      </c>
      <c r="N4370" s="6">
        <f>IF(OR(A4370="",B4370=""),"",DATE(YEAR(B4370),MONTH(B4370),1))</f>
        <v/>
      </c>
      <c r="O4370" s="7">
        <f>IF(COUNTA(A4370:K4370)=0,"",IF(OR(A4370="",B4370=""),"Preencher CPF e entrada",IF(COUNTIFS($A$12:$A$5011,A4370,$B$12:$B$5011,B4370)&gt;1,"CPF + dia duplicado",IF(OR(AND(G4370&lt;&gt;"",G4370&lt;&gt;0,G4370&lt;&gt;1),AND(H4370&lt;&gt;"",H4370&lt;&gt;0,H4370&lt;&gt;1)),"Flags devem ser 0 ou 1",IF(AND(H4370=1,LEN(TRIM(I4370))=0),"Preencher nome do indicante",IF(AND(H4370&lt;&gt;1,I4370&lt;&gt;""),"Nome sem indicação interna",IF(AND(G4370=1,F4370=""),"Fechamento sem conversa",IF(OR(AND(E4370&lt;&gt;"",E4370&lt;B4370),AND(F4370&lt;&gt;"",F4370&lt;B4370)),"Evento anterior à entrada",IF(AND(F4370&lt;&gt;"",E4370=""),"Conversa sem agendamento",IF(OR(E4370&gt;TODAY(),F4370&gt;TODAY()),"Verificar evento futuro","OK"))))))))))</f>
        <v/>
      </c>
    </row>
    <row r="4371" spans="12:15">
      <c r="L4371" s="5">
        <f>IF(OR(A4371="",B4371=""),"",B4371-WEEKDAY(B4371,2)+1)</f>
        <v/>
      </c>
      <c r="M4371" s="5">
        <f>IF(L4371="","",L4371+6)</f>
        <v/>
      </c>
      <c r="N4371" s="6">
        <f>IF(OR(A4371="",B4371=""),"",DATE(YEAR(B4371),MONTH(B4371),1))</f>
        <v/>
      </c>
      <c r="O4371" s="7">
        <f>IF(COUNTA(A4371:K4371)=0,"",IF(OR(A4371="",B4371=""),"Preencher CPF e entrada",IF(COUNTIFS($A$12:$A$5011,A4371,$B$12:$B$5011,B4371)&gt;1,"CPF + dia duplicado",IF(OR(AND(G4371&lt;&gt;"",G4371&lt;&gt;0,G4371&lt;&gt;1),AND(H4371&lt;&gt;"",H4371&lt;&gt;0,H4371&lt;&gt;1)),"Flags devem ser 0 ou 1",IF(AND(H4371=1,LEN(TRIM(I4371))=0),"Preencher nome do indicante",IF(AND(H4371&lt;&gt;1,I4371&lt;&gt;""),"Nome sem indicação interna",IF(AND(G4371=1,F4371=""),"Fechamento sem conversa",IF(OR(AND(E4371&lt;&gt;"",E4371&lt;B4371),AND(F4371&lt;&gt;"",F4371&lt;B4371)),"Evento anterior à entrada",IF(AND(F4371&lt;&gt;"",E4371=""),"Conversa sem agendamento",IF(OR(E4371&gt;TODAY(),F4371&gt;TODAY()),"Verificar evento futuro","OK"))))))))))</f>
        <v/>
      </c>
    </row>
    <row r="4372" spans="12:15">
      <c r="L4372" s="5">
        <f>IF(OR(A4372="",B4372=""),"",B4372-WEEKDAY(B4372,2)+1)</f>
        <v/>
      </c>
      <c r="M4372" s="5">
        <f>IF(L4372="","",L4372+6)</f>
        <v/>
      </c>
      <c r="N4372" s="6">
        <f>IF(OR(A4372="",B4372=""),"",DATE(YEAR(B4372),MONTH(B4372),1))</f>
        <v/>
      </c>
      <c r="O4372" s="7">
        <f>IF(COUNTA(A4372:K4372)=0,"",IF(OR(A4372="",B4372=""),"Preencher CPF e entrada",IF(COUNTIFS($A$12:$A$5011,A4372,$B$12:$B$5011,B4372)&gt;1,"CPF + dia duplicado",IF(OR(AND(G4372&lt;&gt;"",G4372&lt;&gt;0,G4372&lt;&gt;1),AND(H4372&lt;&gt;"",H4372&lt;&gt;0,H4372&lt;&gt;1)),"Flags devem ser 0 ou 1",IF(AND(H4372=1,LEN(TRIM(I4372))=0),"Preencher nome do indicante",IF(AND(H4372&lt;&gt;1,I4372&lt;&gt;""),"Nome sem indicação interna",IF(AND(G4372=1,F4372=""),"Fechamento sem conversa",IF(OR(AND(E4372&lt;&gt;"",E4372&lt;B4372),AND(F4372&lt;&gt;"",F4372&lt;B4372)),"Evento anterior à entrada",IF(AND(F4372&lt;&gt;"",E4372=""),"Conversa sem agendamento",IF(OR(E4372&gt;TODAY(),F4372&gt;TODAY()),"Verificar evento futuro","OK"))))))))))</f>
        <v/>
      </c>
    </row>
    <row r="4373" spans="12:15">
      <c r="L4373" s="5">
        <f>IF(OR(A4373="",B4373=""),"",B4373-WEEKDAY(B4373,2)+1)</f>
        <v/>
      </c>
      <c r="M4373" s="5">
        <f>IF(L4373="","",L4373+6)</f>
        <v/>
      </c>
      <c r="N4373" s="6">
        <f>IF(OR(A4373="",B4373=""),"",DATE(YEAR(B4373),MONTH(B4373),1))</f>
        <v/>
      </c>
      <c r="O4373" s="7">
        <f>IF(COUNTA(A4373:K4373)=0,"",IF(OR(A4373="",B4373=""),"Preencher CPF e entrada",IF(COUNTIFS($A$12:$A$5011,A4373,$B$12:$B$5011,B4373)&gt;1,"CPF + dia duplicado",IF(OR(AND(G4373&lt;&gt;"",G4373&lt;&gt;0,G4373&lt;&gt;1),AND(H4373&lt;&gt;"",H4373&lt;&gt;0,H4373&lt;&gt;1)),"Flags devem ser 0 ou 1",IF(AND(H4373=1,LEN(TRIM(I4373))=0),"Preencher nome do indicante",IF(AND(H4373&lt;&gt;1,I4373&lt;&gt;""),"Nome sem indicação interna",IF(AND(G4373=1,F4373=""),"Fechamento sem conversa",IF(OR(AND(E4373&lt;&gt;"",E4373&lt;B4373),AND(F4373&lt;&gt;"",F4373&lt;B4373)),"Evento anterior à entrada",IF(AND(F4373&lt;&gt;"",E4373=""),"Conversa sem agendamento",IF(OR(E4373&gt;TODAY(),F4373&gt;TODAY()),"Verificar evento futuro","OK"))))))))))</f>
        <v/>
      </c>
    </row>
    <row r="4374" spans="12:15">
      <c r="L4374" s="5">
        <f>IF(OR(A4374="",B4374=""),"",B4374-WEEKDAY(B4374,2)+1)</f>
        <v/>
      </c>
      <c r="M4374" s="5">
        <f>IF(L4374="","",L4374+6)</f>
        <v/>
      </c>
      <c r="N4374" s="6">
        <f>IF(OR(A4374="",B4374=""),"",DATE(YEAR(B4374),MONTH(B4374),1))</f>
        <v/>
      </c>
      <c r="O4374" s="7">
        <f>IF(COUNTA(A4374:K4374)=0,"",IF(OR(A4374="",B4374=""),"Preencher CPF e entrada",IF(COUNTIFS($A$12:$A$5011,A4374,$B$12:$B$5011,B4374)&gt;1,"CPF + dia duplicado",IF(OR(AND(G4374&lt;&gt;"",G4374&lt;&gt;0,G4374&lt;&gt;1),AND(H4374&lt;&gt;"",H4374&lt;&gt;0,H4374&lt;&gt;1)),"Flags devem ser 0 ou 1",IF(AND(H4374=1,LEN(TRIM(I4374))=0),"Preencher nome do indicante",IF(AND(H4374&lt;&gt;1,I4374&lt;&gt;""),"Nome sem indicação interna",IF(AND(G4374=1,F4374=""),"Fechamento sem conversa",IF(OR(AND(E4374&lt;&gt;"",E4374&lt;B4374),AND(F4374&lt;&gt;"",F4374&lt;B4374)),"Evento anterior à entrada",IF(AND(F4374&lt;&gt;"",E4374=""),"Conversa sem agendamento",IF(OR(E4374&gt;TODAY(),F4374&gt;TODAY()),"Verificar evento futuro","OK"))))))))))</f>
        <v/>
      </c>
    </row>
    <row r="4375" spans="12:15">
      <c r="L4375" s="5">
        <f>IF(OR(A4375="",B4375=""),"",B4375-WEEKDAY(B4375,2)+1)</f>
        <v/>
      </c>
      <c r="M4375" s="5">
        <f>IF(L4375="","",L4375+6)</f>
        <v/>
      </c>
      <c r="N4375" s="6">
        <f>IF(OR(A4375="",B4375=""),"",DATE(YEAR(B4375),MONTH(B4375),1))</f>
        <v/>
      </c>
      <c r="O4375" s="7">
        <f>IF(COUNTA(A4375:K4375)=0,"",IF(OR(A4375="",B4375=""),"Preencher CPF e entrada",IF(COUNTIFS($A$12:$A$5011,A4375,$B$12:$B$5011,B4375)&gt;1,"CPF + dia duplicado",IF(OR(AND(G4375&lt;&gt;"",G4375&lt;&gt;0,G4375&lt;&gt;1),AND(H4375&lt;&gt;"",H4375&lt;&gt;0,H4375&lt;&gt;1)),"Flags devem ser 0 ou 1",IF(AND(H4375=1,LEN(TRIM(I4375))=0),"Preencher nome do indicante",IF(AND(H4375&lt;&gt;1,I4375&lt;&gt;""),"Nome sem indicação interna",IF(AND(G4375=1,F4375=""),"Fechamento sem conversa",IF(OR(AND(E4375&lt;&gt;"",E4375&lt;B4375),AND(F4375&lt;&gt;"",F4375&lt;B4375)),"Evento anterior à entrada",IF(AND(F4375&lt;&gt;"",E4375=""),"Conversa sem agendamento",IF(OR(E4375&gt;TODAY(),F4375&gt;TODAY()),"Verificar evento futuro","OK"))))))))))</f>
        <v/>
      </c>
    </row>
    <row r="4376" spans="12:15">
      <c r="L4376" s="5">
        <f>IF(OR(A4376="",B4376=""),"",B4376-WEEKDAY(B4376,2)+1)</f>
        <v/>
      </c>
      <c r="M4376" s="5">
        <f>IF(L4376="","",L4376+6)</f>
        <v/>
      </c>
      <c r="N4376" s="6">
        <f>IF(OR(A4376="",B4376=""),"",DATE(YEAR(B4376),MONTH(B4376),1))</f>
        <v/>
      </c>
      <c r="O4376" s="7">
        <f>IF(COUNTA(A4376:K4376)=0,"",IF(OR(A4376="",B4376=""),"Preencher CPF e entrada",IF(COUNTIFS($A$12:$A$5011,A4376,$B$12:$B$5011,B4376)&gt;1,"CPF + dia duplicado",IF(OR(AND(G4376&lt;&gt;"",G4376&lt;&gt;0,G4376&lt;&gt;1),AND(H4376&lt;&gt;"",H4376&lt;&gt;0,H4376&lt;&gt;1)),"Flags devem ser 0 ou 1",IF(AND(H4376=1,LEN(TRIM(I4376))=0),"Preencher nome do indicante",IF(AND(H4376&lt;&gt;1,I4376&lt;&gt;""),"Nome sem indicação interna",IF(AND(G4376=1,F4376=""),"Fechamento sem conversa",IF(OR(AND(E4376&lt;&gt;"",E4376&lt;B4376),AND(F4376&lt;&gt;"",F4376&lt;B4376)),"Evento anterior à entrada",IF(AND(F4376&lt;&gt;"",E4376=""),"Conversa sem agendamento",IF(OR(E4376&gt;TODAY(),F4376&gt;TODAY()),"Verificar evento futuro","OK"))))))))))</f>
        <v/>
      </c>
    </row>
    <row r="4377" spans="12:15">
      <c r="L4377" s="5">
        <f>IF(OR(A4377="",B4377=""),"",B4377-WEEKDAY(B4377,2)+1)</f>
        <v/>
      </c>
      <c r="M4377" s="5">
        <f>IF(L4377="","",L4377+6)</f>
        <v/>
      </c>
      <c r="N4377" s="6">
        <f>IF(OR(A4377="",B4377=""),"",DATE(YEAR(B4377),MONTH(B4377),1))</f>
        <v/>
      </c>
      <c r="O4377" s="7">
        <f>IF(COUNTA(A4377:K4377)=0,"",IF(OR(A4377="",B4377=""),"Preencher CPF e entrada",IF(COUNTIFS($A$12:$A$5011,A4377,$B$12:$B$5011,B4377)&gt;1,"CPF + dia duplicado",IF(OR(AND(G4377&lt;&gt;"",G4377&lt;&gt;0,G4377&lt;&gt;1),AND(H4377&lt;&gt;"",H4377&lt;&gt;0,H4377&lt;&gt;1)),"Flags devem ser 0 ou 1",IF(AND(H4377=1,LEN(TRIM(I4377))=0),"Preencher nome do indicante",IF(AND(H4377&lt;&gt;1,I4377&lt;&gt;""),"Nome sem indicação interna",IF(AND(G4377=1,F4377=""),"Fechamento sem conversa",IF(OR(AND(E4377&lt;&gt;"",E4377&lt;B4377),AND(F4377&lt;&gt;"",F4377&lt;B4377)),"Evento anterior à entrada",IF(AND(F4377&lt;&gt;"",E4377=""),"Conversa sem agendamento",IF(OR(E4377&gt;TODAY(),F4377&gt;TODAY()),"Verificar evento futuro","OK"))))))))))</f>
        <v/>
      </c>
    </row>
    <row r="4378" spans="12:15">
      <c r="L4378" s="5">
        <f>IF(OR(A4378="",B4378=""),"",B4378-WEEKDAY(B4378,2)+1)</f>
        <v/>
      </c>
      <c r="M4378" s="5">
        <f>IF(L4378="","",L4378+6)</f>
        <v/>
      </c>
      <c r="N4378" s="6">
        <f>IF(OR(A4378="",B4378=""),"",DATE(YEAR(B4378),MONTH(B4378),1))</f>
        <v/>
      </c>
      <c r="O4378" s="7">
        <f>IF(COUNTA(A4378:K4378)=0,"",IF(OR(A4378="",B4378=""),"Preencher CPF e entrada",IF(COUNTIFS($A$12:$A$5011,A4378,$B$12:$B$5011,B4378)&gt;1,"CPF + dia duplicado",IF(OR(AND(G4378&lt;&gt;"",G4378&lt;&gt;0,G4378&lt;&gt;1),AND(H4378&lt;&gt;"",H4378&lt;&gt;0,H4378&lt;&gt;1)),"Flags devem ser 0 ou 1",IF(AND(H4378=1,LEN(TRIM(I4378))=0),"Preencher nome do indicante",IF(AND(H4378&lt;&gt;1,I4378&lt;&gt;""),"Nome sem indicação interna",IF(AND(G4378=1,F4378=""),"Fechamento sem conversa",IF(OR(AND(E4378&lt;&gt;"",E4378&lt;B4378),AND(F4378&lt;&gt;"",F4378&lt;B4378)),"Evento anterior à entrada",IF(AND(F4378&lt;&gt;"",E4378=""),"Conversa sem agendamento",IF(OR(E4378&gt;TODAY(),F4378&gt;TODAY()),"Verificar evento futuro","OK"))))))))))</f>
        <v/>
      </c>
    </row>
    <row r="4379" spans="12:15">
      <c r="L4379" s="5">
        <f>IF(OR(A4379="",B4379=""),"",B4379-WEEKDAY(B4379,2)+1)</f>
        <v/>
      </c>
      <c r="M4379" s="5">
        <f>IF(L4379="","",L4379+6)</f>
        <v/>
      </c>
      <c r="N4379" s="6">
        <f>IF(OR(A4379="",B4379=""),"",DATE(YEAR(B4379),MONTH(B4379),1))</f>
        <v/>
      </c>
      <c r="O4379" s="7">
        <f>IF(COUNTA(A4379:K4379)=0,"",IF(OR(A4379="",B4379=""),"Preencher CPF e entrada",IF(COUNTIFS($A$12:$A$5011,A4379,$B$12:$B$5011,B4379)&gt;1,"CPF + dia duplicado",IF(OR(AND(G4379&lt;&gt;"",G4379&lt;&gt;0,G4379&lt;&gt;1),AND(H4379&lt;&gt;"",H4379&lt;&gt;0,H4379&lt;&gt;1)),"Flags devem ser 0 ou 1",IF(AND(H4379=1,LEN(TRIM(I4379))=0),"Preencher nome do indicante",IF(AND(H4379&lt;&gt;1,I4379&lt;&gt;""),"Nome sem indicação interna",IF(AND(G4379=1,F4379=""),"Fechamento sem conversa",IF(OR(AND(E4379&lt;&gt;"",E4379&lt;B4379),AND(F4379&lt;&gt;"",F4379&lt;B4379)),"Evento anterior à entrada",IF(AND(F4379&lt;&gt;"",E4379=""),"Conversa sem agendamento",IF(OR(E4379&gt;TODAY(),F4379&gt;TODAY()),"Verificar evento futuro","OK"))))))))))</f>
        <v/>
      </c>
    </row>
    <row r="4380" spans="12:15">
      <c r="L4380" s="5">
        <f>IF(OR(A4380="",B4380=""),"",B4380-WEEKDAY(B4380,2)+1)</f>
        <v/>
      </c>
      <c r="M4380" s="5">
        <f>IF(L4380="","",L4380+6)</f>
        <v/>
      </c>
      <c r="N4380" s="6">
        <f>IF(OR(A4380="",B4380=""),"",DATE(YEAR(B4380),MONTH(B4380),1))</f>
        <v/>
      </c>
      <c r="O4380" s="7">
        <f>IF(COUNTA(A4380:K4380)=0,"",IF(OR(A4380="",B4380=""),"Preencher CPF e entrada",IF(COUNTIFS($A$12:$A$5011,A4380,$B$12:$B$5011,B4380)&gt;1,"CPF + dia duplicado",IF(OR(AND(G4380&lt;&gt;"",G4380&lt;&gt;0,G4380&lt;&gt;1),AND(H4380&lt;&gt;"",H4380&lt;&gt;0,H4380&lt;&gt;1)),"Flags devem ser 0 ou 1",IF(AND(H4380=1,LEN(TRIM(I4380))=0),"Preencher nome do indicante",IF(AND(H4380&lt;&gt;1,I4380&lt;&gt;""),"Nome sem indicação interna",IF(AND(G4380=1,F4380=""),"Fechamento sem conversa",IF(OR(AND(E4380&lt;&gt;"",E4380&lt;B4380),AND(F4380&lt;&gt;"",F4380&lt;B4380)),"Evento anterior à entrada",IF(AND(F4380&lt;&gt;"",E4380=""),"Conversa sem agendamento",IF(OR(E4380&gt;TODAY(),F4380&gt;TODAY()),"Verificar evento futuro","OK"))))))))))</f>
        <v/>
      </c>
    </row>
    <row r="4381" spans="12:15">
      <c r="L4381" s="5">
        <f>IF(OR(A4381="",B4381=""),"",B4381-WEEKDAY(B4381,2)+1)</f>
        <v/>
      </c>
      <c r="M4381" s="5">
        <f>IF(L4381="","",L4381+6)</f>
        <v/>
      </c>
      <c r="N4381" s="6">
        <f>IF(OR(A4381="",B4381=""),"",DATE(YEAR(B4381),MONTH(B4381),1))</f>
        <v/>
      </c>
      <c r="O4381" s="7">
        <f>IF(COUNTA(A4381:K4381)=0,"",IF(OR(A4381="",B4381=""),"Preencher CPF e entrada",IF(COUNTIFS($A$12:$A$5011,A4381,$B$12:$B$5011,B4381)&gt;1,"CPF + dia duplicado",IF(OR(AND(G4381&lt;&gt;"",G4381&lt;&gt;0,G4381&lt;&gt;1),AND(H4381&lt;&gt;"",H4381&lt;&gt;0,H4381&lt;&gt;1)),"Flags devem ser 0 ou 1",IF(AND(H4381=1,LEN(TRIM(I4381))=0),"Preencher nome do indicante",IF(AND(H4381&lt;&gt;1,I4381&lt;&gt;""),"Nome sem indicação interna",IF(AND(G4381=1,F4381=""),"Fechamento sem conversa",IF(OR(AND(E4381&lt;&gt;"",E4381&lt;B4381),AND(F4381&lt;&gt;"",F4381&lt;B4381)),"Evento anterior à entrada",IF(AND(F4381&lt;&gt;"",E4381=""),"Conversa sem agendamento",IF(OR(E4381&gt;TODAY(),F4381&gt;TODAY()),"Verificar evento futuro","OK"))))))))))</f>
        <v/>
      </c>
    </row>
    <row r="4382" spans="12:15">
      <c r="L4382" s="5">
        <f>IF(OR(A4382="",B4382=""),"",B4382-WEEKDAY(B4382,2)+1)</f>
        <v/>
      </c>
      <c r="M4382" s="5">
        <f>IF(L4382="","",L4382+6)</f>
        <v/>
      </c>
      <c r="N4382" s="6">
        <f>IF(OR(A4382="",B4382=""),"",DATE(YEAR(B4382),MONTH(B4382),1))</f>
        <v/>
      </c>
      <c r="O4382" s="7">
        <f>IF(COUNTA(A4382:K4382)=0,"",IF(OR(A4382="",B4382=""),"Preencher CPF e entrada",IF(COUNTIFS($A$12:$A$5011,A4382,$B$12:$B$5011,B4382)&gt;1,"CPF + dia duplicado",IF(OR(AND(G4382&lt;&gt;"",G4382&lt;&gt;0,G4382&lt;&gt;1),AND(H4382&lt;&gt;"",H4382&lt;&gt;0,H4382&lt;&gt;1)),"Flags devem ser 0 ou 1",IF(AND(H4382=1,LEN(TRIM(I4382))=0),"Preencher nome do indicante",IF(AND(H4382&lt;&gt;1,I4382&lt;&gt;""),"Nome sem indicação interna",IF(AND(G4382=1,F4382=""),"Fechamento sem conversa",IF(OR(AND(E4382&lt;&gt;"",E4382&lt;B4382),AND(F4382&lt;&gt;"",F4382&lt;B4382)),"Evento anterior à entrada",IF(AND(F4382&lt;&gt;"",E4382=""),"Conversa sem agendamento",IF(OR(E4382&gt;TODAY(),F4382&gt;TODAY()),"Verificar evento futuro","OK"))))))))))</f>
        <v/>
      </c>
    </row>
    <row r="4383" spans="12:15">
      <c r="L4383" s="5">
        <f>IF(OR(A4383="",B4383=""),"",B4383-WEEKDAY(B4383,2)+1)</f>
        <v/>
      </c>
      <c r="M4383" s="5">
        <f>IF(L4383="","",L4383+6)</f>
        <v/>
      </c>
      <c r="N4383" s="6">
        <f>IF(OR(A4383="",B4383=""),"",DATE(YEAR(B4383),MONTH(B4383),1))</f>
        <v/>
      </c>
      <c r="O4383" s="7">
        <f>IF(COUNTA(A4383:K4383)=0,"",IF(OR(A4383="",B4383=""),"Preencher CPF e entrada",IF(COUNTIFS($A$12:$A$5011,A4383,$B$12:$B$5011,B4383)&gt;1,"CPF + dia duplicado",IF(OR(AND(G4383&lt;&gt;"",G4383&lt;&gt;0,G4383&lt;&gt;1),AND(H4383&lt;&gt;"",H4383&lt;&gt;0,H4383&lt;&gt;1)),"Flags devem ser 0 ou 1",IF(AND(H4383=1,LEN(TRIM(I4383))=0),"Preencher nome do indicante",IF(AND(H4383&lt;&gt;1,I4383&lt;&gt;""),"Nome sem indicação interna",IF(AND(G4383=1,F4383=""),"Fechamento sem conversa",IF(OR(AND(E4383&lt;&gt;"",E4383&lt;B4383),AND(F4383&lt;&gt;"",F4383&lt;B4383)),"Evento anterior à entrada",IF(AND(F4383&lt;&gt;"",E4383=""),"Conversa sem agendamento",IF(OR(E4383&gt;TODAY(),F4383&gt;TODAY()),"Verificar evento futuro","OK"))))))))))</f>
        <v/>
      </c>
    </row>
    <row r="4384" spans="12:15">
      <c r="L4384" s="5">
        <f>IF(OR(A4384="",B4384=""),"",B4384-WEEKDAY(B4384,2)+1)</f>
        <v/>
      </c>
      <c r="M4384" s="5">
        <f>IF(L4384="","",L4384+6)</f>
        <v/>
      </c>
      <c r="N4384" s="6">
        <f>IF(OR(A4384="",B4384=""),"",DATE(YEAR(B4384),MONTH(B4384),1))</f>
        <v/>
      </c>
      <c r="O4384" s="7">
        <f>IF(COUNTA(A4384:K4384)=0,"",IF(OR(A4384="",B4384=""),"Preencher CPF e entrada",IF(COUNTIFS($A$12:$A$5011,A4384,$B$12:$B$5011,B4384)&gt;1,"CPF + dia duplicado",IF(OR(AND(G4384&lt;&gt;"",G4384&lt;&gt;0,G4384&lt;&gt;1),AND(H4384&lt;&gt;"",H4384&lt;&gt;0,H4384&lt;&gt;1)),"Flags devem ser 0 ou 1",IF(AND(H4384=1,LEN(TRIM(I4384))=0),"Preencher nome do indicante",IF(AND(H4384&lt;&gt;1,I4384&lt;&gt;""),"Nome sem indicação interna",IF(AND(G4384=1,F4384=""),"Fechamento sem conversa",IF(OR(AND(E4384&lt;&gt;"",E4384&lt;B4384),AND(F4384&lt;&gt;"",F4384&lt;B4384)),"Evento anterior à entrada",IF(AND(F4384&lt;&gt;"",E4384=""),"Conversa sem agendamento",IF(OR(E4384&gt;TODAY(),F4384&gt;TODAY()),"Verificar evento futuro","OK"))))))))))</f>
        <v/>
      </c>
    </row>
    <row r="4385" spans="12:15">
      <c r="L4385" s="5">
        <f>IF(OR(A4385="",B4385=""),"",B4385-WEEKDAY(B4385,2)+1)</f>
        <v/>
      </c>
      <c r="M4385" s="5">
        <f>IF(L4385="","",L4385+6)</f>
        <v/>
      </c>
      <c r="N4385" s="6">
        <f>IF(OR(A4385="",B4385=""),"",DATE(YEAR(B4385),MONTH(B4385),1))</f>
        <v/>
      </c>
      <c r="O4385" s="7">
        <f>IF(COUNTA(A4385:K4385)=0,"",IF(OR(A4385="",B4385=""),"Preencher CPF e entrada",IF(COUNTIFS($A$12:$A$5011,A4385,$B$12:$B$5011,B4385)&gt;1,"CPF + dia duplicado",IF(OR(AND(G4385&lt;&gt;"",G4385&lt;&gt;0,G4385&lt;&gt;1),AND(H4385&lt;&gt;"",H4385&lt;&gt;0,H4385&lt;&gt;1)),"Flags devem ser 0 ou 1",IF(AND(H4385=1,LEN(TRIM(I4385))=0),"Preencher nome do indicante",IF(AND(H4385&lt;&gt;1,I4385&lt;&gt;""),"Nome sem indicação interna",IF(AND(G4385=1,F4385=""),"Fechamento sem conversa",IF(OR(AND(E4385&lt;&gt;"",E4385&lt;B4385),AND(F4385&lt;&gt;"",F4385&lt;B4385)),"Evento anterior à entrada",IF(AND(F4385&lt;&gt;"",E4385=""),"Conversa sem agendamento",IF(OR(E4385&gt;TODAY(),F4385&gt;TODAY()),"Verificar evento futuro","OK"))))))))))</f>
        <v/>
      </c>
    </row>
    <row r="4386" spans="12:15">
      <c r="L4386" s="5">
        <f>IF(OR(A4386="",B4386=""),"",B4386-WEEKDAY(B4386,2)+1)</f>
        <v/>
      </c>
      <c r="M4386" s="5">
        <f>IF(L4386="","",L4386+6)</f>
        <v/>
      </c>
      <c r="N4386" s="6">
        <f>IF(OR(A4386="",B4386=""),"",DATE(YEAR(B4386),MONTH(B4386),1))</f>
        <v/>
      </c>
      <c r="O4386" s="7">
        <f>IF(COUNTA(A4386:K4386)=0,"",IF(OR(A4386="",B4386=""),"Preencher CPF e entrada",IF(COUNTIFS($A$12:$A$5011,A4386,$B$12:$B$5011,B4386)&gt;1,"CPF + dia duplicado",IF(OR(AND(G4386&lt;&gt;"",G4386&lt;&gt;0,G4386&lt;&gt;1),AND(H4386&lt;&gt;"",H4386&lt;&gt;0,H4386&lt;&gt;1)),"Flags devem ser 0 ou 1",IF(AND(H4386=1,LEN(TRIM(I4386))=0),"Preencher nome do indicante",IF(AND(H4386&lt;&gt;1,I4386&lt;&gt;""),"Nome sem indicação interna",IF(AND(G4386=1,F4386=""),"Fechamento sem conversa",IF(OR(AND(E4386&lt;&gt;"",E4386&lt;B4386),AND(F4386&lt;&gt;"",F4386&lt;B4386)),"Evento anterior à entrada",IF(AND(F4386&lt;&gt;"",E4386=""),"Conversa sem agendamento",IF(OR(E4386&gt;TODAY(),F4386&gt;TODAY()),"Verificar evento futuro","OK"))))))))))</f>
        <v/>
      </c>
    </row>
    <row r="4387" spans="12:15">
      <c r="L4387" s="5">
        <f>IF(OR(A4387="",B4387=""),"",B4387-WEEKDAY(B4387,2)+1)</f>
        <v/>
      </c>
      <c r="M4387" s="5">
        <f>IF(L4387="","",L4387+6)</f>
        <v/>
      </c>
      <c r="N4387" s="6">
        <f>IF(OR(A4387="",B4387=""),"",DATE(YEAR(B4387),MONTH(B4387),1))</f>
        <v/>
      </c>
      <c r="O4387" s="7">
        <f>IF(COUNTA(A4387:K4387)=0,"",IF(OR(A4387="",B4387=""),"Preencher CPF e entrada",IF(COUNTIFS($A$12:$A$5011,A4387,$B$12:$B$5011,B4387)&gt;1,"CPF + dia duplicado",IF(OR(AND(G4387&lt;&gt;"",G4387&lt;&gt;0,G4387&lt;&gt;1),AND(H4387&lt;&gt;"",H4387&lt;&gt;0,H4387&lt;&gt;1)),"Flags devem ser 0 ou 1",IF(AND(H4387=1,LEN(TRIM(I4387))=0),"Preencher nome do indicante",IF(AND(H4387&lt;&gt;1,I4387&lt;&gt;""),"Nome sem indicação interna",IF(AND(G4387=1,F4387=""),"Fechamento sem conversa",IF(OR(AND(E4387&lt;&gt;"",E4387&lt;B4387),AND(F4387&lt;&gt;"",F4387&lt;B4387)),"Evento anterior à entrada",IF(AND(F4387&lt;&gt;"",E4387=""),"Conversa sem agendamento",IF(OR(E4387&gt;TODAY(),F4387&gt;TODAY()),"Verificar evento futuro","OK"))))))))))</f>
        <v/>
      </c>
    </row>
    <row r="4388" spans="12:15">
      <c r="L4388" s="5">
        <f>IF(OR(A4388="",B4388=""),"",B4388-WEEKDAY(B4388,2)+1)</f>
        <v/>
      </c>
      <c r="M4388" s="5">
        <f>IF(L4388="","",L4388+6)</f>
        <v/>
      </c>
      <c r="N4388" s="6">
        <f>IF(OR(A4388="",B4388=""),"",DATE(YEAR(B4388),MONTH(B4388),1))</f>
        <v/>
      </c>
      <c r="O4388" s="7">
        <f>IF(COUNTA(A4388:K4388)=0,"",IF(OR(A4388="",B4388=""),"Preencher CPF e entrada",IF(COUNTIFS($A$12:$A$5011,A4388,$B$12:$B$5011,B4388)&gt;1,"CPF + dia duplicado",IF(OR(AND(G4388&lt;&gt;"",G4388&lt;&gt;0,G4388&lt;&gt;1),AND(H4388&lt;&gt;"",H4388&lt;&gt;0,H4388&lt;&gt;1)),"Flags devem ser 0 ou 1",IF(AND(H4388=1,LEN(TRIM(I4388))=0),"Preencher nome do indicante",IF(AND(H4388&lt;&gt;1,I4388&lt;&gt;""),"Nome sem indicação interna",IF(AND(G4388=1,F4388=""),"Fechamento sem conversa",IF(OR(AND(E4388&lt;&gt;"",E4388&lt;B4388),AND(F4388&lt;&gt;"",F4388&lt;B4388)),"Evento anterior à entrada",IF(AND(F4388&lt;&gt;"",E4388=""),"Conversa sem agendamento",IF(OR(E4388&gt;TODAY(),F4388&gt;TODAY()),"Verificar evento futuro","OK"))))))))))</f>
        <v/>
      </c>
    </row>
    <row r="4389" spans="12:15">
      <c r="L4389" s="5">
        <f>IF(OR(A4389="",B4389=""),"",B4389-WEEKDAY(B4389,2)+1)</f>
        <v/>
      </c>
      <c r="M4389" s="5">
        <f>IF(L4389="","",L4389+6)</f>
        <v/>
      </c>
      <c r="N4389" s="6">
        <f>IF(OR(A4389="",B4389=""),"",DATE(YEAR(B4389),MONTH(B4389),1))</f>
        <v/>
      </c>
      <c r="O4389" s="7">
        <f>IF(COUNTA(A4389:K4389)=0,"",IF(OR(A4389="",B4389=""),"Preencher CPF e entrada",IF(COUNTIFS($A$12:$A$5011,A4389,$B$12:$B$5011,B4389)&gt;1,"CPF + dia duplicado",IF(OR(AND(G4389&lt;&gt;"",G4389&lt;&gt;0,G4389&lt;&gt;1),AND(H4389&lt;&gt;"",H4389&lt;&gt;0,H4389&lt;&gt;1)),"Flags devem ser 0 ou 1",IF(AND(H4389=1,LEN(TRIM(I4389))=0),"Preencher nome do indicante",IF(AND(H4389&lt;&gt;1,I4389&lt;&gt;""),"Nome sem indicação interna",IF(AND(G4389=1,F4389=""),"Fechamento sem conversa",IF(OR(AND(E4389&lt;&gt;"",E4389&lt;B4389),AND(F4389&lt;&gt;"",F4389&lt;B4389)),"Evento anterior à entrada",IF(AND(F4389&lt;&gt;"",E4389=""),"Conversa sem agendamento",IF(OR(E4389&gt;TODAY(),F4389&gt;TODAY()),"Verificar evento futuro","OK"))))))))))</f>
        <v/>
      </c>
    </row>
    <row r="4390" spans="12:15">
      <c r="L4390" s="5">
        <f>IF(OR(A4390="",B4390=""),"",B4390-WEEKDAY(B4390,2)+1)</f>
        <v/>
      </c>
      <c r="M4390" s="5">
        <f>IF(L4390="","",L4390+6)</f>
        <v/>
      </c>
      <c r="N4390" s="6">
        <f>IF(OR(A4390="",B4390=""),"",DATE(YEAR(B4390),MONTH(B4390),1))</f>
        <v/>
      </c>
      <c r="O4390" s="7">
        <f>IF(COUNTA(A4390:K4390)=0,"",IF(OR(A4390="",B4390=""),"Preencher CPF e entrada",IF(COUNTIFS($A$12:$A$5011,A4390,$B$12:$B$5011,B4390)&gt;1,"CPF + dia duplicado",IF(OR(AND(G4390&lt;&gt;"",G4390&lt;&gt;0,G4390&lt;&gt;1),AND(H4390&lt;&gt;"",H4390&lt;&gt;0,H4390&lt;&gt;1)),"Flags devem ser 0 ou 1",IF(AND(H4390=1,LEN(TRIM(I4390))=0),"Preencher nome do indicante",IF(AND(H4390&lt;&gt;1,I4390&lt;&gt;""),"Nome sem indicação interna",IF(AND(G4390=1,F4390=""),"Fechamento sem conversa",IF(OR(AND(E4390&lt;&gt;"",E4390&lt;B4390),AND(F4390&lt;&gt;"",F4390&lt;B4390)),"Evento anterior à entrada",IF(AND(F4390&lt;&gt;"",E4390=""),"Conversa sem agendamento",IF(OR(E4390&gt;TODAY(),F4390&gt;TODAY()),"Verificar evento futuro","OK"))))))))))</f>
        <v/>
      </c>
    </row>
    <row r="4391" spans="12:15">
      <c r="L4391" s="5">
        <f>IF(OR(A4391="",B4391=""),"",B4391-WEEKDAY(B4391,2)+1)</f>
        <v/>
      </c>
      <c r="M4391" s="5">
        <f>IF(L4391="","",L4391+6)</f>
        <v/>
      </c>
      <c r="N4391" s="6">
        <f>IF(OR(A4391="",B4391=""),"",DATE(YEAR(B4391),MONTH(B4391),1))</f>
        <v/>
      </c>
      <c r="O4391" s="7">
        <f>IF(COUNTA(A4391:K4391)=0,"",IF(OR(A4391="",B4391=""),"Preencher CPF e entrada",IF(COUNTIFS($A$12:$A$5011,A4391,$B$12:$B$5011,B4391)&gt;1,"CPF + dia duplicado",IF(OR(AND(G4391&lt;&gt;"",G4391&lt;&gt;0,G4391&lt;&gt;1),AND(H4391&lt;&gt;"",H4391&lt;&gt;0,H4391&lt;&gt;1)),"Flags devem ser 0 ou 1",IF(AND(H4391=1,LEN(TRIM(I4391))=0),"Preencher nome do indicante",IF(AND(H4391&lt;&gt;1,I4391&lt;&gt;""),"Nome sem indicação interna",IF(AND(G4391=1,F4391=""),"Fechamento sem conversa",IF(OR(AND(E4391&lt;&gt;"",E4391&lt;B4391),AND(F4391&lt;&gt;"",F4391&lt;B4391)),"Evento anterior à entrada",IF(AND(F4391&lt;&gt;"",E4391=""),"Conversa sem agendamento",IF(OR(E4391&gt;TODAY(),F4391&gt;TODAY()),"Verificar evento futuro","OK"))))))))))</f>
        <v/>
      </c>
    </row>
    <row r="4392" spans="12:15">
      <c r="L4392" s="5">
        <f>IF(OR(A4392="",B4392=""),"",B4392-WEEKDAY(B4392,2)+1)</f>
        <v/>
      </c>
      <c r="M4392" s="5">
        <f>IF(L4392="","",L4392+6)</f>
        <v/>
      </c>
      <c r="N4392" s="6">
        <f>IF(OR(A4392="",B4392=""),"",DATE(YEAR(B4392),MONTH(B4392),1))</f>
        <v/>
      </c>
      <c r="O4392" s="7">
        <f>IF(COUNTA(A4392:K4392)=0,"",IF(OR(A4392="",B4392=""),"Preencher CPF e entrada",IF(COUNTIFS($A$12:$A$5011,A4392,$B$12:$B$5011,B4392)&gt;1,"CPF + dia duplicado",IF(OR(AND(G4392&lt;&gt;"",G4392&lt;&gt;0,G4392&lt;&gt;1),AND(H4392&lt;&gt;"",H4392&lt;&gt;0,H4392&lt;&gt;1)),"Flags devem ser 0 ou 1",IF(AND(H4392=1,LEN(TRIM(I4392))=0),"Preencher nome do indicante",IF(AND(H4392&lt;&gt;1,I4392&lt;&gt;""),"Nome sem indicação interna",IF(AND(G4392=1,F4392=""),"Fechamento sem conversa",IF(OR(AND(E4392&lt;&gt;"",E4392&lt;B4392),AND(F4392&lt;&gt;"",F4392&lt;B4392)),"Evento anterior à entrada",IF(AND(F4392&lt;&gt;"",E4392=""),"Conversa sem agendamento",IF(OR(E4392&gt;TODAY(),F4392&gt;TODAY()),"Verificar evento futuro","OK"))))))))))</f>
        <v/>
      </c>
    </row>
    <row r="4393" spans="12:15">
      <c r="L4393" s="5">
        <f>IF(OR(A4393="",B4393=""),"",B4393-WEEKDAY(B4393,2)+1)</f>
        <v/>
      </c>
      <c r="M4393" s="5">
        <f>IF(L4393="","",L4393+6)</f>
        <v/>
      </c>
      <c r="N4393" s="6">
        <f>IF(OR(A4393="",B4393=""),"",DATE(YEAR(B4393),MONTH(B4393),1))</f>
        <v/>
      </c>
      <c r="O4393" s="7">
        <f>IF(COUNTA(A4393:K4393)=0,"",IF(OR(A4393="",B4393=""),"Preencher CPF e entrada",IF(COUNTIFS($A$12:$A$5011,A4393,$B$12:$B$5011,B4393)&gt;1,"CPF + dia duplicado",IF(OR(AND(G4393&lt;&gt;"",G4393&lt;&gt;0,G4393&lt;&gt;1),AND(H4393&lt;&gt;"",H4393&lt;&gt;0,H4393&lt;&gt;1)),"Flags devem ser 0 ou 1",IF(AND(H4393=1,LEN(TRIM(I4393))=0),"Preencher nome do indicante",IF(AND(H4393&lt;&gt;1,I4393&lt;&gt;""),"Nome sem indicação interna",IF(AND(G4393=1,F4393=""),"Fechamento sem conversa",IF(OR(AND(E4393&lt;&gt;"",E4393&lt;B4393),AND(F4393&lt;&gt;"",F4393&lt;B4393)),"Evento anterior à entrada",IF(AND(F4393&lt;&gt;"",E4393=""),"Conversa sem agendamento",IF(OR(E4393&gt;TODAY(),F4393&gt;TODAY()),"Verificar evento futuro","OK"))))))))))</f>
        <v/>
      </c>
    </row>
    <row r="4394" spans="12:15">
      <c r="L4394" s="5">
        <f>IF(OR(A4394="",B4394=""),"",B4394-WEEKDAY(B4394,2)+1)</f>
        <v/>
      </c>
      <c r="M4394" s="5">
        <f>IF(L4394="","",L4394+6)</f>
        <v/>
      </c>
      <c r="N4394" s="6">
        <f>IF(OR(A4394="",B4394=""),"",DATE(YEAR(B4394),MONTH(B4394),1))</f>
        <v/>
      </c>
      <c r="O4394" s="7">
        <f>IF(COUNTA(A4394:K4394)=0,"",IF(OR(A4394="",B4394=""),"Preencher CPF e entrada",IF(COUNTIFS($A$12:$A$5011,A4394,$B$12:$B$5011,B4394)&gt;1,"CPF + dia duplicado",IF(OR(AND(G4394&lt;&gt;"",G4394&lt;&gt;0,G4394&lt;&gt;1),AND(H4394&lt;&gt;"",H4394&lt;&gt;0,H4394&lt;&gt;1)),"Flags devem ser 0 ou 1",IF(AND(H4394=1,LEN(TRIM(I4394))=0),"Preencher nome do indicante",IF(AND(H4394&lt;&gt;1,I4394&lt;&gt;""),"Nome sem indicação interna",IF(AND(G4394=1,F4394=""),"Fechamento sem conversa",IF(OR(AND(E4394&lt;&gt;"",E4394&lt;B4394),AND(F4394&lt;&gt;"",F4394&lt;B4394)),"Evento anterior à entrada",IF(AND(F4394&lt;&gt;"",E4394=""),"Conversa sem agendamento",IF(OR(E4394&gt;TODAY(),F4394&gt;TODAY()),"Verificar evento futuro","OK"))))))))))</f>
        <v/>
      </c>
    </row>
    <row r="4395" spans="12:15">
      <c r="L4395" s="5">
        <f>IF(OR(A4395="",B4395=""),"",B4395-WEEKDAY(B4395,2)+1)</f>
        <v/>
      </c>
      <c r="M4395" s="5">
        <f>IF(L4395="","",L4395+6)</f>
        <v/>
      </c>
      <c r="N4395" s="6">
        <f>IF(OR(A4395="",B4395=""),"",DATE(YEAR(B4395),MONTH(B4395),1))</f>
        <v/>
      </c>
      <c r="O4395" s="7">
        <f>IF(COUNTA(A4395:K4395)=0,"",IF(OR(A4395="",B4395=""),"Preencher CPF e entrada",IF(COUNTIFS($A$12:$A$5011,A4395,$B$12:$B$5011,B4395)&gt;1,"CPF + dia duplicado",IF(OR(AND(G4395&lt;&gt;"",G4395&lt;&gt;0,G4395&lt;&gt;1),AND(H4395&lt;&gt;"",H4395&lt;&gt;0,H4395&lt;&gt;1)),"Flags devem ser 0 ou 1",IF(AND(H4395=1,LEN(TRIM(I4395))=0),"Preencher nome do indicante",IF(AND(H4395&lt;&gt;1,I4395&lt;&gt;""),"Nome sem indicação interna",IF(AND(G4395=1,F4395=""),"Fechamento sem conversa",IF(OR(AND(E4395&lt;&gt;"",E4395&lt;B4395),AND(F4395&lt;&gt;"",F4395&lt;B4395)),"Evento anterior à entrada",IF(AND(F4395&lt;&gt;"",E4395=""),"Conversa sem agendamento",IF(OR(E4395&gt;TODAY(),F4395&gt;TODAY()),"Verificar evento futuro","OK"))))))))))</f>
        <v/>
      </c>
    </row>
    <row r="4396" spans="12:15">
      <c r="L4396" s="5">
        <f>IF(OR(A4396="",B4396=""),"",B4396-WEEKDAY(B4396,2)+1)</f>
        <v/>
      </c>
      <c r="M4396" s="5">
        <f>IF(L4396="","",L4396+6)</f>
        <v/>
      </c>
      <c r="N4396" s="6">
        <f>IF(OR(A4396="",B4396=""),"",DATE(YEAR(B4396),MONTH(B4396),1))</f>
        <v/>
      </c>
      <c r="O4396" s="7">
        <f>IF(COUNTA(A4396:K4396)=0,"",IF(OR(A4396="",B4396=""),"Preencher CPF e entrada",IF(COUNTIFS($A$12:$A$5011,A4396,$B$12:$B$5011,B4396)&gt;1,"CPF + dia duplicado",IF(OR(AND(G4396&lt;&gt;"",G4396&lt;&gt;0,G4396&lt;&gt;1),AND(H4396&lt;&gt;"",H4396&lt;&gt;0,H4396&lt;&gt;1)),"Flags devem ser 0 ou 1",IF(AND(H4396=1,LEN(TRIM(I4396))=0),"Preencher nome do indicante",IF(AND(H4396&lt;&gt;1,I4396&lt;&gt;""),"Nome sem indicação interna",IF(AND(G4396=1,F4396=""),"Fechamento sem conversa",IF(OR(AND(E4396&lt;&gt;"",E4396&lt;B4396),AND(F4396&lt;&gt;"",F4396&lt;B4396)),"Evento anterior à entrada",IF(AND(F4396&lt;&gt;"",E4396=""),"Conversa sem agendamento",IF(OR(E4396&gt;TODAY(),F4396&gt;TODAY()),"Verificar evento futuro","OK"))))))))))</f>
        <v/>
      </c>
    </row>
    <row r="4397" spans="12:15">
      <c r="L4397" s="5">
        <f>IF(OR(A4397="",B4397=""),"",B4397-WEEKDAY(B4397,2)+1)</f>
        <v/>
      </c>
      <c r="M4397" s="5">
        <f>IF(L4397="","",L4397+6)</f>
        <v/>
      </c>
      <c r="N4397" s="6">
        <f>IF(OR(A4397="",B4397=""),"",DATE(YEAR(B4397),MONTH(B4397),1))</f>
        <v/>
      </c>
      <c r="O4397" s="7">
        <f>IF(COUNTA(A4397:K4397)=0,"",IF(OR(A4397="",B4397=""),"Preencher CPF e entrada",IF(COUNTIFS($A$12:$A$5011,A4397,$B$12:$B$5011,B4397)&gt;1,"CPF + dia duplicado",IF(OR(AND(G4397&lt;&gt;"",G4397&lt;&gt;0,G4397&lt;&gt;1),AND(H4397&lt;&gt;"",H4397&lt;&gt;0,H4397&lt;&gt;1)),"Flags devem ser 0 ou 1",IF(AND(H4397=1,LEN(TRIM(I4397))=0),"Preencher nome do indicante",IF(AND(H4397&lt;&gt;1,I4397&lt;&gt;""),"Nome sem indicação interna",IF(AND(G4397=1,F4397=""),"Fechamento sem conversa",IF(OR(AND(E4397&lt;&gt;"",E4397&lt;B4397),AND(F4397&lt;&gt;"",F4397&lt;B4397)),"Evento anterior à entrada",IF(AND(F4397&lt;&gt;"",E4397=""),"Conversa sem agendamento",IF(OR(E4397&gt;TODAY(),F4397&gt;TODAY()),"Verificar evento futuro","OK"))))))))))</f>
        <v/>
      </c>
    </row>
    <row r="4398" spans="12:15">
      <c r="L4398" s="5">
        <f>IF(OR(A4398="",B4398=""),"",B4398-WEEKDAY(B4398,2)+1)</f>
        <v/>
      </c>
      <c r="M4398" s="5">
        <f>IF(L4398="","",L4398+6)</f>
        <v/>
      </c>
      <c r="N4398" s="6">
        <f>IF(OR(A4398="",B4398=""),"",DATE(YEAR(B4398),MONTH(B4398),1))</f>
        <v/>
      </c>
      <c r="O4398" s="7">
        <f>IF(COUNTA(A4398:K4398)=0,"",IF(OR(A4398="",B4398=""),"Preencher CPF e entrada",IF(COUNTIFS($A$12:$A$5011,A4398,$B$12:$B$5011,B4398)&gt;1,"CPF + dia duplicado",IF(OR(AND(G4398&lt;&gt;"",G4398&lt;&gt;0,G4398&lt;&gt;1),AND(H4398&lt;&gt;"",H4398&lt;&gt;0,H4398&lt;&gt;1)),"Flags devem ser 0 ou 1",IF(AND(H4398=1,LEN(TRIM(I4398))=0),"Preencher nome do indicante",IF(AND(H4398&lt;&gt;1,I4398&lt;&gt;""),"Nome sem indicação interna",IF(AND(G4398=1,F4398=""),"Fechamento sem conversa",IF(OR(AND(E4398&lt;&gt;"",E4398&lt;B4398),AND(F4398&lt;&gt;"",F4398&lt;B4398)),"Evento anterior à entrada",IF(AND(F4398&lt;&gt;"",E4398=""),"Conversa sem agendamento",IF(OR(E4398&gt;TODAY(),F4398&gt;TODAY()),"Verificar evento futuro","OK"))))))))))</f>
        <v/>
      </c>
    </row>
    <row r="4399" spans="12:15">
      <c r="L4399" s="5">
        <f>IF(OR(A4399="",B4399=""),"",B4399-WEEKDAY(B4399,2)+1)</f>
        <v/>
      </c>
      <c r="M4399" s="5">
        <f>IF(L4399="","",L4399+6)</f>
        <v/>
      </c>
      <c r="N4399" s="6">
        <f>IF(OR(A4399="",B4399=""),"",DATE(YEAR(B4399),MONTH(B4399),1))</f>
        <v/>
      </c>
      <c r="O4399" s="7">
        <f>IF(COUNTA(A4399:K4399)=0,"",IF(OR(A4399="",B4399=""),"Preencher CPF e entrada",IF(COUNTIFS($A$12:$A$5011,A4399,$B$12:$B$5011,B4399)&gt;1,"CPF + dia duplicado",IF(OR(AND(G4399&lt;&gt;"",G4399&lt;&gt;0,G4399&lt;&gt;1),AND(H4399&lt;&gt;"",H4399&lt;&gt;0,H4399&lt;&gt;1)),"Flags devem ser 0 ou 1",IF(AND(H4399=1,LEN(TRIM(I4399))=0),"Preencher nome do indicante",IF(AND(H4399&lt;&gt;1,I4399&lt;&gt;""),"Nome sem indicação interna",IF(AND(G4399=1,F4399=""),"Fechamento sem conversa",IF(OR(AND(E4399&lt;&gt;"",E4399&lt;B4399),AND(F4399&lt;&gt;"",F4399&lt;B4399)),"Evento anterior à entrada",IF(AND(F4399&lt;&gt;"",E4399=""),"Conversa sem agendamento",IF(OR(E4399&gt;TODAY(),F4399&gt;TODAY()),"Verificar evento futuro","OK"))))))))))</f>
        <v/>
      </c>
    </row>
    <row r="4400" spans="12:15">
      <c r="L4400" s="5">
        <f>IF(OR(A4400="",B4400=""),"",B4400-WEEKDAY(B4400,2)+1)</f>
        <v/>
      </c>
      <c r="M4400" s="5">
        <f>IF(L4400="","",L4400+6)</f>
        <v/>
      </c>
      <c r="N4400" s="6">
        <f>IF(OR(A4400="",B4400=""),"",DATE(YEAR(B4400),MONTH(B4400),1))</f>
        <v/>
      </c>
      <c r="O4400" s="7">
        <f>IF(COUNTA(A4400:K4400)=0,"",IF(OR(A4400="",B4400=""),"Preencher CPF e entrada",IF(COUNTIFS($A$12:$A$5011,A4400,$B$12:$B$5011,B4400)&gt;1,"CPF + dia duplicado",IF(OR(AND(G4400&lt;&gt;"",G4400&lt;&gt;0,G4400&lt;&gt;1),AND(H4400&lt;&gt;"",H4400&lt;&gt;0,H4400&lt;&gt;1)),"Flags devem ser 0 ou 1",IF(AND(H4400=1,LEN(TRIM(I4400))=0),"Preencher nome do indicante",IF(AND(H4400&lt;&gt;1,I4400&lt;&gt;""),"Nome sem indicação interna",IF(AND(G4400=1,F4400=""),"Fechamento sem conversa",IF(OR(AND(E4400&lt;&gt;"",E4400&lt;B4400),AND(F4400&lt;&gt;"",F4400&lt;B4400)),"Evento anterior à entrada",IF(AND(F4400&lt;&gt;"",E4400=""),"Conversa sem agendamento",IF(OR(E4400&gt;TODAY(),F4400&gt;TODAY()),"Verificar evento futuro","OK"))))))))))</f>
        <v/>
      </c>
    </row>
    <row r="4401" spans="12:15">
      <c r="L4401" s="5">
        <f>IF(OR(A4401="",B4401=""),"",B4401-WEEKDAY(B4401,2)+1)</f>
        <v/>
      </c>
      <c r="M4401" s="5">
        <f>IF(L4401="","",L4401+6)</f>
        <v/>
      </c>
      <c r="N4401" s="6">
        <f>IF(OR(A4401="",B4401=""),"",DATE(YEAR(B4401),MONTH(B4401),1))</f>
        <v/>
      </c>
      <c r="O4401" s="7">
        <f>IF(COUNTA(A4401:K4401)=0,"",IF(OR(A4401="",B4401=""),"Preencher CPF e entrada",IF(COUNTIFS($A$12:$A$5011,A4401,$B$12:$B$5011,B4401)&gt;1,"CPF + dia duplicado",IF(OR(AND(G4401&lt;&gt;"",G4401&lt;&gt;0,G4401&lt;&gt;1),AND(H4401&lt;&gt;"",H4401&lt;&gt;0,H4401&lt;&gt;1)),"Flags devem ser 0 ou 1",IF(AND(H4401=1,LEN(TRIM(I4401))=0),"Preencher nome do indicante",IF(AND(H4401&lt;&gt;1,I4401&lt;&gt;""),"Nome sem indicação interna",IF(AND(G4401=1,F4401=""),"Fechamento sem conversa",IF(OR(AND(E4401&lt;&gt;"",E4401&lt;B4401),AND(F4401&lt;&gt;"",F4401&lt;B4401)),"Evento anterior à entrada",IF(AND(F4401&lt;&gt;"",E4401=""),"Conversa sem agendamento",IF(OR(E4401&gt;TODAY(),F4401&gt;TODAY()),"Verificar evento futuro","OK"))))))))))</f>
        <v/>
      </c>
    </row>
    <row r="4402" spans="12:15">
      <c r="L4402" s="5">
        <f>IF(OR(A4402="",B4402=""),"",B4402-WEEKDAY(B4402,2)+1)</f>
        <v/>
      </c>
      <c r="M4402" s="5">
        <f>IF(L4402="","",L4402+6)</f>
        <v/>
      </c>
      <c r="N4402" s="6">
        <f>IF(OR(A4402="",B4402=""),"",DATE(YEAR(B4402),MONTH(B4402),1))</f>
        <v/>
      </c>
      <c r="O4402" s="7">
        <f>IF(COUNTA(A4402:K4402)=0,"",IF(OR(A4402="",B4402=""),"Preencher CPF e entrada",IF(COUNTIFS($A$12:$A$5011,A4402,$B$12:$B$5011,B4402)&gt;1,"CPF + dia duplicado",IF(OR(AND(G4402&lt;&gt;"",G4402&lt;&gt;0,G4402&lt;&gt;1),AND(H4402&lt;&gt;"",H4402&lt;&gt;0,H4402&lt;&gt;1)),"Flags devem ser 0 ou 1",IF(AND(H4402=1,LEN(TRIM(I4402))=0),"Preencher nome do indicante",IF(AND(H4402&lt;&gt;1,I4402&lt;&gt;""),"Nome sem indicação interna",IF(AND(G4402=1,F4402=""),"Fechamento sem conversa",IF(OR(AND(E4402&lt;&gt;"",E4402&lt;B4402),AND(F4402&lt;&gt;"",F4402&lt;B4402)),"Evento anterior à entrada",IF(AND(F4402&lt;&gt;"",E4402=""),"Conversa sem agendamento",IF(OR(E4402&gt;TODAY(),F4402&gt;TODAY()),"Verificar evento futuro","OK"))))))))))</f>
        <v/>
      </c>
    </row>
    <row r="4403" spans="12:15">
      <c r="L4403" s="5">
        <f>IF(OR(A4403="",B4403=""),"",B4403-WEEKDAY(B4403,2)+1)</f>
        <v/>
      </c>
      <c r="M4403" s="5">
        <f>IF(L4403="","",L4403+6)</f>
        <v/>
      </c>
      <c r="N4403" s="6">
        <f>IF(OR(A4403="",B4403=""),"",DATE(YEAR(B4403),MONTH(B4403),1))</f>
        <v/>
      </c>
      <c r="O4403" s="7">
        <f>IF(COUNTA(A4403:K4403)=0,"",IF(OR(A4403="",B4403=""),"Preencher CPF e entrada",IF(COUNTIFS($A$12:$A$5011,A4403,$B$12:$B$5011,B4403)&gt;1,"CPF + dia duplicado",IF(OR(AND(G4403&lt;&gt;"",G4403&lt;&gt;0,G4403&lt;&gt;1),AND(H4403&lt;&gt;"",H4403&lt;&gt;0,H4403&lt;&gt;1)),"Flags devem ser 0 ou 1",IF(AND(H4403=1,LEN(TRIM(I4403))=0),"Preencher nome do indicante",IF(AND(H4403&lt;&gt;1,I4403&lt;&gt;""),"Nome sem indicação interna",IF(AND(G4403=1,F4403=""),"Fechamento sem conversa",IF(OR(AND(E4403&lt;&gt;"",E4403&lt;B4403),AND(F4403&lt;&gt;"",F4403&lt;B4403)),"Evento anterior à entrada",IF(AND(F4403&lt;&gt;"",E4403=""),"Conversa sem agendamento",IF(OR(E4403&gt;TODAY(),F4403&gt;TODAY()),"Verificar evento futuro","OK"))))))))))</f>
        <v/>
      </c>
    </row>
    <row r="4404" spans="12:15">
      <c r="L4404" s="5">
        <f>IF(OR(A4404="",B4404=""),"",B4404-WEEKDAY(B4404,2)+1)</f>
        <v/>
      </c>
      <c r="M4404" s="5">
        <f>IF(L4404="","",L4404+6)</f>
        <v/>
      </c>
      <c r="N4404" s="6">
        <f>IF(OR(A4404="",B4404=""),"",DATE(YEAR(B4404),MONTH(B4404),1))</f>
        <v/>
      </c>
      <c r="O4404" s="7">
        <f>IF(COUNTA(A4404:K4404)=0,"",IF(OR(A4404="",B4404=""),"Preencher CPF e entrada",IF(COUNTIFS($A$12:$A$5011,A4404,$B$12:$B$5011,B4404)&gt;1,"CPF + dia duplicado",IF(OR(AND(G4404&lt;&gt;"",G4404&lt;&gt;0,G4404&lt;&gt;1),AND(H4404&lt;&gt;"",H4404&lt;&gt;0,H4404&lt;&gt;1)),"Flags devem ser 0 ou 1",IF(AND(H4404=1,LEN(TRIM(I4404))=0),"Preencher nome do indicante",IF(AND(H4404&lt;&gt;1,I4404&lt;&gt;""),"Nome sem indicação interna",IF(AND(G4404=1,F4404=""),"Fechamento sem conversa",IF(OR(AND(E4404&lt;&gt;"",E4404&lt;B4404),AND(F4404&lt;&gt;"",F4404&lt;B4404)),"Evento anterior à entrada",IF(AND(F4404&lt;&gt;"",E4404=""),"Conversa sem agendamento",IF(OR(E4404&gt;TODAY(),F4404&gt;TODAY()),"Verificar evento futuro","OK"))))))))))</f>
        <v/>
      </c>
    </row>
    <row r="4405" spans="12:15">
      <c r="L4405" s="5">
        <f>IF(OR(A4405="",B4405=""),"",B4405-WEEKDAY(B4405,2)+1)</f>
        <v/>
      </c>
      <c r="M4405" s="5">
        <f>IF(L4405="","",L4405+6)</f>
        <v/>
      </c>
      <c r="N4405" s="6">
        <f>IF(OR(A4405="",B4405=""),"",DATE(YEAR(B4405),MONTH(B4405),1))</f>
        <v/>
      </c>
      <c r="O4405" s="7">
        <f>IF(COUNTA(A4405:K4405)=0,"",IF(OR(A4405="",B4405=""),"Preencher CPF e entrada",IF(COUNTIFS($A$12:$A$5011,A4405,$B$12:$B$5011,B4405)&gt;1,"CPF + dia duplicado",IF(OR(AND(G4405&lt;&gt;"",G4405&lt;&gt;0,G4405&lt;&gt;1),AND(H4405&lt;&gt;"",H4405&lt;&gt;0,H4405&lt;&gt;1)),"Flags devem ser 0 ou 1",IF(AND(H4405=1,LEN(TRIM(I4405))=0),"Preencher nome do indicante",IF(AND(H4405&lt;&gt;1,I4405&lt;&gt;""),"Nome sem indicação interna",IF(AND(G4405=1,F4405=""),"Fechamento sem conversa",IF(OR(AND(E4405&lt;&gt;"",E4405&lt;B4405),AND(F4405&lt;&gt;"",F4405&lt;B4405)),"Evento anterior à entrada",IF(AND(F4405&lt;&gt;"",E4405=""),"Conversa sem agendamento",IF(OR(E4405&gt;TODAY(),F4405&gt;TODAY()),"Verificar evento futuro","OK"))))))))))</f>
        <v/>
      </c>
    </row>
    <row r="4406" spans="12:15">
      <c r="L4406" s="5">
        <f>IF(OR(A4406="",B4406=""),"",B4406-WEEKDAY(B4406,2)+1)</f>
        <v/>
      </c>
      <c r="M4406" s="5">
        <f>IF(L4406="","",L4406+6)</f>
        <v/>
      </c>
      <c r="N4406" s="6">
        <f>IF(OR(A4406="",B4406=""),"",DATE(YEAR(B4406),MONTH(B4406),1))</f>
        <v/>
      </c>
      <c r="O4406" s="7">
        <f>IF(COUNTA(A4406:K4406)=0,"",IF(OR(A4406="",B4406=""),"Preencher CPF e entrada",IF(COUNTIFS($A$12:$A$5011,A4406,$B$12:$B$5011,B4406)&gt;1,"CPF + dia duplicado",IF(OR(AND(G4406&lt;&gt;"",G4406&lt;&gt;0,G4406&lt;&gt;1),AND(H4406&lt;&gt;"",H4406&lt;&gt;0,H4406&lt;&gt;1)),"Flags devem ser 0 ou 1",IF(AND(H4406=1,LEN(TRIM(I4406))=0),"Preencher nome do indicante",IF(AND(H4406&lt;&gt;1,I4406&lt;&gt;""),"Nome sem indicação interna",IF(AND(G4406=1,F4406=""),"Fechamento sem conversa",IF(OR(AND(E4406&lt;&gt;"",E4406&lt;B4406),AND(F4406&lt;&gt;"",F4406&lt;B4406)),"Evento anterior à entrada",IF(AND(F4406&lt;&gt;"",E4406=""),"Conversa sem agendamento",IF(OR(E4406&gt;TODAY(),F4406&gt;TODAY()),"Verificar evento futuro","OK"))))))))))</f>
        <v/>
      </c>
    </row>
    <row r="4407" spans="12:15">
      <c r="L4407" s="5">
        <f>IF(OR(A4407="",B4407=""),"",B4407-WEEKDAY(B4407,2)+1)</f>
        <v/>
      </c>
      <c r="M4407" s="5">
        <f>IF(L4407="","",L4407+6)</f>
        <v/>
      </c>
      <c r="N4407" s="6">
        <f>IF(OR(A4407="",B4407=""),"",DATE(YEAR(B4407),MONTH(B4407),1))</f>
        <v/>
      </c>
      <c r="O4407" s="7">
        <f>IF(COUNTA(A4407:K4407)=0,"",IF(OR(A4407="",B4407=""),"Preencher CPF e entrada",IF(COUNTIFS($A$12:$A$5011,A4407,$B$12:$B$5011,B4407)&gt;1,"CPF + dia duplicado",IF(OR(AND(G4407&lt;&gt;"",G4407&lt;&gt;0,G4407&lt;&gt;1),AND(H4407&lt;&gt;"",H4407&lt;&gt;0,H4407&lt;&gt;1)),"Flags devem ser 0 ou 1",IF(AND(H4407=1,LEN(TRIM(I4407))=0),"Preencher nome do indicante",IF(AND(H4407&lt;&gt;1,I4407&lt;&gt;""),"Nome sem indicação interna",IF(AND(G4407=1,F4407=""),"Fechamento sem conversa",IF(OR(AND(E4407&lt;&gt;"",E4407&lt;B4407),AND(F4407&lt;&gt;"",F4407&lt;B4407)),"Evento anterior à entrada",IF(AND(F4407&lt;&gt;"",E4407=""),"Conversa sem agendamento",IF(OR(E4407&gt;TODAY(),F4407&gt;TODAY()),"Verificar evento futuro","OK"))))))))))</f>
        <v/>
      </c>
    </row>
    <row r="4408" spans="12:15">
      <c r="L4408" s="5">
        <f>IF(OR(A4408="",B4408=""),"",B4408-WEEKDAY(B4408,2)+1)</f>
        <v/>
      </c>
      <c r="M4408" s="5">
        <f>IF(L4408="","",L4408+6)</f>
        <v/>
      </c>
      <c r="N4408" s="6">
        <f>IF(OR(A4408="",B4408=""),"",DATE(YEAR(B4408),MONTH(B4408),1))</f>
        <v/>
      </c>
      <c r="O4408" s="7">
        <f>IF(COUNTA(A4408:K4408)=0,"",IF(OR(A4408="",B4408=""),"Preencher CPF e entrada",IF(COUNTIFS($A$12:$A$5011,A4408,$B$12:$B$5011,B4408)&gt;1,"CPF + dia duplicado",IF(OR(AND(G4408&lt;&gt;"",G4408&lt;&gt;0,G4408&lt;&gt;1),AND(H4408&lt;&gt;"",H4408&lt;&gt;0,H4408&lt;&gt;1)),"Flags devem ser 0 ou 1",IF(AND(H4408=1,LEN(TRIM(I4408))=0),"Preencher nome do indicante",IF(AND(H4408&lt;&gt;1,I4408&lt;&gt;""),"Nome sem indicação interna",IF(AND(G4408=1,F4408=""),"Fechamento sem conversa",IF(OR(AND(E4408&lt;&gt;"",E4408&lt;B4408),AND(F4408&lt;&gt;"",F4408&lt;B4408)),"Evento anterior à entrada",IF(AND(F4408&lt;&gt;"",E4408=""),"Conversa sem agendamento",IF(OR(E4408&gt;TODAY(),F4408&gt;TODAY()),"Verificar evento futuro","OK"))))))))))</f>
        <v/>
      </c>
    </row>
    <row r="4409" spans="12:15">
      <c r="L4409" s="5">
        <f>IF(OR(A4409="",B4409=""),"",B4409-WEEKDAY(B4409,2)+1)</f>
        <v/>
      </c>
      <c r="M4409" s="5">
        <f>IF(L4409="","",L4409+6)</f>
        <v/>
      </c>
      <c r="N4409" s="6">
        <f>IF(OR(A4409="",B4409=""),"",DATE(YEAR(B4409),MONTH(B4409),1))</f>
        <v/>
      </c>
      <c r="O4409" s="7">
        <f>IF(COUNTA(A4409:K4409)=0,"",IF(OR(A4409="",B4409=""),"Preencher CPF e entrada",IF(COUNTIFS($A$12:$A$5011,A4409,$B$12:$B$5011,B4409)&gt;1,"CPF + dia duplicado",IF(OR(AND(G4409&lt;&gt;"",G4409&lt;&gt;0,G4409&lt;&gt;1),AND(H4409&lt;&gt;"",H4409&lt;&gt;0,H4409&lt;&gt;1)),"Flags devem ser 0 ou 1",IF(AND(H4409=1,LEN(TRIM(I4409))=0),"Preencher nome do indicante",IF(AND(H4409&lt;&gt;1,I4409&lt;&gt;""),"Nome sem indicação interna",IF(AND(G4409=1,F4409=""),"Fechamento sem conversa",IF(OR(AND(E4409&lt;&gt;"",E4409&lt;B4409),AND(F4409&lt;&gt;"",F4409&lt;B4409)),"Evento anterior à entrada",IF(AND(F4409&lt;&gt;"",E4409=""),"Conversa sem agendamento",IF(OR(E4409&gt;TODAY(),F4409&gt;TODAY()),"Verificar evento futuro","OK"))))))))))</f>
        <v/>
      </c>
    </row>
    <row r="4410" spans="12:15">
      <c r="L4410" s="5">
        <f>IF(OR(A4410="",B4410=""),"",B4410-WEEKDAY(B4410,2)+1)</f>
        <v/>
      </c>
      <c r="M4410" s="5">
        <f>IF(L4410="","",L4410+6)</f>
        <v/>
      </c>
      <c r="N4410" s="6">
        <f>IF(OR(A4410="",B4410=""),"",DATE(YEAR(B4410),MONTH(B4410),1))</f>
        <v/>
      </c>
      <c r="O4410" s="7">
        <f>IF(COUNTA(A4410:K4410)=0,"",IF(OR(A4410="",B4410=""),"Preencher CPF e entrada",IF(COUNTIFS($A$12:$A$5011,A4410,$B$12:$B$5011,B4410)&gt;1,"CPF + dia duplicado",IF(OR(AND(G4410&lt;&gt;"",G4410&lt;&gt;0,G4410&lt;&gt;1),AND(H4410&lt;&gt;"",H4410&lt;&gt;0,H4410&lt;&gt;1)),"Flags devem ser 0 ou 1",IF(AND(H4410=1,LEN(TRIM(I4410))=0),"Preencher nome do indicante",IF(AND(H4410&lt;&gt;1,I4410&lt;&gt;""),"Nome sem indicação interna",IF(AND(G4410=1,F4410=""),"Fechamento sem conversa",IF(OR(AND(E4410&lt;&gt;"",E4410&lt;B4410),AND(F4410&lt;&gt;"",F4410&lt;B4410)),"Evento anterior à entrada",IF(AND(F4410&lt;&gt;"",E4410=""),"Conversa sem agendamento",IF(OR(E4410&gt;TODAY(),F4410&gt;TODAY()),"Verificar evento futuro","OK"))))))))))</f>
        <v/>
      </c>
    </row>
    <row r="4411" spans="12:15">
      <c r="L4411" s="5">
        <f>IF(OR(A4411="",B4411=""),"",B4411-WEEKDAY(B4411,2)+1)</f>
        <v/>
      </c>
      <c r="M4411" s="5">
        <f>IF(L4411="","",L4411+6)</f>
        <v/>
      </c>
      <c r="N4411" s="6">
        <f>IF(OR(A4411="",B4411=""),"",DATE(YEAR(B4411),MONTH(B4411),1))</f>
        <v/>
      </c>
      <c r="O4411" s="7">
        <f>IF(COUNTA(A4411:K4411)=0,"",IF(OR(A4411="",B4411=""),"Preencher CPF e entrada",IF(COUNTIFS($A$12:$A$5011,A4411,$B$12:$B$5011,B4411)&gt;1,"CPF + dia duplicado",IF(OR(AND(G4411&lt;&gt;"",G4411&lt;&gt;0,G4411&lt;&gt;1),AND(H4411&lt;&gt;"",H4411&lt;&gt;0,H4411&lt;&gt;1)),"Flags devem ser 0 ou 1",IF(AND(H4411=1,LEN(TRIM(I4411))=0),"Preencher nome do indicante",IF(AND(H4411&lt;&gt;1,I4411&lt;&gt;""),"Nome sem indicação interna",IF(AND(G4411=1,F4411=""),"Fechamento sem conversa",IF(OR(AND(E4411&lt;&gt;"",E4411&lt;B4411),AND(F4411&lt;&gt;"",F4411&lt;B4411)),"Evento anterior à entrada",IF(AND(F4411&lt;&gt;"",E4411=""),"Conversa sem agendamento",IF(OR(E4411&gt;TODAY(),F4411&gt;TODAY()),"Verificar evento futuro","OK"))))))))))</f>
        <v/>
      </c>
    </row>
    <row r="4412" spans="12:15">
      <c r="L4412" s="5">
        <f>IF(OR(A4412="",B4412=""),"",B4412-WEEKDAY(B4412,2)+1)</f>
        <v/>
      </c>
      <c r="M4412" s="5">
        <f>IF(L4412="","",L4412+6)</f>
        <v/>
      </c>
      <c r="N4412" s="6">
        <f>IF(OR(A4412="",B4412=""),"",DATE(YEAR(B4412),MONTH(B4412),1))</f>
        <v/>
      </c>
      <c r="O4412" s="7">
        <f>IF(COUNTA(A4412:K4412)=0,"",IF(OR(A4412="",B4412=""),"Preencher CPF e entrada",IF(COUNTIFS($A$12:$A$5011,A4412,$B$12:$B$5011,B4412)&gt;1,"CPF + dia duplicado",IF(OR(AND(G4412&lt;&gt;"",G4412&lt;&gt;0,G4412&lt;&gt;1),AND(H4412&lt;&gt;"",H4412&lt;&gt;0,H4412&lt;&gt;1)),"Flags devem ser 0 ou 1",IF(AND(H4412=1,LEN(TRIM(I4412))=0),"Preencher nome do indicante",IF(AND(H4412&lt;&gt;1,I4412&lt;&gt;""),"Nome sem indicação interna",IF(AND(G4412=1,F4412=""),"Fechamento sem conversa",IF(OR(AND(E4412&lt;&gt;"",E4412&lt;B4412),AND(F4412&lt;&gt;"",F4412&lt;B4412)),"Evento anterior à entrada",IF(AND(F4412&lt;&gt;"",E4412=""),"Conversa sem agendamento",IF(OR(E4412&gt;TODAY(),F4412&gt;TODAY()),"Verificar evento futuro","OK"))))))))))</f>
        <v/>
      </c>
    </row>
    <row r="4413" spans="12:15">
      <c r="L4413" s="5">
        <f>IF(OR(A4413="",B4413=""),"",B4413-WEEKDAY(B4413,2)+1)</f>
        <v/>
      </c>
      <c r="M4413" s="5">
        <f>IF(L4413="","",L4413+6)</f>
        <v/>
      </c>
      <c r="N4413" s="6">
        <f>IF(OR(A4413="",B4413=""),"",DATE(YEAR(B4413),MONTH(B4413),1))</f>
        <v/>
      </c>
      <c r="O4413" s="7">
        <f>IF(COUNTA(A4413:K4413)=0,"",IF(OR(A4413="",B4413=""),"Preencher CPF e entrada",IF(COUNTIFS($A$12:$A$5011,A4413,$B$12:$B$5011,B4413)&gt;1,"CPF + dia duplicado",IF(OR(AND(G4413&lt;&gt;"",G4413&lt;&gt;0,G4413&lt;&gt;1),AND(H4413&lt;&gt;"",H4413&lt;&gt;0,H4413&lt;&gt;1)),"Flags devem ser 0 ou 1",IF(AND(H4413=1,LEN(TRIM(I4413))=0),"Preencher nome do indicante",IF(AND(H4413&lt;&gt;1,I4413&lt;&gt;""),"Nome sem indicação interna",IF(AND(G4413=1,F4413=""),"Fechamento sem conversa",IF(OR(AND(E4413&lt;&gt;"",E4413&lt;B4413),AND(F4413&lt;&gt;"",F4413&lt;B4413)),"Evento anterior à entrada",IF(AND(F4413&lt;&gt;"",E4413=""),"Conversa sem agendamento",IF(OR(E4413&gt;TODAY(),F4413&gt;TODAY()),"Verificar evento futuro","OK"))))))))))</f>
        <v/>
      </c>
    </row>
    <row r="4414" spans="12:15">
      <c r="L4414" s="5">
        <f>IF(OR(A4414="",B4414=""),"",B4414-WEEKDAY(B4414,2)+1)</f>
        <v/>
      </c>
      <c r="M4414" s="5">
        <f>IF(L4414="","",L4414+6)</f>
        <v/>
      </c>
      <c r="N4414" s="6">
        <f>IF(OR(A4414="",B4414=""),"",DATE(YEAR(B4414),MONTH(B4414),1))</f>
        <v/>
      </c>
      <c r="O4414" s="7">
        <f>IF(COUNTA(A4414:K4414)=0,"",IF(OR(A4414="",B4414=""),"Preencher CPF e entrada",IF(COUNTIFS($A$12:$A$5011,A4414,$B$12:$B$5011,B4414)&gt;1,"CPF + dia duplicado",IF(OR(AND(G4414&lt;&gt;"",G4414&lt;&gt;0,G4414&lt;&gt;1),AND(H4414&lt;&gt;"",H4414&lt;&gt;0,H4414&lt;&gt;1)),"Flags devem ser 0 ou 1",IF(AND(H4414=1,LEN(TRIM(I4414))=0),"Preencher nome do indicante",IF(AND(H4414&lt;&gt;1,I4414&lt;&gt;""),"Nome sem indicação interna",IF(AND(G4414=1,F4414=""),"Fechamento sem conversa",IF(OR(AND(E4414&lt;&gt;"",E4414&lt;B4414),AND(F4414&lt;&gt;"",F4414&lt;B4414)),"Evento anterior à entrada",IF(AND(F4414&lt;&gt;"",E4414=""),"Conversa sem agendamento",IF(OR(E4414&gt;TODAY(),F4414&gt;TODAY()),"Verificar evento futuro","OK"))))))))))</f>
        <v/>
      </c>
    </row>
    <row r="4415" spans="12:15">
      <c r="L4415" s="5">
        <f>IF(OR(A4415="",B4415=""),"",B4415-WEEKDAY(B4415,2)+1)</f>
        <v/>
      </c>
      <c r="M4415" s="5">
        <f>IF(L4415="","",L4415+6)</f>
        <v/>
      </c>
      <c r="N4415" s="6">
        <f>IF(OR(A4415="",B4415=""),"",DATE(YEAR(B4415),MONTH(B4415),1))</f>
        <v/>
      </c>
      <c r="O4415" s="7">
        <f>IF(COUNTA(A4415:K4415)=0,"",IF(OR(A4415="",B4415=""),"Preencher CPF e entrada",IF(COUNTIFS($A$12:$A$5011,A4415,$B$12:$B$5011,B4415)&gt;1,"CPF + dia duplicado",IF(OR(AND(G4415&lt;&gt;"",G4415&lt;&gt;0,G4415&lt;&gt;1),AND(H4415&lt;&gt;"",H4415&lt;&gt;0,H4415&lt;&gt;1)),"Flags devem ser 0 ou 1",IF(AND(H4415=1,LEN(TRIM(I4415))=0),"Preencher nome do indicante",IF(AND(H4415&lt;&gt;1,I4415&lt;&gt;""),"Nome sem indicação interna",IF(AND(G4415=1,F4415=""),"Fechamento sem conversa",IF(OR(AND(E4415&lt;&gt;"",E4415&lt;B4415),AND(F4415&lt;&gt;"",F4415&lt;B4415)),"Evento anterior à entrada",IF(AND(F4415&lt;&gt;"",E4415=""),"Conversa sem agendamento",IF(OR(E4415&gt;TODAY(),F4415&gt;TODAY()),"Verificar evento futuro","OK"))))))))))</f>
        <v/>
      </c>
    </row>
    <row r="4416" spans="12:15">
      <c r="L4416" s="5">
        <f>IF(OR(A4416="",B4416=""),"",B4416-WEEKDAY(B4416,2)+1)</f>
        <v/>
      </c>
      <c r="M4416" s="5">
        <f>IF(L4416="","",L4416+6)</f>
        <v/>
      </c>
      <c r="N4416" s="6">
        <f>IF(OR(A4416="",B4416=""),"",DATE(YEAR(B4416),MONTH(B4416),1))</f>
        <v/>
      </c>
      <c r="O4416" s="7">
        <f>IF(COUNTA(A4416:K4416)=0,"",IF(OR(A4416="",B4416=""),"Preencher CPF e entrada",IF(COUNTIFS($A$12:$A$5011,A4416,$B$12:$B$5011,B4416)&gt;1,"CPF + dia duplicado",IF(OR(AND(G4416&lt;&gt;"",G4416&lt;&gt;0,G4416&lt;&gt;1),AND(H4416&lt;&gt;"",H4416&lt;&gt;0,H4416&lt;&gt;1)),"Flags devem ser 0 ou 1",IF(AND(H4416=1,LEN(TRIM(I4416))=0),"Preencher nome do indicante",IF(AND(H4416&lt;&gt;1,I4416&lt;&gt;""),"Nome sem indicação interna",IF(AND(G4416=1,F4416=""),"Fechamento sem conversa",IF(OR(AND(E4416&lt;&gt;"",E4416&lt;B4416),AND(F4416&lt;&gt;"",F4416&lt;B4416)),"Evento anterior à entrada",IF(AND(F4416&lt;&gt;"",E4416=""),"Conversa sem agendamento",IF(OR(E4416&gt;TODAY(),F4416&gt;TODAY()),"Verificar evento futuro","OK"))))))))))</f>
        <v/>
      </c>
    </row>
    <row r="4417" spans="12:15">
      <c r="L4417" s="5">
        <f>IF(OR(A4417="",B4417=""),"",B4417-WEEKDAY(B4417,2)+1)</f>
        <v/>
      </c>
      <c r="M4417" s="5">
        <f>IF(L4417="","",L4417+6)</f>
        <v/>
      </c>
      <c r="N4417" s="6">
        <f>IF(OR(A4417="",B4417=""),"",DATE(YEAR(B4417),MONTH(B4417),1))</f>
        <v/>
      </c>
      <c r="O4417" s="7">
        <f>IF(COUNTA(A4417:K4417)=0,"",IF(OR(A4417="",B4417=""),"Preencher CPF e entrada",IF(COUNTIFS($A$12:$A$5011,A4417,$B$12:$B$5011,B4417)&gt;1,"CPF + dia duplicado",IF(OR(AND(G4417&lt;&gt;"",G4417&lt;&gt;0,G4417&lt;&gt;1),AND(H4417&lt;&gt;"",H4417&lt;&gt;0,H4417&lt;&gt;1)),"Flags devem ser 0 ou 1",IF(AND(H4417=1,LEN(TRIM(I4417))=0),"Preencher nome do indicante",IF(AND(H4417&lt;&gt;1,I4417&lt;&gt;""),"Nome sem indicação interna",IF(AND(G4417=1,F4417=""),"Fechamento sem conversa",IF(OR(AND(E4417&lt;&gt;"",E4417&lt;B4417),AND(F4417&lt;&gt;"",F4417&lt;B4417)),"Evento anterior à entrada",IF(AND(F4417&lt;&gt;"",E4417=""),"Conversa sem agendamento",IF(OR(E4417&gt;TODAY(),F4417&gt;TODAY()),"Verificar evento futuro","OK"))))))))))</f>
        <v/>
      </c>
    </row>
    <row r="4418" spans="12:15">
      <c r="L4418" s="5">
        <f>IF(OR(A4418="",B4418=""),"",B4418-WEEKDAY(B4418,2)+1)</f>
        <v/>
      </c>
      <c r="M4418" s="5">
        <f>IF(L4418="","",L4418+6)</f>
        <v/>
      </c>
      <c r="N4418" s="6">
        <f>IF(OR(A4418="",B4418=""),"",DATE(YEAR(B4418),MONTH(B4418),1))</f>
        <v/>
      </c>
      <c r="O4418" s="7">
        <f>IF(COUNTA(A4418:K4418)=0,"",IF(OR(A4418="",B4418=""),"Preencher CPF e entrada",IF(COUNTIFS($A$12:$A$5011,A4418,$B$12:$B$5011,B4418)&gt;1,"CPF + dia duplicado",IF(OR(AND(G4418&lt;&gt;"",G4418&lt;&gt;0,G4418&lt;&gt;1),AND(H4418&lt;&gt;"",H4418&lt;&gt;0,H4418&lt;&gt;1)),"Flags devem ser 0 ou 1",IF(AND(H4418=1,LEN(TRIM(I4418))=0),"Preencher nome do indicante",IF(AND(H4418&lt;&gt;1,I4418&lt;&gt;""),"Nome sem indicação interna",IF(AND(G4418=1,F4418=""),"Fechamento sem conversa",IF(OR(AND(E4418&lt;&gt;"",E4418&lt;B4418),AND(F4418&lt;&gt;"",F4418&lt;B4418)),"Evento anterior à entrada",IF(AND(F4418&lt;&gt;"",E4418=""),"Conversa sem agendamento",IF(OR(E4418&gt;TODAY(),F4418&gt;TODAY()),"Verificar evento futuro","OK"))))))))))</f>
        <v/>
      </c>
    </row>
    <row r="4419" spans="12:15">
      <c r="L4419" s="5">
        <f>IF(OR(A4419="",B4419=""),"",B4419-WEEKDAY(B4419,2)+1)</f>
        <v/>
      </c>
      <c r="M4419" s="5">
        <f>IF(L4419="","",L4419+6)</f>
        <v/>
      </c>
      <c r="N4419" s="6">
        <f>IF(OR(A4419="",B4419=""),"",DATE(YEAR(B4419),MONTH(B4419),1))</f>
        <v/>
      </c>
      <c r="O4419" s="7">
        <f>IF(COUNTA(A4419:K4419)=0,"",IF(OR(A4419="",B4419=""),"Preencher CPF e entrada",IF(COUNTIFS($A$12:$A$5011,A4419,$B$12:$B$5011,B4419)&gt;1,"CPF + dia duplicado",IF(OR(AND(G4419&lt;&gt;"",G4419&lt;&gt;0,G4419&lt;&gt;1),AND(H4419&lt;&gt;"",H4419&lt;&gt;0,H4419&lt;&gt;1)),"Flags devem ser 0 ou 1",IF(AND(H4419=1,LEN(TRIM(I4419))=0),"Preencher nome do indicante",IF(AND(H4419&lt;&gt;1,I4419&lt;&gt;""),"Nome sem indicação interna",IF(AND(G4419=1,F4419=""),"Fechamento sem conversa",IF(OR(AND(E4419&lt;&gt;"",E4419&lt;B4419),AND(F4419&lt;&gt;"",F4419&lt;B4419)),"Evento anterior à entrada",IF(AND(F4419&lt;&gt;"",E4419=""),"Conversa sem agendamento",IF(OR(E4419&gt;TODAY(),F4419&gt;TODAY()),"Verificar evento futuro","OK"))))))))))</f>
        <v/>
      </c>
    </row>
    <row r="4420" spans="12:15">
      <c r="L4420" s="5">
        <f>IF(OR(A4420="",B4420=""),"",B4420-WEEKDAY(B4420,2)+1)</f>
        <v/>
      </c>
      <c r="M4420" s="5">
        <f>IF(L4420="","",L4420+6)</f>
        <v/>
      </c>
      <c r="N4420" s="6">
        <f>IF(OR(A4420="",B4420=""),"",DATE(YEAR(B4420),MONTH(B4420),1))</f>
        <v/>
      </c>
      <c r="O4420" s="7">
        <f>IF(COUNTA(A4420:K4420)=0,"",IF(OR(A4420="",B4420=""),"Preencher CPF e entrada",IF(COUNTIFS($A$12:$A$5011,A4420,$B$12:$B$5011,B4420)&gt;1,"CPF + dia duplicado",IF(OR(AND(G4420&lt;&gt;"",G4420&lt;&gt;0,G4420&lt;&gt;1),AND(H4420&lt;&gt;"",H4420&lt;&gt;0,H4420&lt;&gt;1)),"Flags devem ser 0 ou 1",IF(AND(H4420=1,LEN(TRIM(I4420))=0),"Preencher nome do indicante",IF(AND(H4420&lt;&gt;1,I4420&lt;&gt;""),"Nome sem indicação interna",IF(AND(G4420=1,F4420=""),"Fechamento sem conversa",IF(OR(AND(E4420&lt;&gt;"",E4420&lt;B4420),AND(F4420&lt;&gt;"",F4420&lt;B4420)),"Evento anterior à entrada",IF(AND(F4420&lt;&gt;"",E4420=""),"Conversa sem agendamento",IF(OR(E4420&gt;TODAY(),F4420&gt;TODAY()),"Verificar evento futuro","OK"))))))))))</f>
        <v/>
      </c>
    </row>
    <row r="4421" spans="12:15">
      <c r="L4421" s="5">
        <f>IF(OR(A4421="",B4421=""),"",B4421-WEEKDAY(B4421,2)+1)</f>
        <v/>
      </c>
      <c r="M4421" s="5">
        <f>IF(L4421="","",L4421+6)</f>
        <v/>
      </c>
      <c r="N4421" s="6">
        <f>IF(OR(A4421="",B4421=""),"",DATE(YEAR(B4421),MONTH(B4421),1))</f>
        <v/>
      </c>
      <c r="O4421" s="7">
        <f>IF(COUNTA(A4421:K4421)=0,"",IF(OR(A4421="",B4421=""),"Preencher CPF e entrada",IF(COUNTIFS($A$12:$A$5011,A4421,$B$12:$B$5011,B4421)&gt;1,"CPF + dia duplicado",IF(OR(AND(G4421&lt;&gt;"",G4421&lt;&gt;0,G4421&lt;&gt;1),AND(H4421&lt;&gt;"",H4421&lt;&gt;0,H4421&lt;&gt;1)),"Flags devem ser 0 ou 1",IF(AND(H4421=1,LEN(TRIM(I4421))=0),"Preencher nome do indicante",IF(AND(H4421&lt;&gt;1,I4421&lt;&gt;""),"Nome sem indicação interna",IF(AND(G4421=1,F4421=""),"Fechamento sem conversa",IF(OR(AND(E4421&lt;&gt;"",E4421&lt;B4421),AND(F4421&lt;&gt;"",F4421&lt;B4421)),"Evento anterior à entrada",IF(AND(F4421&lt;&gt;"",E4421=""),"Conversa sem agendamento",IF(OR(E4421&gt;TODAY(),F4421&gt;TODAY()),"Verificar evento futuro","OK"))))))))))</f>
        <v/>
      </c>
    </row>
    <row r="4422" spans="12:15">
      <c r="L4422" s="5">
        <f>IF(OR(A4422="",B4422=""),"",B4422-WEEKDAY(B4422,2)+1)</f>
        <v/>
      </c>
      <c r="M4422" s="5">
        <f>IF(L4422="","",L4422+6)</f>
        <v/>
      </c>
      <c r="N4422" s="6">
        <f>IF(OR(A4422="",B4422=""),"",DATE(YEAR(B4422),MONTH(B4422),1))</f>
        <v/>
      </c>
      <c r="O4422" s="7">
        <f>IF(COUNTA(A4422:K4422)=0,"",IF(OR(A4422="",B4422=""),"Preencher CPF e entrada",IF(COUNTIFS($A$12:$A$5011,A4422,$B$12:$B$5011,B4422)&gt;1,"CPF + dia duplicado",IF(OR(AND(G4422&lt;&gt;"",G4422&lt;&gt;0,G4422&lt;&gt;1),AND(H4422&lt;&gt;"",H4422&lt;&gt;0,H4422&lt;&gt;1)),"Flags devem ser 0 ou 1",IF(AND(H4422=1,LEN(TRIM(I4422))=0),"Preencher nome do indicante",IF(AND(H4422&lt;&gt;1,I4422&lt;&gt;""),"Nome sem indicação interna",IF(AND(G4422=1,F4422=""),"Fechamento sem conversa",IF(OR(AND(E4422&lt;&gt;"",E4422&lt;B4422),AND(F4422&lt;&gt;"",F4422&lt;B4422)),"Evento anterior à entrada",IF(AND(F4422&lt;&gt;"",E4422=""),"Conversa sem agendamento",IF(OR(E4422&gt;TODAY(),F4422&gt;TODAY()),"Verificar evento futuro","OK"))))))))))</f>
        <v/>
      </c>
    </row>
    <row r="4423" spans="12:15">
      <c r="L4423" s="5">
        <f>IF(OR(A4423="",B4423=""),"",B4423-WEEKDAY(B4423,2)+1)</f>
        <v/>
      </c>
      <c r="M4423" s="5">
        <f>IF(L4423="","",L4423+6)</f>
        <v/>
      </c>
      <c r="N4423" s="6">
        <f>IF(OR(A4423="",B4423=""),"",DATE(YEAR(B4423),MONTH(B4423),1))</f>
        <v/>
      </c>
      <c r="O4423" s="7">
        <f>IF(COUNTA(A4423:K4423)=0,"",IF(OR(A4423="",B4423=""),"Preencher CPF e entrada",IF(COUNTIFS($A$12:$A$5011,A4423,$B$12:$B$5011,B4423)&gt;1,"CPF + dia duplicado",IF(OR(AND(G4423&lt;&gt;"",G4423&lt;&gt;0,G4423&lt;&gt;1),AND(H4423&lt;&gt;"",H4423&lt;&gt;0,H4423&lt;&gt;1)),"Flags devem ser 0 ou 1",IF(AND(H4423=1,LEN(TRIM(I4423))=0),"Preencher nome do indicante",IF(AND(H4423&lt;&gt;1,I4423&lt;&gt;""),"Nome sem indicação interna",IF(AND(G4423=1,F4423=""),"Fechamento sem conversa",IF(OR(AND(E4423&lt;&gt;"",E4423&lt;B4423),AND(F4423&lt;&gt;"",F4423&lt;B4423)),"Evento anterior à entrada",IF(AND(F4423&lt;&gt;"",E4423=""),"Conversa sem agendamento",IF(OR(E4423&gt;TODAY(),F4423&gt;TODAY()),"Verificar evento futuro","OK"))))))))))</f>
        <v/>
      </c>
    </row>
    <row r="4424" spans="12:15">
      <c r="L4424" s="5">
        <f>IF(OR(A4424="",B4424=""),"",B4424-WEEKDAY(B4424,2)+1)</f>
        <v/>
      </c>
      <c r="M4424" s="5">
        <f>IF(L4424="","",L4424+6)</f>
        <v/>
      </c>
      <c r="N4424" s="6">
        <f>IF(OR(A4424="",B4424=""),"",DATE(YEAR(B4424),MONTH(B4424),1))</f>
        <v/>
      </c>
      <c r="O4424" s="7">
        <f>IF(COUNTA(A4424:K4424)=0,"",IF(OR(A4424="",B4424=""),"Preencher CPF e entrada",IF(COUNTIFS($A$12:$A$5011,A4424,$B$12:$B$5011,B4424)&gt;1,"CPF + dia duplicado",IF(OR(AND(G4424&lt;&gt;"",G4424&lt;&gt;0,G4424&lt;&gt;1),AND(H4424&lt;&gt;"",H4424&lt;&gt;0,H4424&lt;&gt;1)),"Flags devem ser 0 ou 1",IF(AND(H4424=1,LEN(TRIM(I4424))=0),"Preencher nome do indicante",IF(AND(H4424&lt;&gt;1,I4424&lt;&gt;""),"Nome sem indicação interna",IF(AND(G4424=1,F4424=""),"Fechamento sem conversa",IF(OR(AND(E4424&lt;&gt;"",E4424&lt;B4424),AND(F4424&lt;&gt;"",F4424&lt;B4424)),"Evento anterior à entrada",IF(AND(F4424&lt;&gt;"",E4424=""),"Conversa sem agendamento",IF(OR(E4424&gt;TODAY(),F4424&gt;TODAY()),"Verificar evento futuro","OK"))))))))))</f>
        <v/>
      </c>
    </row>
    <row r="4425" spans="12:15">
      <c r="L4425" s="5">
        <f>IF(OR(A4425="",B4425=""),"",B4425-WEEKDAY(B4425,2)+1)</f>
        <v/>
      </c>
      <c r="M4425" s="5">
        <f>IF(L4425="","",L4425+6)</f>
        <v/>
      </c>
      <c r="N4425" s="6">
        <f>IF(OR(A4425="",B4425=""),"",DATE(YEAR(B4425),MONTH(B4425),1))</f>
        <v/>
      </c>
      <c r="O4425" s="7">
        <f>IF(COUNTA(A4425:K4425)=0,"",IF(OR(A4425="",B4425=""),"Preencher CPF e entrada",IF(COUNTIFS($A$12:$A$5011,A4425,$B$12:$B$5011,B4425)&gt;1,"CPF + dia duplicado",IF(OR(AND(G4425&lt;&gt;"",G4425&lt;&gt;0,G4425&lt;&gt;1),AND(H4425&lt;&gt;"",H4425&lt;&gt;0,H4425&lt;&gt;1)),"Flags devem ser 0 ou 1",IF(AND(H4425=1,LEN(TRIM(I4425))=0),"Preencher nome do indicante",IF(AND(H4425&lt;&gt;1,I4425&lt;&gt;""),"Nome sem indicação interna",IF(AND(G4425=1,F4425=""),"Fechamento sem conversa",IF(OR(AND(E4425&lt;&gt;"",E4425&lt;B4425),AND(F4425&lt;&gt;"",F4425&lt;B4425)),"Evento anterior à entrada",IF(AND(F4425&lt;&gt;"",E4425=""),"Conversa sem agendamento",IF(OR(E4425&gt;TODAY(),F4425&gt;TODAY()),"Verificar evento futuro","OK"))))))))))</f>
        <v/>
      </c>
    </row>
    <row r="4426" spans="12:15">
      <c r="L4426" s="5">
        <f>IF(OR(A4426="",B4426=""),"",B4426-WEEKDAY(B4426,2)+1)</f>
        <v/>
      </c>
      <c r="M4426" s="5">
        <f>IF(L4426="","",L4426+6)</f>
        <v/>
      </c>
      <c r="N4426" s="6">
        <f>IF(OR(A4426="",B4426=""),"",DATE(YEAR(B4426),MONTH(B4426),1))</f>
        <v/>
      </c>
      <c r="O4426" s="7">
        <f>IF(COUNTA(A4426:K4426)=0,"",IF(OR(A4426="",B4426=""),"Preencher CPF e entrada",IF(COUNTIFS($A$12:$A$5011,A4426,$B$12:$B$5011,B4426)&gt;1,"CPF + dia duplicado",IF(OR(AND(G4426&lt;&gt;"",G4426&lt;&gt;0,G4426&lt;&gt;1),AND(H4426&lt;&gt;"",H4426&lt;&gt;0,H4426&lt;&gt;1)),"Flags devem ser 0 ou 1",IF(AND(H4426=1,LEN(TRIM(I4426))=0),"Preencher nome do indicante",IF(AND(H4426&lt;&gt;1,I4426&lt;&gt;""),"Nome sem indicação interna",IF(AND(G4426=1,F4426=""),"Fechamento sem conversa",IF(OR(AND(E4426&lt;&gt;"",E4426&lt;B4426),AND(F4426&lt;&gt;"",F4426&lt;B4426)),"Evento anterior à entrada",IF(AND(F4426&lt;&gt;"",E4426=""),"Conversa sem agendamento",IF(OR(E4426&gt;TODAY(),F4426&gt;TODAY()),"Verificar evento futuro","OK"))))))))))</f>
        <v/>
      </c>
    </row>
    <row r="4427" spans="12:15">
      <c r="L4427" s="5">
        <f>IF(OR(A4427="",B4427=""),"",B4427-WEEKDAY(B4427,2)+1)</f>
        <v/>
      </c>
      <c r="M4427" s="5">
        <f>IF(L4427="","",L4427+6)</f>
        <v/>
      </c>
      <c r="N4427" s="6">
        <f>IF(OR(A4427="",B4427=""),"",DATE(YEAR(B4427),MONTH(B4427),1))</f>
        <v/>
      </c>
      <c r="O4427" s="7">
        <f>IF(COUNTA(A4427:K4427)=0,"",IF(OR(A4427="",B4427=""),"Preencher CPF e entrada",IF(COUNTIFS($A$12:$A$5011,A4427,$B$12:$B$5011,B4427)&gt;1,"CPF + dia duplicado",IF(OR(AND(G4427&lt;&gt;"",G4427&lt;&gt;0,G4427&lt;&gt;1),AND(H4427&lt;&gt;"",H4427&lt;&gt;0,H4427&lt;&gt;1)),"Flags devem ser 0 ou 1",IF(AND(H4427=1,LEN(TRIM(I4427))=0),"Preencher nome do indicante",IF(AND(H4427&lt;&gt;1,I4427&lt;&gt;""),"Nome sem indicação interna",IF(AND(G4427=1,F4427=""),"Fechamento sem conversa",IF(OR(AND(E4427&lt;&gt;"",E4427&lt;B4427),AND(F4427&lt;&gt;"",F4427&lt;B4427)),"Evento anterior à entrada",IF(AND(F4427&lt;&gt;"",E4427=""),"Conversa sem agendamento",IF(OR(E4427&gt;TODAY(),F4427&gt;TODAY()),"Verificar evento futuro","OK"))))))))))</f>
        <v/>
      </c>
    </row>
    <row r="4428" spans="12:15">
      <c r="L4428" s="5">
        <f>IF(OR(A4428="",B4428=""),"",B4428-WEEKDAY(B4428,2)+1)</f>
        <v/>
      </c>
      <c r="M4428" s="5">
        <f>IF(L4428="","",L4428+6)</f>
        <v/>
      </c>
      <c r="N4428" s="6">
        <f>IF(OR(A4428="",B4428=""),"",DATE(YEAR(B4428),MONTH(B4428),1))</f>
        <v/>
      </c>
      <c r="O4428" s="7">
        <f>IF(COUNTA(A4428:K4428)=0,"",IF(OR(A4428="",B4428=""),"Preencher CPF e entrada",IF(COUNTIFS($A$12:$A$5011,A4428,$B$12:$B$5011,B4428)&gt;1,"CPF + dia duplicado",IF(OR(AND(G4428&lt;&gt;"",G4428&lt;&gt;0,G4428&lt;&gt;1),AND(H4428&lt;&gt;"",H4428&lt;&gt;0,H4428&lt;&gt;1)),"Flags devem ser 0 ou 1",IF(AND(H4428=1,LEN(TRIM(I4428))=0),"Preencher nome do indicante",IF(AND(H4428&lt;&gt;1,I4428&lt;&gt;""),"Nome sem indicação interna",IF(AND(G4428=1,F4428=""),"Fechamento sem conversa",IF(OR(AND(E4428&lt;&gt;"",E4428&lt;B4428),AND(F4428&lt;&gt;"",F4428&lt;B4428)),"Evento anterior à entrada",IF(AND(F4428&lt;&gt;"",E4428=""),"Conversa sem agendamento",IF(OR(E4428&gt;TODAY(),F4428&gt;TODAY()),"Verificar evento futuro","OK"))))))))))</f>
        <v/>
      </c>
    </row>
    <row r="4429" spans="12:15">
      <c r="L4429" s="5">
        <f>IF(OR(A4429="",B4429=""),"",B4429-WEEKDAY(B4429,2)+1)</f>
        <v/>
      </c>
      <c r="M4429" s="5">
        <f>IF(L4429="","",L4429+6)</f>
        <v/>
      </c>
      <c r="N4429" s="6">
        <f>IF(OR(A4429="",B4429=""),"",DATE(YEAR(B4429),MONTH(B4429),1))</f>
        <v/>
      </c>
      <c r="O4429" s="7">
        <f>IF(COUNTA(A4429:K4429)=0,"",IF(OR(A4429="",B4429=""),"Preencher CPF e entrada",IF(COUNTIFS($A$12:$A$5011,A4429,$B$12:$B$5011,B4429)&gt;1,"CPF + dia duplicado",IF(OR(AND(G4429&lt;&gt;"",G4429&lt;&gt;0,G4429&lt;&gt;1),AND(H4429&lt;&gt;"",H4429&lt;&gt;0,H4429&lt;&gt;1)),"Flags devem ser 0 ou 1",IF(AND(H4429=1,LEN(TRIM(I4429))=0),"Preencher nome do indicante",IF(AND(H4429&lt;&gt;1,I4429&lt;&gt;""),"Nome sem indicação interna",IF(AND(G4429=1,F4429=""),"Fechamento sem conversa",IF(OR(AND(E4429&lt;&gt;"",E4429&lt;B4429),AND(F4429&lt;&gt;"",F4429&lt;B4429)),"Evento anterior à entrada",IF(AND(F4429&lt;&gt;"",E4429=""),"Conversa sem agendamento",IF(OR(E4429&gt;TODAY(),F4429&gt;TODAY()),"Verificar evento futuro","OK"))))))))))</f>
        <v/>
      </c>
    </row>
    <row r="4430" spans="12:15">
      <c r="L4430" s="5">
        <f>IF(OR(A4430="",B4430=""),"",B4430-WEEKDAY(B4430,2)+1)</f>
        <v/>
      </c>
      <c r="M4430" s="5">
        <f>IF(L4430="","",L4430+6)</f>
        <v/>
      </c>
      <c r="N4430" s="6">
        <f>IF(OR(A4430="",B4430=""),"",DATE(YEAR(B4430),MONTH(B4430),1))</f>
        <v/>
      </c>
      <c r="O4430" s="7">
        <f>IF(COUNTA(A4430:K4430)=0,"",IF(OR(A4430="",B4430=""),"Preencher CPF e entrada",IF(COUNTIFS($A$12:$A$5011,A4430,$B$12:$B$5011,B4430)&gt;1,"CPF + dia duplicado",IF(OR(AND(G4430&lt;&gt;"",G4430&lt;&gt;0,G4430&lt;&gt;1),AND(H4430&lt;&gt;"",H4430&lt;&gt;0,H4430&lt;&gt;1)),"Flags devem ser 0 ou 1",IF(AND(H4430=1,LEN(TRIM(I4430))=0),"Preencher nome do indicante",IF(AND(H4430&lt;&gt;1,I4430&lt;&gt;""),"Nome sem indicação interna",IF(AND(G4430=1,F4430=""),"Fechamento sem conversa",IF(OR(AND(E4430&lt;&gt;"",E4430&lt;B4430),AND(F4430&lt;&gt;"",F4430&lt;B4430)),"Evento anterior à entrada",IF(AND(F4430&lt;&gt;"",E4430=""),"Conversa sem agendamento",IF(OR(E4430&gt;TODAY(),F4430&gt;TODAY()),"Verificar evento futuro","OK"))))))))))</f>
        <v/>
      </c>
    </row>
    <row r="4431" spans="12:15">
      <c r="L4431" s="5">
        <f>IF(OR(A4431="",B4431=""),"",B4431-WEEKDAY(B4431,2)+1)</f>
        <v/>
      </c>
      <c r="M4431" s="5">
        <f>IF(L4431="","",L4431+6)</f>
        <v/>
      </c>
      <c r="N4431" s="6">
        <f>IF(OR(A4431="",B4431=""),"",DATE(YEAR(B4431),MONTH(B4431),1))</f>
        <v/>
      </c>
      <c r="O4431" s="7">
        <f>IF(COUNTA(A4431:K4431)=0,"",IF(OR(A4431="",B4431=""),"Preencher CPF e entrada",IF(COUNTIFS($A$12:$A$5011,A4431,$B$12:$B$5011,B4431)&gt;1,"CPF + dia duplicado",IF(OR(AND(G4431&lt;&gt;"",G4431&lt;&gt;0,G4431&lt;&gt;1),AND(H4431&lt;&gt;"",H4431&lt;&gt;0,H4431&lt;&gt;1)),"Flags devem ser 0 ou 1",IF(AND(H4431=1,LEN(TRIM(I4431))=0),"Preencher nome do indicante",IF(AND(H4431&lt;&gt;1,I4431&lt;&gt;""),"Nome sem indicação interna",IF(AND(G4431=1,F4431=""),"Fechamento sem conversa",IF(OR(AND(E4431&lt;&gt;"",E4431&lt;B4431),AND(F4431&lt;&gt;"",F4431&lt;B4431)),"Evento anterior à entrada",IF(AND(F4431&lt;&gt;"",E4431=""),"Conversa sem agendamento",IF(OR(E4431&gt;TODAY(),F4431&gt;TODAY()),"Verificar evento futuro","OK"))))))))))</f>
        <v/>
      </c>
    </row>
    <row r="4432" spans="12:15">
      <c r="L4432" s="5">
        <f>IF(OR(A4432="",B4432=""),"",B4432-WEEKDAY(B4432,2)+1)</f>
        <v/>
      </c>
      <c r="M4432" s="5">
        <f>IF(L4432="","",L4432+6)</f>
        <v/>
      </c>
      <c r="N4432" s="6">
        <f>IF(OR(A4432="",B4432=""),"",DATE(YEAR(B4432),MONTH(B4432),1))</f>
        <v/>
      </c>
      <c r="O4432" s="7">
        <f>IF(COUNTA(A4432:K4432)=0,"",IF(OR(A4432="",B4432=""),"Preencher CPF e entrada",IF(COUNTIFS($A$12:$A$5011,A4432,$B$12:$B$5011,B4432)&gt;1,"CPF + dia duplicado",IF(OR(AND(G4432&lt;&gt;"",G4432&lt;&gt;0,G4432&lt;&gt;1),AND(H4432&lt;&gt;"",H4432&lt;&gt;0,H4432&lt;&gt;1)),"Flags devem ser 0 ou 1",IF(AND(H4432=1,LEN(TRIM(I4432))=0),"Preencher nome do indicante",IF(AND(H4432&lt;&gt;1,I4432&lt;&gt;""),"Nome sem indicação interna",IF(AND(G4432=1,F4432=""),"Fechamento sem conversa",IF(OR(AND(E4432&lt;&gt;"",E4432&lt;B4432),AND(F4432&lt;&gt;"",F4432&lt;B4432)),"Evento anterior à entrada",IF(AND(F4432&lt;&gt;"",E4432=""),"Conversa sem agendamento",IF(OR(E4432&gt;TODAY(),F4432&gt;TODAY()),"Verificar evento futuro","OK"))))))))))</f>
        <v/>
      </c>
    </row>
    <row r="4433" spans="12:15">
      <c r="L4433" s="5">
        <f>IF(OR(A4433="",B4433=""),"",B4433-WEEKDAY(B4433,2)+1)</f>
        <v/>
      </c>
      <c r="M4433" s="5">
        <f>IF(L4433="","",L4433+6)</f>
        <v/>
      </c>
      <c r="N4433" s="6">
        <f>IF(OR(A4433="",B4433=""),"",DATE(YEAR(B4433),MONTH(B4433),1))</f>
        <v/>
      </c>
      <c r="O4433" s="7">
        <f>IF(COUNTA(A4433:K4433)=0,"",IF(OR(A4433="",B4433=""),"Preencher CPF e entrada",IF(COUNTIFS($A$12:$A$5011,A4433,$B$12:$B$5011,B4433)&gt;1,"CPF + dia duplicado",IF(OR(AND(G4433&lt;&gt;"",G4433&lt;&gt;0,G4433&lt;&gt;1),AND(H4433&lt;&gt;"",H4433&lt;&gt;0,H4433&lt;&gt;1)),"Flags devem ser 0 ou 1",IF(AND(H4433=1,LEN(TRIM(I4433))=0),"Preencher nome do indicante",IF(AND(H4433&lt;&gt;1,I4433&lt;&gt;""),"Nome sem indicação interna",IF(AND(G4433=1,F4433=""),"Fechamento sem conversa",IF(OR(AND(E4433&lt;&gt;"",E4433&lt;B4433),AND(F4433&lt;&gt;"",F4433&lt;B4433)),"Evento anterior à entrada",IF(AND(F4433&lt;&gt;"",E4433=""),"Conversa sem agendamento",IF(OR(E4433&gt;TODAY(),F4433&gt;TODAY()),"Verificar evento futuro","OK"))))))))))</f>
        <v/>
      </c>
    </row>
    <row r="4434" spans="12:15">
      <c r="L4434" s="5">
        <f>IF(OR(A4434="",B4434=""),"",B4434-WEEKDAY(B4434,2)+1)</f>
        <v/>
      </c>
      <c r="M4434" s="5">
        <f>IF(L4434="","",L4434+6)</f>
        <v/>
      </c>
      <c r="N4434" s="6">
        <f>IF(OR(A4434="",B4434=""),"",DATE(YEAR(B4434),MONTH(B4434),1))</f>
        <v/>
      </c>
      <c r="O4434" s="7">
        <f>IF(COUNTA(A4434:K4434)=0,"",IF(OR(A4434="",B4434=""),"Preencher CPF e entrada",IF(COUNTIFS($A$12:$A$5011,A4434,$B$12:$B$5011,B4434)&gt;1,"CPF + dia duplicado",IF(OR(AND(G4434&lt;&gt;"",G4434&lt;&gt;0,G4434&lt;&gt;1),AND(H4434&lt;&gt;"",H4434&lt;&gt;0,H4434&lt;&gt;1)),"Flags devem ser 0 ou 1",IF(AND(H4434=1,LEN(TRIM(I4434))=0),"Preencher nome do indicante",IF(AND(H4434&lt;&gt;1,I4434&lt;&gt;""),"Nome sem indicação interna",IF(AND(G4434=1,F4434=""),"Fechamento sem conversa",IF(OR(AND(E4434&lt;&gt;"",E4434&lt;B4434),AND(F4434&lt;&gt;"",F4434&lt;B4434)),"Evento anterior à entrada",IF(AND(F4434&lt;&gt;"",E4434=""),"Conversa sem agendamento",IF(OR(E4434&gt;TODAY(),F4434&gt;TODAY()),"Verificar evento futuro","OK"))))))))))</f>
        <v/>
      </c>
    </row>
    <row r="4435" spans="12:15">
      <c r="L4435" s="5">
        <f>IF(OR(A4435="",B4435=""),"",B4435-WEEKDAY(B4435,2)+1)</f>
        <v/>
      </c>
      <c r="M4435" s="5">
        <f>IF(L4435="","",L4435+6)</f>
        <v/>
      </c>
      <c r="N4435" s="6">
        <f>IF(OR(A4435="",B4435=""),"",DATE(YEAR(B4435),MONTH(B4435),1))</f>
        <v/>
      </c>
      <c r="O4435" s="7">
        <f>IF(COUNTA(A4435:K4435)=0,"",IF(OR(A4435="",B4435=""),"Preencher CPF e entrada",IF(COUNTIFS($A$12:$A$5011,A4435,$B$12:$B$5011,B4435)&gt;1,"CPF + dia duplicado",IF(OR(AND(G4435&lt;&gt;"",G4435&lt;&gt;0,G4435&lt;&gt;1),AND(H4435&lt;&gt;"",H4435&lt;&gt;0,H4435&lt;&gt;1)),"Flags devem ser 0 ou 1",IF(AND(H4435=1,LEN(TRIM(I4435))=0),"Preencher nome do indicante",IF(AND(H4435&lt;&gt;1,I4435&lt;&gt;""),"Nome sem indicação interna",IF(AND(G4435=1,F4435=""),"Fechamento sem conversa",IF(OR(AND(E4435&lt;&gt;"",E4435&lt;B4435),AND(F4435&lt;&gt;"",F4435&lt;B4435)),"Evento anterior à entrada",IF(AND(F4435&lt;&gt;"",E4435=""),"Conversa sem agendamento",IF(OR(E4435&gt;TODAY(),F4435&gt;TODAY()),"Verificar evento futuro","OK"))))))))))</f>
        <v/>
      </c>
    </row>
    <row r="4436" spans="12:15">
      <c r="L4436" s="5">
        <f>IF(OR(A4436="",B4436=""),"",B4436-WEEKDAY(B4436,2)+1)</f>
        <v/>
      </c>
      <c r="M4436" s="5">
        <f>IF(L4436="","",L4436+6)</f>
        <v/>
      </c>
      <c r="N4436" s="6">
        <f>IF(OR(A4436="",B4436=""),"",DATE(YEAR(B4436),MONTH(B4436),1))</f>
        <v/>
      </c>
      <c r="O4436" s="7">
        <f>IF(COUNTA(A4436:K4436)=0,"",IF(OR(A4436="",B4436=""),"Preencher CPF e entrada",IF(COUNTIFS($A$12:$A$5011,A4436,$B$12:$B$5011,B4436)&gt;1,"CPF + dia duplicado",IF(OR(AND(G4436&lt;&gt;"",G4436&lt;&gt;0,G4436&lt;&gt;1),AND(H4436&lt;&gt;"",H4436&lt;&gt;0,H4436&lt;&gt;1)),"Flags devem ser 0 ou 1",IF(AND(H4436=1,LEN(TRIM(I4436))=0),"Preencher nome do indicante",IF(AND(H4436&lt;&gt;1,I4436&lt;&gt;""),"Nome sem indicação interna",IF(AND(G4436=1,F4436=""),"Fechamento sem conversa",IF(OR(AND(E4436&lt;&gt;"",E4436&lt;B4436),AND(F4436&lt;&gt;"",F4436&lt;B4436)),"Evento anterior à entrada",IF(AND(F4436&lt;&gt;"",E4436=""),"Conversa sem agendamento",IF(OR(E4436&gt;TODAY(),F4436&gt;TODAY()),"Verificar evento futuro","OK"))))))))))</f>
        <v/>
      </c>
    </row>
    <row r="4437" spans="12:15">
      <c r="L4437" s="5">
        <f>IF(OR(A4437="",B4437=""),"",B4437-WEEKDAY(B4437,2)+1)</f>
        <v/>
      </c>
      <c r="M4437" s="5">
        <f>IF(L4437="","",L4437+6)</f>
        <v/>
      </c>
      <c r="N4437" s="6">
        <f>IF(OR(A4437="",B4437=""),"",DATE(YEAR(B4437),MONTH(B4437),1))</f>
        <v/>
      </c>
      <c r="O4437" s="7">
        <f>IF(COUNTA(A4437:K4437)=0,"",IF(OR(A4437="",B4437=""),"Preencher CPF e entrada",IF(COUNTIFS($A$12:$A$5011,A4437,$B$12:$B$5011,B4437)&gt;1,"CPF + dia duplicado",IF(OR(AND(G4437&lt;&gt;"",G4437&lt;&gt;0,G4437&lt;&gt;1),AND(H4437&lt;&gt;"",H4437&lt;&gt;0,H4437&lt;&gt;1)),"Flags devem ser 0 ou 1",IF(AND(H4437=1,LEN(TRIM(I4437))=0),"Preencher nome do indicante",IF(AND(H4437&lt;&gt;1,I4437&lt;&gt;""),"Nome sem indicação interna",IF(AND(G4437=1,F4437=""),"Fechamento sem conversa",IF(OR(AND(E4437&lt;&gt;"",E4437&lt;B4437),AND(F4437&lt;&gt;"",F4437&lt;B4437)),"Evento anterior à entrada",IF(AND(F4437&lt;&gt;"",E4437=""),"Conversa sem agendamento",IF(OR(E4437&gt;TODAY(),F4437&gt;TODAY()),"Verificar evento futuro","OK"))))))))))</f>
        <v/>
      </c>
    </row>
    <row r="4438" spans="12:15">
      <c r="L4438" s="5">
        <f>IF(OR(A4438="",B4438=""),"",B4438-WEEKDAY(B4438,2)+1)</f>
        <v/>
      </c>
      <c r="M4438" s="5">
        <f>IF(L4438="","",L4438+6)</f>
        <v/>
      </c>
      <c r="N4438" s="6">
        <f>IF(OR(A4438="",B4438=""),"",DATE(YEAR(B4438),MONTH(B4438),1))</f>
        <v/>
      </c>
      <c r="O4438" s="7">
        <f>IF(COUNTA(A4438:K4438)=0,"",IF(OR(A4438="",B4438=""),"Preencher CPF e entrada",IF(COUNTIFS($A$12:$A$5011,A4438,$B$12:$B$5011,B4438)&gt;1,"CPF + dia duplicado",IF(OR(AND(G4438&lt;&gt;"",G4438&lt;&gt;0,G4438&lt;&gt;1),AND(H4438&lt;&gt;"",H4438&lt;&gt;0,H4438&lt;&gt;1)),"Flags devem ser 0 ou 1",IF(AND(H4438=1,LEN(TRIM(I4438))=0),"Preencher nome do indicante",IF(AND(H4438&lt;&gt;1,I4438&lt;&gt;""),"Nome sem indicação interna",IF(AND(G4438=1,F4438=""),"Fechamento sem conversa",IF(OR(AND(E4438&lt;&gt;"",E4438&lt;B4438),AND(F4438&lt;&gt;"",F4438&lt;B4438)),"Evento anterior à entrada",IF(AND(F4438&lt;&gt;"",E4438=""),"Conversa sem agendamento",IF(OR(E4438&gt;TODAY(),F4438&gt;TODAY()),"Verificar evento futuro","OK"))))))))))</f>
        <v/>
      </c>
    </row>
    <row r="4439" spans="12:15">
      <c r="L4439" s="5">
        <f>IF(OR(A4439="",B4439=""),"",B4439-WEEKDAY(B4439,2)+1)</f>
        <v/>
      </c>
      <c r="M4439" s="5">
        <f>IF(L4439="","",L4439+6)</f>
        <v/>
      </c>
      <c r="N4439" s="6">
        <f>IF(OR(A4439="",B4439=""),"",DATE(YEAR(B4439),MONTH(B4439),1))</f>
        <v/>
      </c>
      <c r="O4439" s="7">
        <f>IF(COUNTA(A4439:K4439)=0,"",IF(OR(A4439="",B4439=""),"Preencher CPF e entrada",IF(COUNTIFS($A$12:$A$5011,A4439,$B$12:$B$5011,B4439)&gt;1,"CPF + dia duplicado",IF(OR(AND(G4439&lt;&gt;"",G4439&lt;&gt;0,G4439&lt;&gt;1),AND(H4439&lt;&gt;"",H4439&lt;&gt;0,H4439&lt;&gt;1)),"Flags devem ser 0 ou 1",IF(AND(H4439=1,LEN(TRIM(I4439))=0),"Preencher nome do indicante",IF(AND(H4439&lt;&gt;1,I4439&lt;&gt;""),"Nome sem indicação interna",IF(AND(G4439=1,F4439=""),"Fechamento sem conversa",IF(OR(AND(E4439&lt;&gt;"",E4439&lt;B4439),AND(F4439&lt;&gt;"",F4439&lt;B4439)),"Evento anterior à entrada",IF(AND(F4439&lt;&gt;"",E4439=""),"Conversa sem agendamento",IF(OR(E4439&gt;TODAY(),F4439&gt;TODAY()),"Verificar evento futuro","OK"))))))))))</f>
        <v/>
      </c>
    </row>
    <row r="4440" spans="12:15">
      <c r="L4440" s="5">
        <f>IF(OR(A4440="",B4440=""),"",B4440-WEEKDAY(B4440,2)+1)</f>
        <v/>
      </c>
      <c r="M4440" s="5">
        <f>IF(L4440="","",L4440+6)</f>
        <v/>
      </c>
      <c r="N4440" s="6">
        <f>IF(OR(A4440="",B4440=""),"",DATE(YEAR(B4440),MONTH(B4440),1))</f>
        <v/>
      </c>
      <c r="O4440" s="7">
        <f>IF(COUNTA(A4440:K4440)=0,"",IF(OR(A4440="",B4440=""),"Preencher CPF e entrada",IF(COUNTIFS($A$12:$A$5011,A4440,$B$12:$B$5011,B4440)&gt;1,"CPF + dia duplicado",IF(OR(AND(G4440&lt;&gt;"",G4440&lt;&gt;0,G4440&lt;&gt;1),AND(H4440&lt;&gt;"",H4440&lt;&gt;0,H4440&lt;&gt;1)),"Flags devem ser 0 ou 1",IF(AND(H4440=1,LEN(TRIM(I4440))=0),"Preencher nome do indicante",IF(AND(H4440&lt;&gt;1,I4440&lt;&gt;""),"Nome sem indicação interna",IF(AND(G4440=1,F4440=""),"Fechamento sem conversa",IF(OR(AND(E4440&lt;&gt;"",E4440&lt;B4440),AND(F4440&lt;&gt;"",F4440&lt;B4440)),"Evento anterior à entrada",IF(AND(F4440&lt;&gt;"",E4440=""),"Conversa sem agendamento",IF(OR(E4440&gt;TODAY(),F4440&gt;TODAY()),"Verificar evento futuro","OK"))))))))))</f>
        <v/>
      </c>
    </row>
    <row r="4441" spans="12:15">
      <c r="L4441" s="5">
        <f>IF(OR(A4441="",B4441=""),"",B4441-WEEKDAY(B4441,2)+1)</f>
        <v/>
      </c>
      <c r="M4441" s="5">
        <f>IF(L4441="","",L4441+6)</f>
        <v/>
      </c>
      <c r="N4441" s="6">
        <f>IF(OR(A4441="",B4441=""),"",DATE(YEAR(B4441),MONTH(B4441),1))</f>
        <v/>
      </c>
      <c r="O4441" s="7">
        <f>IF(COUNTA(A4441:K4441)=0,"",IF(OR(A4441="",B4441=""),"Preencher CPF e entrada",IF(COUNTIFS($A$12:$A$5011,A4441,$B$12:$B$5011,B4441)&gt;1,"CPF + dia duplicado",IF(OR(AND(G4441&lt;&gt;"",G4441&lt;&gt;0,G4441&lt;&gt;1),AND(H4441&lt;&gt;"",H4441&lt;&gt;0,H4441&lt;&gt;1)),"Flags devem ser 0 ou 1",IF(AND(H4441=1,LEN(TRIM(I4441))=0),"Preencher nome do indicante",IF(AND(H4441&lt;&gt;1,I4441&lt;&gt;""),"Nome sem indicação interna",IF(AND(G4441=1,F4441=""),"Fechamento sem conversa",IF(OR(AND(E4441&lt;&gt;"",E4441&lt;B4441),AND(F4441&lt;&gt;"",F4441&lt;B4441)),"Evento anterior à entrada",IF(AND(F4441&lt;&gt;"",E4441=""),"Conversa sem agendamento",IF(OR(E4441&gt;TODAY(),F4441&gt;TODAY()),"Verificar evento futuro","OK"))))))))))</f>
        <v/>
      </c>
    </row>
    <row r="4442" spans="12:15">
      <c r="L4442" s="5">
        <f>IF(OR(A4442="",B4442=""),"",B4442-WEEKDAY(B4442,2)+1)</f>
        <v/>
      </c>
      <c r="M4442" s="5">
        <f>IF(L4442="","",L4442+6)</f>
        <v/>
      </c>
      <c r="N4442" s="6">
        <f>IF(OR(A4442="",B4442=""),"",DATE(YEAR(B4442),MONTH(B4442),1))</f>
        <v/>
      </c>
      <c r="O4442" s="7">
        <f>IF(COUNTA(A4442:K4442)=0,"",IF(OR(A4442="",B4442=""),"Preencher CPF e entrada",IF(COUNTIFS($A$12:$A$5011,A4442,$B$12:$B$5011,B4442)&gt;1,"CPF + dia duplicado",IF(OR(AND(G4442&lt;&gt;"",G4442&lt;&gt;0,G4442&lt;&gt;1),AND(H4442&lt;&gt;"",H4442&lt;&gt;0,H4442&lt;&gt;1)),"Flags devem ser 0 ou 1",IF(AND(H4442=1,LEN(TRIM(I4442))=0),"Preencher nome do indicante",IF(AND(H4442&lt;&gt;1,I4442&lt;&gt;""),"Nome sem indicação interna",IF(AND(G4442=1,F4442=""),"Fechamento sem conversa",IF(OR(AND(E4442&lt;&gt;"",E4442&lt;B4442),AND(F4442&lt;&gt;"",F4442&lt;B4442)),"Evento anterior à entrada",IF(AND(F4442&lt;&gt;"",E4442=""),"Conversa sem agendamento",IF(OR(E4442&gt;TODAY(),F4442&gt;TODAY()),"Verificar evento futuro","OK"))))))))))</f>
        <v/>
      </c>
    </row>
    <row r="4443" spans="12:15">
      <c r="L4443" s="5">
        <f>IF(OR(A4443="",B4443=""),"",B4443-WEEKDAY(B4443,2)+1)</f>
        <v/>
      </c>
      <c r="M4443" s="5">
        <f>IF(L4443="","",L4443+6)</f>
        <v/>
      </c>
      <c r="N4443" s="6">
        <f>IF(OR(A4443="",B4443=""),"",DATE(YEAR(B4443),MONTH(B4443),1))</f>
        <v/>
      </c>
      <c r="O4443" s="7">
        <f>IF(COUNTA(A4443:K4443)=0,"",IF(OR(A4443="",B4443=""),"Preencher CPF e entrada",IF(COUNTIFS($A$12:$A$5011,A4443,$B$12:$B$5011,B4443)&gt;1,"CPF + dia duplicado",IF(OR(AND(G4443&lt;&gt;"",G4443&lt;&gt;0,G4443&lt;&gt;1),AND(H4443&lt;&gt;"",H4443&lt;&gt;0,H4443&lt;&gt;1)),"Flags devem ser 0 ou 1",IF(AND(H4443=1,LEN(TRIM(I4443))=0),"Preencher nome do indicante",IF(AND(H4443&lt;&gt;1,I4443&lt;&gt;""),"Nome sem indicação interna",IF(AND(G4443=1,F4443=""),"Fechamento sem conversa",IF(OR(AND(E4443&lt;&gt;"",E4443&lt;B4443),AND(F4443&lt;&gt;"",F4443&lt;B4443)),"Evento anterior à entrada",IF(AND(F4443&lt;&gt;"",E4443=""),"Conversa sem agendamento",IF(OR(E4443&gt;TODAY(),F4443&gt;TODAY()),"Verificar evento futuro","OK"))))))))))</f>
        <v/>
      </c>
    </row>
    <row r="4444" spans="12:15">
      <c r="L4444" s="5">
        <f>IF(OR(A4444="",B4444=""),"",B4444-WEEKDAY(B4444,2)+1)</f>
        <v/>
      </c>
      <c r="M4444" s="5">
        <f>IF(L4444="","",L4444+6)</f>
        <v/>
      </c>
      <c r="N4444" s="6">
        <f>IF(OR(A4444="",B4444=""),"",DATE(YEAR(B4444),MONTH(B4444),1))</f>
        <v/>
      </c>
      <c r="O4444" s="7">
        <f>IF(COUNTA(A4444:K4444)=0,"",IF(OR(A4444="",B4444=""),"Preencher CPF e entrada",IF(COUNTIFS($A$12:$A$5011,A4444,$B$12:$B$5011,B4444)&gt;1,"CPF + dia duplicado",IF(OR(AND(G4444&lt;&gt;"",G4444&lt;&gt;0,G4444&lt;&gt;1),AND(H4444&lt;&gt;"",H4444&lt;&gt;0,H4444&lt;&gt;1)),"Flags devem ser 0 ou 1",IF(AND(H4444=1,LEN(TRIM(I4444))=0),"Preencher nome do indicante",IF(AND(H4444&lt;&gt;1,I4444&lt;&gt;""),"Nome sem indicação interna",IF(AND(G4444=1,F4444=""),"Fechamento sem conversa",IF(OR(AND(E4444&lt;&gt;"",E4444&lt;B4444),AND(F4444&lt;&gt;"",F4444&lt;B4444)),"Evento anterior à entrada",IF(AND(F4444&lt;&gt;"",E4444=""),"Conversa sem agendamento",IF(OR(E4444&gt;TODAY(),F4444&gt;TODAY()),"Verificar evento futuro","OK"))))))))))</f>
        <v/>
      </c>
    </row>
    <row r="4445" spans="12:15">
      <c r="L4445" s="5">
        <f>IF(OR(A4445="",B4445=""),"",B4445-WEEKDAY(B4445,2)+1)</f>
        <v/>
      </c>
      <c r="M4445" s="5">
        <f>IF(L4445="","",L4445+6)</f>
        <v/>
      </c>
      <c r="N4445" s="6">
        <f>IF(OR(A4445="",B4445=""),"",DATE(YEAR(B4445),MONTH(B4445),1))</f>
        <v/>
      </c>
      <c r="O4445" s="7">
        <f>IF(COUNTA(A4445:K4445)=0,"",IF(OR(A4445="",B4445=""),"Preencher CPF e entrada",IF(COUNTIFS($A$12:$A$5011,A4445,$B$12:$B$5011,B4445)&gt;1,"CPF + dia duplicado",IF(OR(AND(G4445&lt;&gt;"",G4445&lt;&gt;0,G4445&lt;&gt;1),AND(H4445&lt;&gt;"",H4445&lt;&gt;0,H4445&lt;&gt;1)),"Flags devem ser 0 ou 1",IF(AND(H4445=1,LEN(TRIM(I4445))=0),"Preencher nome do indicante",IF(AND(H4445&lt;&gt;1,I4445&lt;&gt;""),"Nome sem indicação interna",IF(AND(G4445=1,F4445=""),"Fechamento sem conversa",IF(OR(AND(E4445&lt;&gt;"",E4445&lt;B4445),AND(F4445&lt;&gt;"",F4445&lt;B4445)),"Evento anterior à entrada",IF(AND(F4445&lt;&gt;"",E4445=""),"Conversa sem agendamento",IF(OR(E4445&gt;TODAY(),F4445&gt;TODAY()),"Verificar evento futuro","OK"))))))))))</f>
        <v/>
      </c>
    </row>
    <row r="4446" spans="12:15">
      <c r="L4446" s="5">
        <f>IF(OR(A4446="",B4446=""),"",B4446-WEEKDAY(B4446,2)+1)</f>
        <v/>
      </c>
      <c r="M4446" s="5">
        <f>IF(L4446="","",L4446+6)</f>
        <v/>
      </c>
      <c r="N4446" s="6">
        <f>IF(OR(A4446="",B4446=""),"",DATE(YEAR(B4446),MONTH(B4446),1))</f>
        <v/>
      </c>
      <c r="O4446" s="7">
        <f>IF(COUNTA(A4446:K4446)=0,"",IF(OR(A4446="",B4446=""),"Preencher CPF e entrada",IF(COUNTIFS($A$12:$A$5011,A4446,$B$12:$B$5011,B4446)&gt;1,"CPF + dia duplicado",IF(OR(AND(G4446&lt;&gt;"",G4446&lt;&gt;0,G4446&lt;&gt;1),AND(H4446&lt;&gt;"",H4446&lt;&gt;0,H4446&lt;&gt;1)),"Flags devem ser 0 ou 1",IF(AND(H4446=1,LEN(TRIM(I4446))=0),"Preencher nome do indicante",IF(AND(H4446&lt;&gt;1,I4446&lt;&gt;""),"Nome sem indicação interna",IF(AND(G4446=1,F4446=""),"Fechamento sem conversa",IF(OR(AND(E4446&lt;&gt;"",E4446&lt;B4446),AND(F4446&lt;&gt;"",F4446&lt;B4446)),"Evento anterior à entrada",IF(AND(F4446&lt;&gt;"",E4446=""),"Conversa sem agendamento",IF(OR(E4446&gt;TODAY(),F4446&gt;TODAY()),"Verificar evento futuro","OK"))))))))))</f>
        <v/>
      </c>
    </row>
    <row r="4447" spans="12:15">
      <c r="L4447" s="5">
        <f>IF(OR(A4447="",B4447=""),"",B4447-WEEKDAY(B4447,2)+1)</f>
        <v/>
      </c>
      <c r="M4447" s="5">
        <f>IF(L4447="","",L4447+6)</f>
        <v/>
      </c>
      <c r="N4447" s="6">
        <f>IF(OR(A4447="",B4447=""),"",DATE(YEAR(B4447),MONTH(B4447),1))</f>
        <v/>
      </c>
      <c r="O4447" s="7">
        <f>IF(COUNTA(A4447:K4447)=0,"",IF(OR(A4447="",B4447=""),"Preencher CPF e entrada",IF(COUNTIFS($A$12:$A$5011,A4447,$B$12:$B$5011,B4447)&gt;1,"CPF + dia duplicado",IF(OR(AND(G4447&lt;&gt;"",G4447&lt;&gt;0,G4447&lt;&gt;1),AND(H4447&lt;&gt;"",H4447&lt;&gt;0,H4447&lt;&gt;1)),"Flags devem ser 0 ou 1",IF(AND(H4447=1,LEN(TRIM(I4447))=0),"Preencher nome do indicante",IF(AND(H4447&lt;&gt;1,I4447&lt;&gt;""),"Nome sem indicação interna",IF(AND(G4447=1,F4447=""),"Fechamento sem conversa",IF(OR(AND(E4447&lt;&gt;"",E4447&lt;B4447),AND(F4447&lt;&gt;"",F4447&lt;B4447)),"Evento anterior à entrada",IF(AND(F4447&lt;&gt;"",E4447=""),"Conversa sem agendamento",IF(OR(E4447&gt;TODAY(),F4447&gt;TODAY()),"Verificar evento futuro","OK"))))))))))</f>
        <v/>
      </c>
    </row>
    <row r="4448" spans="12:15">
      <c r="L4448" s="5">
        <f>IF(OR(A4448="",B4448=""),"",B4448-WEEKDAY(B4448,2)+1)</f>
        <v/>
      </c>
      <c r="M4448" s="5">
        <f>IF(L4448="","",L4448+6)</f>
        <v/>
      </c>
      <c r="N4448" s="6">
        <f>IF(OR(A4448="",B4448=""),"",DATE(YEAR(B4448),MONTH(B4448),1))</f>
        <v/>
      </c>
      <c r="O4448" s="7">
        <f>IF(COUNTA(A4448:K4448)=0,"",IF(OR(A4448="",B4448=""),"Preencher CPF e entrada",IF(COUNTIFS($A$12:$A$5011,A4448,$B$12:$B$5011,B4448)&gt;1,"CPF + dia duplicado",IF(OR(AND(G4448&lt;&gt;"",G4448&lt;&gt;0,G4448&lt;&gt;1),AND(H4448&lt;&gt;"",H4448&lt;&gt;0,H4448&lt;&gt;1)),"Flags devem ser 0 ou 1",IF(AND(H4448=1,LEN(TRIM(I4448))=0),"Preencher nome do indicante",IF(AND(H4448&lt;&gt;1,I4448&lt;&gt;""),"Nome sem indicação interna",IF(AND(G4448=1,F4448=""),"Fechamento sem conversa",IF(OR(AND(E4448&lt;&gt;"",E4448&lt;B4448),AND(F4448&lt;&gt;"",F4448&lt;B4448)),"Evento anterior à entrada",IF(AND(F4448&lt;&gt;"",E4448=""),"Conversa sem agendamento",IF(OR(E4448&gt;TODAY(),F4448&gt;TODAY()),"Verificar evento futuro","OK"))))))))))</f>
        <v/>
      </c>
    </row>
    <row r="4449" spans="12:15">
      <c r="L4449" s="5">
        <f>IF(OR(A4449="",B4449=""),"",B4449-WEEKDAY(B4449,2)+1)</f>
        <v/>
      </c>
      <c r="M4449" s="5">
        <f>IF(L4449="","",L4449+6)</f>
        <v/>
      </c>
      <c r="N4449" s="6">
        <f>IF(OR(A4449="",B4449=""),"",DATE(YEAR(B4449),MONTH(B4449),1))</f>
        <v/>
      </c>
      <c r="O4449" s="7">
        <f>IF(COUNTA(A4449:K4449)=0,"",IF(OR(A4449="",B4449=""),"Preencher CPF e entrada",IF(COUNTIFS($A$12:$A$5011,A4449,$B$12:$B$5011,B4449)&gt;1,"CPF + dia duplicado",IF(OR(AND(G4449&lt;&gt;"",G4449&lt;&gt;0,G4449&lt;&gt;1),AND(H4449&lt;&gt;"",H4449&lt;&gt;0,H4449&lt;&gt;1)),"Flags devem ser 0 ou 1",IF(AND(H4449=1,LEN(TRIM(I4449))=0),"Preencher nome do indicante",IF(AND(H4449&lt;&gt;1,I4449&lt;&gt;""),"Nome sem indicação interna",IF(AND(G4449=1,F4449=""),"Fechamento sem conversa",IF(OR(AND(E4449&lt;&gt;"",E4449&lt;B4449),AND(F4449&lt;&gt;"",F4449&lt;B4449)),"Evento anterior à entrada",IF(AND(F4449&lt;&gt;"",E4449=""),"Conversa sem agendamento",IF(OR(E4449&gt;TODAY(),F4449&gt;TODAY()),"Verificar evento futuro","OK"))))))))))</f>
        <v/>
      </c>
    </row>
    <row r="4450" spans="12:15">
      <c r="L4450" s="5">
        <f>IF(OR(A4450="",B4450=""),"",B4450-WEEKDAY(B4450,2)+1)</f>
        <v/>
      </c>
      <c r="M4450" s="5">
        <f>IF(L4450="","",L4450+6)</f>
        <v/>
      </c>
      <c r="N4450" s="6">
        <f>IF(OR(A4450="",B4450=""),"",DATE(YEAR(B4450),MONTH(B4450),1))</f>
        <v/>
      </c>
      <c r="O4450" s="7">
        <f>IF(COUNTA(A4450:K4450)=0,"",IF(OR(A4450="",B4450=""),"Preencher CPF e entrada",IF(COUNTIFS($A$12:$A$5011,A4450,$B$12:$B$5011,B4450)&gt;1,"CPF + dia duplicado",IF(OR(AND(G4450&lt;&gt;"",G4450&lt;&gt;0,G4450&lt;&gt;1),AND(H4450&lt;&gt;"",H4450&lt;&gt;0,H4450&lt;&gt;1)),"Flags devem ser 0 ou 1",IF(AND(H4450=1,LEN(TRIM(I4450))=0),"Preencher nome do indicante",IF(AND(H4450&lt;&gt;1,I4450&lt;&gt;""),"Nome sem indicação interna",IF(AND(G4450=1,F4450=""),"Fechamento sem conversa",IF(OR(AND(E4450&lt;&gt;"",E4450&lt;B4450),AND(F4450&lt;&gt;"",F4450&lt;B4450)),"Evento anterior à entrada",IF(AND(F4450&lt;&gt;"",E4450=""),"Conversa sem agendamento",IF(OR(E4450&gt;TODAY(),F4450&gt;TODAY()),"Verificar evento futuro","OK"))))))))))</f>
        <v/>
      </c>
    </row>
    <row r="4451" spans="12:15">
      <c r="L4451" s="5">
        <f>IF(OR(A4451="",B4451=""),"",B4451-WEEKDAY(B4451,2)+1)</f>
        <v/>
      </c>
      <c r="M4451" s="5">
        <f>IF(L4451="","",L4451+6)</f>
        <v/>
      </c>
      <c r="N4451" s="6">
        <f>IF(OR(A4451="",B4451=""),"",DATE(YEAR(B4451),MONTH(B4451),1))</f>
        <v/>
      </c>
      <c r="O4451" s="7">
        <f>IF(COUNTA(A4451:K4451)=0,"",IF(OR(A4451="",B4451=""),"Preencher CPF e entrada",IF(COUNTIFS($A$12:$A$5011,A4451,$B$12:$B$5011,B4451)&gt;1,"CPF + dia duplicado",IF(OR(AND(G4451&lt;&gt;"",G4451&lt;&gt;0,G4451&lt;&gt;1),AND(H4451&lt;&gt;"",H4451&lt;&gt;0,H4451&lt;&gt;1)),"Flags devem ser 0 ou 1",IF(AND(H4451=1,LEN(TRIM(I4451))=0),"Preencher nome do indicante",IF(AND(H4451&lt;&gt;1,I4451&lt;&gt;""),"Nome sem indicação interna",IF(AND(G4451=1,F4451=""),"Fechamento sem conversa",IF(OR(AND(E4451&lt;&gt;"",E4451&lt;B4451),AND(F4451&lt;&gt;"",F4451&lt;B4451)),"Evento anterior à entrada",IF(AND(F4451&lt;&gt;"",E4451=""),"Conversa sem agendamento",IF(OR(E4451&gt;TODAY(),F4451&gt;TODAY()),"Verificar evento futuro","OK"))))))))))</f>
        <v/>
      </c>
    </row>
    <row r="4452" spans="12:15">
      <c r="L4452" s="5">
        <f>IF(OR(A4452="",B4452=""),"",B4452-WEEKDAY(B4452,2)+1)</f>
        <v/>
      </c>
      <c r="M4452" s="5">
        <f>IF(L4452="","",L4452+6)</f>
        <v/>
      </c>
      <c r="N4452" s="6">
        <f>IF(OR(A4452="",B4452=""),"",DATE(YEAR(B4452),MONTH(B4452),1))</f>
        <v/>
      </c>
      <c r="O4452" s="7">
        <f>IF(COUNTA(A4452:K4452)=0,"",IF(OR(A4452="",B4452=""),"Preencher CPF e entrada",IF(COUNTIFS($A$12:$A$5011,A4452,$B$12:$B$5011,B4452)&gt;1,"CPF + dia duplicado",IF(OR(AND(G4452&lt;&gt;"",G4452&lt;&gt;0,G4452&lt;&gt;1),AND(H4452&lt;&gt;"",H4452&lt;&gt;0,H4452&lt;&gt;1)),"Flags devem ser 0 ou 1",IF(AND(H4452=1,LEN(TRIM(I4452))=0),"Preencher nome do indicante",IF(AND(H4452&lt;&gt;1,I4452&lt;&gt;""),"Nome sem indicação interna",IF(AND(G4452=1,F4452=""),"Fechamento sem conversa",IF(OR(AND(E4452&lt;&gt;"",E4452&lt;B4452),AND(F4452&lt;&gt;"",F4452&lt;B4452)),"Evento anterior à entrada",IF(AND(F4452&lt;&gt;"",E4452=""),"Conversa sem agendamento",IF(OR(E4452&gt;TODAY(),F4452&gt;TODAY()),"Verificar evento futuro","OK"))))))))))</f>
        <v/>
      </c>
    </row>
    <row r="4453" spans="12:15">
      <c r="L4453" s="5">
        <f>IF(OR(A4453="",B4453=""),"",B4453-WEEKDAY(B4453,2)+1)</f>
        <v/>
      </c>
      <c r="M4453" s="5">
        <f>IF(L4453="","",L4453+6)</f>
        <v/>
      </c>
      <c r="N4453" s="6">
        <f>IF(OR(A4453="",B4453=""),"",DATE(YEAR(B4453),MONTH(B4453),1))</f>
        <v/>
      </c>
      <c r="O4453" s="7">
        <f>IF(COUNTA(A4453:K4453)=0,"",IF(OR(A4453="",B4453=""),"Preencher CPF e entrada",IF(COUNTIFS($A$12:$A$5011,A4453,$B$12:$B$5011,B4453)&gt;1,"CPF + dia duplicado",IF(OR(AND(G4453&lt;&gt;"",G4453&lt;&gt;0,G4453&lt;&gt;1),AND(H4453&lt;&gt;"",H4453&lt;&gt;0,H4453&lt;&gt;1)),"Flags devem ser 0 ou 1",IF(AND(H4453=1,LEN(TRIM(I4453))=0),"Preencher nome do indicante",IF(AND(H4453&lt;&gt;1,I4453&lt;&gt;""),"Nome sem indicação interna",IF(AND(G4453=1,F4453=""),"Fechamento sem conversa",IF(OR(AND(E4453&lt;&gt;"",E4453&lt;B4453),AND(F4453&lt;&gt;"",F4453&lt;B4453)),"Evento anterior à entrada",IF(AND(F4453&lt;&gt;"",E4453=""),"Conversa sem agendamento",IF(OR(E4453&gt;TODAY(),F4453&gt;TODAY()),"Verificar evento futuro","OK"))))))))))</f>
        <v/>
      </c>
    </row>
    <row r="4454" spans="12:15">
      <c r="L4454" s="5">
        <f>IF(OR(A4454="",B4454=""),"",B4454-WEEKDAY(B4454,2)+1)</f>
        <v/>
      </c>
      <c r="M4454" s="5">
        <f>IF(L4454="","",L4454+6)</f>
        <v/>
      </c>
      <c r="N4454" s="6">
        <f>IF(OR(A4454="",B4454=""),"",DATE(YEAR(B4454),MONTH(B4454),1))</f>
        <v/>
      </c>
      <c r="O4454" s="7">
        <f>IF(COUNTA(A4454:K4454)=0,"",IF(OR(A4454="",B4454=""),"Preencher CPF e entrada",IF(COUNTIFS($A$12:$A$5011,A4454,$B$12:$B$5011,B4454)&gt;1,"CPF + dia duplicado",IF(OR(AND(G4454&lt;&gt;"",G4454&lt;&gt;0,G4454&lt;&gt;1),AND(H4454&lt;&gt;"",H4454&lt;&gt;0,H4454&lt;&gt;1)),"Flags devem ser 0 ou 1",IF(AND(H4454=1,LEN(TRIM(I4454))=0),"Preencher nome do indicante",IF(AND(H4454&lt;&gt;1,I4454&lt;&gt;""),"Nome sem indicação interna",IF(AND(G4454=1,F4454=""),"Fechamento sem conversa",IF(OR(AND(E4454&lt;&gt;"",E4454&lt;B4454),AND(F4454&lt;&gt;"",F4454&lt;B4454)),"Evento anterior à entrada",IF(AND(F4454&lt;&gt;"",E4454=""),"Conversa sem agendamento",IF(OR(E4454&gt;TODAY(),F4454&gt;TODAY()),"Verificar evento futuro","OK"))))))))))</f>
        <v/>
      </c>
    </row>
    <row r="4455" spans="12:15">
      <c r="L4455" s="5">
        <f>IF(OR(A4455="",B4455=""),"",B4455-WEEKDAY(B4455,2)+1)</f>
        <v/>
      </c>
      <c r="M4455" s="5">
        <f>IF(L4455="","",L4455+6)</f>
        <v/>
      </c>
      <c r="N4455" s="6">
        <f>IF(OR(A4455="",B4455=""),"",DATE(YEAR(B4455),MONTH(B4455),1))</f>
        <v/>
      </c>
      <c r="O4455" s="7">
        <f>IF(COUNTA(A4455:K4455)=0,"",IF(OR(A4455="",B4455=""),"Preencher CPF e entrada",IF(COUNTIFS($A$12:$A$5011,A4455,$B$12:$B$5011,B4455)&gt;1,"CPF + dia duplicado",IF(OR(AND(G4455&lt;&gt;"",G4455&lt;&gt;0,G4455&lt;&gt;1),AND(H4455&lt;&gt;"",H4455&lt;&gt;0,H4455&lt;&gt;1)),"Flags devem ser 0 ou 1",IF(AND(H4455=1,LEN(TRIM(I4455))=0),"Preencher nome do indicante",IF(AND(H4455&lt;&gt;1,I4455&lt;&gt;""),"Nome sem indicação interna",IF(AND(G4455=1,F4455=""),"Fechamento sem conversa",IF(OR(AND(E4455&lt;&gt;"",E4455&lt;B4455),AND(F4455&lt;&gt;"",F4455&lt;B4455)),"Evento anterior à entrada",IF(AND(F4455&lt;&gt;"",E4455=""),"Conversa sem agendamento",IF(OR(E4455&gt;TODAY(),F4455&gt;TODAY()),"Verificar evento futuro","OK"))))))))))</f>
        <v/>
      </c>
    </row>
    <row r="4456" spans="12:15">
      <c r="L4456" s="5">
        <f>IF(OR(A4456="",B4456=""),"",B4456-WEEKDAY(B4456,2)+1)</f>
        <v/>
      </c>
      <c r="M4456" s="5">
        <f>IF(L4456="","",L4456+6)</f>
        <v/>
      </c>
      <c r="N4456" s="6">
        <f>IF(OR(A4456="",B4456=""),"",DATE(YEAR(B4456),MONTH(B4456),1))</f>
        <v/>
      </c>
      <c r="O4456" s="7">
        <f>IF(COUNTA(A4456:K4456)=0,"",IF(OR(A4456="",B4456=""),"Preencher CPF e entrada",IF(COUNTIFS($A$12:$A$5011,A4456,$B$12:$B$5011,B4456)&gt;1,"CPF + dia duplicado",IF(OR(AND(G4456&lt;&gt;"",G4456&lt;&gt;0,G4456&lt;&gt;1),AND(H4456&lt;&gt;"",H4456&lt;&gt;0,H4456&lt;&gt;1)),"Flags devem ser 0 ou 1",IF(AND(H4456=1,LEN(TRIM(I4456))=0),"Preencher nome do indicante",IF(AND(H4456&lt;&gt;1,I4456&lt;&gt;""),"Nome sem indicação interna",IF(AND(G4456=1,F4456=""),"Fechamento sem conversa",IF(OR(AND(E4456&lt;&gt;"",E4456&lt;B4456),AND(F4456&lt;&gt;"",F4456&lt;B4456)),"Evento anterior à entrada",IF(AND(F4456&lt;&gt;"",E4456=""),"Conversa sem agendamento",IF(OR(E4456&gt;TODAY(),F4456&gt;TODAY()),"Verificar evento futuro","OK"))))))))))</f>
        <v/>
      </c>
    </row>
    <row r="4457" spans="12:15">
      <c r="L4457" s="5">
        <f>IF(OR(A4457="",B4457=""),"",B4457-WEEKDAY(B4457,2)+1)</f>
        <v/>
      </c>
      <c r="M4457" s="5">
        <f>IF(L4457="","",L4457+6)</f>
        <v/>
      </c>
      <c r="N4457" s="6">
        <f>IF(OR(A4457="",B4457=""),"",DATE(YEAR(B4457),MONTH(B4457),1))</f>
        <v/>
      </c>
      <c r="O4457" s="7">
        <f>IF(COUNTA(A4457:K4457)=0,"",IF(OR(A4457="",B4457=""),"Preencher CPF e entrada",IF(COUNTIFS($A$12:$A$5011,A4457,$B$12:$B$5011,B4457)&gt;1,"CPF + dia duplicado",IF(OR(AND(G4457&lt;&gt;"",G4457&lt;&gt;0,G4457&lt;&gt;1),AND(H4457&lt;&gt;"",H4457&lt;&gt;0,H4457&lt;&gt;1)),"Flags devem ser 0 ou 1",IF(AND(H4457=1,LEN(TRIM(I4457))=0),"Preencher nome do indicante",IF(AND(H4457&lt;&gt;1,I4457&lt;&gt;""),"Nome sem indicação interna",IF(AND(G4457=1,F4457=""),"Fechamento sem conversa",IF(OR(AND(E4457&lt;&gt;"",E4457&lt;B4457),AND(F4457&lt;&gt;"",F4457&lt;B4457)),"Evento anterior à entrada",IF(AND(F4457&lt;&gt;"",E4457=""),"Conversa sem agendamento",IF(OR(E4457&gt;TODAY(),F4457&gt;TODAY()),"Verificar evento futuro","OK"))))))))))</f>
        <v/>
      </c>
    </row>
    <row r="4458" spans="12:15">
      <c r="L4458" s="5">
        <f>IF(OR(A4458="",B4458=""),"",B4458-WEEKDAY(B4458,2)+1)</f>
        <v/>
      </c>
      <c r="M4458" s="5">
        <f>IF(L4458="","",L4458+6)</f>
        <v/>
      </c>
      <c r="N4458" s="6">
        <f>IF(OR(A4458="",B4458=""),"",DATE(YEAR(B4458),MONTH(B4458),1))</f>
        <v/>
      </c>
      <c r="O4458" s="7">
        <f>IF(COUNTA(A4458:K4458)=0,"",IF(OR(A4458="",B4458=""),"Preencher CPF e entrada",IF(COUNTIFS($A$12:$A$5011,A4458,$B$12:$B$5011,B4458)&gt;1,"CPF + dia duplicado",IF(OR(AND(G4458&lt;&gt;"",G4458&lt;&gt;0,G4458&lt;&gt;1),AND(H4458&lt;&gt;"",H4458&lt;&gt;0,H4458&lt;&gt;1)),"Flags devem ser 0 ou 1",IF(AND(H4458=1,LEN(TRIM(I4458))=0),"Preencher nome do indicante",IF(AND(H4458&lt;&gt;1,I4458&lt;&gt;""),"Nome sem indicação interna",IF(AND(G4458=1,F4458=""),"Fechamento sem conversa",IF(OR(AND(E4458&lt;&gt;"",E4458&lt;B4458),AND(F4458&lt;&gt;"",F4458&lt;B4458)),"Evento anterior à entrada",IF(AND(F4458&lt;&gt;"",E4458=""),"Conversa sem agendamento",IF(OR(E4458&gt;TODAY(),F4458&gt;TODAY()),"Verificar evento futuro","OK"))))))))))</f>
        <v/>
      </c>
    </row>
    <row r="4459" spans="12:15">
      <c r="L4459" s="5">
        <f>IF(OR(A4459="",B4459=""),"",B4459-WEEKDAY(B4459,2)+1)</f>
        <v/>
      </c>
      <c r="M4459" s="5">
        <f>IF(L4459="","",L4459+6)</f>
        <v/>
      </c>
      <c r="N4459" s="6">
        <f>IF(OR(A4459="",B4459=""),"",DATE(YEAR(B4459),MONTH(B4459),1))</f>
        <v/>
      </c>
      <c r="O4459" s="7">
        <f>IF(COUNTA(A4459:K4459)=0,"",IF(OR(A4459="",B4459=""),"Preencher CPF e entrada",IF(COUNTIFS($A$12:$A$5011,A4459,$B$12:$B$5011,B4459)&gt;1,"CPF + dia duplicado",IF(OR(AND(G4459&lt;&gt;"",G4459&lt;&gt;0,G4459&lt;&gt;1),AND(H4459&lt;&gt;"",H4459&lt;&gt;0,H4459&lt;&gt;1)),"Flags devem ser 0 ou 1",IF(AND(H4459=1,LEN(TRIM(I4459))=0),"Preencher nome do indicante",IF(AND(H4459&lt;&gt;1,I4459&lt;&gt;""),"Nome sem indicação interna",IF(AND(G4459=1,F4459=""),"Fechamento sem conversa",IF(OR(AND(E4459&lt;&gt;"",E4459&lt;B4459),AND(F4459&lt;&gt;"",F4459&lt;B4459)),"Evento anterior à entrada",IF(AND(F4459&lt;&gt;"",E4459=""),"Conversa sem agendamento",IF(OR(E4459&gt;TODAY(),F4459&gt;TODAY()),"Verificar evento futuro","OK"))))))))))</f>
        <v/>
      </c>
    </row>
    <row r="4460" spans="12:15">
      <c r="L4460" s="5">
        <f>IF(OR(A4460="",B4460=""),"",B4460-WEEKDAY(B4460,2)+1)</f>
        <v/>
      </c>
      <c r="M4460" s="5">
        <f>IF(L4460="","",L4460+6)</f>
        <v/>
      </c>
      <c r="N4460" s="6">
        <f>IF(OR(A4460="",B4460=""),"",DATE(YEAR(B4460),MONTH(B4460),1))</f>
        <v/>
      </c>
      <c r="O4460" s="7">
        <f>IF(COUNTA(A4460:K4460)=0,"",IF(OR(A4460="",B4460=""),"Preencher CPF e entrada",IF(COUNTIFS($A$12:$A$5011,A4460,$B$12:$B$5011,B4460)&gt;1,"CPF + dia duplicado",IF(OR(AND(G4460&lt;&gt;"",G4460&lt;&gt;0,G4460&lt;&gt;1),AND(H4460&lt;&gt;"",H4460&lt;&gt;0,H4460&lt;&gt;1)),"Flags devem ser 0 ou 1",IF(AND(H4460=1,LEN(TRIM(I4460))=0),"Preencher nome do indicante",IF(AND(H4460&lt;&gt;1,I4460&lt;&gt;""),"Nome sem indicação interna",IF(AND(G4460=1,F4460=""),"Fechamento sem conversa",IF(OR(AND(E4460&lt;&gt;"",E4460&lt;B4460),AND(F4460&lt;&gt;"",F4460&lt;B4460)),"Evento anterior à entrada",IF(AND(F4460&lt;&gt;"",E4460=""),"Conversa sem agendamento",IF(OR(E4460&gt;TODAY(),F4460&gt;TODAY()),"Verificar evento futuro","OK"))))))))))</f>
        <v/>
      </c>
    </row>
    <row r="4461" spans="12:15">
      <c r="L4461" s="5">
        <f>IF(OR(A4461="",B4461=""),"",B4461-WEEKDAY(B4461,2)+1)</f>
        <v/>
      </c>
      <c r="M4461" s="5">
        <f>IF(L4461="","",L4461+6)</f>
        <v/>
      </c>
      <c r="N4461" s="6">
        <f>IF(OR(A4461="",B4461=""),"",DATE(YEAR(B4461),MONTH(B4461),1))</f>
        <v/>
      </c>
      <c r="O4461" s="7">
        <f>IF(COUNTA(A4461:K4461)=0,"",IF(OR(A4461="",B4461=""),"Preencher CPF e entrada",IF(COUNTIFS($A$12:$A$5011,A4461,$B$12:$B$5011,B4461)&gt;1,"CPF + dia duplicado",IF(OR(AND(G4461&lt;&gt;"",G4461&lt;&gt;0,G4461&lt;&gt;1),AND(H4461&lt;&gt;"",H4461&lt;&gt;0,H4461&lt;&gt;1)),"Flags devem ser 0 ou 1",IF(AND(H4461=1,LEN(TRIM(I4461))=0),"Preencher nome do indicante",IF(AND(H4461&lt;&gt;1,I4461&lt;&gt;""),"Nome sem indicação interna",IF(AND(G4461=1,F4461=""),"Fechamento sem conversa",IF(OR(AND(E4461&lt;&gt;"",E4461&lt;B4461),AND(F4461&lt;&gt;"",F4461&lt;B4461)),"Evento anterior à entrada",IF(AND(F4461&lt;&gt;"",E4461=""),"Conversa sem agendamento",IF(OR(E4461&gt;TODAY(),F4461&gt;TODAY()),"Verificar evento futuro","OK"))))))))))</f>
        <v/>
      </c>
    </row>
    <row r="4462" spans="12:15">
      <c r="L4462" s="5">
        <f>IF(OR(A4462="",B4462=""),"",B4462-WEEKDAY(B4462,2)+1)</f>
        <v/>
      </c>
      <c r="M4462" s="5">
        <f>IF(L4462="","",L4462+6)</f>
        <v/>
      </c>
      <c r="N4462" s="6">
        <f>IF(OR(A4462="",B4462=""),"",DATE(YEAR(B4462),MONTH(B4462),1))</f>
        <v/>
      </c>
      <c r="O4462" s="7">
        <f>IF(COUNTA(A4462:K4462)=0,"",IF(OR(A4462="",B4462=""),"Preencher CPF e entrada",IF(COUNTIFS($A$12:$A$5011,A4462,$B$12:$B$5011,B4462)&gt;1,"CPF + dia duplicado",IF(OR(AND(G4462&lt;&gt;"",G4462&lt;&gt;0,G4462&lt;&gt;1),AND(H4462&lt;&gt;"",H4462&lt;&gt;0,H4462&lt;&gt;1)),"Flags devem ser 0 ou 1",IF(AND(H4462=1,LEN(TRIM(I4462))=0),"Preencher nome do indicante",IF(AND(H4462&lt;&gt;1,I4462&lt;&gt;""),"Nome sem indicação interna",IF(AND(G4462=1,F4462=""),"Fechamento sem conversa",IF(OR(AND(E4462&lt;&gt;"",E4462&lt;B4462),AND(F4462&lt;&gt;"",F4462&lt;B4462)),"Evento anterior à entrada",IF(AND(F4462&lt;&gt;"",E4462=""),"Conversa sem agendamento",IF(OR(E4462&gt;TODAY(),F4462&gt;TODAY()),"Verificar evento futuro","OK"))))))))))</f>
        <v/>
      </c>
    </row>
    <row r="4463" spans="12:15">
      <c r="L4463" s="5">
        <f>IF(OR(A4463="",B4463=""),"",B4463-WEEKDAY(B4463,2)+1)</f>
        <v/>
      </c>
      <c r="M4463" s="5">
        <f>IF(L4463="","",L4463+6)</f>
        <v/>
      </c>
      <c r="N4463" s="6">
        <f>IF(OR(A4463="",B4463=""),"",DATE(YEAR(B4463),MONTH(B4463),1))</f>
        <v/>
      </c>
      <c r="O4463" s="7">
        <f>IF(COUNTA(A4463:K4463)=0,"",IF(OR(A4463="",B4463=""),"Preencher CPF e entrada",IF(COUNTIFS($A$12:$A$5011,A4463,$B$12:$B$5011,B4463)&gt;1,"CPF + dia duplicado",IF(OR(AND(G4463&lt;&gt;"",G4463&lt;&gt;0,G4463&lt;&gt;1),AND(H4463&lt;&gt;"",H4463&lt;&gt;0,H4463&lt;&gt;1)),"Flags devem ser 0 ou 1",IF(AND(H4463=1,LEN(TRIM(I4463))=0),"Preencher nome do indicante",IF(AND(H4463&lt;&gt;1,I4463&lt;&gt;""),"Nome sem indicação interna",IF(AND(G4463=1,F4463=""),"Fechamento sem conversa",IF(OR(AND(E4463&lt;&gt;"",E4463&lt;B4463),AND(F4463&lt;&gt;"",F4463&lt;B4463)),"Evento anterior à entrada",IF(AND(F4463&lt;&gt;"",E4463=""),"Conversa sem agendamento",IF(OR(E4463&gt;TODAY(),F4463&gt;TODAY()),"Verificar evento futuro","OK"))))))))))</f>
        <v/>
      </c>
    </row>
    <row r="4464" spans="12:15">
      <c r="L4464" s="5">
        <f>IF(OR(A4464="",B4464=""),"",B4464-WEEKDAY(B4464,2)+1)</f>
        <v/>
      </c>
      <c r="M4464" s="5">
        <f>IF(L4464="","",L4464+6)</f>
        <v/>
      </c>
      <c r="N4464" s="6">
        <f>IF(OR(A4464="",B4464=""),"",DATE(YEAR(B4464),MONTH(B4464),1))</f>
        <v/>
      </c>
      <c r="O4464" s="7">
        <f>IF(COUNTA(A4464:K4464)=0,"",IF(OR(A4464="",B4464=""),"Preencher CPF e entrada",IF(COUNTIFS($A$12:$A$5011,A4464,$B$12:$B$5011,B4464)&gt;1,"CPF + dia duplicado",IF(OR(AND(G4464&lt;&gt;"",G4464&lt;&gt;0,G4464&lt;&gt;1),AND(H4464&lt;&gt;"",H4464&lt;&gt;0,H4464&lt;&gt;1)),"Flags devem ser 0 ou 1",IF(AND(H4464=1,LEN(TRIM(I4464))=0),"Preencher nome do indicante",IF(AND(H4464&lt;&gt;1,I4464&lt;&gt;""),"Nome sem indicação interna",IF(AND(G4464=1,F4464=""),"Fechamento sem conversa",IF(OR(AND(E4464&lt;&gt;"",E4464&lt;B4464),AND(F4464&lt;&gt;"",F4464&lt;B4464)),"Evento anterior à entrada",IF(AND(F4464&lt;&gt;"",E4464=""),"Conversa sem agendamento",IF(OR(E4464&gt;TODAY(),F4464&gt;TODAY()),"Verificar evento futuro","OK"))))))))))</f>
        <v/>
      </c>
    </row>
    <row r="4465" spans="12:15">
      <c r="L4465" s="5">
        <f>IF(OR(A4465="",B4465=""),"",B4465-WEEKDAY(B4465,2)+1)</f>
        <v/>
      </c>
      <c r="M4465" s="5">
        <f>IF(L4465="","",L4465+6)</f>
        <v/>
      </c>
      <c r="N4465" s="6">
        <f>IF(OR(A4465="",B4465=""),"",DATE(YEAR(B4465),MONTH(B4465),1))</f>
        <v/>
      </c>
      <c r="O4465" s="7">
        <f>IF(COUNTA(A4465:K4465)=0,"",IF(OR(A4465="",B4465=""),"Preencher CPF e entrada",IF(COUNTIFS($A$12:$A$5011,A4465,$B$12:$B$5011,B4465)&gt;1,"CPF + dia duplicado",IF(OR(AND(G4465&lt;&gt;"",G4465&lt;&gt;0,G4465&lt;&gt;1),AND(H4465&lt;&gt;"",H4465&lt;&gt;0,H4465&lt;&gt;1)),"Flags devem ser 0 ou 1",IF(AND(H4465=1,LEN(TRIM(I4465))=0),"Preencher nome do indicante",IF(AND(H4465&lt;&gt;1,I4465&lt;&gt;""),"Nome sem indicação interna",IF(AND(G4465=1,F4465=""),"Fechamento sem conversa",IF(OR(AND(E4465&lt;&gt;"",E4465&lt;B4465),AND(F4465&lt;&gt;"",F4465&lt;B4465)),"Evento anterior à entrada",IF(AND(F4465&lt;&gt;"",E4465=""),"Conversa sem agendamento",IF(OR(E4465&gt;TODAY(),F4465&gt;TODAY()),"Verificar evento futuro","OK"))))))))))</f>
        <v/>
      </c>
    </row>
    <row r="4466" spans="12:15">
      <c r="L4466" s="5">
        <f>IF(OR(A4466="",B4466=""),"",B4466-WEEKDAY(B4466,2)+1)</f>
        <v/>
      </c>
      <c r="M4466" s="5">
        <f>IF(L4466="","",L4466+6)</f>
        <v/>
      </c>
      <c r="N4466" s="6">
        <f>IF(OR(A4466="",B4466=""),"",DATE(YEAR(B4466),MONTH(B4466),1))</f>
        <v/>
      </c>
      <c r="O4466" s="7">
        <f>IF(COUNTA(A4466:K4466)=0,"",IF(OR(A4466="",B4466=""),"Preencher CPF e entrada",IF(COUNTIFS($A$12:$A$5011,A4466,$B$12:$B$5011,B4466)&gt;1,"CPF + dia duplicado",IF(OR(AND(G4466&lt;&gt;"",G4466&lt;&gt;0,G4466&lt;&gt;1),AND(H4466&lt;&gt;"",H4466&lt;&gt;0,H4466&lt;&gt;1)),"Flags devem ser 0 ou 1",IF(AND(H4466=1,LEN(TRIM(I4466))=0),"Preencher nome do indicante",IF(AND(H4466&lt;&gt;1,I4466&lt;&gt;""),"Nome sem indicação interna",IF(AND(G4466=1,F4466=""),"Fechamento sem conversa",IF(OR(AND(E4466&lt;&gt;"",E4466&lt;B4466),AND(F4466&lt;&gt;"",F4466&lt;B4466)),"Evento anterior à entrada",IF(AND(F4466&lt;&gt;"",E4466=""),"Conversa sem agendamento",IF(OR(E4466&gt;TODAY(),F4466&gt;TODAY()),"Verificar evento futuro","OK"))))))))))</f>
        <v/>
      </c>
    </row>
    <row r="4467" spans="12:15">
      <c r="L4467" s="5">
        <f>IF(OR(A4467="",B4467=""),"",B4467-WEEKDAY(B4467,2)+1)</f>
        <v/>
      </c>
      <c r="M4467" s="5">
        <f>IF(L4467="","",L4467+6)</f>
        <v/>
      </c>
      <c r="N4467" s="6">
        <f>IF(OR(A4467="",B4467=""),"",DATE(YEAR(B4467),MONTH(B4467),1))</f>
        <v/>
      </c>
      <c r="O4467" s="7">
        <f>IF(COUNTA(A4467:K4467)=0,"",IF(OR(A4467="",B4467=""),"Preencher CPF e entrada",IF(COUNTIFS($A$12:$A$5011,A4467,$B$12:$B$5011,B4467)&gt;1,"CPF + dia duplicado",IF(OR(AND(G4467&lt;&gt;"",G4467&lt;&gt;0,G4467&lt;&gt;1),AND(H4467&lt;&gt;"",H4467&lt;&gt;0,H4467&lt;&gt;1)),"Flags devem ser 0 ou 1",IF(AND(H4467=1,LEN(TRIM(I4467))=0),"Preencher nome do indicante",IF(AND(H4467&lt;&gt;1,I4467&lt;&gt;""),"Nome sem indicação interna",IF(AND(G4467=1,F4467=""),"Fechamento sem conversa",IF(OR(AND(E4467&lt;&gt;"",E4467&lt;B4467),AND(F4467&lt;&gt;"",F4467&lt;B4467)),"Evento anterior à entrada",IF(AND(F4467&lt;&gt;"",E4467=""),"Conversa sem agendamento",IF(OR(E4467&gt;TODAY(),F4467&gt;TODAY()),"Verificar evento futuro","OK"))))))))))</f>
        <v/>
      </c>
    </row>
    <row r="4468" spans="12:15">
      <c r="L4468" s="5">
        <f>IF(OR(A4468="",B4468=""),"",B4468-WEEKDAY(B4468,2)+1)</f>
        <v/>
      </c>
      <c r="M4468" s="5">
        <f>IF(L4468="","",L4468+6)</f>
        <v/>
      </c>
      <c r="N4468" s="6">
        <f>IF(OR(A4468="",B4468=""),"",DATE(YEAR(B4468),MONTH(B4468),1))</f>
        <v/>
      </c>
      <c r="O4468" s="7">
        <f>IF(COUNTA(A4468:K4468)=0,"",IF(OR(A4468="",B4468=""),"Preencher CPF e entrada",IF(COUNTIFS($A$12:$A$5011,A4468,$B$12:$B$5011,B4468)&gt;1,"CPF + dia duplicado",IF(OR(AND(G4468&lt;&gt;"",G4468&lt;&gt;0,G4468&lt;&gt;1),AND(H4468&lt;&gt;"",H4468&lt;&gt;0,H4468&lt;&gt;1)),"Flags devem ser 0 ou 1",IF(AND(H4468=1,LEN(TRIM(I4468))=0),"Preencher nome do indicante",IF(AND(H4468&lt;&gt;1,I4468&lt;&gt;""),"Nome sem indicação interna",IF(AND(G4468=1,F4468=""),"Fechamento sem conversa",IF(OR(AND(E4468&lt;&gt;"",E4468&lt;B4468),AND(F4468&lt;&gt;"",F4468&lt;B4468)),"Evento anterior à entrada",IF(AND(F4468&lt;&gt;"",E4468=""),"Conversa sem agendamento",IF(OR(E4468&gt;TODAY(),F4468&gt;TODAY()),"Verificar evento futuro","OK"))))))))))</f>
        <v/>
      </c>
    </row>
    <row r="4469" spans="12:15">
      <c r="L4469" s="5">
        <f>IF(OR(A4469="",B4469=""),"",B4469-WEEKDAY(B4469,2)+1)</f>
        <v/>
      </c>
      <c r="M4469" s="5">
        <f>IF(L4469="","",L4469+6)</f>
        <v/>
      </c>
      <c r="N4469" s="6">
        <f>IF(OR(A4469="",B4469=""),"",DATE(YEAR(B4469),MONTH(B4469),1))</f>
        <v/>
      </c>
      <c r="O4469" s="7">
        <f>IF(COUNTA(A4469:K4469)=0,"",IF(OR(A4469="",B4469=""),"Preencher CPF e entrada",IF(COUNTIFS($A$12:$A$5011,A4469,$B$12:$B$5011,B4469)&gt;1,"CPF + dia duplicado",IF(OR(AND(G4469&lt;&gt;"",G4469&lt;&gt;0,G4469&lt;&gt;1),AND(H4469&lt;&gt;"",H4469&lt;&gt;0,H4469&lt;&gt;1)),"Flags devem ser 0 ou 1",IF(AND(H4469=1,LEN(TRIM(I4469))=0),"Preencher nome do indicante",IF(AND(H4469&lt;&gt;1,I4469&lt;&gt;""),"Nome sem indicação interna",IF(AND(G4469=1,F4469=""),"Fechamento sem conversa",IF(OR(AND(E4469&lt;&gt;"",E4469&lt;B4469),AND(F4469&lt;&gt;"",F4469&lt;B4469)),"Evento anterior à entrada",IF(AND(F4469&lt;&gt;"",E4469=""),"Conversa sem agendamento",IF(OR(E4469&gt;TODAY(),F4469&gt;TODAY()),"Verificar evento futuro","OK"))))))))))</f>
        <v/>
      </c>
    </row>
    <row r="4470" spans="12:15">
      <c r="L4470" s="5">
        <f>IF(OR(A4470="",B4470=""),"",B4470-WEEKDAY(B4470,2)+1)</f>
        <v/>
      </c>
      <c r="M4470" s="5">
        <f>IF(L4470="","",L4470+6)</f>
        <v/>
      </c>
      <c r="N4470" s="6">
        <f>IF(OR(A4470="",B4470=""),"",DATE(YEAR(B4470),MONTH(B4470),1))</f>
        <v/>
      </c>
      <c r="O4470" s="7">
        <f>IF(COUNTA(A4470:K4470)=0,"",IF(OR(A4470="",B4470=""),"Preencher CPF e entrada",IF(COUNTIFS($A$12:$A$5011,A4470,$B$12:$B$5011,B4470)&gt;1,"CPF + dia duplicado",IF(OR(AND(G4470&lt;&gt;"",G4470&lt;&gt;0,G4470&lt;&gt;1),AND(H4470&lt;&gt;"",H4470&lt;&gt;0,H4470&lt;&gt;1)),"Flags devem ser 0 ou 1",IF(AND(H4470=1,LEN(TRIM(I4470))=0),"Preencher nome do indicante",IF(AND(H4470&lt;&gt;1,I4470&lt;&gt;""),"Nome sem indicação interna",IF(AND(G4470=1,F4470=""),"Fechamento sem conversa",IF(OR(AND(E4470&lt;&gt;"",E4470&lt;B4470),AND(F4470&lt;&gt;"",F4470&lt;B4470)),"Evento anterior à entrada",IF(AND(F4470&lt;&gt;"",E4470=""),"Conversa sem agendamento",IF(OR(E4470&gt;TODAY(),F4470&gt;TODAY()),"Verificar evento futuro","OK"))))))))))</f>
        <v/>
      </c>
    </row>
    <row r="4471" spans="12:15">
      <c r="L4471" s="5">
        <f>IF(OR(A4471="",B4471=""),"",B4471-WEEKDAY(B4471,2)+1)</f>
        <v/>
      </c>
      <c r="M4471" s="5">
        <f>IF(L4471="","",L4471+6)</f>
        <v/>
      </c>
      <c r="N4471" s="6">
        <f>IF(OR(A4471="",B4471=""),"",DATE(YEAR(B4471),MONTH(B4471),1))</f>
        <v/>
      </c>
      <c r="O4471" s="7">
        <f>IF(COUNTA(A4471:K4471)=0,"",IF(OR(A4471="",B4471=""),"Preencher CPF e entrada",IF(COUNTIFS($A$12:$A$5011,A4471,$B$12:$B$5011,B4471)&gt;1,"CPF + dia duplicado",IF(OR(AND(G4471&lt;&gt;"",G4471&lt;&gt;0,G4471&lt;&gt;1),AND(H4471&lt;&gt;"",H4471&lt;&gt;0,H4471&lt;&gt;1)),"Flags devem ser 0 ou 1",IF(AND(H4471=1,LEN(TRIM(I4471))=0),"Preencher nome do indicante",IF(AND(H4471&lt;&gt;1,I4471&lt;&gt;""),"Nome sem indicação interna",IF(AND(G4471=1,F4471=""),"Fechamento sem conversa",IF(OR(AND(E4471&lt;&gt;"",E4471&lt;B4471),AND(F4471&lt;&gt;"",F4471&lt;B4471)),"Evento anterior à entrada",IF(AND(F4471&lt;&gt;"",E4471=""),"Conversa sem agendamento",IF(OR(E4471&gt;TODAY(),F4471&gt;TODAY()),"Verificar evento futuro","OK"))))))))))</f>
        <v/>
      </c>
    </row>
    <row r="4472" spans="12:15">
      <c r="L4472" s="5">
        <f>IF(OR(A4472="",B4472=""),"",B4472-WEEKDAY(B4472,2)+1)</f>
        <v/>
      </c>
      <c r="M4472" s="5">
        <f>IF(L4472="","",L4472+6)</f>
        <v/>
      </c>
      <c r="N4472" s="6">
        <f>IF(OR(A4472="",B4472=""),"",DATE(YEAR(B4472),MONTH(B4472),1))</f>
        <v/>
      </c>
      <c r="O4472" s="7">
        <f>IF(COUNTA(A4472:K4472)=0,"",IF(OR(A4472="",B4472=""),"Preencher CPF e entrada",IF(COUNTIFS($A$12:$A$5011,A4472,$B$12:$B$5011,B4472)&gt;1,"CPF + dia duplicado",IF(OR(AND(G4472&lt;&gt;"",G4472&lt;&gt;0,G4472&lt;&gt;1),AND(H4472&lt;&gt;"",H4472&lt;&gt;0,H4472&lt;&gt;1)),"Flags devem ser 0 ou 1",IF(AND(H4472=1,LEN(TRIM(I4472))=0),"Preencher nome do indicante",IF(AND(H4472&lt;&gt;1,I4472&lt;&gt;""),"Nome sem indicação interna",IF(AND(G4472=1,F4472=""),"Fechamento sem conversa",IF(OR(AND(E4472&lt;&gt;"",E4472&lt;B4472),AND(F4472&lt;&gt;"",F4472&lt;B4472)),"Evento anterior à entrada",IF(AND(F4472&lt;&gt;"",E4472=""),"Conversa sem agendamento",IF(OR(E4472&gt;TODAY(),F4472&gt;TODAY()),"Verificar evento futuro","OK"))))))))))</f>
        <v/>
      </c>
    </row>
    <row r="4473" spans="12:15">
      <c r="L4473" s="5">
        <f>IF(OR(A4473="",B4473=""),"",B4473-WEEKDAY(B4473,2)+1)</f>
        <v/>
      </c>
      <c r="M4473" s="5">
        <f>IF(L4473="","",L4473+6)</f>
        <v/>
      </c>
      <c r="N4473" s="6">
        <f>IF(OR(A4473="",B4473=""),"",DATE(YEAR(B4473),MONTH(B4473),1))</f>
        <v/>
      </c>
      <c r="O4473" s="7">
        <f>IF(COUNTA(A4473:K4473)=0,"",IF(OR(A4473="",B4473=""),"Preencher CPF e entrada",IF(COUNTIFS($A$12:$A$5011,A4473,$B$12:$B$5011,B4473)&gt;1,"CPF + dia duplicado",IF(OR(AND(G4473&lt;&gt;"",G4473&lt;&gt;0,G4473&lt;&gt;1),AND(H4473&lt;&gt;"",H4473&lt;&gt;0,H4473&lt;&gt;1)),"Flags devem ser 0 ou 1",IF(AND(H4473=1,LEN(TRIM(I4473))=0),"Preencher nome do indicante",IF(AND(H4473&lt;&gt;1,I4473&lt;&gt;""),"Nome sem indicação interna",IF(AND(G4473=1,F4473=""),"Fechamento sem conversa",IF(OR(AND(E4473&lt;&gt;"",E4473&lt;B4473),AND(F4473&lt;&gt;"",F4473&lt;B4473)),"Evento anterior à entrada",IF(AND(F4473&lt;&gt;"",E4473=""),"Conversa sem agendamento",IF(OR(E4473&gt;TODAY(),F4473&gt;TODAY()),"Verificar evento futuro","OK"))))))))))</f>
        <v/>
      </c>
    </row>
    <row r="4474" spans="12:15">
      <c r="L4474" s="5">
        <f>IF(OR(A4474="",B4474=""),"",B4474-WEEKDAY(B4474,2)+1)</f>
        <v/>
      </c>
      <c r="M4474" s="5">
        <f>IF(L4474="","",L4474+6)</f>
        <v/>
      </c>
      <c r="N4474" s="6">
        <f>IF(OR(A4474="",B4474=""),"",DATE(YEAR(B4474),MONTH(B4474),1))</f>
        <v/>
      </c>
      <c r="O4474" s="7">
        <f>IF(COUNTA(A4474:K4474)=0,"",IF(OR(A4474="",B4474=""),"Preencher CPF e entrada",IF(COUNTIFS($A$12:$A$5011,A4474,$B$12:$B$5011,B4474)&gt;1,"CPF + dia duplicado",IF(OR(AND(G4474&lt;&gt;"",G4474&lt;&gt;0,G4474&lt;&gt;1),AND(H4474&lt;&gt;"",H4474&lt;&gt;0,H4474&lt;&gt;1)),"Flags devem ser 0 ou 1",IF(AND(H4474=1,LEN(TRIM(I4474))=0),"Preencher nome do indicante",IF(AND(H4474&lt;&gt;1,I4474&lt;&gt;""),"Nome sem indicação interna",IF(AND(G4474=1,F4474=""),"Fechamento sem conversa",IF(OR(AND(E4474&lt;&gt;"",E4474&lt;B4474),AND(F4474&lt;&gt;"",F4474&lt;B4474)),"Evento anterior à entrada",IF(AND(F4474&lt;&gt;"",E4474=""),"Conversa sem agendamento",IF(OR(E4474&gt;TODAY(),F4474&gt;TODAY()),"Verificar evento futuro","OK"))))))))))</f>
        <v/>
      </c>
    </row>
    <row r="4475" spans="12:15">
      <c r="L4475" s="5">
        <f>IF(OR(A4475="",B4475=""),"",B4475-WEEKDAY(B4475,2)+1)</f>
        <v/>
      </c>
      <c r="M4475" s="5">
        <f>IF(L4475="","",L4475+6)</f>
        <v/>
      </c>
      <c r="N4475" s="6">
        <f>IF(OR(A4475="",B4475=""),"",DATE(YEAR(B4475),MONTH(B4475),1))</f>
        <v/>
      </c>
      <c r="O4475" s="7">
        <f>IF(COUNTA(A4475:K4475)=0,"",IF(OR(A4475="",B4475=""),"Preencher CPF e entrada",IF(COUNTIFS($A$12:$A$5011,A4475,$B$12:$B$5011,B4475)&gt;1,"CPF + dia duplicado",IF(OR(AND(G4475&lt;&gt;"",G4475&lt;&gt;0,G4475&lt;&gt;1),AND(H4475&lt;&gt;"",H4475&lt;&gt;0,H4475&lt;&gt;1)),"Flags devem ser 0 ou 1",IF(AND(H4475=1,LEN(TRIM(I4475))=0),"Preencher nome do indicante",IF(AND(H4475&lt;&gt;1,I4475&lt;&gt;""),"Nome sem indicação interna",IF(AND(G4475=1,F4475=""),"Fechamento sem conversa",IF(OR(AND(E4475&lt;&gt;"",E4475&lt;B4475),AND(F4475&lt;&gt;"",F4475&lt;B4475)),"Evento anterior à entrada",IF(AND(F4475&lt;&gt;"",E4475=""),"Conversa sem agendamento",IF(OR(E4475&gt;TODAY(),F4475&gt;TODAY()),"Verificar evento futuro","OK"))))))))))</f>
        <v/>
      </c>
    </row>
    <row r="4476" spans="12:15">
      <c r="L4476" s="5">
        <f>IF(OR(A4476="",B4476=""),"",B4476-WEEKDAY(B4476,2)+1)</f>
        <v/>
      </c>
      <c r="M4476" s="5">
        <f>IF(L4476="","",L4476+6)</f>
        <v/>
      </c>
      <c r="N4476" s="6">
        <f>IF(OR(A4476="",B4476=""),"",DATE(YEAR(B4476),MONTH(B4476),1))</f>
        <v/>
      </c>
      <c r="O4476" s="7">
        <f>IF(COUNTA(A4476:K4476)=0,"",IF(OR(A4476="",B4476=""),"Preencher CPF e entrada",IF(COUNTIFS($A$12:$A$5011,A4476,$B$12:$B$5011,B4476)&gt;1,"CPF + dia duplicado",IF(OR(AND(G4476&lt;&gt;"",G4476&lt;&gt;0,G4476&lt;&gt;1),AND(H4476&lt;&gt;"",H4476&lt;&gt;0,H4476&lt;&gt;1)),"Flags devem ser 0 ou 1",IF(AND(H4476=1,LEN(TRIM(I4476))=0),"Preencher nome do indicante",IF(AND(H4476&lt;&gt;1,I4476&lt;&gt;""),"Nome sem indicação interna",IF(AND(G4476=1,F4476=""),"Fechamento sem conversa",IF(OR(AND(E4476&lt;&gt;"",E4476&lt;B4476),AND(F4476&lt;&gt;"",F4476&lt;B4476)),"Evento anterior à entrada",IF(AND(F4476&lt;&gt;"",E4476=""),"Conversa sem agendamento",IF(OR(E4476&gt;TODAY(),F4476&gt;TODAY()),"Verificar evento futuro","OK"))))))))))</f>
        <v/>
      </c>
    </row>
    <row r="4477" spans="12:15">
      <c r="L4477" s="5">
        <f>IF(OR(A4477="",B4477=""),"",B4477-WEEKDAY(B4477,2)+1)</f>
        <v/>
      </c>
      <c r="M4477" s="5">
        <f>IF(L4477="","",L4477+6)</f>
        <v/>
      </c>
      <c r="N4477" s="6">
        <f>IF(OR(A4477="",B4477=""),"",DATE(YEAR(B4477),MONTH(B4477),1))</f>
        <v/>
      </c>
      <c r="O4477" s="7">
        <f>IF(COUNTA(A4477:K4477)=0,"",IF(OR(A4477="",B4477=""),"Preencher CPF e entrada",IF(COUNTIFS($A$12:$A$5011,A4477,$B$12:$B$5011,B4477)&gt;1,"CPF + dia duplicado",IF(OR(AND(G4477&lt;&gt;"",G4477&lt;&gt;0,G4477&lt;&gt;1),AND(H4477&lt;&gt;"",H4477&lt;&gt;0,H4477&lt;&gt;1)),"Flags devem ser 0 ou 1",IF(AND(H4477=1,LEN(TRIM(I4477))=0),"Preencher nome do indicante",IF(AND(H4477&lt;&gt;1,I4477&lt;&gt;""),"Nome sem indicação interna",IF(AND(G4477=1,F4477=""),"Fechamento sem conversa",IF(OR(AND(E4477&lt;&gt;"",E4477&lt;B4477),AND(F4477&lt;&gt;"",F4477&lt;B4477)),"Evento anterior à entrada",IF(AND(F4477&lt;&gt;"",E4477=""),"Conversa sem agendamento",IF(OR(E4477&gt;TODAY(),F4477&gt;TODAY()),"Verificar evento futuro","OK"))))))))))</f>
        <v/>
      </c>
    </row>
    <row r="4478" spans="12:15">
      <c r="L4478" s="5">
        <f>IF(OR(A4478="",B4478=""),"",B4478-WEEKDAY(B4478,2)+1)</f>
        <v/>
      </c>
      <c r="M4478" s="5">
        <f>IF(L4478="","",L4478+6)</f>
        <v/>
      </c>
      <c r="N4478" s="6">
        <f>IF(OR(A4478="",B4478=""),"",DATE(YEAR(B4478),MONTH(B4478),1))</f>
        <v/>
      </c>
      <c r="O4478" s="7">
        <f>IF(COUNTA(A4478:K4478)=0,"",IF(OR(A4478="",B4478=""),"Preencher CPF e entrada",IF(COUNTIFS($A$12:$A$5011,A4478,$B$12:$B$5011,B4478)&gt;1,"CPF + dia duplicado",IF(OR(AND(G4478&lt;&gt;"",G4478&lt;&gt;0,G4478&lt;&gt;1),AND(H4478&lt;&gt;"",H4478&lt;&gt;0,H4478&lt;&gt;1)),"Flags devem ser 0 ou 1",IF(AND(H4478=1,LEN(TRIM(I4478))=0),"Preencher nome do indicante",IF(AND(H4478&lt;&gt;1,I4478&lt;&gt;""),"Nome sem indicação interna",IF(AND(G4478=1,F4478=""),"Fechamento sem conversa",IF(OR(AND(E4478&lt;&gt;"",E4478&lt;B4478),AND(F4478&lt;&gt;"",F4478&lt;B4478)),"Evento anterior à entrada",IF(AND(F4478&lt;&gt;"",E4478=""),"Conversa sem agendamento",IF(OR(E4478&gt;TODAY(),F4478&gt;TODAY()),"Verificar evento futuro","OK"))))))))))</f>
        <v/>
      </c>
    </row>
    <row r="4479" spans="12:15">
      <c r="L4479" s="5">
        <f>IF(OR(A4479="",B4479=""),"",B4479-WEEKDAY(B4479,2)+1)</f>
        <v/>
      </c>
      <c r="M4479" s="5">
        <f>IF(L4479="","",L4479+6)</f>
        <v/>
      </c>
      <c r="N4479" s="6">
        <f>IF(OR(A4479="",B4479=""),"",DATE(YEAR(B4479),MONTH(B4479),1))</f>
        <v/>
      </c>
      <c r="O4479" s="7">
        <f>IF(COUNTA(A4479:K4479)=0,"",IF(OR(A4479="",B4479=""),"Preencher CPF e entrada",IF(COUNTIFS($A$12:$A$5011,A4479,$B$12:$B$5011,B4479)&gt;1,"CPF + dia duplicado",IF(OR(AND(G4479&lt;&gt;"",G4479&lt;&gt;0,G4479&lt;&gt;1),AND(H4479&lt;&gt;"",H4479&lt;&gt;0,H4479&lt;&gt;1)),"Flags devem ser 0 ou 1",IF(AND(H4479=1,LEN(TRIM(I4479))=0),"Preencher nome do indicante",IF(AND(H4479&lt;&gt;1,I4479&lt;&gt;""),"Nome sem indicação interna",IF(AND(G4479=1,F4479=""),"Fechamento sem conversa",IF(OR(AND(E4479&lt;&gt;"",E4479&lt;B4479),AND(F4479&lt;&gt;"",F4479&lt;B4479)),"Evento anterior à entrada",IF(AND(F4479&lt;&gt;"",E4479=""),"Conversa sem agendamento",IF(OR(E4479&gt;TODAY(),F4479&gt;TODAY()),"Verificar evento futuro","OK"))))))))))</f>
        <v/>
      </c>
    </row>
    <row r="4480" spans="12:15">
      <c r="L4480" s="5">
        <f>IF(OR(A4480="",B4480=""),"",B4480-WEEKDAY(B4480,2)+1)</f>
        <v/>
      </c>
      <c r="M4480" s="5">
        <f>IF(L4480="","",L4480+6)</f>
        <v/>
      </c>
      <c r="N4480" s="6">
        <f>IF(OR(A4480="",B4480=""),"",DATE(YEAR(B4480),MONTH(B4480),1))</f>
        <v/>
      </c>
      <c r="O4480" s="7">
        <f>IF(COUNTA(A4480:K4480)=0,"",IF(OR(A4480="",B4480=""),"Preencher CPF e entrada",IF(COUNTIFS($A$12:$A$5011,A4480,$B$12:$B$5011,B4480)&gt;1,"CPF + dia duplicado",IF(OR(AND(G4480&lt;&gt;"",G4480&lt;&gt;0,G4480&lt;&gt;1),AND(H4480&lt;&gt;"",H4480&lt;&gt;0,H4480&lt;&gt;1)),"Flags devem ser 0 ou 1",IF(AND(H4480=1,LEN(TRIM(I4480))=0),"Preencher nome do indicante",IF(AND(H4480&lt;&gt;1,I4480&lt;&gt;""),"Nome sem indicação interna",IF(AND(G4480=1,F4480=""),"Fechamento sem conversa",IF(OR(AND(E4480&lt;&gt;"",E4480&lt;B4480),AND(F4480&lt;&gt;"",F4480&lt;B4480)),"Evento anterior à entrada",IF(AND(F4480&lt;&gt;"",E4480=""),"Conversa sem agendamento",IF(OR(E4480&gt;TODAY(),F4480&gt;TODAY()),"Verificar evento futuro","OK"))))))))))</f>
        <v/>
      </c>
    </row>
    <row r="4481" spans="12:15">
      <c r="L4481" s="5">
        <f>IF(OR(A4481="",B4481=""),"",B4481-WEEKDAY(B4481,2)+1)</f>
        <v/>
      </c>
      <c r="M4481" s="5">
        <f>IF(L4481="","",L4481+6)</f>
        <v/>
      </c>
      <c r="N4481" s="6">
        <f>IF(OR(A4481="",B4481=""),"",DATE(YEAR(B4481),MONTH(B4481),1))</f>
        <v/>
      </c>
      <c r="O4481" s="7">
        <f>IF(COUNTA(A4481:K4481)=0,"",IF(OR(A4481="",B4481=""),"Preencher CPF e entrada",IF(COUNTIFS($A$12:$A$5011,A4481,$B$12:$B$5011,B4481)&gt;1,"CPF + dia duplicado",IF(OR(AND(G4481&lt;&gt;"",G4481&lt;&gt;0,G4481&lt;&gt;1),AND(H4481&lt;&gt;"",H4481&lt;&gt;0,H4481&lt;&gt;1)),"Flags devem ser 0 ou 1",IF(AND(H4481=1,LEN(TRIM(I4481))=0),"Preencher nome do indicante",IF(AND(H4481&lt;&gt;1,I4481&lt;&gt;""),"Nome sem indicação interna",IF(AND(G4481=1,F4481=""),"Fechamento sem conversa",IF(OR(AND(E4481&lt;&gt;"",E4481&lt;B4481),AND(F4481&lt;&gt;"",F4481&lt;B4481)),"Evento anterior à entrada",IF(AND(F4481&lt;&gt;"",E4481=""),"Conversa sem agendamento",IF(OR(E4481&gt;TODAY(),F4481&gt;TODAY()),"Verificar evento futuro","OK"))))))))))</f>
        <v/>
      </c>
    </row>
    <row r="4482" spans="12:15">
      <c r="L4482" s="5">
        <f>IF(OR(A4482="",B4482=""),"",B4482-WEEKDAY(B4482,2)+1)</f>
        <v/>
      </c>
      <c r="M4482" s="5">
        <f>IF(L4482="","",L4482+6)</f>
        <v/>
      </c>
      <c r="N4482" s="6">
        <f>IF(OR(A4482="",B4482=""),"",DATE(YEAR(B4482),MONTH(B4482),1))</f>
        <v/>
      </c>
      <c r="O4482" s="7">
        <f>IF(COUNTA(A4482:K4482)=0,"",IF(OR(A4482="",B4482=""),"Preencher CPF e entrada",IF(COUNTIFS($A$12:$A$5011,A4482,$B$12:$B$5011,B4482)&gt;1,"CPF + dia duplicado",IF(OR(AND(G4482&lt;&gt;"",G4482&lt;&gt;0,G4482&lt;&gt;1),AND(H4482&lt;&gt;"",H4482&lt;&gt;0,H4482&lt;&gt;1)),"Flags devem ser 0 ou 1",IF(AND(H4482=1,LEN(TRIM(I4482))=0),"Preencher nome do indicante",IF(AND(H4482&lt;&gt;1,I4482&lt;&gt;""),"Nome sem indicação interna",IF(AND(G4482=1,F4482=""),"Fechamento sem conversa",IF(OR(AND(E4482&lt;&gt;"",E4482&lt;B4482),AND(F4482&lt;&gt;"",F4482&lt;B4482)),"Evento anterior à entrada",IF(AND(F4482&lt;&gt;"",E4482=""),"Conversa sem agendamento",IF(OR(E4482&gt;TODAY(),F4482&gt;TODAY()),"Verificar evento futuro","OK"))))))))))</f>
        <v/>
      </c>
    </row>
    <row r="4483" spans="12:15">
      <c r="L4483" s="5">
        <f>IF(OR(A4483="",B4483=""),"",B4483-WEEKDAY(B4483,2)+1)</f>
        <v/>
      </c>
      <c r="M4483" s="5">
        <f>IF(L4483="","",L4483+6)</f>
        <v/>
      </c>
      <c r="N4483" s="6">
        <f>IF(OR(A4483="",B4483=""),"",DATE(YEAR(B4483),MONTH(B4483),1))</f>
        <v/>
      </c>
      <c r="O4483" s="7">
        <f>IF(COUNTA(A4483:K4483)=0,"",IF(OR(A4483="",B4483=""),"Preencher CPF e entrada",IF(COUNTIFS($A$12:$A$5011,A4483,$B$12:$B$5011,B4483)&gt;1,"CPF + dia duplicado",IF(OR(AND(G4483&lt;&gt;"",G4483&lt;&gt;0,G4483&lt;&gt;1),AND(H4483&lt;&gt;"",H4483&lt;&gt;0,H4483&lt;&gt;1)),"Flags devem ser 0 ou 1",IF(AND(H4483=1,LEN(TRIM(I4483))=0),"Preencher nome do indicante",IF(AND(H4483&lt;&gt;1,I4483&lt;&gt;""),"Nome sem indicação interna",IF(AND(G4483=1,F4483=""),"Fechamento sem conversa",IF(OR(AND(E4483&lt;&gt;"",E4483&lt;B4483),AND(F4483&lt;&gt;"",F4483&lt;B4483)),"Evento anterior à entrada",IF(AND(F4483&lt;&gt;"",E4483=""),"Conversa sem agendamento",IF(OR(E4483&gt;TODAY(),F4483&gt;TODAY()),"Verificar evento futuro","OK"))))))))))</f>
        <v/>
      </c>
    </row>
    <row r="4484" spans="12:15">
      <c r="L4484" s="5">
        <f>IF(OR(A4484="",B4484=""),"",B4484-WEEKDAY(B4484,2)+1)</f>
        <v/>
      </c>
      <c r="M4484" s="5">
        <f>IF(L4484="","",L4484+6)</f>
        <v/>
      </c>
      <c r="N4484" s="6">
        <f>IF(OR(A4484="",B4484=""),"",DATE(YEAR(B4484),MONTH(B4484),1))</f>
        <v/>
      </c>
      <c r="O4484" s="7">
        <f>IF(COUNTA(A4484:K4484)=0,"",IF(OR(A4484="",B4484=""),"Preencher CPF e entrada",IF(COUNTIFS($A$12:$A$5011,A4484,$B$12:$B$5011,B4484)&gt;1,"CPF + dia duplicado",IF(OR(AND(G4484&lt;&gt;"",G4484&lt;&gt;0,G4484&lt;&gt;1),AND(H4484&lt;&gt;"",H4484&lt;&gt;0,H4484&lt;&gt;1)),"Flags devem ser 0 ou 1",IF(AND(H4484=1,LEN(TRIM(I4484))=0),"Preencher nome do indicante",IF(AND(H4484&lt;&gt;1,I4484&lt;&gt;""),"Nome sem indicação interna",IF(AND(G4484=1,F4484=""),"Fechamento sem conversa",IF(OR(AND(E4484&lt;&gt;"",E4484&lt;B4484),AND(F4484&lt;&gt;"",F4484&lt;B4484)),"Evento anterior à entrada",IF(AND(F4484&lt;&gt;"",E4484=""),"Conversa sem agendamento",IF(OR(E4484&gt;TODAY(),F4484&gt;TODAY()),"Verificar evento futuro","OK"))))))))))</f>
        <v/>
      </c>
    </row>
    <row r="4485" spans="12:15">
      <c r="L4485" s="5">
        <f>IF(OR(A4485="",B4485=""),"",B4485-WEEKDAY(B4485,2)+1)</f>
        <v/>
      </c>
      <c r="M4485" s="5">
        <f>IF(L4485="","",L4485+6)</f>
        <v/>
      </c>
      <c r="N4485" s="6">
        <f>IF(OR(A4485="",B4485=""),"",DATE(YEAR(B4485),MONTH(B4485),1))</f>
        <v/>
      </c>
      <c r="O4485" s="7">
        <f>IF(COUNTA(A4485:K4485)=0,"",IF(OR(A4485="",B4485=""),"Preencher CPF e entrada",IF(COUNTIFS($A$12:$A$5011,A4485,$B$12:$B$5011,B4485)&gt;1,"CPF + dia duplicado",IF(OR(AND(G4485&lt;&gt;"",G4485&lt;&gt;0,G4485&lt;&gt;1),AND(H4485&lt;&gt;"",H4485&lt;&gt;0,H4485&lt;&gt;1)),"Flags devem ser 0 ou 1",IF(AND(H4485=1,LEN(TRIM(I4485))=0),"Preencher nome do indicante",IF(AND(H4485&lt;&gt;1,I4485&lt;&gt;""),"Nome sem indicação interna",IF(AND(G4485=1,F4485=""),"Fechamento sem conversa",IF(OR(AND(E4485&lt;&gt;"",E4485&lt;B4485),AND(F4485&lt;&gt;"",F4485&lt;B4485)),"Evento anterior à entrada",IF(AND(F4485&lt;&gt;"",E4485=""),"Conversa sem agendamento",IF(OR(E4485&gt;TODAY(),F4485&gt;TODAY()),"Verificar evento futuro","OK"))))))))))</f>
        <v/>
      </c>
    </row>
    <row r="4486" spans="12:15">
      <c r="L4486" s="5">
        <f>IF(OR(A4486="",B4486=""),"",B4486-WEEKDAY(B4486,2)+1)</f>
        <v/>
      </c>
      <c r="M4486" s="5">
        <f>IF(L4486="","",L4486+6)</f>
        <v/>
      </c>
      <c r="N4486" s="6">
        <f>IF(OR(A4486="",B4486=""),"",DATE(YEAR(B4486),MONTH(B4486),1))</f>
        <v/>
      </c>
      <c r="O4486" s="7">
        <f>IF(COUNTA(A4486:K4486)=0,"",IF(OR(A4486="",B4486=""),"Preencher CPF e entrada",IF(COUNTIFS($A$12:$A$5011,A4486,$B$12:$B$5011,B4486)&gt;1,"CPF + dia duplicado",IF(OR(AND(G4486&lt;&gt;"",G4486&lt;&gt;0,G4486&lt;&gt;1),AND(H4486&lt;&gt;"",H4486&lt;&gt;0,H4486&lt;&gt;1)),"Flags devem ser 0 ou 1",IF(AND(H4486=1,LEN(TRIM(I4486))=0),"Preencher nome do indicante",IF(AND(H4486&lt;&gt;1,I4486&lt;&gt;""),"Nome sem indicação interna",IF(AND(G4486=1,F4486=""),"Fechamento sem conversa",IF(OR(AND(E4486&lt;&gt;"",E4486&lt;B4486),AND(F4486&lt;&gt;"",F4486&lt;B4486)),"Evento anterior à entrada",IF(AND(F4486&lt;&gt;"",E4486=""),"Conversa sem agendamento",IF(OR(E4486&gt;TODAY(),F4486&gt;TODAY()),"Verificar evento futuro","OK"))))))))))</f>
        <v/>
      </c>
    </row>
    <row r="4487" spans="12:15">
      <c r="L4487" s="5">
        <f>IF(OR(A4487="",B4487=""),"",B4487-WEEKDAY(B4487,2)+1)</f>
        <v/>
      </c>
      <c r="M4487" s="5">
        <f>IF(L4487="","",L4487+6)</f>
        <v/>
      </c>
      <c r="N4487" s="6">
        <f>IF(OR(A4487="",B4487=""),"",DATE(YEAR(B4487),MONTH(B4487),1))</f>
        <v/>
      </c>
      <c r="O4487" s="7">
        <f>IF(COUNTA(A4487:K4487)=0,"",IF(OR(A4487="",B4487=""),"Preencher CPF e entrada",IF(COUNTIFS($A$12:$A$5011,A4487,$B$12:$B$5011,B4487)&gt;1,"CPF + dia duplicado",IF(OR(AND(G4487&lt;&gt;"",G4487&lt;&gt;0,G4487&lt;&gt;1),AND(H4487&lt;&gt;"",H4487&lt;&gt;0,H4487&lt;&gt;1)),"Flags devem ser 0 ou 1",IF(AND(H4487=1,LEN(TRIM(I4487))=0),"Preencher nome do indicante",IF(AND(H4487&lt;&gt;1,I4487&lt;&gt;""),"Nome sem indicação interna",IF(AND(G4487=1,F4487=""),"Fechamento sem conversa",IF(OR(AND(E4487&lt;&gt;"",E4487&lt;B4487),AND(F4487&lt;&gt;"",F4487&lt;B4487)),"Evento anterior à entrada",IF(AND(F4487&lt;&gt;"",E4487=""),"Conversa sem agendamento",IF(OR(E4487&gt;TODAY(),F4487&gt;TODAY()),"Verificar evento futuro","OK"))))))))))</f>
        <v/>
      </c>
    </row>
    <row r="4488" spans="12:15">
      <c r="L4488" s="5">
        <f>IF(OR(A4488="",B4488=""),"",B4488-WEEKDAY(B4488,2)+1)</f>
        <v/>
      </c>
      <c r="M4488" s="5">
        <f>IF(L4488="","",L4488+6)</f>
        <v/>
      </c>
      <c r="N4488" s="6">
        <f>IF(OR(A4488="",B4488=""),"",DATE(YEAR(B4488),MONTH(B4488),1))</f>
        <v/>
      </c>
      <c r="O4488" s="7">
        <f>IF(COUNTA(A4488:K4488)=0,"",IF(OR(A4488="",B4488=""),"Preencher CPF e entrada",IF(COUNTIFS($A$12:$A$5011,A4488,$B$12:$B$5011,B4488)&gt;1,"CPF + dia duplicado",IF(OR(AND(G4488&lt;&gt;"",G4488&lt;&gt;0,G4488&lt;&gt;1),AND(H4488&lt;&gt;"",H4488&lt;&gt;0,H4488&lt;&gt;1)),"Flags devem ser 0 ou 1",IF(AND(H4488=1,LEN(TRIM(I4488))=0),"Preencher nome do indicante",IF(AND(H4488&lt;&gt;1,I4488&lt;&gt;""),"Nome sem indicação interna",IF(AND(G4488=1,F4488=""),"Fechamento sem conversa",IF(OR(AND(E4488&lt;&gt;"",E4488&lt;B4488),AND(F4488&lt;&gt;"",F4488&lt;B4488)),"Evento anterior à entrada",IF(AND(F4488&lt;&gt;"",E4488=""),"Conversa sem agendamento",IF(OR(E4488&gt;TODAY(),F4488&gt;TODAY()),"Verificar evento futuro","OK"))))))))))</f>
        <v/>
      </c>
    </row>
    <row r="4489" spans="12:15">
      <c r="L4489" s="5">
        <f>IF(OR(A4489="",B4489=""),"",B4489-WEEKDAY(B4489,2)+1)</f>
        <v/>
      </c>
      <c r="M4489" s="5">
        <f>IF(L4489="","",L4489+6)</f>
        <v/>
      </c>
      <c r="N4489" s="6">
        <f>IF(OR(A4489="",B4489=""),"",DATE(YEAR(B4489),MONTH(B4489),1))</f>
        <v/>
      </c>
      <c r="O4489" s="7">
        <f>IF(COUNTA(A4489:K4489)=0,"",IF(OR(A4489="",B4489=""),"Preencher CPF e entrada",IF(COUNTIFS($A$12:$A$5011,A4489,$B$12:$B$5011,B4489)&gt;1,"CPF + dia duplicado",IF(OR(AND(G4489&lt;&gt;"",G4489&lt;&gt;0,G4489&lt;&gt;1),AND(H4489&lt;&gt;"",H4489&lt;&gt;0,H4489&lt;&gt;1)),"Flags devem ser 0 ou 1",IF(AND(H4489=1,LEN(TRIM(I4489))=0),"Preencher nome do indicante",IF(AND(H4489&lt;&gt;1,I4489&lt;&gt;""),"Nome sem indicação interna",IF(AND(G4489=1,F4489=""),"Fechamento sem conversa",IF(OR(AND(E4489&lt;&gt;"",E4489&lt;B4489),AND(F4489&lt;&gt;"",F4489&lt;B4489)),"Evento anterior à entrada",IF(AND(F4489&lt;&gt;"",E4489=""),"Conversa sem agendamento",IF(OR(E4489&gt;TODAY(),F4489&gt;TODAY()),"Verificar evento futuro","OK"))))))))))</f>
        <v/>
      </c>
    </row>
    <row r="4490" spans="12:15">
      <c r="L4490" s="5">
        <f>IF(OR(A4490="",B4490=""),"",B4490-WEEKDAY(B4490,2)+1)</f>
        <v/>
      </c>
      <c r="M4490" s="5">
        <f>IF(L4490="","",L4490+6)</f>
        <v/>
      </c>
      <c r="N4490" s="6">
        <f>IF(OR(A4490="",B4490=""),"",DATE(YEAR(B4490),MONTH(B4490),1))</f>
        <v/>
      </c>
      <c r="O4490" s="7">
        <f>IF(COUNTA(A4490:K4490)=0,"",IF(OR(A4490="",B4490=""),"Preencher CPF e entrada",IF(COUNTIFS($A$12:$A$5011,A4490,$B$12:$B$5011,B4490)&gt;1,"CPF + dia duplicado",IF(OR(AND(G4490&lt;&gt;"",G4490&lt;&gt;0,G4490&lt;&gt;1),AND(H4490&lt;&gt;"",H4490&lt;&gt;0,H4490&lt;&gt;1)),"Flags devem ser 0 ou 1",IF(AND(H4490=1,LEN(TRIM(I4490))=0),"Preencher nome do indicante",IF(AND(H4490&lt;&gt;1,I4490&lt;&gt;""),"Nome sem indicação interna",IF(AND(G4490=1,F4490=""),"Fechamento sem conversa",IF(OR(AND(E4490&lt;&gt;"",E4490&lt;B4490),AND(F4490&lt;&gt;"",F4490&lt;B4490)),"Evento anterior à entrada",IF(AND(F4490&lt;&gt;"",E4490=""),"Conversa sem agendamento",IF(OR(E4490&gt;TODAY(),F4490&gt;TODAY()),"Verificar evento futuro","OK"))))))))))</f>
        <v/>
      </c>
    </row>
    <row r="4491" spans="12:15">
      <c r="L4491" s="5">
        <f>IF(OR(A4491="",B4491=""),"",B4491-WEEKDAY(B4491,2)+1)</f>
        <v/>
      </c>
      <c r="M4491" s="5">
        <f>IF(L4491="","",L4491+6)</f>
        <v/>
      </c>
      <c r="N4491" s="6">
        <f>IF(OR(A4491="",B4491=""),"",DATE(YEAR(B4491),MONTH(B4491),1))</f>
        <v/>
      </c>
      <c r="O4491" s="7">
        <f>IF(COUNTA(A4491:K4491)=0,"",IF(OR(A4491="",B4491=""),"Preencher CPF e entrada",IF(COUNTIFS($A$12:$A$5011,A4491,$B$12:$B$5011,B4491)&gt;1,"CPF + dia duplicado",IF(OR(AND(G4491&lt;&gt;"",G4491&lt;&gt;0,G4491&lt;&gt;1),AND(H4491&lt;&gt;"",H4491&lt;&gt;0,H4491&lt;&gt;1)),"Flags devem ser 0 ou 1",IF(AND(H4491=1,LEN(TRIM(I4491))=0),"Preencher nome do indicante",IF(AND(H4491&lt;&gt;1,I4491&lt;&gt;""),"Nome sem indicação interna",IF(AND(G4491=1,F4491=""),"Fechamento sem conversa",IF(OR(AND(E4491&lt;&gt;"",E4491&lt;B4491),AND(F4491&lt;&gt;"",F4491&lt;B4491)),"Evento anterior à entrada",IF(AND(F4491&lt;&gt;"",E4491=""),"Conversa sem agendamento",IF(OR(E4491&gt;TODAY(),F4491&gt;TODAY()),"Verificar evento futuro","OK"))))))))))</f>
        <v/>
      </c>
    </row>
    <row r="4492" spans="12:15">
      <c r="L4492" s="5">
        <f>IF(OR(A4492="",B4492=""),"",B4492-WEEKDAY(B4492,2)+1)</f>
        <v/>
      </c>
      <c r="M4492" s="5">
        <f>IF(L4492="","",L4492+6)</f>
        <v/>
      </c>
      <c r="N4492" s="6">
        <f>IF(OR(A4492="",B4492=""),"",DATE(YEAR(B4492),MONTH(B4492),1))</f>
        <v/>
      </c>
      <c r="O4492" s="7">
        <f>IF(COUNTA(A4492:K4492)=0,"",IF(OR(A4492="",B4492=""),"Preencher CPF e entrada",IF(COUNTIFS($A$12:$A$5011,A4492,$B$12:$B$5011,B4492)&gt;1,"CPF + dia duplicado",IF(OR(AND(G4492&lt;&gt;"",G4492&lt;&gt;0,G4492&lt;&gt;1),AND(H4492&lt;&gt;"",H4492&lt;&gt;0,H4492&lt;&gt;1)),"Flags devem ser 0 ou 1",IF(AND(H4492=1,LEN(TRIM(I4492))=0),"Preencher nome do indicante",IF(AND(H4492&lt;&gt;1,I4492&lt;&gt;""),"Nome sem indicação interna",IF(AND(G4492=1,F4492=""),"Fechamento sem conversa",IF(OR(AND(E4492&lt;&gt;"",E4492&lt;B4492),AND(F4492&lt;&gt;"",F4492&lt;B4492)),"Evento anterior à entrada",IF(AND(F4492&lt;&gt;"",E4492=""),"Conversa sem agendamento",IF(OR(E4492&gt;TODAY(),F4492&gt;TODAY()),"Verificar evento futuro","OK"))))))))))</f>
        <v/>
      </c>
    </row>
    <row r="4493" spans="12:15">
      <c r="L4493" s="5">
        <f>IF(OR(A4493="",B4493=""),"",B4493-WEEKDAY(B4493,2)+1)</f>
        <v/>
      </c>
      <c r="M4493" s="5">
        <f>IF(L4493="","",L4493+6)</f>
        <v/>
      </c>
      <c r="N4493" s="6">
        <f>IF(OR(A4493="",B4493=""),"",DATE(YEAR(B4493),MONTH(B4493),1))</f>
        <v/>
      </c>
      <c r="O4493" s="7">
        <f>IF(COUNTA(A4493:K4493)=0,"",IF(OR(A4493="",B4493=""),"Preencher CPF e entrada",IF(COUNTIFS($A$12:$A$5011,A4493,$B$12:$B$5011,B4493)&gt;1,"CPF + dia duplicado",IF(OR(AND(G4493&lt;&gt;"",G4493&lt;&gt;0,G4493&lt;&gt;1),AND(H4493&lt;&gt;"",H4493&lt;&gt;0,H4493&lt;&gt;1)),"Flags devem ser 0 ou 1",IF(AND(H4493=1,LEN(TRIM(I4493))=0),"Preencher nome do indicante",IF(AND(H4493&lt;&gt;1,I4493&lt;&gt;""),"Nome sem indicação interna",IF(AND(G4493=1,F4493=""),"Fechamento sem conversa",IF(OR(AND(E4493&lt;&gt;"",E4493&lt;B4493),AND(F4493&lt;&gt;"",F4493&lt;B4493)),"Evento anterior à entrada",IF(AND(F4493&lt;&gt;"",E4493=""),"Conversa sem agendamento",IF(OR(E4493&gt;TODAY(),F4493&gt;TODAY()),"Verificar evento futuro","OK"))))))))))</f>
        <v/>
      </c>
    </row>
    <row r="4494" spans="12:15">
      <c r="L4494" s="5">
        <f>IF(OR(A4494="",B4494=""),"",B4494-WEEKDAY(B4494,2)+1)</f>
        <v/>
      </c>
      <c r="M4494" s="5">
        <f>IF(L4494="","",L4494+6)</f>
        <v/>
      </c>
      <c r="N4494" s="6">
        <f>IF(OR(A4494="",B4494=""),"",DATE(YEAR(B4494),MONTH(B4494),1))</f>
        <v/>
      </c>
      <c r="O4494" s="7">
        <f>IF(COUNTA(A4494:K4494)=0,"",IF(OR(A4494="",B4494=""),"Preencher CPF e entrada",IF(COUNTIFS($A$12:$A$5011,A4494,$B$12:$B$5011,B4494)&gt;1,"CPF + dia duplicado",IF(OR(AND(G4494&lt;&gt;"",G4494&lt;&gt;0,G4494&lt;&gt;1),AND(H4494&lt;&gt;"",H4494&lt;&gt;0,H4494&lt;&gt;1)),"Flags devem ser 0 ou 1",IF(AND(H4494=1,LEN(TRIM(I4494))=0),"Preencher nome do indicante",IF(AND(H4494&lt;&gt;1,I4494&lt;&gt;""),"Nome sem indicação interna",IF(AND(G4494=1,F4494=""),"Fechamento sem conversa",IF(OR(AND(E4494&lt;&gt;"",E4494&lt;B4494),AND(F4494&lt;&gt;"",F4494&lt;B4494)),"Evento anterior à entrada",IF(AND(F4494&lt;&gt;"",E4494=""),"Conversa sem agendamento",IF(OR(E4494&gt;TODAY(),F4494&gt;TODAY()),"Verificar evento futuro","OK"))))))))))</f>
        <v/>
      </c>
    </row>
    <row r="4495" spans="12:15">
      <c r="L4495" s="5">
        <f>IF(OR(A4495="",B4495=""),"",B4495-WEEKDAY(B4495,2)+1)</f>
        <v/>
      </c>
      <c r="M4495" s="5">
        <f>IF(L4495="","",L4495+6)</f>
        <v/>
      </c>
      <c r="N4495" s="6">
        <f>IF(OR(A4495="",B4495=""),"",DATE(YEAR(B4495),MONTH(B4495),1))</f>
        <v/>
      </c>
      <c r="O4495" s="7">
        <f>IF(COUNTA(A4495:K4495)=0,"",IF(OR(A4495="",B4495=""),"Preencher CPF e entrada",IF(COUNTIFS($A$12:$A$5011,A4495,$B$12:$B$5011,B4495)&gt;1,"CPF + dia duplicado",IF(OR(AND(G4495&lt;&gt;"",G4495&lt;&gt;0,G4495&lt;&gt;1),AND(H4495&lt;&gt;"",H4495&lt;&gt;0,H4495&lt;&gt;1)),"Flags devem ser 0 ou 1",IF(AND(H4495=1,LEN(TRIM(I4495))=0),"Preencher nome do indicante",IF(AND(H4495&lt;&gt;1,I4495&lt;&gt;""),"Nome sem indicação interna",IF(AND(G4495=1,F4495=""),"Fechamento sem conversa",IF(OR(AND(E4495&lt;&gt;"",E4495&lt;B4495),AND(F4495&lt;&gt;"",F4495&lt;B4495)),"Evento anterior à entrada",IF(AND(F4495&lt;&gt;"",E4495=""),"Conversa sem agendamento",IF(OR(E4495&gt;TODAY(),F4495&gt;TODAY()),"Verificar evento futuro","OK"))))))))))</f>
        <v/>
      </c>
    </row>
    <row r="4496" spans="12:15">
      <c r="L4496" s="5">
        <f>IF(OR(A4496="",B4496=""),"",B4496-WEEKDAY(B4496,2)+1)</f>
        <v/>
      </c>
      <c r="M4496" s="5">
        <f>IF(L4496="","",L4496+6)</f>
        <v/>
      </c>
      <c r="N4496" s="6">
        <f>IF(OR(A4496="",B4496=""),"",DATE(YEAR(B4496),MONTH(B4496),1))</f>
        <v/>
      </c>
      <c r="O4496" s="7">
        <f>IF(COUNTA(A4496:K4496)=0,"",IF(OR(A4496="",B4496=""),"Preencher CPF e entrada",IF(COUNTIFS($A$12:$A$5011,A4496,$B$12:$B$5011,B4496)&gt;1,"CPF + dia duplicado",IF(OR(AND(G4496&lt;&gt;"",G4496&lt;&gt;0,G4496&lt;&gt;1),AND(H4496&lt;&gt;"",H4496&lt;&gt;0,H4496&lt;&gt;1)),"Flags devem ser 0 ou 1",IF(AND(H4496=1,LEN(TRIM(I4496))=0),"Preencher nome do indicante",IF(AND(H4496&lt;&gt;1,I4496&lt;&gt;""),"Nome sem indicação interna",IF(AND(G4496=1,F4496=""),"Fechamento sem conversa",IF(OR(AND(E4496&lt;&gt;"",E4496&lt;B4496),AND(F4496&lt;&gt;"",F4496&lt;B4496)),"Evento anterior à entrada",IF(AND(F4496&lt;&gt;"",E4496=""),"Conversa sem agendamento",IF(OR(E4496&gt;TODAY(),F4496&gt;TODAY()),"Verificar evento futuro","OK"))))))))))</f>
        <v/>
      </c>
    </row>
    <row r="4497" spans="12:15">
      <c r="L4497" s="5">
        <f>IF(OR(A4497="",B4497=""),"",B4497-WEEKDAY(B4497,2)+1)</f>
        <v/>
      </c>
      <c r="M4497" s="5">
        <f>IF(L4497="","",L4497+6)</f>
        <v/>
      </c>
      <c r="N4497" s="6">
        <f>IF(OR(A4497="",B4497=""),"",DATE(YEAR(B4497),MONTH(B4497),1))</f>
        <v/>
      </c>
      <c r="O4497" s="7">
        <f>IF(COUNTA(A4497:K4497)=0,"",IF(OR(A4497="",B4497=""),"Preencher CPF e entrada",IF(COUNTIFS($A$12:$A$5011,A4497,$B$12:$B$5011,B4497)&gt;1,"CPF + dia duplicado",IF(OR(AND(G4497&lt;&gt;"",G4497&lt;&gt;0,G4497&lt;&gt;1),AND(H4497&lt;&gt;"",H4497&lt;&gt;0,H4497&lt;&gt;1)),"Flags devem ser 0 ou 1",IF(AND(H4497=1,LEN(TRIM(I4497))=0),"Preencher nome do indicante",IF(AND(H4497&lt;&gt;1,I4497&lt;&gt;""),"Nome sem indicação interna",IF(AND(G4497=1,F4497=""),"Fechamento sem conversa",IF(OR(AND(E4497&lt;&gt;"",E4497&lt;B4497),AND(F4497&lt;&gt;"",F4497&lt;B4497)),"Evento anterior à entrada",IF(AND(F4497&lt;&gt;"",E4497=""),"Conversa sem agendamento",IF(OR(E4497&gt;TODAY(),F4497&gt;TODAY()),"Verificar evento futuro","OK"))))))))))</f>
        <v/>
      </c>
    </row>
    <row r="4498" spans="12:15">
      <c r="L4498" s="5">
        <f>IF(OR(A4498="",B4498=""),"",B4498-WEEKDAY(B4498,2)+1)</f>
        <v/>
      </c>
      <c r="M4498" s="5">
        <f>IF(L4498="","",L4498+6)</f>
        <v/>
      </c>
      <c r="N4498" s="6">
        <f>IF(OR(A4498="",B4498=""),"",DATE(YEAR(B4498),MONTH(B4498),1))</f>
        <v/>
      </c>
      <c r="O4498" s="7">
        <f>IF(COUNTA(A4498:K4498)=0,"",IF(OR(A4498="",B4498=""),"Preencher CPF e entrada",IF(COUNTIFS($A$12:$A$5011,A4498,$B$12:$B$5011,B4498)&gt;1,"CPF + dia duplicado",IF(OR(AND(G4498&lt;&gt;"",G4498&lt;&gt;0,G4498&lt;&gt;1),AND(H4498&lt;&gt;"",H4498&lt;&gt;0,H4498&lt;&gt;1)),"Flags devem ser 0 ou 1",IF(AND(H4498=1,LEN(TRIM(I4498))=0),"Preencher nome do indicante",IF(AND(H4498&lt;&gt;1,I4498&lt;&gt;""),"Nome sem indicação interna",IF(AND(G4498=1,F4498=""),"Fechamento sem conversa",IF(OR(AND(E4498&lt;&gt;"",E4498&lt;B4498),AND(F4498&lt;&gt;"",F4498&lt;B4498)),"Evento anterior à entrada",IF(AND(F4498&lt;&gt;"",E4498=""),"Conversa sem agendamento",IF(OR(E4498&gt;TODAY(),F4498&gt;TODAY()),"Verificar evento futuro","OK"))))))))))</f>
        <v/>
      </c>
    </row>
    <row r="4499" spans="12:15">
      <c r="L4499" s="5">
        <f>IF(OR(A4499="",B4499=""),"",B4499-WEEKDAY(B4499,2)+1)</f>
        <v/>
      </c>
      <c r="M4499" s="5">
        <f>IF(L4499="","",L4499+6)</f>
        <v/>
      </c>
      <c r="N4499" s="6">
        <f>IF(OR(A4499="",B4499=""),"",DATE(YEAR(B4499),MONTH(B4499),1))</f>
        <v/>
      </c>
      <c r="O4499" s="7">
        <f>IF(COUNTA(A4499:K4499)=0,"",IF(OR(A4499="",B4499=""),"Preencher CPF e entrada",IF(COUNTIFS($A$12:$A$5011,A4499,$B$12:$B$5011,B4499)&gt;1,"CPF + dia duplicado",IF(OR(AND(G4499&lt;&gt;"",G4499&lt;&gt;0,G4499&lt;&gt;1),AND(H4499&lt;&gt;"",H4499&lt;&gt;0,H4499&lt;&gt;1)),"Flags devem ser 0 ou 1",IF(AND(H4499=1,LEN(TRIM(I4499))=0),"Preencher nome do indicante",IF(AND(H4499&lt;&gt;1,I4499&lt;&gt;""),"Nome sem indicação interna",IF(AND(G4499=1,F4499=""),"Fechamento sem conversa",IF(OR(AND(E4499&lt;&gt;"",E4499&lt;B4499),AND(F4499&lt;&gt;"",F4499&lt;B4499)),"Evento anterior à entrada",IF(AND(F4499&lt;&gt;"",E4499=""),"Conversa sem agendamento",IF(OR(E4499&gt;TODAY(),F4499&gt;TODAY()),"Verificar evento futuro","OK"))))))))))</f>
        <v/>
      </c>
    </row>
    <row r="4500" spans="12:15">
      <c r="L4500" s="5">
        <f>IF(OR(A4500="",B4500=""),"",B4500-WEEKDAY(B4500,2)+1)</f>
        <v/>
      </c>
      <c r="M4500" s="5">
        <f>IF(L4500="","",L4500+6)</f>
        <v/>
      </c>
      <c r="N4500" s="6">
        <f>IF(OR(A4500="",B4500=""),"",DATE(YEAR(B4500),MONTH(B4500),1))</f>
        <v/>
      </c>
      <c r="O4500" s="7">
        <f>IF(COUNTA(A4500:K4500)=0,"",IF(OR(A4500="",B4500=""),"Preencher CPF e entrada",IF(COUNTIFS($A$12:$A$5011,A4500,$B$12:$B$5011,B4500)&gt;1,"CPF + dia duplicado",IF(OR(AND(G4500&lt;&gt;"",G4500&lt;&gt;0,G4500&lt;&gt;1),AND(H4500&lt;&gt;"",H4500&lt;&gt;0,H4500&lt;&gt;1)),"Flags devem ser 0 ou 1",IF(AND(H4500=1,LEN(TRIM(I4500))=0),"Preencher nome do indicante",IF(AND(H4500&lt;&gt;1,I4500&lt;&gt;""),"Nome sem indicação interna",IF(AND(G4500=1,F4500=""),"Fechamento sem conversa",IF(OR(AND(E4500&lt;&gt;"",E4500&lt;B4500),AND(F4500&lt;&gt;"",F4500&lt;B4500)),"Evento anterior à entrada",IF(AND(F4500&lt;&gt;"",E4500=""),"Conversa sem agendamento",IF(OR(E4500&gt;TODAY(),F4500&gt;TODAY()),"Verificar evento futuro","OK"))))))))))</f>
        <v/>
      </c>
    </row>
    <row r="4501" spans="12:15">
      <c r="L4501" s="5">
        <f>IF(OR(A4501="",B4501=""),"",B4501-WEEKDAY(B4501,2)+1)</f>
        <v/>
      </c>
      <c r="M4501" s="5">
        <f>IF(L4501="","",L4501+6)</f>
        <v/>
      </c>
      <c r="N4501" s="6">
        <f>IF(OR(A4501="",B4501=""),"",DATE(YEAR(B4501),MONTH(B4501),1))</f>
        <v/>
      </c>
      <c r="O4501" s="7">
        <f>IF(COUNTA(A4501:K4501)=0,"",IF(OR(A4501="",B4501=""),"Preencher CPF e entrada",IF(COUNTIFS($A$12:$A$5011,A4501,$B$12:$B$5011,B4501)&gt;1,"CPF + dia duplicado",IF(OR(AND(G4501&lt;&gt;"",G4501&lt;&gt;0,G4501&lt;&gt;1),AND(H4501&lt;&gt;"",H4501&lt;&gt;0,H4501&lt;&gt;1)),"Flags devem ser 0 ou 1",IF(AND(H4501=1,LEN(TRIM(I4501))=0),"Preencher nome do indicante",IF(AND(H4501&lt;&gt;1,I4501&lt;&gt;""),"Nome sem indicação interna",IF(AND(G4501=1,F4501=""),"Fechamento sem conversa",IF(OR(AND(E4501&lt;&gt;"",E4501&lt;B4501),AND(F4501&lt;&gt;"",F4501&lt;B4501)),"Evento anterior à entrada",IF(AND(F4501&lt;&gt;"",E4501=""),"Conversa sem agendamento",IF(OR(E4501&gt;TODAY(),F4501&gt;TODAY()),"Verificar evento futuro","OK"))))))))))</f>
        <v/>
      </c>
    </row>
    <row r="4502" spans="12:15">
      <c r="L4502" s="5">
        <f>IF(OR(A4502="",B4502=""),"",B4502-WEEKDAY(B4502,2)+1)</f>
        <v/>
      </c>
      <c r="M4502" s="5">
        <f>IF(L4502="","",L4502+6)</f>
        <v/>
      </c>
      <c r="N4502" s="6">
        <f>IF(OR(A4502="",B4502=""),"",DATE(YEAR(B4502),MONTH(B4502),1))</f>
        <v/>
      </c>
      <c r="O4502" s="7">
        <f>IF(COUNTA(A4502:K4502)=0,"",IF(OR(A4502="",B4502=""),"Preencher CPF e entrada",IF(COUNTIFS($A$12:$A$5011,A4502,$B$12:$B$5011,B4502)&gt;1,"CPF + dia duplicado",IF(OR(AND(G4502&lt;&gt;"",G4502&lt;&gt;0,G4502&lt;&gt;1),AND(H4502&lt;&gt;"",H4502&lt;&gt;0,H4502&lt;&gt;1)),"Flags devem ser 0 ou 1",IF(AND(H4502=1,LEN(TRIM(I4502))=0),"Preencher nome do indicante",IF(AND(H4502&lt;&gt;1,I4502&lt;&gt;""),"Nome sem indicação interna",IF(AND(G4502=1,F4502=""),"Fechamento sem conversa",IF(OR(AND(E4502&lt;&gt;"",E4502&lt;B4502),AND(F4502&lt;&gt;"",F4502&lt;B4502)),"Evento anterior à entrada",IF(AND(F4502&lt;&gt;"",E4502=""),"Conversa sem agendamento",IF(OR(E4502&gt;TODAY(),F4502&gt;TODAY()),"Verificar evento futuro","OK"))))))))))</f>
        <v/>
      </c>
    </row>
    <row r="4503" spans="12:15">
      <c r="L4503" s="5">
        <f>IF(OR(A4503="",B4503=""),"",B4503-WEEKDAY(B4503,2)+1)</f>
        <v/>
      </c>
      <c r="M4503" s="5">
        <f>IF(L4503="","",L4503+6)</f>
        <v/>
      </c>
      <c r="N4503" s="6">
        <f>IF(OR(A4503="",B4503=""),"",DATE(YEAR(B4503),MONTH(B4503),1))</f>
        <v/>
      </c>
      <c r="O4503" s="7">
        <f>IF(COUNTA(A4503:K4503)=0,"",IF(OR(A4503="",B4503=""),"Preencher CPF e entrada",IF(COUNTIFS($A$12:$A$5011,A4503,$B$12:$B$5011,B4503)&gt;1,"CPF + dia duplicado",IF(OR(AND(G4503&lt;&gt;"",G4503&lt;&gt;0,G4503&lt;&gt;1),AND(H4503&lt;&gt;"",H4503&lt;&gt;0,H4503&lt;&gt;1)),"Flags devem ser 0 ou 1",IF(AND(H4503=1,LEN(TRIM(I4503))=0),"Preencher nome do indicante",IF(AND(H4503&lt;&gt;1,I4503&lt;&gt;""),"Nome sem indicação interna",IF(AND(G4503=1,F4503=""),"Fechamento sem conversa",IF(OR(AND(E4503&lt;&gt;"",E4503&lt;B4503),AND(F4503&lt;&gt;"",F4503&lt;B4503)),"Evento anterior à entrada",IF(AND(F4503&lt;&gt;"",E4503=""),"Conversa sem agendamento",IF(OR(E4503&gt;TODAY(),F4503&gt;TODAY()),"Verificar evento futuro","OK"))))))))))</f>
        <v/>
      </c>
    </row>
    <row r="4504" spans="12:15">
      <c r="L4504" s="5">
        <f>IF(OR(A4504="",B4504=""),"",B4504-WEEKDAY(B4504,2)+1)</f>
        <v/>
      </c>
      <c r="M4504" s="5">
        <f>IF(L4504="","",L4504+6)</f>
        <v/>
      </c>
      <c r="N4504" s="6">
        <f>IF(OR(A4504="",B4504=""),"",DATE(YEAR(B4504),MONTH(B4504),1))</f>
        <v/>
      </c>
      <c r="O4504" s="7">
        <f>IF(COUNTA(A4504:K4504)=0,"",IF(OR(A4504="",B4504=""),"Preencher CPF e entrada",IF(COUNTIFS($A$12:$A$5011,A4504,$B$12:$B$5011,B4504)&gt;1,"CPF + dia duplicado",IF(OR(AND(G4504&lt;&gt;"",G4504&lt;&gt;0,G4504&lt;&gt;1),AND(H4504&lt;&gt;"",H4504&lt;&gt;0,H4504&lt;&gt;1)),"Flags devem ser 0 ou 1",IF(AND(H4504=1,LEN(TRIM(I4504))=0),"Preencher nome do indicante",IF(AND(H4504&lt;&gt;1,I4504&lt;&gt;""),"Nome sem indicação interna",IF(AND(G4504=1,F4504=""),"Fechamento sem conversa",IF(OR(AND(E4504&lt;&gt;"",E4504&lt;B4504),AND(F4504&lt;&gt;"",F4504&lt;B4504)),"Evento anterior à entrada",IF(AND(F4504&lt;&gt;"",E4504=""),"Conversa sem agendamento",IF(OR(E4504&gt;TODAY(),F4504&gt;TODAY()),"Verificar evento futuro","OK"))))))))))</f>
        <v/>
      </c>
    </row>
    <row r="4505" spans="12:15">
      <c r="L4505" s="5">
        <f>IF(OR(A4505="",B4505=""),"",B4505-WEEKDAY(B4505,2)+1)</f>
        <v/>
      </c>
      <c r="M4505" s="5">
        <f>IF(L4505="","",L4505+6)</f>
        <v/>
      </c>
      <c r="N4505" s="6">
        <f>IF(OR(A4505="",B4505=""),"",DATE(YEAR(B4505),MONTH(B4505),1))</f>
        <v/>
      </c>
      <c r="O4505" s="7">
        <f>IF(COUNTA(A4505:K4505)=0,"",IF(OR(A4505="",B4505=""),"Preencher CPF e entrada",IF(COUNTIFS($A$12:$A$5011,A4505,$B$12:$B$5011,B4505)&gt;1,"CPF + dia duplicado",IF(OR(AND(G4505&lt;&gt;"",G4505&lt;&gt;0,G4505&lt;&gt;1),AND(H4505&lt;&gt;"",H4505&lt;&gt;0,H4505&lt;&gt;1)),"Flags devem ser 0 ou 1",IF(AND(H4505=1,LEN(TRIM(I4505))=0),"Preencher nome do indicante",IF(AND(H4505&lt;&gt;1,I4505&lt;&gt;""),"Nome sem indicação interna",IF(AND(G4505=1,F4505=""),"Fechamento sem conversa",IF(OR(AND(E4505&lt;&gt;"",E4505&lt;B4505),AND(F4505&lt;&gt;"",F4505&lt;B4505)),"Evento anterior à entrada",IF(AND(F4505&lt;&gt;"",E4505=""),"Conversa sem agendamento",IF(OR(E4505&gt;TODAY(),F4505&gt;TODAY()),"Verificar evento futuro","OK"))))))))))</f>
        <v/>
      </c>
    </row>
    <row r="4506" spans="12:15">
      <c r="L4506" s="5">
        <f>IF(OR(A4506="",B4506=""),"",B4506-WEEKDAY(B4506,2)+1)</f>
        <v/>
      </c>
      <c r="M4506" s="5">
        <f>IF(L4506="","",L4506+6)</f>
        <v/>
      </c>
      <c r="N4506" s="6">
        <f>IF(OR(A4506="",B4506=""),"",DATE(YEAR(B4506),MONTH(B4506),1))</f>
        <v/>
      </c>
      <c r="O4506" s="7">
        <f>IF(COUNTA(A4506:K4506)=0,"",IF(OR(A4506="",B4506=""),"Preencher CPF e entrada",IF(COUNTIFS($A$12:$A$5011,A4506,$B$12:$B$5011,B4506)&gt;1,"CPF + dia duplicado",IF(OR(AND(G4506&lt;&gt;"",G4506&lt;&gt;0,G4506&lt;&gt;1),AND(H4506&lt;&gt;"",H4506&lt;&gt;0,H4506&lt;&gt;1)),"Flags devem ser 0 ou 1",IF(AND(H4506=1,LEN(TRIM(I4506))=0),"Preencher nome do indicante",IF(AND(H4506&lt;&gt;1,I4506&lt;&gt;""),"Nome sem indicação interna",IF(AND(G4506=1,F4506=""),"Fechamento sem conversa",IF(OR(AND(E4506&lt;&gt;"",E4506&lt;B4506),AND(F4506&lt;&gt;"",F4506&lt;B4506)),"Evento anterior à entrada",IF(AND(F4506&lt;&gt;"",E4506=""),"Conversa sem agendamento",IF(OR(E4506&gt;TODAY(),F4506&gt;TODAY()),"Verificar evento futuro","OK"))))))))))</f>
        <v/>
      </c>
    </row>
    <row r="4507" spans="12:15">
      <c r="L4507" s="5">
        <f>IF(OR(A4507="",B4507=""),"",B4507-WEEKDAY(B4507,2)+1)</f>
        <v/>
      </c>
      <c r="M4507" s="5">
        <f>IF(L4507="","",L4507+6)</f>
        <v/>
      </c>
      <c r="N4507" s="6">
        <f>IF(OR(A4507="",B4507=""),"",DATE(YEAR(B4507),MONTH(B4507),1))</f>
        <v/>
      </c>
      <c r="O4507" s="7">
        <f>IF(COUNTA(A4507:K4507)=0,"",IF(OR(A4507="",B4507=""),"Preencher CPF e entrada",IF(COUNTIFS($A$12:$A$5011,A4507,$B$12:$B$5011,B4507)&gt;1,"CPF + dia duplicado",IF(OR(AND(G4507&lt;&gt;"",G4507&lt;&gt;0,G4507&lt;&gt;1),AND(H4507&lt;&gt;"",H4507&lt;&gt;0,H4507&lt;&gt;1)),"Flags devem ser 0 ou 1",IF(AND(H4507=1,LEN(TRIM(I4507))=0),"Preencher nome do indicante",IF(AND(H4507&lt;&gt;1,I4507&lt;&gt;""),"Nome sem indicação interna",IF(AND(G4507=1,F4507=""),"Fechamento sem conversa",IF(OR(AND(E4507&lt;&gt;"",E4507&lt;B4507),AND(F4507&lt;&gt;"",F4507&lt;B4507)),"Evento anterior à entrada",IF(AND(F4507&lt;&gt;"",E4507=""),"Conversa sem agendamento",IF(OR(E4507&gt;TODAY(),F4507&gt;TODAY()),"Verificar evento futuro","OK"))))))))))</f>
        <v/>
      </c>
    </row>
    <row r="4508" spans="12:15">
      <c r="L4508" s="5">
        <f>IF(OR(A4508="",B4508=""),"",B4508-WEEKDAY(B4508,2)+1)</f>
        <v/>
      </c>
      <c r="M4508" s="5">
        <f>IF(L4508="","",L4508+6)</f>
        <v/>
      </c>
      <c r="N4508" s="6">
        <f>IF(OR(A4508="",B4508=""),"",DATE(YEAR(B4508),MONTH(B4508),1))</f>
        <v/>
      </c>
      <c r="O4508" s="7">
        <f>IF(COUNTA(A4508:K4508)=0,"",IF(OR(A4508="",B4508=""),"Preencher CPF e entrada",IF(COUNTIFS($A$12:$A$5011,A4508,$B$12:$B$5011,B4508)&gt;1,"CPF + dia duplicado",IF(OR(AND(G4508&lt;&gt;"",G4508&lt;&gt;0,G4508&lt;&gt;1),AND(H4508&lt;&gt;"",H4508&lt;&gt;0,H4508&lt;&gt;1)),"Flags devem ser 0 ou 1",IF(AND(H4508=1,LEN(TRIM(I4508))=0),"Preencher nome do indicante",IF(AND(H4508&lt;&gt;1,I4508&lt;&gt;""),"Nome sem indicação interna",IF(AND(G4508=1,F4508=""),"Fechamento sem conversa",IF(OR(AND(E4508&lt;&gt;"",E4508&lt;B4508),AND(F4508&lt;&gt;"",F4508&lt;B4508)),"Evento anterior à entrada",IF(AND(F4508&lt;&gt;"",E4508=""),"Conversa sem agendamento",IF(OR(E4508&gt;TODAY(),F4508&gt;TODAY()),"Verificar evento futuro","OK"))))))))))</f>
        <v/>
      </c>
    </row>
    <row r="4509" spans="12:15">
      <c r="L4509" s="5">
        <f>IF(OR(A4509="",B4509=""),"",B4509-WEEKDAY(B4509,2)+1)</f>
        <v/>
      </c>
      <c r="M4509" s="5">
        <f>IF(L4509="","",L4509+6)</f>
        <v/>
      </c>
      <c r="N4509" s="6">
        <f>IF(OR(A4509="",B4509=""),"",DATE(YEAR(B4509),MONTH(B4509),1))</f>
        <v/>
      </c>
      <c r="O4509" s="7">
        <f>IF(COUNTA(A4509:K4509)=0,"",IF(OR(A4509="",B4509=""),"Preencher CPF e entrada",IF(COUNTIFS($A$12:$A$5011,A4509,$B$12:$B$5011,B4509)&gt;1,"CPF + dia duplicado",IF(OR(AND(G4509&lt;&gt;"",G4509&lt;&gt;0,G4509&lt;&gt;1),AND(H4509&lt;&gt;"",H4509&lt;&gt;0,H4509&lt;&gt;1)),"Flags devem ser 0 ou 1",IF(AND(H4509=1,LEN(TRIM(I4509))=0),"Preencher nome do indicante",IF(AND(H4509&lt;&gt;1,I4509&lt;&gt;""),"Nome sem indicação interna",IF(AND(G4509=1,F4509=""),"Fechamento sem conversa",IF(OR(AND(E4509&lt;&gt;"",E4509&lt;B4509),AND(F4509&lt;&gt;"",F4509&lt;B4509)),"Evento anterior à entrada",IF(AND(F4509&lt;&gt;"",E4509=""),"Conversa sem agendamento",IF(OR(E4509&gt;TODAY(),F4509&gt;TODAY()),"Verificar evento futuro","OK"))))))))))</f>
        <v/>
      </c>
    </row>
    <row r="4510" spans="12:15">
      <c r="L4510" s="5">
        <f>IF(OR(A4510="",B4510=""),"",B4510-WEEKDAY(B4510,2)+1)</f>
        <v/>
      </c>
      <c r="M4510" s="5">
        <f>IF(L4510="","",L4510+6)</f>
        <v/>
      </c>
      <c r="N4510" s="6">
        <f>IF(OR(A4510="",B4510=""),"",DATE(YEAR(B4510),MONTH(B4510),1))</f>
        <v/>
      </c>
      <c r="O4510" s="7">
        <f>IF(COUNTA(A4510:K4510)=0,"",IF(OR(A4510="",B4510=""),"Preencher CPF e entrada",IF(COUNTIFS($A$12:$A$5011,A4510,$B$12:$B$5011,B4510)&gt;1,"CPF + dia duplicado",IF(OR(AND(G4510&lt;&gt;"",G4510&lt;&gt;0,G4510&lt;&gt;1),AND(H4510&lt;&gt;"",H4510&lt;&gt;0,H4510&lt;&gt;1)),"Flags devem ser 0 ou 1",IF(AND(H4510=1,LEN(TRIM(I4510))=0),"Preencher nome do indicante",IF(AND(H4510&lt;&gt;1,I4510&lt;&gt;""),"Nome sem indicação interna",IF(AND(G4510=1,F4510=""),"Fechamento sem conversa",IF(OR(AND(E4510&lt;&gt;"",E4510&lt;B4510),AND(F4510&lt;&gt;"",F4510&lt;B4510)),"Evento anterior à entrada",IF(AND(F4510&lt;&gt;"",E4510=""),"Conversa sem agendamento",IF(OR(E4510&gt;TODAY(),F4510&gt;TODAY()),"Verificar evento futuro","OK"))))))))))</f>
        <v/>
      </c>
    </row>
    <row r="4511" spans="12:15">
      <c r="L4511" s="5">
        <f>IF(OR(A4511="",B4511=""),"",B4511-WEEKDAY(B4511,2)+1)</f>
        <v/>
      </c>
      <c r="M4511" s="5">
        <f>IF(L4511="","",L4511+6)</f>
        <v/>
      </c>
      <c r="N4511" s="6">
        <f>IF(OR(A4511="",B4511=""),"",DATE(YEAR(B4511),MONTH(B4511),1))</f>
        <v/>
      </c>
      <c r="O4511" s="7">
        <f>IF(COUNTA(A4511:K4511)=0,"",IF(OR(A4511="",B4511=""),"Preencher CPF e entrada",IF(COUNTIFS($A$12:$A$5011,A4511,$B$12:$B$5011,B4511)&gt;1,"CPF + dia duplicado",IF(OR(AND(G4511&lt;&gt;"",G4511&lt;&gt;0,G4511&lt;&gt;1),AND(H4511&lt;&gt;"",H4511&lt;&gt;0,H4511&lt;&gt;1)),"Flags devem ser 0 ou 1",IF(AND(H4511=1,LEN(TRIM(I4511))=0),"Preencher nome do indicante",IF(AND(H4511&lt;&gt;1,I4511&lt;&gt;""),"Nome sem indicação interna",IF(AND(G4511=1,F4511=""),"Fechamento sem conversa",IF(OR(AND(E4511&lt;&gt;"",E4511&lt;B4511),AND(F4511&lt;&gt;"",F4511&lt;B4511)),"Evento anterior à entrada",IF(AND(F4511&lt;&gt;"",E4511=""),"Conversa sem agendamento",IF(OR(E4511&gt;TODAY(),F4511&gt;TODAY()),"Verificar evento futuro","OK"))))))))))</f>
        <v/>
      </c>
    </row>
    <row r="4512" spans="12:15">
      <c r="L4512" s="5">
        <f>IF(OR(A4512="",B4512=""),"",B4512-WEEKDAY(B4512,2)+1)</f>
        <v/>
      </c>
      <c r="M4512" s="5">
        <f>IF(L4512="","",L4512+6)</f>
        <v/>
      </c>
      <c r="N4512" s="6">
        <f>IF(OR(A4512="",B4512=""),"",DATE(YEAR(B4512),MONTH(B4512),1))</f>
        <v/>
      </c>
      <c r="O4512" s="7">
        <f>IF(COUNTA(A4512:K4512)=0,"",IF(OR(A4512="",B4512=""),"Preencher CPF e entrada",IF(COUNTIFS($A$12:$A$5011,A4512,$B$12:$B$5011,B4512)&gt;1,"CPF + dia duplicado",IF(OR(AND(G4512&lt;&gt;"",G4512&lt;&gt;0,G4512&lt;&gt;1),AND(H4512&lt;&gt;"",H4512&lt;&gt;0,H4512&lt;&gt;1)),"Flags devem ser 0 ou 1",IF(AND(H4512=1,LEN(TRIM(I4512))=0),"Preencher nome do indicante",IF(AND(H4512&lt;&gt;1,I4512&lt;&gt;""),"Nome sem indicação interna",IF(AND(G4512=1,F4512=""),"Fechamento sem conversa",IF(OR(AND(E4512&lt;&gt;"",E4512&lt;B4512),AND(F4512&lt;&gt;"",F4512&lt;B4512)),"Evento anterior à entrada",IF(AND(F4512&lt;&gt;"",E4512=""),"Conversa sem agendamento",IF(OR(E4512&gt;TODAY(),F4512&gt;TODAY()),"Verificar evento futuro","OK"))))))))))</f>
        <v/>
      </c>
    </row>
    <row r="4513" spans="12:15">
      <c r="L4513" s="5">
        <f>IF(OR(A4513="",B4513=""),"",B4513-WEEKDAY(B4513,2)+1)</f>
        <v/>
      </c>
      <c r="M4513" s="5">
        <f>IF(L4513="","",L4513+6)</f>
        <v/>
      </c>
      <c r="N4513" s="6">
        <f>IF(OR(A4513="",B4513=""),"",DATE(YEAR(B4513),MONTH(B4513),1))</f>
        <v/>
      </c>
      <c r="O4513" s="7">
        <f>IF(COUNTA(A4513:K4513)=0,"",IF(OR(A4513="",B4513=""),"Preencher CPF e entrada",IF(COUNTIFS($A$12:$A$5011,A4513,$B$12:$B$5011,B4513)&gt;1,"CPF + dia duplicado",IF(OR(AND(G4513&lt;&gt;"",G4513&lt;&gt;0,G4513&lt;&gt;1),AND(H4513&lt;&gt;"",H4513&lt;&gt;0,H4513&lt;&gt;1)),"Flags devem ser 0 ou 1",IF(AND(H4513=1,LEN(TRIM(I4513))=0),"Preencher nome do indicante",IF(AND(H4513&lt;&gt;1,I4513&lt;&gt;""),"Nome sem indicação interna",IF(AND(G4513=1,F4513=""),"Fechamento sem conversa",IF(OR(AND(E4513&lt;&gt;"",E4513&lt;B4513),AND(F4513&lt;&gt;"",F4513&lt;B4513)),"Evento anterior à entrada",IF(AND(F4513&lt;&gt;"",E4513=""),"Conversa sem agendamento",IF(OR(E4513&gt;TODAY(),F4513&gt;TODAY()),"Verificar evento futuro","OK"))))))))))</f>
        <v/>
      </c>
    </row>
    <row r="4514" spans="12:15">
      <c r="L4514" s="5">
        <f>IF(OR(A4514="",B4514=""),"",B4514-WEEKDAY(B4514,2)+1)</f>
        <v/>
      </c>
      <c r="M4514" s="5">
        <f>IF(L4514="","",L4514+6)</f>
        <v/>
      </c>
      <c r="N4514" s="6">
        <f>IF(OR(A4514="",B4514=""),"",DATE(YEAR(B4514),MONTH(B4514),1))</f>
        <v/>
      </c>
      <c r="O4514" s="7">
        <f>IF(COUNTA(A4514:K4514)=0,"",IF(OR(A4514="",B4514=""),"Preencher CPF e entrada",IF(COUNTIFS($A$12:$A$5011,A4514,$B$12:$B$5011,B4514)&gt;1,"CPF + dia duplicado",IF(OR(AND(G4514&lt;&gt;"",G4514&lt;&gt;0,G4514&lt;&gt;1),AND(H4514&lt;&gt;"",H4514&lt;&gt;0,H4514&lt;&gt;1)),"Flags devem ser 0 ou 1",IF(AND(H4514=1,LEN(TRIM(I4514))=0),"Preencher nome do indicante",IF(AND(H4514&lt;&gt;1,I4514&lt;&gt;""),"Nome sem indicação interna",IF(AND(G4514=1,F4514=""),"Fechamento sem conversa",IF(OR(AND(E4514&lt;&gt;"",E4514&lt;B4514),AND(F4514&lt;&gt;"",F4514&lt;B4514)),"Evento anterior à entrada",IF(AND(F4514&lt;&gt;"",E4514=""),"Conversa sem agendamento",IF(OR(E4514&gt;TODAY(),F4514&gt;TODAY()),"Verificar evento futuro","OK"))))))))))</f>
        <v/>
      </c>
    </row>
    <row r="4515" spans="12:15">
      <c r="L4515" s="5">
        <f>IF(OR(A4515="",B4515=""),"",B4515-WEEKDAY(B4515,2)+1)</f>
        <v/>
      </c>
      <c r="M4515" s="5">
        <f>IF(L4515="","",L4515+6)</f>
        <v/>
      </c>
      <c r="N4515" s="6">
        <f>IF(OR(A4515="",B4515=""),"",DATE(YEAR(B4515),MONTH(B4515),1))</f>
        <v/>
      </c>
      <c r="O4515" s="7">
        <f>IF(COUNTA(A4515:K4515)=0,"",IF(OR(A4515="",B4515=""),"Preencher CPF e entrada",IF(COUNTIFS($A$12:$A$5011,A4515,$B$12:$B$5011,B4515)&gt;1,"CPF + dia duplicado",IF(OR(AND(G4515&lt;&gt;"",G4515&lt;&gt;0,G4515&lt;&gt;1),AND(H4515&lt;&gt;"",H4515&lt;&gt;0,H4515&lt;&gt;1)),"Flags devem ser 0 ou 1",IF(AND(H4515=1,LEN(TRIM(I4515))=0),"Preencher nome do indicante",IF(AND(H4515&lt;&gt;1,I4515&lt;&gt;""),"Nome sem indicação interna",IF(AND(G4515=1,F4515=""),"Fechamento sem conversa",IF(OR(AND(E4515&lt;&gt;"",E4515&lt;B4515),AND(F4515&lt;&gt;"",F4515&lt;B4515)),"Evento anterior à entrada",IF(AND(F4515&lt;&gt;"",E4515=""),"Conversa sem agendamento",IF(OR(E4515&gt;TODAY(),F4515&gt;TODAY()),"Verificar evento futuro","OK"))))))))))</f>
        <v/>
      </c>
    </row>
    <row r="4516" spans="12:15">
      <c r="L4516" s="5">
        <f>IF(OR(A4516="",B4516=""),"",B4516-WEEKDAY(B4516,2)+1)</f>
        <v/>
      </c>
      <c r="M4516" s="5">
        <f>IF(L4516="","",L4516+6)</f>
        <v/>
      </c>
      <c r="N4516" s="6">
        <f>IF(OR(A4516="",B4516=""),"",DATE(YEAR(B4516),MONTH(B4516),1))</f>
        <v/>
      </c>
      <c r="O4516" s="7">
        <f>IF(COUNTA(A4516:K4516)=0,"",IF(OR(A4516="",B4516=""),"Preencher CPF e entrada",IF(COUNTIFS($A$12:$A$5011,A4516,$B$12:$B$5011,B4516)&gt;1,"CPF + dia duplicado",IF(OR(AND(G4516&lt;&gt;"",G4516&lt;&gt;0,G4516&lt;&gt;1),AND(H4516&lt;&gt;"",H4516&lt;&gt;0,H4516&lt;&gt;1)),"Flags devem ser 0 ou 1",IF(AND(H4516=1,LEN(TRIM(I4516))=0),"Preencher nome do indicante",IF(AND(H4516&lt;&gt;1,I4516&lt;&gt;""),"Nome sem indicação interna",IF(AND(G4516=1,F4516=""),"Fechamento sem conversa",IF(OR(AND(E4516&lt;&gt;"",E4516&lt;B4516),AND(F4516&lt;&gt;"",F4516&lt;B4516)),"Evento anterior à entrada",IF(AND(F4516&lt;&gt;"",E4516=""),"Conversa sem agendamento",IF(OR(E4516&gt;TODAY(),F4516&gt;TODAY()),"Verificar evento futuro","OK"))))))))))</f>
        <v/>
      </c>
    </row>
    <row r="4517" spans="12:15">
      <c r="L4517" s="5">
        <f>IF(OR(A4517="",B4517=""),"",B4517-WEEKDAY(B4517,2)+1)</f>
        <v/>
      </c>
      <c r="M4517" s="5">
        <f>IF(L4517="","",L4517+6)</f>
        <v/>
      </c>
      <c r="N4517" s="6">
        <f>IF(OR(A4517="",B4517=""),"",DATE(YEAR(B4517),MONTH(B4517),1))</f>
        <v/>
      </c>
      <c r="O4517" s="7">
        <f>IF(COUNTA(A4517:K4517)=0,"",IF(OR(A4517="",B4517=""),"Preencher CPF e entrada",IF(COUNTIFS($A$12:$A$5011,A4517,$B$12:$B$5011,B4517)&gt;1,"CPF + dia duplicado",IF(OR(AND(G4517&lt;&gt;"",G4517&lt;&gt;0,G4517&lt;&gt;1),AND(H4517&lt;&gt;"",H4517&lt;&gt;0,H4517&lt;&gt;1)),"Flags devem ser 0 ou 1",IF(AND(H4517=1,LEN(TRIM(I4517))=0),"Preencher nome do indicante",IF(AND(H4517&lt;&gt;1,I4517&lt;&gt;""),"Nome sem indicação interna",IF(AND(G4517=1,F4517=""),"Fechamento sem conversa",IF(OR(AND(E4517&lt;&gt;"",E4517&lt;B4517),AND(F4517&lt;&gt;"",F4517&lt;B4517)),"Evento anterior à entrada",IF(AND(F4517&lt;&gt;"",E4517=""),"Conversa sem agendamento",IF(OR(E4517&gt;TODAY(),F4517&gt;TODAY()),"Verificar evento futuro","OK"))))))))))</f>
        <v/>
      </c>
    </row>
    <row r="4518" spans="12:15">
      <c r="L4518" s="5">
        <f>IF(OR(A4518="",B4518=""),"",B4518-WEEKDAY(B4518,2)+1)</f>
        <v/>
      </c>
      <c r="M4518" s="5">
        <f>IF(L4518="","",L4518+6)</f>
        <v/>
      </c>
      <c r="N4518" s="6">
        <f>IF(OR(A4518="",B4518=""),"",DATE(YEAR(B4518),MONTH(B4518),1))</f>
        <v/>
      </c>
      <c r="O4518" s="7">
        <f>IF(COUNTA(A4518:K4518)=0,"",IF(OR(A4518="",B4518=""),"Preencher CPF e entrada",IF(COUNTIFS($A$12:$A$5011,A4518,$B$12:$B$5011,B4518)&gt;1,"CPF + dia duplicado",IF(OR(AND(G4518&lt;&gt;"",G4518&lt;&gt;0,G4518&lt;&gt;1),AND(H4518&lt;&gt;"",H4518&lt;&gt;0,H4518&lt;&gt;1)),"Flags devem ser 0 ou 1",IF(AND(H4518=1,LEN(TRIM(I4518))=0),"Preencher nome do indicante",IF(AND(H4518&lt;&gt;1,I4518&lt;&gt;""),"Nome sem indicação interna",IF(AND(G4518=1,F4518=""),"Fechamento sem conversa",IF(OR(AND(E4518&lt;&gt;"",E4518&lt;B4518),AND(F4518&lt;&gt;"",F4518&lt;B4518)),"Evento anterior à entrada",IF(AND(F4518&lt;&gt;"",E4518=""),"Conversa sem agendamento",IF(OR(E4518&gt;TODAY(),F4518&gt;TODAY()),"Verificar evento futuro","OK"))))))))))</f>
        <v/>
      </c>
    </row>
    <row r="4519" spans="12:15">
      <c r="L4519" s="5">
        <f>IF(OR(A4519="",B4519=""),"",B4519-WEEKDAY(B4519,2)+1)</f>
        <v/>
      </c>
      <c r="M4519" s="5">
        <f>IF(L4519="","",L4519+6)</f>
        <v/>
      </c>
      <c r="N4519" s="6">
        <f>IF(OR(A4519="",B4519=""),"",DATE(YEAR(B4519),MONTH(B4519),1))</f>
        <v/>
      </c>
      <c r="O4519" s="7">
        <f>IF(COUNTA(A4519:K4519)=0,"",IF(OR(A4519="",B4519=""),"Preencher CPF e entrada",IF(COUNTIFS($A$12:$A$5011,A4519,$B$12:$B$5011,B4519)&gt;1,"CPF + dia duplicado",IF(OR(AND(G4519&lt;&gt;"",G4519&lt;&gt;0,G4519&lt;&gt;1),AND(H4519&lt;&gt;"",H4519&lt;&gt;0,H4519&lt;&gt;1)),"Flags devem ser 0 ou 1",IF(AND(H4519=1,LEN(TRIM(I4519))=0),"Preencher nome do indicante",IF(AND(H4519&lt;&gt;1,I4519&lt;&gt;""),"Nome sem indicação interna",IF(AND(G4519=1,F4519=""),"Fechamento sem conversa",IF(OR(AND(E4519&lt;&gt;"",E4519&lt;B4519),AND(F4519&lt;&gt;"",F4519&lt;B4519)),"Evento anterior à entrada",IF(AND(F4519&lt;&gt;"",E4519=""),"Conversa sem agendamento",IF(OR(E4519&gt;TODAY(),F4519&gt;TODAY()),"Verificar evento futuro","OK"))))))))))</f>
        <v/>
      </c>
    </row>
    <row r="4520" spans="12:15">
      <c r="L4520" s="5">
        <f>IF(OR(A4520="",B4520=""),"",B4520-WEEKDAY(B4520,2)+1)</f>
        <v/>
      </c>
      <c r="M4520" s="5">
        <f>IF(L4520="","",L4520+6)</f>
        <v/>
      </c>
      <c r="N4520" s="6">
        <f>IF(OR(A4520="",B4520=""),"",DATE(YEAR(B4520),MONTH(B4520),1))</f>
        <v/>
      </c>
      <c r="O4520" s="7">
        <f>IF(COUNTA(A4520:K4520)=0,"",IF(OR(A4520="",B4520=""),"Preencher CPF e entrada",IF(COUNTIFS($A$12:$A$5011,A4520,$B$12:$B$5011,B4520)&gt;1,"CPF + dia duplicado",IF(OR(AND(G4520&lt;&gt;"",G4520&lt;&gt;0,G4520&lt;&gt;1),AND(H4520&lt;&gt;"",H4520&lt;&gt;0,H4520&lt;&gt;1)),"Flags devem ser 0 ou 1",IF(AND(H4520=1,LEN(TRIM(I4520))=0),"Preencher nome do indicante",IF(AND(H4520&lt;&gt;1,I4520&lt;&gt;""),"Nome sem indicação interna",IF(AND(G4520=1,F4520=""),"Fechamento sem conversa",IF(OR(AND(E4520&lt;&gt;"",E4520&lt;B4520),AND(F4520&lt;&gt;"",F4520&lt;B4520)),"Evento anterior à entrada",IF(AND(F4520&lt;&gt;"",E4520=""),"Conversa sem agendamento",IF(OR(E4520&gt;TODAY(),F4520&gt;TODAY()),"Verificar evento futuro","OK"))))))))))</f>
        <v/>
      </c>
    </row>
    <row r="4521" spans="12:15">
      <c r="L4521" s="5">
        <f>IF(OR(A4521="",B4521=""),"",B4521-WEEKDAY(B4521,2)+1)</f>
        <v/>
      </c>
      <c r="M4521" s="5">
        <f>IF(L4521="","",L4521+6)</f>
        <v/>
      </c>
      <c r="N4521" s="6">
        <f>IF(OR(A4521="",B4521=""),"",DATE(YEAR(B4521),MONTH(B4521),1))</f>
        <v/>
      </c>
      <c r="O4521" s="7">
        <f>IF(COUNTA(A4521:K4521)=0,"",IF(OR(A4521="",B4521=""),"Preencher CPF e entrada",IF(COUNTIFS($A$12:$A$5011,A4521,$B$12:$B$5011,B4521)&gt;1,"CPF + dia duplicado",IF(OR(AND(G4521&lt;&gt;"",G4521&lt;&gt;0,G4521&lt;&gt;1),AND(H4521&lt;&gt;"",H4521&lt;&gt;0,H4521&lt;&gt;1)),"Flags devem ser 0 ou 1",IF(AND(H4521=1,LEN(TRIM(I4521))=0),"Preencher nome do indicante",IF(AND(H4521&lt;&gt;1,I4521&lt;&gt;""),"Nome sem indicação interna",IF(AND(G4521=1,F4521=""),"Fechamento sem conversa",IF(OR(AND(E4521&lt;&gt;"",E4521&lt;B4521),AND(F4521&lt;&gt;"",F4521&lt;B4521)),"Evento anterior à entrada",IF(AND(F4521&lt;&gt;"",E4521=""),"Conversa sem agendamento",IF(OR(E4521&gt;TODAY(),F4521&gt;TODAY()),"Verificar evento futuro","OK"))))))))))</f>
        <v/>
      </c>
    </row>
    <row r="4522" spans="12:15">
      <c r="L4522" s="5">
        <f>IF(OR(A4522="",B4522=""),"",B4522-WEEKDAY(B4522,2)+1)</f>
        <v/>
      </c>
      <c r="M4522" s="5">
        <f>IF(L4522="","",L4522+6)</f>
        <v/>
      </c>
      <c r="N4522" s="6">
        <f>IF(OR(A4522="",B4522=""),"",DATE(YEAR(B4522),MONTH(B4522),1))</f>
        <v/>
      </c>
      <c r="O4522" s="7">
        <f>IF(COUNTA(A4522:K4522)=0,"",IF(OR(A4522="",B4522=""),"Preencher CPF e entrada",IF(COUNTIFS($A$12:$A$5011,A4522,$B$12:$B$5011,B4522)&gt;1,"CPF + dia duplicado",IF(OR(AND(G4522&lt;&gt;"",G4522&lt;&gt;0,G4522&lt;&gt;1),AND(H4522&lt;&gt;"",H4522&lt;&gt;0,H4522&lt;&gt;1)),"Flags devem ser 0 ou 1",IF(AND(H4522=1,LEN(TRIM(I4522))=0),"Preencher nome do indicante",IF(AND(H4522&lt;&gt;1,I4522&lt;&gt;""),"Nome sem indicação interna",IF(AND(G4522=1,F4522=""),"Fechamento sem conversa",IF(OR(AND(E4522&lt;&gt;"",E4522&lt;B4522),AND(F4522&lt;&gt;"",F4522&lt;B4522)),"Evento anterior à entrada",IF(AND(F4522&lt;&gt;"",E4522=""),"Conversa sem agendamento",IF(OR(E4522&gt;TODAY(),F4522&gt;TODAY()),"Verificar evento futuro","OK"))))))))))</f>
        <v/>
      </c>
    </row>
    <row r="4523" spans="12:15">
      <c r="L4523" s="5">
        <f>IF(OR(A4523="",B4523=""),"",B4523-WEEKDAY(B4523,2)+1)</f>
        <v/>
      </c>
      <c r="M4523" s="5">
        <f>IF(L4523="","",L4523+6)</f>
        <v/>
      </c>
      <c r="N4523" s="6">
        <f>IF(OR(A4523="",B4523=""),"",DATE(YEAR(B4523),MONTH(B4523),1))</f>
        <v/>
      </c>
      <c r="O4523" s="7">
        <f>IF(COUNTA(A4523:K4523)=0,"",IF(OR(A4523="",B4523=""),"Preencher CPF e entrada",IF(COUNTIFS($A$12:$A$5011,A4523,$B$12:$B$5011,B4523)&gt;1,"CPF + dia duplicado",IF(OR(AND(G4523&lt;&gt;"",G4523&lt;&gt;0,G4523&lt;&gt;1),AND(H4523&lt;&gt;"",H4523&lt;&gt;0,H4523&lt;&gt;1)),"Flags devem ser 0 ou 1",IF(AND(H4523=1,LEN(TRIM(I4523))=0),"Preencher nome do indicante",IF(AND(H4523&lt;&gt;1,I4523&lt;&gt;""),"Nome sem indicação interna",IF(AND(G4523=1,F4523=""),"Fechamento sem conversa",IF(OR(AND(E4523&lt;&gt;"",E4523&lt;B4523),AND(F4523&lt;&gt;"",F4523&lt;B4523)),"Evento anterior à entrada",IF(AND(F4523&lt;&gt;"",E4523=""),"Conversa sem agendamento",IF(OR(E4523&gt;TODAY(),F4523&gt;TODAY()),"Verificar evento futuro","OK"))))))))))</f>
        <v/>
      </c>
    </row>
    <row r="4524" spans="12:15">
      <c r="L4524" s="5">
        <f>IF(OR(A4524="",B4524=""),"",B4524-WEEKDAY(B4524,2)+1)</f>
        <v/>
      </c>
      <c r="M4524" s="5">
        <f>IF(L4524="","",L4524+6)</f>
        <v/>
      </c>
      <c r="N4524" s="6">
        <f>IF(OR(A4524="",B4524=""),"",DATE(YEAR(B4524),MONTH(B4524),1))</f>
        <v/>
      </c>
      <c r="O4524" s="7">
        <f>IF(COUNTA(A4524:K4524)=0,"",IF(OR(A4524="",B4524=""),"Preencher CPF e entrada",IF(COUNTIFS($A$12:$A$5011,A4524,$B$12:$B$5011,B4524)&gt;1,"CPF + dia duplicado",IF(OR(AND(G4524&lt;&gt;"",G4524&lt;&gt;0,G4524&lt;&gt;1),AND(H4524&lt;&gt;"",H4524&lt;&gt;0,H4524&lt;&gt;1)),"Flags devem ser 0 ou 1",IF(AND(H4524=1,LEN(TRIM(I4524))=0),"Preencher nome do indicante",IF(AND(H4524&lt;&gt;1,I4524&lt;&gt;""),"Nome sem indicação interna",IF(AND(G4524=1,F4524=""),"Fechamento sem conversa",IF(OR(AND(E4524&lt;&gt;"",E4524&lt;B4524),AND(F4524&lt;&gt;"",F4524&lt;B4524)),"Evento anterior à entrada",IF(AND(F4524&lt;&gt;"",E4524=""),"Conversa sem agendamento",IF(OR(E4524&gt;TODAY(),F4524&gt;TODAY()),"Verificar evento futuro","OK"))))))))))</f>
        <v/>
      </c>
    </row>
    <row r="4525" spans="12:15">
      <c r="L4525" s="5">
        <f>IF(OR(A4525="",B4525=""),"",B4525-WEEKDAY(B4525,2)+1)</f>
        <v/>
      </c>
      <c r="M4525" s="5">
        <f>IF(L4525="","",L4525+6)</f>
        <v/>
      </c>
      <c r="N4525" s="6">
        <f>IF(OR(A4525="",B4525=""),"",DATE(YEAR(B4525),MONTH(B4525),1))</f>
        <v/>
      </c>
      <c r="O4525" s="7">
        <f>IF(COUNTA(A4525:K4525)=0,"",IF(OR(A4525="",B4525=""),"Preencher CPF e entrada",IF(COUNTIFS($A$12:$A$5011,A4525,$B$12:$B$5011,B4525)&gt;1,"CPF + dia duplicado",IF(OR(AND(G4525&lt;&gt;"",G4525&lt;&gt;0,G4525&lt;&gt;1),AND(H4525&lt;&gt;"",H4525&lt;&gt;0,H4525&lt;&gt;1)),"Flags devem ser 0 ou 1",IF(AND(H4525=1,LEN(TRIM(I4525))=0),"Preencher nome do indicante",IF(AND(H4525&lt;&gt;1,I4525&lt;&gt;""),"Nome sem indicação interna",IF(AND(G4525=1,F4525=""),"Fechamento sem conversa",IF(OR(AND(E4525&lt;&gt;"",E4525&lt;B4525),AND(F4525&lt;&gt;"",F4525&lt;B4525)),"Evento anterior à entrada",IF(AND(F4525&lt;&gt;"",E4525=""),"Conversa sem agendamento",IF(OR(E4525&gt;TODAY(),F4525&gt;TODAY()),"Verificar evento futuro","OK"))))))))))</f>
        <v/>
      </c>
    </row>
    <row r="4526" spans="12:15">
      <c r="L4526" s="5">
        <f>IF(OR(A4526="",B4526=""),"",B4526-WEEKDAY(B4526,2)+1)</f>
        <v/>
      </c>
      <c r="M4526" s="5">
        <f>IF(L4526="","",L4526+6)</f>
        <v/>
      </c>
      <c r="N4526" s="6">
        <f>IF(OR(A4526="",B4526=""),"",DATE(YEAR(B4526),MONTH(B4526),1))</f>
        <v/>
      </c>
      <c r="O4526" s="7">
        <f>IF(COUNTA(A4526:K4526)=0,"",IF(OR(A4526="",B4526=""),"Preencher CPF e entrada",IF(COUNTIFS($A$12:$A$5011,A4526,$B$12:$B$5011,B4526)&gt;1,"CPF + dia duplicado",IF(OR(AND(G4526&lt;&gt;"",G4526&lt;&gt;0,G4526&lt;&gt;1),AND(H4526&lt;&gt;"",H4526&lt;&gt;0,H4526&lt;&gt;1)),"Flags devem ser 0 ou 1",IF(AND(H4526=1,LEN(TRIM(I4526))=0),"Preencher nome do indicante",IF(AND(H4526&lt;&gt;1,I4526&lt;&gt;""),"Nome sem indicação interna",IF(AND(G4526=1,F4526=""),"Fechamento sem conversa",IF(OR(AND(E4526&lt;&gt;"",E4526&lt;B4526),AND(F4526&lt;&gt;"",F4526&lt;B4526)),"Evento anterior à entrada",IF(AND(F4526&lt;&gt;"",E4526=""),"Conversa sem agendamento",IF(OR(E4526&gt;TODAY(),F4526&gt;TODAY()),"Verificar evento futuro","OK"))))))))))</f>
        <v/>
      </c>
    </row>
    <row r="4527" spans="12:15">
      <c r="L4527" s="5">
        <f>IF(OR(A4527="",B4527=""),"",B4527-WEEKDAY(B4527,2)+1)</f>
        <v/>
      </c>
      <c r="M4527" s="5">
        <f>IF(L4527="","",L4527+6)</f>
        <v/>
      </c>
      <c r="N4527" s="6">
        <f>IF(OR(A4527="",B4527=""),"",DATE(YEAR(B4527),MONTH(B4527),1))</f>
        <v/>
      </c>
      <c r="O4527" s="7">
        <f>IF(COUNTA(A4527:K4527)=0,"",IF(OR(A4527="",B4527=""),"Preencher CPF e entrada",IF(COUNTIFS($A$12:$A$5011,A4527,$B$12:$B$5011,B4527)&gt;1,"CPF + dia duplicado",IF(OR(AND(G4527&lt;&gt;"",G4527&lt;&gt;0,G4527&lt;&gt;1),AND(H4527&lt;&gt;"",H4527&lt;&gt;0,H4527&lt;&gt;1)),"Flags devem ser 0 ou 1",IF(AND(H4527=1,LEN(TRIM(I4527))=0),"Preencher nome do indicante",IF(AND(H4527&lt;&gt;1,I4527&lt;&gt;""),"Nome sem indicação interna",IF(AND(G4527=1,F4527=""),"Fechamento sem conversa",IF(OR(AND(E4527&lt;&gt;"",E4527&lt;B4527),AND(F4527&lt;&gt;"",F4527&lt;B4527)),"Evento anterior à entrada",IF(AND(F4527&lt;&gt;"",E4527=""),"Conversa sem agendamento",IF(OR(E4527&gt;TODAY(),F4527&gt;TODAY()),"Verificar evento futuro","OK"))))))))))</f>
        <v/>
      </c>
    </row>
    <row r="4528" spans="12:15">
      <c r="L4528" s="5">
        <f>IF(OR(A4528="",B4528=""),"",B4528-WEEKDAY(B4528,2)+1)</f>
        <v/>
      </c>
      <c r="M4528" s="5">
        <f>IF(L4528="","",L4528+6)</f>
        <v/>
      </c>
      <c r="N4528" s="6">
        <f>IF(OR(A4528="",B4528=""),"",DATE(YEAR(B4528),MONTH(B4528),1))</f>
        <v/>
      </c>
      <c r="O4528" s="7">
        <f>IF(COUNTA(A4528:K4528)=0,"",IF(OR(A4528="",B4528=""),"Preencher CPF e entrada",IF(COUNTIFS($A$12:$A$5011,A4528,$B$12:$B$5011,B4528)&gt;1,"CPF + dia duplicado",IF(OR(AND(G4528&lt;&gt;"",G4528&lt;&gt;0,G4528&lt;&gt;1),AND(H4528&lt;&gt;"",H4528&lt;&gt;0,H4528&lt;&gt;1)),"Flags devem ser 0 ou 1",IF(AND(H4528=1,LEN(TRIM(I4528))=0),"Preencher nome do indicante",IF(AND(H4528&lt;&gt;1,I4528&lt;&gt;""),"Nome sem indicação interna",IF(AND(G4528=1,F4528=""),"Fechamento sem conversa",IF(OR(AND(E4528&lt;&gt;"",E4528&lt;B4528),AND(F4528&lt;&gt;"",F4528&lt;B4528)),"Evento anterior à entrada",IF(AND(F4528&lt;&gt;"",E4528=""),"Conversa sem agendamento",IF(OR(E4528&gt;TODAY(),F4528&gt;TODAY()),"Verificar evento futuro","OK"))))))))))</f>
        <v/>
      </c>
    </row>
    <row r="4529" spans="12:15">
      <c r="L4529" s="5">
        <f>IF(OR(A4529="",B4529=""),"",B4529-WEEKDAY(B4529,2)+1)</f>
        <v/>
      </c>
      <c r="M4529" s="5">
        <f>IF(L4529="","",L4529+6)</f>
        <v/>
      </c>
      <c r="N4529" s="6">
        <f>IF(OR(A4529="",B4529=""),"",DATE(YEAR(B4529),MONTH(B4529),1))</f>
        <v/>
      </c>
      <c r="O4529" s="7">
        <f>IF(COUNTA(A4529:K4529)=0,"",IF(OR(A4529="",B4529=""),"Preencher CPF e entrada",IF(COUNTIFS($A$12:$A$5011,A4529,$B$12:$B$5011,B4529)&gt;1,"CPF + dia duplicado",IF(OR(AND(G4529&lt;&gt;"",G4529&lt;&gt;0,G4529&lt;&gt;1),AND(H4529&lt;&gt;"",H4529&lt;&gt;0,H4529&lt;&gt;1)),"Flags devem ser 0 ou 1",IF(AND(H4529=1,LEN(TRIM(I4529))=0),"Preencher nome do indicante",IF(AND(H4529&lt;&gt;1,I4529&lt;&gt;""),"Nome sem indicação interna",IF(AND(G4529=1,F4529=""),"Fechamento sem conversa",IF(OR(AND(E4529&lt;&gt;"",E4529&lt;B4529),AND(F4529&lt;&gt;"",F4529&lt;B4529)),"Evento anterior à entrada",IF(AND(F4529&lt;&gt;"",E4529=""),"Conversa sem agendamento",IF(OR(E4529&gt;TODAY(),F4529&gt;TODAY()),"Verificar evento futuro","OK"))))))))))</f>
        <v/>
      </c>
    </row>
    <row r="4530" spans="12:15">
      <c r="L4530" s="5">
        <f>IF(OR(A4530="",B4530=""),"",B4530-WEEKDAY(B4530,2)+1)</f>
        <v/>
      </c>
      <c r="M4530" s="5">
        <f>IF(L4530="","",L4530+6)</f>
        <v/>
      </c>
      <c r="N4530" s="6">
        <f>IF(OR(A4530="",B4530=""),"",DATE(YEAR(B4530),MONTH(B4530),1))</f>
        <v/>
      </c>
      <c r="O4530" s="7">
        <f>IF(COUNTA(A4530:K4530)=0,"",IF(OR(A4530="",B4530=""),"Preencher CPF e entrada",IF(COUNTIFS($A$12:$A$5011,A4530,$B$12:$B$5011,B4530)&gt;1,"CPF + dia duplicado",IF(OR(AND(G4530&lt;&gt;"",G4530&lt;&gt;0,G4530&lt;&gt;1),AND(H4530&lt;&gt;"",H4530&lt;&gt;0,H4530&lt;&gt;1)),"Flags devem ser 0 ou 1",IF(AND(H4530=1,LEN(TRIM(I4530))=0),"Preencher nome do indicante",IF(AND(H4530&lt;&gt;1,I4530&lt;&gt;""),"Nome sem indicação interna",IF(AND(G4530=1,F4530=""),"Fechamento sem conversa",IF(OR(AND(E4530&lt;&gt;"",E4530&lt;B4530),AND(F4530&lt;&gt;"",F4530&lt;B4530)),"Evento anterior à entrada",IF(AND(F4530&lt;&gt;"",E4530=""),"Conversa sem agendamento",IF(OR(E4530&gt;TODAY(),F4530&gt;TODAY()),"Verificar evento futuro","OK"))))))))))</f>
        <v/>
      </c>
    </row>
    <row r="4531" spans="12:15">
      <c r="L4531" s="5">
        <f>IF(OR(A4531="",B4531=""),"",B4531-WEEKDAY(B4531,2)+1)</f>
        <v/>
      </c>
      <c r="M4531" s="5">
        <f>IF(L4531="","",L4531+6)</f>
        <v/>
      </c>
      <c r="N4531" s="6">
        <f>IF(OR(A4531="",B4531=""),"",DATE(YEAR(B4531),MONTH(B4531),1))</f>
        <v/>
      </c>
      <c r="O4531" s="7">
        <f>IF(COUNTA(A4531:K4531)=0,"",IF(OR(A4531="",B4531=""),"Preencher CPF e entrada",IF(COUNTIFS($A$12:$A$5011,A4531,$B$12:$B$5011,B4531)&gt;1,"CPF + dia duplicado",IF(OR(AND(G4531&lt;&gt;"",G4531&lt;&gt;0,G4531&lt;&gt;1),AND(H4531&lt;&gt;"",H4531&lt;&gt;0,H4531&lt;&gt;1)),"Flags devem ser 0 ou 1",IF(AND(H4531=1,LEN(TRIM(I4531))=0),"Preencher nome do indicante",IF(AND(H4531&lt;&gt;1,I4531&lt;&gt;""),"Nome sem indicação interna",IF(AND(G4531=1,F4531=""),"Fechamento sem conversa",IF(OR(AND(E4531&lt;&gt;"",E4531&lt;B4531),AND(F4531&lt;&gt;"",F4531&lt;B4531)),"Evento anterior à entrada",IF(AND(F4531&lt;&gt;"",E4531=""),"Conversa sem agendamento",IF(OR(E4531&gt;TODAY(),F4531&gt;TODAY()),"Verificar evento futuro","OK"))))))))))</f>
        <v/>
      </c>
    </row>
    <row r="4532" spans="12:15">
      <c r="L4532" s="5">
        <f>IF(OR(A4532="",B4532=""),"",B4532-WEEKDAY(B4532,2)+1)</f>
        <v/>
      </c>
      <c r="M4532" s="5">
        <f>IF(L4532="","",L4532+6)</f>
        <v/>
      </c>
      <c r="N4532" s="6">
        <f>IF(OR(A4532="",B4532=""),"",DATE(YEAR(B4532),MONTH(B4532),1))</f>
        <v/>
      </c>
      <c r="O4532" s="7">
        <f>IF(COUNTA(A4532:K4532)=0,"",IF(OR(A4532="",B4532=""),"Preencher CPF e entrada",IF(COUNTIFS($A$12:$A$5011,A4532,$B$12:$B$5011,B4532)&gt;1,"CPF + dia duplicado",IF(OR(AND(G4532&lt;&gt;"",G4532&lt;&gt;0,G4532&lt;&gt;1),AND(H4532&lt;&gt;"",H4532&lt;&gt;0,H4532&lt;&gt;1)),"Flags devem ser 0 ou 1",IF(AND(H4532=1,LEN(TRIM(I4532))=0),"Preencher nome do indicante",IF(AND(H4532&lt;&gt;1,I4532&lt;&gt;""),"Nome sem indicação interna",IF(AND(G4532=1,F4532=""),"Fechamento sem conversa",IF(OR(AND(E4532&lt;&gt;"",E4532&lt;B4532),AND(F4532&lt;&gt;"",F4532&lt;B4532)),"Evento anterior à entrada",IF(AND(F4532&lt;&gt;"",E4532=""),"Conversa sem agendamento",IF(OR(E4532&gt;TODAY(),F4532&gt;TODAY()),"Verificar evento futuro","OK"))))))))))</f>
        <v/>
      </c>
    </row>
    <row r="4533" spans="12:15">
      <c r="L4533" s="5">
        <f>IF(OR(A4533="",B4533=""),"",B4533-WEEKDAY(B4533,2)+1)</f>
        <v/>
      </c>
      <c r="M4533" s="5">
        <f>IF(L4533="","",L4533+6)</f>
        <v/>
      </c>
      <c r="N4533" s="6">
        <f>IF(OR(A4533="",B4533=""),"",DATE(YEAR(B4533),MONTH(B4533),1))</f>
        <v/>
      </c>
      <c r="O4533" s="7">
        <f>IF(COUNTA(A4533:K4533)=0,"",IF(OR(A4533="",B4533=""),"Preencher CPF e entrada",IF(COUNTIFS($A$12:$A$5011,A4533,$B$12:$B$5011,B4533)&gt;1,"CPF + dia duplicado",IF(OR(AND(G4533&lt;&gt;"",G4533&lt;&gt;0,G4533&lt;&gt;1),AND(H4533&lt;&gt;"",H4533&lt;&gt;0,H4533&lt;&gt;1)),"Flags devem ser 0 ou 1",IF(AND(H4533=1,LEN(TRIM(I4533))=0),"Preencher nome do indicante",IF(AND(H4533&lt;&gt;1,I4533&lt;&gt;""),"Nome sem indicação interna",IF(AND(G4533=1,F4533=""),"Fechamento sem conversa",IF(OR(AND(E4533&lt;&gt;"",E4533&lt;B4533),AND(F4533&lt;&gt;"",F4533&lt;B4533)),"Evento anterior à entrada",IF(AND(F4533&lt;&gt;"",E4533=""),"Conversa sem agendamento",IF(OR(E4533&gt;TODAY(),F4533&gt;TODAY()),"Verificar evento futuro","OK"))))))))))</f>
        <v/>
      </c>
    </row>
    <row r="4534" spans="12:15">
      <c r="L4534" s="5">
        <f>IF(OR(A4534="",B4534=""),"",B4534-WEEKDAY(B4534,2)+1)</f>
        <v/>
      </c>
      <c r="M4534" s="5">
        <f>IF(L4534="","",L4534+6)</f>
        <v/>
      </c>
      <c r="N4534" s="6">
        <f>IF(OR(A4534="",B4534=""),"",DATE(YEAR(B4534),MONTH(B4534),1))</f>
        <v/>
      </c>
      <c r="O4534" s="7">
        <f>IF(COUNTA(A4534:K4534)=0,"",IF(OR(A4534="",B4534=""),"Preencher CPF e entrada",IF(COUNTIFS($A$12:$A$5011,A4534,$B$12:$B$5011,B4534)&gt;1,"CPF + dia duplicado",IF(OR(AND(G4534&lt;&gt;"",G4534&lt;&gt;0,G4534&lt;&gt;1),AND(H4534&lt;&gt;"",H4534&lt;&gt;0,H4534&lt;&gt;1)),"Flags devem ser 0 ou 1",IF(AND(H4534=1,LEN(TRIM(I4534))=0),"Preencher nome do indicante",IF(AND(H4534&lt;&gt;1,I4534&lt;&gt;""),"Nome sem indicação interna",IF(AND(G4534=1,F4534=""),"Fechamento sem conversa",IF(OR(AND(E4534&lt;&gt;"",E4534&lt;B4534),AND(F4534&lt;&gt;"",F4534&lt;B4534)),"Evento anterior à entrada",IF(AND(F4534&lt;&gt;"",E4534=""),"Conversa sem agendamento",IF(OR(E4534&gt;TODAY(),F4534&gt;TODAY()),"Verificar evento futuro","OK"))))))))))</f>
        <v/>
      </c>
    </row>
    <row r="4535" spans="12:15">
      <c r="L4535" s="5">
        <f>IF(OR(A4535="",B4535=""),"",B4535-WEEKDAY(B4535,2)+1)</f>
        <v/>
      </c>
      <c r="M4535" s="5">
        <f>IF(L4535="","",L4535+6)</f>
        <v/>
      </c>
      <c r="N4535" s="6">
        <f>IF(OR(A4535="",B4535=""),"",DATE(YEAR(B4535),MONTH(B4535),1))</f>
        <v/>
      </c>
      <c r="O4535" s="7">
        <f>IF(COUNTA(A4535:K4535)=0,"",IF(OR(A4535="",B4535=""),"Preencher CPF e entrada",IF(COUNTIFS($A$12:$A$5011,A4535,$B$12:$B$5011,B4535)&gt;1,"CPF + dia duplicado",IF(OR(AND(G4535&lt;&gt;"",G4535&lt;&gt;0,G4535&lt;&gt;1),AND(H4535&lt;&gt;"",H4535&lt;&gt;0,H4535&lt;&gt;1)),"Flags devem ser 0 ou 1",IF(AND(H4535=1,LEN(TRIM(I4535))=0),"Preencher nome do indicante",IF(AND(H4535&lt;&gt;1,I4535&lt;&gt;""),"Nome sem indicação interna",IF(AND(G4535=1,F4535=""),"Fechamento sem conversa",IF(OR(AND(E4535&lt;&gt;"",E4535&lt;B4535),AND(F4535&lt;&gt;"",F4535&lt;B4535)),"Evento anterior à entrada",IF(AND(F4535&lt;&gt;"",E4535=""),"Conversa sem agendamento",IF(OR(E4535&gt;TODAY(),F4535&gt;TODAY()),"Verificar evento futuro","OK"))))))))))</f>
        <v/>
      </c>
    </row>
    <row r="4536" spans="12:15">
      <c r="L4536" s="5">
        <f>IF(OR(A4536="",B4536=""),"",B4536-WEEKDAY(B4536,2)+1)</f>
        <v/>
      </c>
      <c r="M4536" s="5">
        <f>IF(L4536="","",L4536+6)</f>
        <v/>
      </c>
      <c r="N4536" s="6">
        <f>IF(OR(A4536="",B4536=""),"",DATE(YEAR(B4536),MONTH(B4536),1))</f>
        <v/>
      </c>
      <c r="O4536" s="7">
        <f>IF(COUNTA(A4536:K4536)=0,"",IF(OR(A4536="",B4536=""),"Preencher CPF e entrada",IF(COUNTIFS($A$12:$A$5011,A4536,$B$12:$B$5011,B4536)&gt;1,"CPF + dia duplicado",IF(OR(AND(G4536&lt;&gt;"",G4536&lt;&gt;0,G4536&lt;&gt;1),AND(H4536&lt;&gt;"",H4536&lt;&gt;0,H4536&lt;&gt;1)),"Flags devem ser 0 ou 1",IF(AND(H4536=1,LEN(TRIM(I4536))=0),"Preencher nome do indicante",IF(AND(H4536&lt;&gt;1,I4536&lt;&gt;""),"Nome sem indicação interna",IF(AND(G4536=1,F4536=""),"Fechamento sem conversa",IF(OR(AND(E4536&lt;&gt;"",E4536&lt;B4536),AND(F4536&lt;&gt;"",F4536&lt;B4536)),"Evento anterior à entrada",IF(AND(F4536&lt;&gt;"",E4536=""),"Conversa sem agendamento",IF(OR(E4536&gt;TODAY(),F4536&gt;TODAY()),"Verificar evento futuro","OK"))))))))))</f>
        <v/>
      </c>
    </row>
    <row r="4537" spans="12:15">
      <c r="L4537" s="5">
        <f>IF(OR(A4537="",B4537=""),"",B4537-WEEKDAY(B4537,2)+1)</f>
        <v/>
      </c>
      <c r="M4537" s="5">
        <f>IF(L4537="","",L4537+6)</f>
        <v/>
      </c>
      <c r="N4537" s="6">
        <f>IF(OR(A4537="",B4537=""),"",DATE(YEAR(B4537),MONTH(B4537),1))</f>
        <v/>
      </c>
      <c r="O4537" s="7">
        <f>IF(COUNTA(A4537:K4537)=0,"",IF(OR(A4537="",B4537=""),"Preencher CPF e entrada",IF(COUNTIFS($A$12:$A$5011,A4537,$B$12:$B$5011,B4537)&gt;1,"CPF + dia duplicado",IF(OR(AND(G4537&lt;&gt;"",G4537&lt;&gt;0,G4537&lt;&gt;1),AND(H4537&lt;&gt;"",H4537&lt;&gt;0,H4537&lt;&gt;1)),"Flags devem ser 0 ou 1",IF(AND(H4537=1,LEN(TRIM(I4537))=0),"Preencher nome do indicante",IF(AND(H4537&lt;&gt;1,I4537&lt;&gt;""),"Nome sem indicação interna",IF(AND(G4537=1,F4537=""),"Fechamento sem conversa",IF(OR(AND(E4537&lt;&gt;"",E4537&lt;B4537),AND(F4537&lt;&gt;"",F4537&lt;B4537)),"Evento anterior à entrada",IF(AND(F4537&lt;&gt;"",E4537=""),"Conversa sem agendamento",IF(OR(E4537&gt;TODAY(),F4537&gt;TODAY()),"Verificar evento futuro","OK"))))))))))</f>
        <v/>
      </c>
    </row>
    <row r="4538" spans="12:15">
      <c r="L4538" s="5">
        <f>IF(OR(A4538="",B4538=""),"",B4538-WEEKDAY(B4538,2)+1)</f>
        <v/>
      </c>
      <c r="M4538" s="5">
        <f>IF(L4538="","",L4538+6)</f>
        <v/>
      </c>
      <c r="N4538" s="6">
        <f>IF(OR(A4538="",B4538=""),"",DATE(YEAR(B4538),MONTH(B4538),1))</f>
        <v/>
      </c>
      <c r="O4538" s="7">
        <f>IF(COUNTA(A4538:K4538)=0,"",IF(OR(A4538="",B4538=""),"Preencher CPF e entrada",IF(COUNTIFS($A$12:$A$5011,A4538,$B$12:$B$5011,B4538)&gt;1,"CPF + dia duplicado",IF(OR(AND(G4538&lt;&gt;"",G4538&lt;&gt;0,G4538&lt;&gt;1),AND(H4538&lt;&gt;"",H4538&lt;&gt;0,H4538&lt;&gt;1)),"Flags devem ser 0 ou 1",IF(AND(H4538=1,LEN(TRIM(I4538))=0),"Preencher nome do indicante",IF(AND(H4538&lt;&gt;1,I4538&lt;&gt;""),"Nome sem indicação interna",IF(AND(G4538=1,F4538=""),"Fechamento sem conversa",IF(OR(AND(E4538&lt;&gt;"",E4538&lt;B4538),AND(F4538&lt;&gt;"",F4538&lt;B4538)),"Evento anterior à entrada",IF(AND(F4538&lt;&gt;"",E4538=""),"Conversa sem agendamento",IF(OR(E4538&gt;TODAY(),F4538&gt;TODAY()),"Verificar evento futuro","OK"))))))))))</f>
        <v/>
      </c>
    </row>
    <row r="4539" spans="12:15">
      <c r="L4539" s="5">
        <f>IF(OR(A4539="",B4539=""),"",B4539-WEEKDAY(B4539,2)+1)</f>
        <v/>
      </c>
      <c r="M4539" s="5">
        <f>IF(L4539="","",L4539+6)</f>
        <v/>
      </c>
      <c r="N4539" s="6">
        <f>IF(OR(A4539="",B4539=""),"",DATE(YEAR(B4539),MONTH(B4539),1))</f>
        <v/>
      </c>
      <c r="O4539" s="7">
        <f>IF(COUNTA(A4539:K4539)=0,"",IF(OR(A4539="",B4539=""),"Preencher CPF e entrada",IF(COUNTIFS($A$12:$A$5011,A4539,$B$12:$B$5011,B4539)&gt;1,"CPF + dia duplicado",IF(OR(AND(G4539&lt;&gt;"",G4539&lt;&gt;0,G4539&lt;&gt;1),AND(H4539&lt;&gt;"",H4539&lt;&gt;0,H4539&lt;&gt;1)),"Flags devem ser 0 ou 1",IF(AND(H4539=1,LEN(TRIM(I4539))=0),"Preencher nome do indicante",IF(AND(H4539&lt;&gt;1,I4539&lt;&gt;""),"Nome sem indicação interna",IF(AND(G4539=1,F4539=""),"Fechamento sem conversa",IF(OR(AND(E4539&lt;&gt;"",E4539&lt;B4539),AND(F4539&lt;&gt;"",F4539&lt;B4539)),"Evento anterior à entrada",IF(AND(F4539&lt;&gt;"",E4539=""),"Conversa sem agendamento",IF(OR(E4539&gt;TODAY(),F4539&gt;TODAY()),"Verificar evento futuro","OK"))))))))))</f>
        <v/>
      </c>
    </row>
    <row r="4540" spans="12:15">
      <c r="L4540" s="5">
        <f>IF(OR(A4540="",B4540=""),"",B4540-WEEKDAY(B4540,2)+1)</f>
        <v/>
      </c>
      <c r="M4540" s="5">
        <f>IF(L4540="","",L4540+6)</f>
        <v/>
      </c>
      <c r="N4540" s="6">
        <f>IF(OR(A4540="",B4540=""),"",DATE(YEAR(B4540),MONTH(B4540),1))</f>
        <v/>
      </c>
      <c r="O4540" s="7">
        <f>IF(COUNTA(A4540:K4540)=0,"",IF(OR(A4540="",B4540=""),"Preencher CPF e entrada",IF(COUNTIFS($A$12:$A$5011,A4540,$B$12:$B$5011,B4540)&gt;1,"CPF + dia duplicado",IF(OR(AND(G4540&lt;&gt;"",G4540&lt;&gt;0,G4540&lt;&gt;1),AND(H4540&lt;&gt;"",H4540&lt;&gt;0,H4540&lt;&gt;1)),"Flags devem ser 0 ou 1",IF(AND(H4540=1,LEN(TRIM(I4540))=0),"Preencher nome do indicante",IF(AND(H4540&lt;&gt;1,I4540&lt;&gt;""),"Nome sem indicação interna",IF(AND(G4540=1,F4540=""),"Fechamento sem conversa",IF(OR(AND(E4540&lt;&gt;"",E4540&lt;B4540),AND(F4540&lt;&gt;"",F4540&lt;B4540)),"Evento anterior à entrada",IF(AND(F4540&lt;&gt;"",E4540=""),"Conversa sem agendamento",IF(OR(E4540&gt;TODAY(),F4540&gt;TODAY()),"Verificar evento futuro","OK"))))))))))</f>
        <v/>
      </c>
    </row>
    <row r="4541" spans="12:15">
      <c r="L4541" s="5">
        <f>IF(OR(A4541="",B4541=""),"",B4541-WEEKDAY(B4541,2)+1)</f>
        <v/>
      </c>
      <c r="M4541" s="5">
        <f>IF(L4541="","",L4541+6)</f>
        <v/>
      </c>
      <c r="N4541" s="6">
        <f>IF(OR(A4541="",B4541=""),"",DATE(YEAR(B4541),MONTH(B4541),1))</f>
        <v/>
      </c>
      <c r="O4541" s="7">
        <f>IF(COUNTA(A4541:K4541)=0,"",IF(OR(A4541="",B4541=""),"Preencher CPF e entrada",IF(COUNTIFS($A$12:$A$5011,A4541,$B$12:$B$5011,B4541)&gt;1,"CPF + dia duplicado",IF(OR(AND(G4541&lt;&gt;"",G4541&lt;&gt;0,G4541&lt;&gt;1),AND(H4541&lt;&gt;"",H4541&lt;&gt;0,H4541&lt;&gt;1)),"Flags devem ser 0 ou 1",IF(AND(H4541=1,LEN(TRIM(I4541))=0),"Preencher nome do indicante",IF(AND(H4541&lt;&gt;1,I4541&lt;&gt;""),"Nome sem indicação interna",IF(AND(G4541=1,F4541=""),"Fechamento sem conversa",IF(OR(AND(E4541&lt;&gt;"",E4541&lt;B4541),AND(F4541&lt;&gt;"",F4541&lt;B4541)),"Evento anterior à entrada",IF(AND(F4541&lt;&gt;"",E4541=""),"Conversa sem agendamento",IF(OR(E4541&gt;TODAY(),F4541&gt;TODAY()),"Verificar evento futuro","OK"))))))))))</f>
        <v/>
      </c>
    </row>
    <row r="4542" spans="12:15">
      <c r="L4542" s="5">
        <f>IF(OR(A4542="",B4542=""),"",B4542-WEEKDAY(B4542,2)+1)</f>
        <v/>
      </c>
      <c r="M4542" s="5">
        <f>IF(L4542="","",L4542+6)</f>
        <v/>
      </c>
      <c r="N4542" s="6">
        <f>IF(OR(A4542="",B4542=""),"",DATE(YEAR(B4542),MONTH(B4542),1))</f>
        <v/>
      </c>
      <c r="O4542" s="7">
        <f>IF(COUNTA(A4542:K4542)=0,"",IF(OR(A4542="",B4542=""),"Preencher CPF e entrada",IF(COUNTIFS($A$12:$A$5011,A4542,$B$12:$B$5011,B4542)&gt;1,"CPF + dia duplicado",IF(OR(AND(G4542&lt;&gt;"",G4542&lt;&gt;0,G4542&lt;&gt;1),AND(H4542&lt;&gt;"",H4542&lt;&gt;0,H4542&lt;&gt;1)),"Flags devem ser 0 ou 1",IF(AND(H4542=1,LEN(TRIM(I4542))=0),"Preencher nome do indicante",IF(AND(H4542&lt;&gt;1,I4542&lt;&gt;""),"Nome sem indicação interna",IF(AND(G4542=1,F4542=""),"Fechamento sem conversa",IF(OR(AND(E4542&lt;&gt;"",E4542&lt;B4542),AND(F4542&lt;&gt;"",F4542&lt;B4542)),"Evento anterior à entrada",IF(AND(F4542&lt;&gt;"",E4542=""),"Conversa sem agendamento",IF(OR(E4542&gt;TODAY(),F4542&gt;TODAY()),"Verificar evento futuro","OK"))))))))))</f>
        <v/>
      </c>
    </row>
    <row r="4543" spans="12:15">
      <c r="L4543" s="5">
        <f>IF(OR(A4543="",B4543=""),"",B4543-WEEKDAY(B4543,2)+1)</f>
        <v/>
      </c>
      <c r="M4543" s="5">
        <f>IF(L4543="","",L4543+6)</f>
        <v/>
      </c>
      <c r="N4543" s="6">
        <f>IF(OR(A4543="",B4543=""),"",DATE(YEAR(B4543),MONTH(B4543),1))</f>
        <v/>
      </c>
      <c r="O4543" s="7">
        <f>IF(COUNTA(A4543:K4543)=0,"",IF(OR(A4543="",B4543=""),"Preencher CPF e entrada",IF(COUNTIFS($A$12:$A$5011,A4543,$B$12:$B$5011,B4543)&gt;1,"CPF + dia duplicado",IF(OR(AND(G4543&lt;&gt;"",G4543&lt;&gt;0,G4543&lt;&gt;1),AND(H4543&lt;&gt;"",H4543&lt;&gt;0,H4543&lt;&gt;1)),"Flags devem ser 0 ou 1",IF(AND(H4543=1,LEN(TRIM(I4543))=0),"Preencher nome do indicante",IF(AND(H4543&lt;&gt;1,I4543&lt;&gt;""),"Nome sem indicação interna",IF(AND(G4543=1,F4543=""),"Fechamento sem conversa",IF(OR(AND(E4543&lt;&gt;"",E4543&lt;B4543),AND(F4543&lt;&gt;"",F4543&lt;B4543)),"Evento anterior à entrada",IF(AND(F4543&lt;&gt;"",E4543=""),"Conversa sem agendamento",IF(OR(E4543&gt;TODAY(),F4543&gt;TODAY()),"Verificar evento futuro","OK"))))))))))</f>
        <v/>
      </c>
    </row>
    <row r="4544" spans="12:15">
      <c r="L4544" s="5">
        <f>IF(OR(A4544="",B4544=""),"",B4544-WEEKDAY(B4544,2)+1)</f>
        <v/>
      </c>
      <c r="M4544" s="5">
        <f>IF(L4544="","",L4544+6)</f>
        <v/>
      </c>
      <c r="N4544" s="6">
        <f>IF(OR(A4544="",B4544=""),"",DATE(YEAR(B4544),MONTH(B4544),1))</f>
        <v/>
      </c>
      <c r="O4544" s="7">
        <f>IF(COUNTA(A4544:K4544)=0,"",IF(OR(A4544="",B4544=""),"Preencher CPF e entrada",IF(COUNTIFS($A$12:$A$5011,A4544,$B$12:$B$5011,B4544)&gt;1,"CPF + dia duplicado",IF(OR(AND(G4544&lt;&gt;"",G4544&lt;&gt;0,G4544&lt;&gt;1),AND(H4544&lt;&gt;"",H4544&lt;&gt;0,H4544&lt;&gt;1)),"Flags devem ser 0 ou 1",IF(AND(H4544=1,LEN(TRIM(I4544))=0),"Preencher nome do indicante",IF(AND(H4544&lt;&gt;1,I4544&lt;&gt;""),"Nome sem indicação interna",IF(AND(G4544=1,F4544=""),"Fechamento sem conversa",IF(OR(AND(E4544&lt;&gt;"",E4544&lt;B4544),AND(F4544&lt;&gt;"",F4544&lt;B4544)),"Evento anterior à entrada",IF(AND(F4544&lt;&gt;"",E4544=""),"Conversa sem agendamento",IF(OR(E4544&gt;TODAY(),F4544&gt;TODAY()),"Verificar evento futuro","OK"))))))))))</f>
        <v/>
      </c>
    </row>
    <row r="4545" spans="12:15">
      <c r="L4545" s="5">
        <f>IF(OR(A4545="",B4545=""),"",B4545-WEEKDAY(B4545,2)+1)</f>
        <v/>
      </c>
      <c r="M4545" s="5">
        <f>IF(L4545="","",L4545+6)</f>
        <v/>
      </c>
      <c r="N4545" s="6">
        <f>IF(OR(A4545="",B4545=""),"",DATE(YEAR(B4545),MONTH(B4545),1))</f>
        <v/>
      </c>
      <c r="O4545" s="7">
        <f>IF(COUNTA(A4545:K4545)=0,"",IF(OR(A4545="",B4545=""),"Preencher CPF e entrada",IF(COUNTIFS($A$12:$A$5011,A4545,$B$12:$B$5011,B4545)&gt;1,"CPF + dia duplicado",IF(OR(AND(G4545&lt;&gt;"",G4545&lt;&gt;0,G4545&lt;&gt;1),AND(H4545&lt;&gt;"",H4545&lt;&gt;0,H4545&lt;&gt;1)),"Flags devem ser 0 ou 1",IF(AND(H4545=1,LEN(TRIM(I4545))=0),"Preencher nome do indicante",IF(AND(H4545&lt;&gt;1,I4545&lt;&gt;""),"Nome sem indicação interna",IF(AND(G4545=1,F4545=""),"Fechamento sem conversa",IF(OR(AND(E4545&lt;&gt;"",E4545&lt;B4545),AND(F4545&lt;&gt;"",F4545&lt;B4545)),"Evento anterior à entrada",IF(AND(F4545&lt;&gt;"",E4545=""),"Conversa sem agendamento",IF(OR(E4545&gt;TODAY(),F4545&gt;TODAY()),"Verificar evento futuro","OK"))))))))))</f>
        <v/>
      </c>
    </row>
    <row r="4546" spans="12:15">
      <c r="L4546" s="5">
        <f>IF(OR(A4546="",B4546=""),"",B4546-WEEKDAY(B4546,2)+1)</f>
        <v/>
      </c>
      <c r="M4546" s="5">
        <f>IF(L4546="","",L4546+6)</f>
        <v/>
      </c>
      <c r="N4546" s="6">
        <f>IF(OR(A4546="",B4546=""),"",DATE(YEAR(B4546),MONTH(B4546),1))</f>
        <v/>
      </c>
      <c r="O4546" s="7">
        <f>IF(COUNTA(A4546:K4546)=0,"",IF(OR(A4546="",B4546=""),"Preencher CPF e entrada",IF(COUNTIFS($A$12:$A$5011,A4546,$B$12:$B$5011,B4546)&gt;1,"CPF + dia duplicado",IF(OR(AND(G4546&lt;&gt;"",G4546&lt;&gt;0,G4546&lt;&gt;1),AND(H4546&lt;&gt;"",H4546&lt;&gt;0,H4546&lt;&gt;1)),"Flags devem ser 0 ou 1",IF(AND(H4546=1,LEN(TRIM(I4546))=0),"Preencher nome do indicante",IF(AND(H4546&lt;&gt;1,I4546&lt;&gt;""),"Nome sem indicação interna",IF(AND(G4546=1,F4546=""),"Fechamento sem conversa",IF(OR(AND(E4546&lt;&gt;"",E4546&lt;B4546),AND(F4546&lt;&gt;"",F4546&lt;B4546)),"Evento anterior à entrada",IF(AND(F4546&lt;&gt;"",E4546=""),"Conversa sem agendamento",IF(OR(E4546&gt;TODAY(),F4546&gt;TODAY()),"Verificar evento futuro","OK"))))))))))</f>
        <v/>
      </c>
    </row>
    <row r="4547" spans="12:15">
      <c r="L4547" s="5">
        <f>IF(OR(A4547="",B4547=""),"",B4547-WEEKDAY(B4547,2)+1)</f>
        <v/>
      </c>
      <c r="M4547" s="5">
        <f>IF(L4547="","",L4547+6)</f>
        <v/>
      </c>
      <c r="N4547" s="6">
        <f>IF(OR(A4547="",B4547=""),"",DATE(YEAR(B4547),MONTH(B4547),1))</f>
        <v/>
      </c>
      <c r="O4547" s="7">
        <f>IF(COUNTA(A4547:K4547)=0,"",IF(OR(A4547="",B4547=""),"Preencher CPF e entrada",IF(COUNTIFS($A$12:$A$5011,A4547,$B$12:$B$5011,B4547)&gt;1,"CPF + dia duplicado",IF(OR(AND(G4547&lt;&gt;"",G4547&lt;&gt;0,G4547&lt;&gt;1),AND(H4547&lt;&gt;"",H4547&lt;&gt;0,H4547&lt;&gt;1)),"Flags devem ser 0 ou 1",IF(AND(H4547=1,LEN(TRIM(I4547))=0),"Preencher nome do indicante",IF(AND(H4547&lt;&gt;1,I4547&lt;&gt;""),"Nome sem indicação interna",IF(AND(G4547=1,F4547=""),"Fechamento sem conversa",IF(OR(AND(E4547&lt;&gt;"",E4547&lt;B4547),AND(F4547&lt;&gt;"",F4547&lt;B4547)),"Evento anterior à entrada",IF(AND(F4547&lt;&gt;"",E4547=""),"Conversa sem agendamento",IF(OR(E4547&gt;TODAY(),F4547&gt;TODAY()),"Verificar evento futuro","OK"))))))))))</f>
        <v/>
      </c>
    </row>
    <row r="4548" spans="12:15">
      <c r="L4548" s="5">
        <f>IF(OR(A4548="",B4548=""),"",B4548-WEEKDAY(B4548,2)+1)</f>
        <v/>
      </c>
      <c r="M4548" s="5">
        <f>IF(L4548="","",L4548+6)</f>
        <v/>
      </c>
      <c r="N4548" s="6">
        <f>IF(OR(A4548="",B4548=""),"",DATE(YEAR(B4548),MONTH(B4548),1))</f>
        <v/>
      </c>
      <c r="O4548" s="7">
        <f>IF(COUNTA(A4548:K4548)=0,"",IF(OR(A4548="",B4548=""),"Preencher CPF e entrada",IF(COUNTIFS($A$12:$A$5011,A4548,$B$12:$B$5011,B4548)&gt;1,"CPF + dia duplicado",IF(OR(AND(G4548&lt;&gt;"",G4548&lt;&gt;0,G4548&lt;&gt;1),AND(H4548&lt;&gt;"",H4548&lt;&gt;0,H4548&lt;&gt;1)),"Flags devem ser 0 ou 1",IF(AND(H4548=1,LEN(TRIM(I4548))=0),"Preencher nome do indicante",IF(AND(H4548&lt;&gt;1,I4548&lt;&gt;""),"Nome sem indicação interna",IF(AND(G4548=1,F4548=""),"Fechamento sem conversa",IF(OR(AND(E4548&lt;&gt;"",E4548&lt;B4548),AND(F4548&lt;&gt;"",F4548&lt;B4548)),"Evento anterior à entrada",IF(AND(F4548&lt;&gt;"",E4548=""),"Conversa sem agendamento",IF(OR(E4548&gt;TODAY(),F4548&gt;TODAY()),"Verificar evento futuro","OK"))))))))))</f>
        <v/>
      </c>
    </row>
    <row r="4549" spans="12:15">
      <c r="L4549" s="5">
        <f>IF(OR(A4549="",B4549=""),"",B4549-WEEKDAY(B4549,2)+1)</f>
        <v/>
      </c>
      <c r="M4549" s="5">
        <f>IF(L4549="","",L4549+6)</f>
        <v/>
      </c>
      <c r="N4549" s="6">
        <f>IF(OR(A4549="",B4549=""),"",DATE(YEAR(B4549),MONTH(B4549),1))</f>
        <v/>
      </c>
      <c r="O4549" s="7">
        <f>IF(COUNTA(A4549:K4549)=0,"",IF(OR(A4549="",B4549=""),"Preencher CPF e entrada",IF(COUNTIFS($A$12:$A$5011,A4549,$B$12:$B$5011,B4549)&gt;1,"CPF + dia duplicado",IF(OR(AND(G4549&lt;&gt;"",G4549&lt;&gt;0,G4549&lt;&gt;1),AND(H4549&lt;&gt;"",H4549&lt;&gt;0,H4549&lt;&gt;1)),"Flags devem ser 0 ou 1",IF(AND(H4549=1,LEN(TRIM(I4549))=0),"Preencher nome do indicante",IF(AND(H4549&lt;&gt;1,I4549&lt;&gt;""),"Nome sem indicação interna",IF(AND(G4549=1,F4549=""),"Fechamento sem conversa",IF(OR(AND(E4549&lt;&gt;"",E4549&lt;B4549),AND(F4549&lt;&gt;"",F4549&lt;B4549)),"Evento anterior à entrada",IF(AND(F4549&lt;&gt;"",E4549=""),"Conversa sem agendamento",IF(OR(E4549&gt;TODAY(),F4549&gt;TODAY()),"Verificar evento futuro","OK"))))))))))</f>
        <v/>
      </c>
    </row>
    <row r="4550" spans="12:15">
      <c r="L4550" s="5">
        <f>IF(OR(A4550="",B4550=""),"",B4550-WEEKDAY(B4550,2)+1)</f>
        <v/>
      </c>
      <c r="M4550" s="5">
        <f>IF(L4550="","",L4550+6)</f>
        <v/>
      </c>
      <c r="N4550" s="6">
        <f>IF(OR(A4550="",B4550=""),"",DATE(YEAR(B4550),MONTH(B4550),1))</f>
        <v/>
      </c>
      <c r="O4550" s="7">
        <f>IF(COUNTA(A4550:K4550)=0,"",IF(OR(A4550="",B4550=""),"Preencher CPF e entrada",IF(COUNTIFS($A$12:$A$5011,A4550,$B$12:$B$5011,B4550)&gt;1,"CPF + dia duplicado",IF(OR(AND(G4550&lt;&gt;"",G4550&lt;&gt;0,G4550&lt;&gt;1),AND(H4550&lt;&gt;"",H4550&lt;&gt;0,H4550&lt;&gt;1)),"Flags devem ser 0 ou 1",IF(AND(H4550=1,LEN(TRIM(I4550))=0),"Preencher nome do indicante",IF(AND(H4550&lt;&gt;1,I4550&lt;&gt;""),"Nome sem indicação interna",IF(AND(G4550=1,F4550=""),"Fechamento sem conversa",IF(OR(AND(E4550&lt;&gt;"",E4550&lt;B4550),AND(F4550&lt;&gt;"",F4550&lt;B4550)),"Evento anterior à entrada",IF(AND(F4550&lt;&gt;"",E4550=""),"Conversa sem agendamento",IF(OR(E4550&gt;TODAY(),F4550&gt;TODAY()),"Verificar evento futuro","OK"))))))))))</f>
        <v/>
      </c>
    </row>
    <row r="4551" spans="12:15">
      <c r="L4551" s="5">
        <f>IF(OR(A4551="",B4551=""),"",B4551-WEEKDAY(B4551,2)+1)</f>
        <v/>
      </c>
      <c r="M4551" s="5">
        <f>IF(L4551="","",L4551+6)</f>
        <v/>
      </c>
      <c r="N4551" s="6">
        <f>IF(OR(A4551="",B4551=""),"",DATE(YEAR(B4551),MONTH(B4551),1))</f>
        <v/>
      </c>
      <c r="O4551" s="7">
        <f>IF(COUNTA(A4551:K4551)=0,"",IF(OR(A4551="",B4551=""),"Preencher CPF e entrada",IF(COUNTIFS($A$12:$A$5011,A4551,$B$12:$B$5011,B4551)&gt;1,"CPF + dia duplicado",IF(OR(AND(G4551&lt;&gt;"",G4551&lt;&gt;0,G4551&lt;&gt;1),AND(H4551&lt;&gt;"",H4551&lt;&gt;0,H4551&lt;&gt;1)),"Flags devem ser 0 ou 1",IF(AND(H4551=1,LEN(TRIM(I4551))=0),"Preencher nome do indicante",IF(AND(H4551&lt;&gt;1,I4551&lt;&gt;""),"Nome sem indicação interna",IF(AND(G4551=1,F4551=""),"Fechamento sem conversa",IF(OR(AND(E4551&lt;&gt;"",E4551&lt;B4551),AND(F4551&lt;&gt;"",F4551&lt;B4551)),"Evento anterior à entrada",IF(AND(F4551&lt;&gt;"",E4551=""),"Conversa sem agendamento",IF(OR(E4551&gt;TODAY(),F4551&gt;TODAY()),"Verificar evento futuro","OK"))))))))))</f>
        <v/>
      </c>
    </row>
    <row r="4552" spans="12:15">
      <c r="L4552" s="5">
        <f>IF(OR(A4552="",B4552=""),"",B4552-WEEKDAY(B4552,2)+1)</f>
        <v/>
      </c>
      <c r="M4552" s="5">
        <f>IF(L4552="","",L4552+6)</f>
        <v/>
      </c>
      <c r="N4552" s="6">
        <f>IF(OR(A4552="",B4552=""),"",DATE(YEAR(B4552),MONTH(B4552),1))</f>
        <v/>
      </c>
      <c r="O4552" s="7">
        <f>IF(COUNTA(A4552:K4552)=0,"",IF(OR(A4552="",B4552=""),"Preencher CPF e entrada",IF(COUNTIFS($A$12:$A$5011,A4552,$B$12:$B$5011,B4552)&gt;1,"CPF + dia duplicado",IF(OR(AND(G4552&lt;&gt;"",G4552&lt;&gt;0,G4552&lt;&gt;1),AND(H4552&lt;&gt;"",H4552&lt;&gt;0,H4552&lt;&gt;1)),"Flags devem ser 0 ou 1",IF(AND(H4552=1,LEN(TRIM(I4552))=0),"Preencher nome do indicante",IF(AND(H4552&lt;&gt;1,I4552&lt;&gt;""),"Nome sem indicação interna",IF(AND(G4552=1,F4552=""),"Fechamento sem conversa",IF(OR(AND(E4552&lt;&gt;"",E4552&lt;B4552),AND(F4552&lt;&gt;"",F4552&lt;B4552)),"Evento anterior à entrada",IF(AND(F4552&lt;&gt;"",E4552=""),"Conversa sem agendamento",IF(OR(E4552&gt;TODAY(),F4552&gt;TODAY()),"Verificar evento futuro","OK"))))))))))</f>
        <v/>
      </c>
    </row>
    <row r="4553" spans="12:15">
      <c r="L4553" s="5">
        <f>IF(OR(A4553="",B4553=""),"",B4553-WEEKDAY(B4553,2)+1)</f>
        <v/>
      </c>
      <c r="M4553" s="5">
        <f>IF(L4553="","",L4553+6)</f>
        <v/>
      </c>
      <c r="N4553" s="6">
        <f>IF(OR(A4553="",B4553=""),"",DATE(YEAR(B4553),MONTH(B4553),1))</f>
        <v/>
      </c>
      <c r="O4553" s="7">
        <f>IF(COUNTA(A4553:K4553)=0,"",IF(OR(A4553="",B4553=""),"Preencher CPF e entrada",IF(COUNTIFS($A$12:$A$5011,A4553,$B$12:$B$5011,B4553)&gt;1,"CPF + dia duplicado",IF(OR(AND(G4553&lt;&gt;"",G4553&lt;&gt;0,G4553&lt;&gt;1),AND(H4553&lt;&gt;"",H4553&lt;&gt;0,H4553&lt;&gt;1)),"Flags devem ser 0 ou 1",IF(AND(H4553=1,LEN(TRIM(I4553))=0),"Preencher nome do indicante",IF(AND(H4553&lt;&gt;1,I4553&lt;&gt;""),"Nome sem indicação interna",IF(AND(G4553=1,F4553=""),"Fechamento sem conversa",IF(OR(AND(E4553&lt;&gt;"",E4553&lt;B4553),AND(F4553&lt;&gt;"",F4553&lt;B4553)),"Evento anterior à entrada",IF(AND(F4553&lt;&gt;"",E4553=""),"Conversa sem agendamento",IF(OR(E4553&gt;TODAY(),F4553&gt;TODAY()),"Verificar evento futuro","OK"))))))))))</f>
        <v/>
      </c>
    </row>
    <row r="4554" spans="12:15">
      <c r="L4554" s="5">
        <f>IF(OR(A4554="",B4554=""),"",B4554-WEEKDAY(B4554,2)+1)</f>
        <v/>
      </c>
      <c r="M4554" s="5">
        <f>IF(L4554="","",L4554+6)</f>
        <v/>
      </c>
      <c r="N4554" s="6">
        <f>IF(OR(A4554="",B4554=""),"",DATE(YEAR(B4554),MONTH(B4554),1))</f>
        <v/>
      </c>
      <c r="O4554" s="7">
        <f>IF(COUNTA(A4554:K4554)=0,"",IF(OR(A4554="",B4554=""),"Preencher CPF e entrada",IF(COUNTIFS($A$12:$A$5011,A4554,$B$12:$B$5011,B4554)&gt;1,"CPF + dia duplicado",IF(OR(AND(G4554&lt;&gt;"",G4554&lt;&gt;0,G4554&lt;&gt;1),AND(H4554&lt;&gt;"",H4554&lt;&gt;0,H4554&lt;&gt;1)),"Flags devem ser 0 ou 1",IF(AND(H4554=1,LEN(TRIM(I4554))=0),"Preencher nome do indicante",IF(AND(H4554&lt;&gt;1,I4554&lt;&gt;""),"Nome sem indicação interna",IF(AND(G4554=1,F4554=""),"Fechamento sem conversa",IF(OR(AND(E4554&lt;&gt;"",E4554&lt;B4554),AND(F4554&lt;&gt;"",F4554&lt;B4554)),"Evento anterior à entrada",IF(AND(F4554&lt;&gt;"",E4554=""),"Conversa sem agendamento",IF(OR(E4554&gt;TODAY(),F4554&gt;TODAY()),"Verificar evento futuro","OK"))))))))))</f>
        <v/>
      </c>
    </row>
    <row r="4555" spans="12:15">
      <c r="L4555" s="5">
        <f>IF(OR(A4555="",B4555=""),"",B4555-WEEKDAY(B4555,2)+1)</f>
        <v/>
      </c>
      <c r="M4555" s="5">
        <f>IF(L4555="","",L4555+6)</f>
        <v/>
      </c>
      <c r="N4555" s="6">
        <f>IF(OR(A4555="",B4555=""),"",DATE(YEAR(B4555),MONTH(B4555),1))</f>
        <v/>
      </c>
      <c r="O4555" s="7">
        <f>IF(COUNTA(A4555:K4555)=0,"",IF(OR(A4555="",B4555=""),"Preencher CPF e entrada",IF(COUNTIFS($A$12:$A$5011,A4555,$B$12:$B$5011,B4555)&gt;1,"CPF + dia duplicado",IF(OR(AND(G4555&lt;&gt;"",G4555&lt;&gt;0,G4555&lt;&gt;1),AND(H4555&lt;&gt;"",H4555&lt;&gt;0,H4555&lt;&gt;1)),"Flags devem ser 0 ou 1",IF(AND(H4555=1,LEN(TRIM(I4555))=0),"Preencher nome do indicante",IF(AND(H4555&lt;&gt;1,I4555&lt;&gt;""),"Nome sem indicação interna",IF(AND(G4555=1,F4555=""),"Fechamento sem conversa",IF(OR(AND(E4555&lt;&gt;"",E4555&lt;B4555),AND(F4555&lt;&gt;"",F4555&lt;B4555)),"Evento anterior à entrada",IF(AND(F4555&lt;&gt;"",E4555=""),"Conversa sem agendamento",IF(OR(E4555&gt;TODAY(),F4555&gt;TODAY()),"Verificar evento futuro","OK"))))))))))</f>
        <v/>
      </c>
    </row>
    <row r="4556" spans="12:15">
      <c r="L4556" s="5">
        <f>IF(OR(A4556="",B4556=""),"",B4556-WEEKDAY(B4556,2)+1)</f>
        <v/>
      </c>
      <c r="M4556" s="5">
        <f>IF(L4556="","",L4556+6)</f>
        <v/>
      </c>
      <c r="N4556" s="6">
        <f>IF(OR(A4556="",B4556=""),"",DATE(YEAR(B4556),MONTH(B4556),1))</f>
        <v/>
      </c>
      <c r="O4556" s="7">
        <f>IF(COUNTA(A4556:K4556)=0,"",IF(OR(A4556="",B4556=""),"Preencher CPF e entrada",IF(COUNTIFS($A$12:$A$5011,A4556,$B$12:$B$5011,B4556)&gt;1,"CPF + dia duplicado",IF(OR(AND(G4556&lt;&gt;"",G4556&lt;&gt;0,G4556&lt;&gt;1),AND(H4556&lt;&gt;"",H4556&lt;&gt;0,H4556&lt;&gt;1)),"Flags devem ser 0 ou 1",IF(AND(H4556=1,LEN(TRIM(I4556))=0),"Preencher nome do indicante",IF(AND(H4556&lt;&gt;1,I4556&lt;&gt;""),"Nome sem indicação interna",IF(AND(G4556=1,F4556=""),"Fechamento sem conversa",IF(OR(AND(E4556&lt;&gt;"",E4556&lt;B4556),AND(F4556&lt;&gt;"",F4556&lt;B4556)),"Evento anterior à entrada",IF(AND(F4556&lt;&gt;"",E4556=""),"Conversa sem agendamento",IF(OR(E4556&gt;TODAY(),F4556&gt;TODAY()),"Verificar evento futuro","OK"))))))))))</f>
        <v/>
      </c>
    </row>
    <row r="4557" spans="12:15">
      <c r="L4557" s="5">
        <f>IF(OR(A4557="",B4557=""),"",B4557-WEEKDAY(B4557,2)+1)</f>
        <v/>
      </c>
      <c r="M4557" s="5">
        <f>IF(L4557="","",L4557+6)</f>
        <v/>
      </c>
      <c r="N4557" s="6">
        <f>IF(OR(A4557="",B4557=""),"",DATE(YEAR(B4557),MONTH(B4557),1))</f>
        <v/>
      </c>
      <c r="O4557" s="7">
        <f>IF(COUNTA(A4557:K4557)=0,"",IF(OR(A4557="",B4557=""),"Preencher CPF e entrada",IF(COUNTIFS($A$12:$A$5011,A4557,$B$12:$B$5011,B4557)&gt;1,"CPF + dia duplicado",IF(OR(AND(G4557&lt;&gt;"",G4557&lt;&gt;0,G4557&lt;&gt;1),AND(H4557&lt;&gt;"",H4557&lt;&gt;0,H4557&lt;&gt;1)),"Flags devem ser 0 ou 1",IF(AND(H4557=1,LEN(TRIM(I4557))=0),"Preencher nome do indicante",IF(AND(H4557&lt;&gt;1,I4557&lt;&gt;""),"Nome sem indicação interna",IF(AND(G4557=1,F4557=""),"Fechamento sem conversa",IF(OR(AND(E4557&lt;&gt;"",E4557&lt;B4557),AND(F4557&lt;&gt;"",F4557&lt;B4557)),"Evento anterior à entrada",IF(AND(F4557&lt;&gt;"",E4557=""),"Conversa sem agendamento",IF(OR(E4557&gt;TODAY(),F4557&gt;TODAY()),"Verificar evento futuro","OK"))))))))))</f>
        <v/>
      </c>
    </row>
    <row r="4558" spans="12:15">
      <c r="L4558" s="5">
        <f>IF(OR(A4558="",B4558=""),"",B4558-WEEKDAY(B4558,2)+1)</f>
        <v/>
      </c>
      <c r="M4558" s="5">
        <f>IF(L4558="","",L4558+6)</f>
        <v/>
      </c>
      <c r="N4558" s="6">
        <f>IF(OR(A4558="",B4558=""),"",DATE(YEAR(B4558),MONTH(B4558),1))</f>
        <v/>
      </c>
      <c r="O4558" s="7">
        <f>IF(COUNTA(A4558:K4558)=0,"",IF(OR(A4558="",B4558=""),"Preencher CPF e entrada",IF(COUNTIFS($A$12:$A$5011,A4558,$B$12:$B$5011,B4558)&gt;1,"CPF + dia duplicado",IF(OR(AND(G4558&lt;&gt;"",G4558&lt;&gt;0,G4558&lt;&gt;1),AND(H4558&lt;&gt;"",H4558&lt;&gt;0,H4558&lt;&gt;1)),"Flags devem ser 0 ou 1",IF(AND(H4558=1,LEN(TRIM(I4558))=0),"Preencher nome do indicante",IF(AND(H4558&lt;&gt;1,I4558&lt;&gt;""),"Nome sem indicação interna",IF(AND(G4558=1,F4558=""),"Fechamento sem conversa",IF(OR(AND(E4558&lt;&gt;"",E4558&lt;B4558),AND(F4558&lt;&gt;"",F4558&lt;B4558)),"Evento anterior à entrada",IF(AND(F4558&lt;&gt;"",E4558=""),"Conversa sem agendamento",IF(OR(E4558&gt;TODAY(),F4558&gt;TODAY()),"Verificar evento futuro","OK"))))))))))</f>
        <v/>
      </c>
    </row>
    <row r="4559" spans="12:15">
      <c r="L4559" s="5">
        <f>IF(OR(A4559="",B4559=""),"",B4559-WEEKDAY(B4559,2)+1)</f>
        <v/>
      </c>
      <c r="M4559" s="5">
        <f>IF(L4559="","",L4559+6)</f>
        <v/>
      </c>
      <c r="N4559" s="6">
        <f>IF(OR(A4559="",B4559=""),"",DATE(YEAR(B4559),MONTH(B4559),1))</f>
        <v/>
      </c>
      <c r="O4559" s="7">
        <f>IF(COUNTA(A4559:K4559)=0,"",IF(OR(A4559="",B4559=""),"Preencher CPF e entrada",IF(COUNTIFS($A$12:$A$5011,A4559,$B$12:$B$5011,B4559)&gt;1,"CPF + dia duplicado",IF(OR(AND(G4559&lt;&gt;"",G4559&lt;&gt;0,G4559&lt;&gt;1),AND(H4559&lt;&gt;"",H4559&lt;&gt;0,H4559&lt;&gt;1)),"Flags devem ser 0 ou 1",IF(AND(H4559=1,LEN(TRIM(I4559))=0),"Preencher nome do indicante",IF(AND(H4559&lt;&gt;1,I4559&lt;&gt;""),"Nome sem indicação interna",IF(AND(G4559=1,F4559=""),"Fechamento sem conversa",IF(OR(AND(E4559&lt;&gt;"",E4559&lt;B4559),AND(F4559&lt;&gt;"",F4559&lt;B4559)),"Evento anterior à entrada",IF(AND(F4559&lt;&gt;"",E4559=""),"Conversa sem agendamento",IF(OR(E4559&gt;TODAY(),F4559&gt;TODAY()),"Verificar evento futuro","OK"))))))))))</f>
        <v/>
      </c>
    </row>
    <row r="4560" spans="12:15">
      <c r="L4560" s="5">
        <f>IF(OR(A4560="",B4560=""),"",B4560-WEEKDAY(B4560,2)+1)</f>
        <v/>
      </c>
      <c r="M4560" s="5">
        <f>IF(L4560="","",L4560+6)</f>
        <v/>
      </c>
      <c r="N4560" s="6">
        <f>IF(OR(A4560="",B4560=""),"",DATE(YEAR(B4560),MONTH(B4560),1))</f>
        <v/>
      </c>
      <c r="O4560" s="7">
        <f>IF(COUNTA(A4560:K4560)=0,"",IF(OR(A4560="",B4560=""),"Preencher CPF e entrada",IF(COUNTIFS($A$12:$A$5011,A4560,$B$12:$B$5011,B4560)&gt;1,"CPF + dia duplicado",IF(OR(AND(G4560&lt;&gt;"",G4560&lt;&gt;0,G4560&lt;&gt;1),AND(H4560&lt;&gt;"",H4560&lt;&gt;0,H4560&lt;&gt;1)),"Flags devem ser 0 ou 1",IF(AND(H4560=1,LEN(TRIM(I4560))=0),"Preencher nome do indicante",IF(AND(H4560&lt;&gt;1,I4560&lt;&gt;""),"Nome sem indicação interna",IF(AND(G4560=1,F4560=""),"Fechamento sem conversa",IF(OR(AND(E4560&lt;&gt;"",E4560&lt;B4560),AND(F4560&lt;&gt;"",F4560&lt;B4560)),"Evento anterior à entrada",IF(AND(F4560&lt;&gt;"",E4560=""),"Conversa sem agendamento",IF(OR(E4560&gt;TODAY(),F4560&gt;TODAY()),"Verificar evento futuro","OK"))))))))))</f>
        <v/>
      </c>
    </row>
    <row r="4561" spans="12:15">
      <c r="L4561" s="5">
        <f>IF(OR(A4561="",B4561=""),"",B4561-WEEKDAY(B4561,2)+1)</f>
        <v/>
      </c>
      <c r="M4561" s="5">
        <f>IF(L4561="","",L4561+6)</f>
        <v/>
      </c>
      <c r="N4561" s="6">
        <f>IF(OR(A4561="",B4561=""),"",DATE(YEAR(B4561),MONTH(B4561),1))</f>
        <v/>
      </c>
      <c r="O4561" s="7">
        <f>IF(COUNTA(A4561:K4561)=0,"",IF(OR(A4561="",B4561=""),"Preencher CPF e entrada",IF(COUNTIFS($A$12:$A$5011,A4561,$B$12:$B$5011,B4561)&gt;1,"CPF + dia duplicado",IF(OR(AND(G4561&lt;&gt;"",G4561&lt;&gt;0,G4561&lt;&gt;1),AND(H4561&lt;&gt;"",H4561&lt;&gt;0,H4561&lt;&gt;1)),"Flags devem ser 0 ou 1",IF(AND(H4561=1,LEN(TRIM(I4561))=0),"Preencher nome do indicante",IF(AND(H4561&lt;&gt;1,I4561&lt;&gt;""),"Nome sem indicação interna",IF(AND(G4561=1,F4561=""),"Fechamento sem conversa",IF(OR(AND(E4561&lt;&gt;"",E4561&lt;B4561),AND(F4561&lt;&gt;"",F4561&lt;B4561)),"Evento anterior à entrada",IF(AND(F4561&lt;&gt;"",E4561=""),"Conversa sem agendamento",IF(OR(E4561&gt;TODAY(),F4561&gt;TODAY()),"Verificar evento futuro","OK"))))))))))</f>
        <v/>
      </c>
    </row>
    <row r="4562" spans="12:15">
      <c r="L4562" s="5">
        <f>IF(OR(A4562="",B4562=""),"",B4562-WEEKDAY(B4562,2)+1)</f>
        <v/>
      </c>
      <c r="M4562" s="5">
        <f>IF(L4562="","",L4562+6)</f>
        <v/>
      </c>
      <c r="N4562" s="6">
        <f>IF(OR(A4562="",B4562=""),"",DATE(YEAR(B4562),MONTH(B4562),1))</f>
        <v/>
      </c>
      <c r="O4562" s="7">
        <f>IF(COUNTA(A4562:K4562)=0,"",IF(OR(A4562="",B4562=""),"Preencher CPF e entrada",IF(COUNTIFS($A$12:$A$5011,A4562,$B$12:$B$5011,B4562)&gt;1,"CPF + dia duplicado",IF(OR(AND(G4562&lt;&gt;"",G4562&lt;&gt;0,G4562&lt;&gt;1),AND(H4562&lt;&gt;"",H4562&lt;&gt;0,H4562&lt;&gt;1)),"Flags devem ser 0 ou 1",IF(AND(H4562=1,LEN(TRIM(I4562))=0),"Preencher nome do indicante",IF(AND(H4562&lt;&gt;1,I4562&lt;&gt;""),"Nome sem indicação interna",IF(AND(G4562=1,F4562=""),"Fechamento sem conversa",IF(OR(AND(E4562&lt;&gt;"",E4562&lt;B4562),AND(F4562&lt;&gt;"",F4562&lt;B4562)),"Evento anterior à entrada",IF(AND(F4562&lt;&gt;"",E4562=""),"Conversa sem agendamento",IF(OR(E4562&gt;TODAY(),F4562&gt;TODAY()),"Verificar evento futuro","OK"))))))))))</f>
        <v/>
      </c>
    </row>
    <row r="4563" spans="12:15">
      <c r="L4563" s="5">
        <f>IF(OR(A4563="",B4563=""),"",B4563-WEEKDAY(B4563,2)+1)</f>
        <v/>
      </c>
      <c r="M4563" s="5">
        <f>IF(L4563="","",L4563+6)</f>
        <v/>
      </c>
      <c r="N4563" s="6">
        <f>IF(OR(A4563="",B4563=""),"",DATE(YEAR(B4563),MONTH(B4563),1))</f>
        <v/>
      </c>
      <c r="O4563" s="7">
        <f>IF(COUNTA(A4563:K4563)=0,"",IF(OR(A4563="",B4563=""),"Preencher CPF e entrada",IF(COUNTIFS($A$12:$A$5011,A4563,$B$12:$B$5011,B4563)&gt;1,"CPF + dia duplicado",IF(OR(AND(G4563&lt;&gt;"",G4563&lt;&gt;0,G4563&lt;&gt;1),AND(H4563&lt;&gt;"",H4563&lt;&gt;0,H4563&lt;&gt;1)),"Flags devem ser 0 ou 1",IF(AND(H4563=1,LEN(TRIM(I4563))=0),"Preencher nome do indicante",IF(AND(H4563&lt;&gt;1,I4563&lt;&gt;""),"Nome sem indicação interna",IF(AND(G4563=1,F4563=""),"Fechamento sem conversa",IF(OR(AND(E4563&lt;&gt;"",E4563&lt;B4563),AND(F4563&lt;&gt;"",F4563&lt;B4563)),"Evento anterior à entrada",IF(AND(F4563&lt;&gt;"",E4563=""),"Conversa sem agendamento",IF(OR(E4563&gt;TODAY(),F4563&gt;TODAY()),"Verificar evento futuro","OK"))))))))))</f>
        <v/>
      </c>
    </row>
    <row r="4564" spans="12:15">
      <c r="L4564" s="5">
        <f>IF(OR(A4564="",B4564=""),"",B4564-WEEKDAY(B4564,2)+1)</f>
        <v/>
      </c>
      <c r="M4564" s="5">
        <f>IF(L4564="","",L4564+6)</f>
        <v/>
      </c>
      <c r="N4564" s="6">
        <f>IF(OR(A4564="",B4564=""),"",DATE(YEAR(B4564),MONTH(B4564),1))</f>
        <v/>
      </c>
      <c r="O4564" s="7">
        <f>IF(COUNTA(A4564:K4564)=0,"",IF(OR(A4564="",B4564=""),"Preencher CPF e entrada",IF(COUNTIFS($A$12:$A$5011,A4564,$B$12:$B$5011,B4564)&gt;1,"CPF + dia duplicado",IF(OR(AND(G4564&lt;&gt;"",G4564&lt;&gt;0,G4564&lt;&gt;1),AND(H4564&lt;&gt;"",H4564&lt;&gt;0,H4564&lt;&gt;1)),"Flags devem ser 0 ou 1",IF(AND(H4564=1,LEN(TRIM(I4564))=0),"Preencher nome do indicante",IF(AND(H4564&lt;&gt;1,I4564&lt;&gt;""),"Nome sem indicação interna",IF(AND(G4564=1,F4564=""),"Fechamento sem conversa",IF(OR(AND(E4564&lt;&gt;"",E4564&lt;B4564),AND(F4564&lt;&gt;"",F4564&lt;B4564)),"Evento anterior à entrada",IF(AND(F4564&lt;&gt;"",E4564=""),"Conversa sem agendamento",IF(OR(E4564&gt;TODAY(),F4564&gt;TODAY()),"Verificar evento futuro","OK"))))))))))</f>
        <v/>
      </c>
    </row>
    <row r="4565" spans="12:15">
      <c r="L4565" s="5">
        <f>IF(OR(A4565="",B4565=""),"",B4565-WEEKDAY(B4565,2)+1)</f>
        <v/>
      </c>
      <c r="M4565" s="5">
        <f>IF(L4565="","",L4565+6)</f>
        <v/>
      </c>
      <c r="N4565" s="6">
        <f>IF(OR(A4565="",B4565=""),"",DATE(YEAR(B4565),MONTH(B4565),1))</f>
        <v/>
      </c>
      <c r="O4565" s="7">
        <f>IF(COUNTA(A4565:K4565)=0,"",IF(OR(A4565="",B4565=""),"Preencher CPF e entrada",IF(COUNTIFS($A$12:$A$5011,A4565,$B$12:$B$5011,B4565)&gt;1,"CPF + dia duplicado",IF(OR(AND(G4565&lt;&gt;"",G4565&lt;&gt;0,G4565&lt;&gt;1),AND(H4565&lt;&gt;"",H4565&lt;&gt;0,H4565&lt;&gt;1)),"Flags devem ser 0 ou 1",IF(AND(H4565=1,LEN(TRIM(I4565))=0),"Preencher nome do indicante",IF(AND(H4565&lt;&gt;1,I4565&lt;&gt;""),"Nome sem indicação interna",IF(AND(G4565=1,F4565=""),"Fechamento sem conversa",IF(OR(AND(E4565&lt;&gt;"",E4565&lt;B4565),AND(F4565&lt;&gt;"",F4565&lt;B4565)),"Evento anterior à entrada",IF(AND(F4565&lt;&gt;"",E4565=""),"Conversa sem agendamento",IF(OR(E4565&gt;TODAY(),F4565&gt;TODAY()),"Verificar evento futuro","OK"))))))))))</f>
        <v/>
      </c>
    </row>
    <row r="4566" spans="12:15">
      <c r="L4566" s="5">
        <f>IF(OR(A4566="",B4566=""),"",B4566-WEEKDAY(B4566,2)+1)</f>
        <v/>
      </c>
      <c r="M4566" s="5">
        <f>IF(L4566="","",L4566+6)</f>
        <v/>
      </c>
      <c r="N4566" s="6">
        <f>IF(OR(A4566="",B4566=""),"",DATE(YEAR(B4566),MONTH(B4566),1))</f>
        <v/>
      </c>
      <c r="O4566" s="7">
        <f>IF(COUNTA(A4566:K4566)=0,"",IF(OR(A4566="",B4566=""),"Preencher CPF e entrada",IF(COUNTIFS($A$12:$A$5011,A4566,$B$12:$B$5011,B4566)&gt;1,"CPF + dia duplicado",IF(OR(AND(G4566&lt;&gt;"",G4566&lt;&gt;0,G4566&lt;&gt;1),AND(H4566&lt;&gt;"",H4566&lt;&gt;0,H4566&lt;&gt;1)),"Flags devem ser 0 ou 1",IF(AND(H4566=1,LEN(TRIM(I4566))=0),"Preencher nome do indicante",IF(AND(H4566&lt;&gt;1,I4566&lt;&gt;""),"Nome sem indicação interna",IF(AND(G4566=1,F4566=""),"Fechamento sem conversa",IF(OR(AND(E4566&lt;&gt;"",E4566&lt;B4566),AND(F4566&lt;&gt;"",F4566&lt;B4566)),"Evento anterior à entrada",IF(AND(F4566&lt;&gt;"",E4566=""),"Conversa sem agendamento",IF(OR(E4566&gt;TODAY(),F4566&gt;TODAY()),"Verificar evento futuro","OK"))))))))))</f>
        <v/>
      </c>
    </row>
    <row r="4567" spans="12:15">
      <c r="L4567" s="5">
        <f>IF(OR(A4567="",B4567=""),"",B4567-WEEKDAY(B4567,2)+1)</f>
        <v/>
      </c>
      <c r="M4567" s="5">
        <f>IF(L4567="","",L4567+6)</f>
        <v/>
      </c>
      <c r="N4567" s="6">
        <f>IF(OR(A4567="",B4567=""),"",DATE(YEAR(B4567),MONTH(B4567),1))</f>
        <v/>
      </c>
      <c r="O4567" s="7">
        <f>IF(COUNTA(A4567:K4567)=0,"",IF(OR(A4567="",B4567=""),"Preencher CPF e entrada",IF(COUNTIFS($A$12:$A$5011,A4567,$B$12:$B$5011,B4567)&gt;1,"CPF + dia duplicado",IF(OR(AND(G4567&lt;&gt;"",G4567&lt;&gt;0,G4567&lt;&gt;1),AND(H4567&lt;&gt;"",H4567&lt;&gt;0,H4567&lt;&gt;1)),"Flags devem ser 0 ou 1",IF(AND(H4567=1,LEN(TRIM(I4567))=0),"Preencher nome do indicante",IF(AND(H4567&lt;&gt;1,I4567&lt;&gt;""),"Nome sem indicação interna",IF(AND(G4567=1,F4567=""),"Fechamento sem conversa",IF(OR(AND(E4567&lt;&gt;"",E4567&lt;B4567),AND(F4567&lt;&gt;"",F4567&lt;B4567)),"Evento anterior à entrada",IF(AND(F4567&lt;&gt;"",E4567=""),"Conversa sem agendamento",IF(OR(E4567&gt;TODAY(),F4567&gt;TODAY()),"Verificar evento futuro","OK"))))))))))</f>
        <v/>
      </c>
    </row>
    <row r="4568" spans="12:15">
      <c r="L4568" s="5">
        <f>IF(OR(A4568="",B4568=""),"",B4568-WEEKDAY(B4568,2)+1)</f>
        <v/>
      </c>
      <c r="M4568" s="5">
        <f>IF(L4568="","",L4568+6)</f>
        <v/>
      </c>
      <c r="N4568" s="6">
        <f>IF(OR(A4568="",B4568=""),"",DATE(YEAR(B4568),MONTH(B4568),1))</f>
        <v/>
      </c>
      <c r="O4568" s="7">
        <f>IF(COUNTA(A4568:K4568)=0,"",IF(OR(A4568="",B4568=""),"Preencher CPF e entrada",IF(COUNTIFS($A$12:$A$5011,A4568,$B$12:$B$5011,B4568)&gt;1,"CPF + dia duplicado",IF(OR(AND(G4568&lt;&gt;"",G4568&lt;&gt;0,G4568&lt;&gt;1),AND(H4568&lt;&gt;"",H4568&lt;&gt;0,H4568&lt;&gt;1)),"Flags devem ser 0 ou 1",IF(AND(H4568=1,LEN(TRIM(I4568))=0),"Preencher nome do indicante",IF(AND(H4568&lt;&gt;1,I4568&lt;&gt;""),"Nome sem indicação interna",IF(AND(G4568=1,F4568=""),"Fechamento sem conversa",IF(OR(AND(E4568&lt;&gt;"",E4568&lt;B4568),AND(F4568&lt;&gt;"",F4568&lt;B4568)),"Evento anterior à entrada",IF(AND(F4568&lt;&gt;"",E4568=""),"Conversa sem agendamento",IF(OR(E4568&gt;TODAY(),F4568&gt;TODAY()),"Verificar evento futuro","OK"))))))))))</f>
        <v/>
      </c>
    </row>
    <row r="4569" spans="12:15">
      <c r="L4569" s="5">
        <f>IF(OR(A4569="",B4569=""),"",B4569-WEEKDAY(B4569,2)+1)</f>
        <v/>
      </c>
      <c r="M4569" s="5">
        <f>IF(L4569="","",L4569+6)</f>
        <v/>
      </c>
      <c r="N4569" s="6">
        <f>IF(OR(A4569="",B4569=""),"",DATE(YEAR(B4569),MONTH(B4569),1))</f>
        <v/>
      </c>
      <c r="O4569" s="7">
        <f>IF(COUNTA(A4569:K4569)=0,"",IF(OR(A4569="",B4569=""),"Preencher CPF e entrada",IF(COUNTIFS($A$12:$A$5011,A4569,$B$12:$B$5011,B4569)&gt;1,"CPF + dia duplicado",IF(OR(AND(G4569&lt;&gt;"",G4569&lt;&gt;0,G4569&lt;&gt;1),AND(H4569&lt;&gt;"",H4569&lt;&gt;0,H4569&lt;&gt;1)),"Flags devem ser 0 ou 1",IF(AND(H4569=1,LEN(TRIM(I4569))=0),"Preencher nome do indicante",IF(AND(H4569&lt;&gt;1,I4569&lt;&gt;""),"Nome sem indicação interna",IF(AND(G4569=1,F4569=""),"Fechamento sem conversa",IF(OR(AND(E4569&lt;&gt;"",E4569&lt;B4569),AND(F4569&lt;&gt;"",F4569&lt;B4569)),"Evento anterior à entrada",IF(AND(F4569&lt;&gt;"",E4569=""),"Conversa sem agendamento",IF(OR(E4569&gt;TODAY(),F4569&gt;TODAY()),"Verificar evento futuro","OK"))))))))))</f>
        <v/>
      </c>
    </row>
    <row r="4570" spans="12:15">
      <c r="L4570" s="5">
        <f>IF(OR(A4570="",B4570=""),"",B4570-WEEKDAY(B4570,2)+1)</f>
        <v/>
      </c>
      <c r="M4570" s="5">
        <f>IF(L4570="","",L4570+6)</f>
        <v/>
      </c>
      <c r="N4570" s="6">
        <f>IF(OR(A4570="",B4570=""),"",DATE(YEAR(B4570),MONTH(B4570),1))</f>
        <v/>
      </c>
      <c r="O4570" s="7">
        <f>IF(COUNTA(A4570:K4570)=0,"",IF(OR(A4570="",B4570=""),"Preencher CPF e entrada",IF(COUNTIFS($A$12:$A$5011,A4570,$B$12:$B$5011,B4570)&gt;1,"CPF + dia duplicado",IF(OR(AND(G4570&lt;&gt;"",G4570&lt;&gt;0,G4570&lt;&gt;1),AND(H4570&lt;&gt;"",H4570&lt;&gt;0,H4570&lt;&gt;1)),"Flags devem ser 0 ou 1",IF(AND(H4570=1,LEN(TRIM(I4570))=0),"Preencher nome do indicante",IF(AND(H4570&lt;&gt;1,I4570&lt;&gt;""),"Nome sem indicação interna",IF(AND(G4570=1,F4570=""),"Fechamento sem conversa",IF(OR(AND(E4570&lt;&gt;"",E4570&lt;B4570),AND(F4570&lt;&gt;"",F4570&lt;B4570)),"Evento anterior à entrada",IF(AND(F4570&lt;&gt;"",E4570=""),"Conversa sem agendamento",IF(OR(E4570&gt;TODAY(),F4570&gt;TODAY()),"Verificar evento futuro","OK"))))))))))</f>
        <v/>
      </c>
    </row>
    <row r="4571" spans="12:15">
      <c r="L4571" s="5">
        <f>IF(OR(A4571="",B4571=""),"",B4571-WEEKDAY(B4571,2)+1)</f>
        <v/>
      </c>
      <c r="M4571" s="5">
        <f>IF(L4571="","",L4571+6)</f>
        <v/>
      </c>
      <c r="N4571" s="6">
        <f>IF(OR(A4571="",B4571=""),"",DATE(YEAR(B4571),MONTH(B4571),1))</f>
        <v/>
      </c>
      <c r="O4571" s="7">
        <f>IF(COUNTA(A4571:K4571)=0,"",IF(OR(A4571="",B4571=""),"Preencher CPF e entrada",IF(COUNTIFS($A$12:$A$5011,A4571,$B$12:$B$5011,B4571)&gt;1,"CPF + dia duplicado",IF(OR(AND(G4571&lt;&gt;"",G4571&lt;&gt;0,G4571&lt;&gt;1),AND(H4571&lt;&gt;"",H4571&lt;&gt;0,H4571&lt;&gt;1)),"Flags devem ser 0 ou 1",IF(AND(H4571=1,LEN(TRIM(I4571))=0),"Preencher nome do indicante",IF(AND(H4571&lt;&gt;1,I4571&lt;&gt;""),"Nome sem indicação interna",IF(AND(G4571=1,F4571=""),"Fechamento sem conversa",IF(OR(AND(E4571&lt;&gt;"",E4571&lt;B4571),AND(F4571&lt;&gt;"",F4571&lt;B4571)),"Evento anterior à entrada",IF(AND(F4571&lt;&gt;"",E4571=""),"Conversa sem agendamento",IF(OR(E4571&gt;TODAY(),F4571&gt;TODAY()),"Verificar evento futuro","OK"))))))))))</f>
        <v/>
      </c>
    </row>
    <row r="4572" spans="12:15">
      <c r="L4572" s="5">
        <f>IF(OR(A4572="",B4572=""),"",B4572-WEEKDAY(B4572,2)+1)</f>
        <v/>
      </c>
      <c r="M4572" s="5">
        <f>IF(L4572="","",L4572+6)</f>
        <v/>
      </c>
      <c r="N4572" s="6">
        <f>IF(OR(A4572="",B4572=""),"",DATE(YEAR(B4572),MONTH(B4572),1))</f>
        <v/>
      </c>
      <c r="O4572" s="7">
        <f>IF(COUNTA(A4572:K4572)=0,"",IF(OR(A4572="",B4572=""),"Preencher CPF e entrada",IF(COUNTIFS($A$12:$A$5011,A4572,$B$12:$B$5011,B4572)&gt;1,"CPF + dia duplicado",IF(OR(AND(G4572&lt;&gt;"",G4572&lt;&gt;0,G4572&lt;&gt;1),AND(H4572&lt;&gt;"",H4572&lt;&gt;0,H4572&lt;&gt;1)),"Flags devem ser 0 ou 1",IF(AND(H4572=1,LEN(TRIM(I4572))=0),"Preencher nome do indicante",IF(AND(H4572&lt;&gt;1,I4572&lt;&gt;""),"Nome sem indicação interna",IF(AND(G4572=1,F4572=""),"Fechamento sem conversa",IF(OR(AND(E4572&lt;&gt;"",E4572&lt;B4572),AND(F4572&lt;&gt;"",F4572&lt;B4572)),"Evento anterior à entrada",IF(AND(F4572&lt;&gt;"",E4572=""),"Conversa sem agendamento",IF(OR(E4572&gt;TODAY(),F4572&gt;TODAY()),"Verificar evento futuro","OK"))))))))))</f>
        <v/>
      </c>
    </row>
    <row r="4573" spans="12:15">
      <c r="L4573" s="5">
        <f>IF(OR(A4573="",B4573=""),"",B4573-WEEKDAY(B4573,2)+1)</f>
        <v/>
      </c>
      <c r="M4573" s="5">
        <f>IF(L4573="","",L4573+6)</f>
        <v/>
      </c>
      <c r="N4573" s="6">
        <f>IF(OR(A4573="",B4573=""),"",DATE(YEAR(B4573),MONTH(B4573),1))</f>
        <v/>
      </c>
      <c r="O4573" s="7">
        <f>IF(COUNTA(A4573:K4573)=0,"",IF(OR(A4573="",B4573=""),"Preencher CPF e entrada",IF(COUNTIFS($A$12:$A$5011,A4573,$B$12:$B$5011,B4573)&gt;1,"CPF + dia duplicado",IF(OR(AND(G4573&lt;&gt;"",G4573&lt;&gt;0,G4573&lt;&gt;1),AND(H4573&lt;&gt;"",H4573&lt;&gt;0,H4573&lt;&gt;1)),"Flags devem ser 0 ou 1",IF(AND(H4573=1,LEN(TRIM(I4573))=0),"Preencher nome do indicante",IF(AND(H4573&lt;&gt;1,I4573&lt;&gt;""),"Nome sem indicação interna",IF(AND(G4573=1,F4573=""),"Fechamento sem conversa",IF(OR(AND(E4573&lt;&gt;"",E4573&lt;B4573),AND(F4573&lt;&gt;"",F4573&lt;B4573)),"Evento anterior à entrada",IF(AND(F4573&lt;&gt;"",E4573=""),"Conversa sem agendamento",IF(OR(E4573&gt;TODAY(),F4573&gt;TODAY()),"Verificar evento futuro","OK"))))))))))</f>
        <v/>
      </c>
    </row>
    <row r="4574" spans="12:15">
      <c r="L4574" s="5">
        <f>IF(OR(A4574="",B4574=""),"",B4574-WEEKDAY(B4574,2)+1)</f>
        <v/>
      </c>
      <c r="M4574" s="5">
        <f>IF(L4574="","",L4574+6)</f>
        <v/>
      </c>
      <c r="N4574" s="6">
        <f>IF(OR(A4574="",B4574=""),"",DATE(YEAR(B4574),MONTH(B4574),1))</f>
        <v/>
      </c>
      <c r="O4574" s="7">
        <f>IF(COUNTA(A4574:K4574)=0,"",IF(OR(A4574="",B4574=""),"Preencher CPF e entrada",IF(COUNTIFS($A$12:$A$5011,A4574,$B$12:$B$5011,B4574)&gt;1,"CPF + dia duplicado",IF(OR(AND(G4574&lt;&gt;"",G4574&lt;&gt;0,G4574&lt;&gt;1),AND(H4574&lt;&gt;"",H4574&lt;&gt;0,H4574&lt;&gt;1)),"Flags devem ser 0 ou 1",IF(AND(H4574=1,LEN(TRIM(I4574))=0),"Preencher nome do indicante",IF(AND(H4574&lt;&gt;1,I4574&lt;&gt;""),"Nome sem indicação interna",IF(AND(G4574=1,F4574=""),"Fechamento sem conversa",IF(OR(AND(E4574&lt;&gt;"",E4574&lt;B4574),AND(F4574&lt;&gt;"",F4574&lt;B4574)),"Evento anterior à entrada",IF(AND(F4574&lt;&gt;"",E4574=""),"Conversa sem agendamento",IF(OR(E4574&gt;TODAY(),F4574&gt;TODAY()),"Verificar evento futuro","OK"))))))))))</f>
        <v/>
      </c>
    </row>
    <row r="4575" spans="12:15">
      <c r="L4575" s="5">
        <f>IF(OR(A4575="",B4575=""),"",B4575-WEEKDAY(B4575,2)+1)</f>
        <v/>
      </c>
      <c r="M4575" s="5">
        <f>IF(L4575="","",L4575+6)</f>
        <v/>
      </c>
      <c r="N4575" s="6">
        <f>IF(OR(A4575="",B4575=""),"",DATE(YEAR(B4575),MONTH(B4575),1))</f>
        <v/>
      </c>
      <c r="O4575" s="7">
        <f>IF(COUNTA(A4575:K4575)=0,"",IF(OR(A4575="",B4575=""),"Preencher CPF e entrada",IF(COUNTIFS($A$12:$A$5011,A4575,$B$12:$B$5011,B4575)&gt;1,"CPF + dia duplicado",IF(OR(AND(G4575&lt;&gt;"",G4575&lt;&gt;0,G4575&lt;&gt;1),AND(H4575&lt;&gt;"",H4575&lt;&gt;0,H4575&lt;&gt;1)),"Flags devem ser 0 ou 1",IF(AND(H4575=1,LEN(TRIM(I4575))=0),"Preencher nome do indicante",IF(AND(H4575&lt;&gt;1,I4575&lt;&gt;""),"Nome sem indicação interna",IF(AND(G4575=1,F4575=""),"Fechamento sem conversa",IF(OR(AND(E4575&lt;&gt;"",E4575&lt;B4575),AND(F4575&lt;&gt;"",F4575&lt;B4575)),"Evento anterior à entrada",IF(AND(F4575&lt;&gt;"",E4575=""),"Conversa sem agendamento",IF(OR(E4575&gt;TODAY(),F4575&gt;TODAY()),"Verificar evento futuro","OK"))))))))))</f>
        <v/>
      </c>
    </row>
    <row r="4576" spans="12:15">
      <c r="L4576" s="5">
        <f>IF(OR(A4576="",B4576=""),"",B4576-WEEKDAY(B4576,2)+1)</f>
        <v/>
      </c>
      <c r="M4576" s="5">
        <f>IF(L4576="","",L4576+6)</f>
        <v/>
      </c>
      <c r="N4576" s="6">
        <f>IF(OR(A4576="",B4576=""),"",DATE(YEAR(B4576),MONTH(B4576),1))</f>
        <v/>
      </c>
      <c r="O4576" s="7">
        <f>IF(COUNTA(A4576:K4576)=0,"",IF(OR(A4576="",B4576=""),"Preencher CPF e entrada",IF(COUNTIFS($A$12:$A$5011,A4576,$B$12:$B$5011,B4576)&gt;1,"CPF + dia duplicado",IF(OR(AND(G4576&lt;&gt;"",G4576&lt;&gt;0,G4576&lt;&gt;1),AND(H4576&lt;&gt;"",H4576&lt;&gt;0,H4576&lt;&gt;1)),"Flags devem ser 0 ou 1",IF(AND(H4576=1,LEN(TRIM(I4576))=0),"Preencher nome do indicante",IF(AND(H4576&lt;&gt;1,I4576&lt;&gt;""),"Nome sem indicação interna",IF(AND(G4576=1,F4576=""),"Fechamento sem conversa",IF(OR(AND(E4576&lt;&gt;"",E4576&lt;B4576),AND(F4576&lt;&gt;"",F4576&lt;B4576)),"Evento anterior à entrada",IF(AND(F4576&lt;&gt;"",E4576=""),"Conversa sem agendamento",IF(OR(E4576&gt;TODAY(),F4576&gt;TODAY()),"Verificar evento futuro","OK"))))))))))</f>
        <v/>
      </c>
    </row>
    <row r="4577" spans="12:15">
      <c r="L4577" s="5">
        <f>IF(OR(A4577="",B4577=""),"",B4577-WEEKDAY(B4577,2)+1)</f>
        <v/>
      </c>
      <c r="M4577" s="5">
        <f>IF(L4577="","",L4577+6)</f>
        <v/>
      </c>
      <c r="N4577" s="6">
        <f>IF(OR(A4577="",B4577=""),"",DATE(YEAR(B4577),MONTH(B4577),1))</f>
        <v/>
      </c>
      <c r="O4577" s="7">
        <f>IF(COUNTA(A4577:K4577)=0,"",IF(OR(A4577="",B4577=""),"Preencher CPF e entrada",IF(COUNTIFS($A$12:$A$5011,A4577,$B$12:$B$5011,B4577)&gt;1,"CPF + dia duplicado",IF(OR(AND(G4577&lt;&gt;"",G4577&lt;&gt;0,G4577&lt;&gt;1),AND(H4577&lt;&gt;"",H4577&lt;&gt;0,H4577&lt;&gt;1)),"Flags devem ser 0 ou 1",IF(AND(H4577=1,LEN(TRIM(I4577))=0),"Preencher nome do indicante",IF(AND(H4577&lt;&gt;1,I4577&lt;&gt;""),"Nome sem indicação interna",IF(AND(G4577=1,F4577=""),"Fechamento sem conversa",IF(OR(AND(E4577&lt;&gt;"",E4577&lt;B4577),AND(F4577&lt;&gt;"",F4577&lt;B4577)),"Evento anterior à entrada",IF(AND(F4577&lt;&gt;"",E4577=""),"Conversa sem agendamento",IF(OR(E4577&gt;TODAY(),F4577&gt;TODAY()),"Verificar evento futuro","OK"))))))))))</f>
        <v/>
      </c>
    </row>
    <row r="4578" spans="12:15">
      <c r="L4578" s="5">
        <f>IF(OR(A4578="",B4578=""),"",B4578-WEEKDAY(B4578,2)+1)</f>
        <v/>
      </c>
      <c r="M4578" s="5">
        <f>IF(L4578="","",L4578+6)</f>
        <v/>
      </c>
      <c r="N4578" s="6">
        <f>IF(OR(A4578="",B4578=""),"",DATE(YEAR(B4578),MONTH(B4578),1))</f>
        <v/>
      </c>
      <c r="O4578" s="7">
        <f>IF(COUNTA(A4578:K4578)=0,"",IF(OR(A4578="",B4578=""),"Preencher CPF e entrada",IF(COUNTIFS($A$12:$A$5011,A4578,$B$12:$B$5011,B4578)&gt;1,"CPF + dia duplicado",IF(OR(AND(G4578&lt;&gt;"",G4578&lt;&gt;0,G4578&lt;&gt;1),AND(H4578&lt;&gt;"",H4578&lt;&gt;0,H4578&lt;&gt;1)),"Flags devem ser 0 ou 1",IF(AND(H4578=1,LEN(TRIM(I4578))=0),"Preencher nome do indicante",IF(AND(H4578&lt;&gt;1,I4578&lt;&gt;""),"Nome sem indicação interna",IF(AND(G4578=1,F4578=""),"Fechamento sem conversa",IF(OR(AND(E4578&lt;&gt;"",E4578&lt;B4578),AND(F4578&lt;&gt;"",F4578&lt;B4578)),"Evento anterior à entrada",IF(AND(F4578&lt;&gt;"",E4578=""),"Conversa sem agendamento",IF(OR(E4578&gt;TODAY(),F4578&gt;TODAY()),"Verificar evento futuro","OK"))))))))))</f>
        <v/>
      </c>
    </row>
    <row r="4579" spans="12:15">
      <c r="L4579" s="5">
        <f>IF(OR(A4579="",B4579=""),"",B4579-WEEKDAY(B4579,2)+1)</f>
        <v/>
      </c>
      <c r="M4579" s="5">
        <f>IF(L4579="","",L4579+6)</f>
        <v/>
      </c>
      <c r="N4579" s="6">
        <f>IF(OR(A4579="",B4579=""),"",DATE(YEAR(B4579),MONTH(B4579),1))</f>
        <v/>
      </c>
      <c r="O4579" s="7">
        <f>IF(COUNTA(A4579:K4579)=0,"",IF(OR(A4579="",B4579=""),"Preencher CPF e entrada",IF(COUNTIFS($A$12:$A$5011,A4579,$B$12:$B$5011,B4579)&gt;1,"CPF + dia duplicado",IF(OR(AND(G4579&lt;&gt;"",G4579&lt;&gt;0,G4579&lt;&gt;1),AND(H4579&lt;&gt;"",H4579&lt;&gt;0,H4579&lt;&gt;1)),"Flags devem ser 0 ou 1",IF(AND(H4579=1,LEN(TRIM(I4579))=0),"Preencher nome do indicante",IF(AND(H4579&lt;&gt;1,I4579&lt;&gt;""),"Nome sem indicação interna",IF(AND(G4579=1,F4579=""),"Fechamento sem conversa",IF(OR(AND(E4579&lt;&gt;"",E4579&lt;B4579),AND(F4579&lt;&gt;"",F4579&lt;B4579)),"Evento anterior à entrada",IF(AND(F4579&lt;&gt;"",E4579=""),"Conversa sem agendamento",IF(OR(E4579&gt;TODAY(),F4579&gt;TODAY()),"Verificar evento futuro","OK"))))))))))</f>
        <v/>
      </c>
    </row>
    <row r="4580" spans="12:15">
      <c r="L4580" s="5">
        <f>IF(OR(A4580="",B4580=""),"",B4580-WEEKDAY(B4580,2)+1)</f>
        <v/>
      </c>
      <c r="M4580" s="5">
        <f>IF(L4580="","",L4580+6)</f>
        <v/>
      </c>
      <c r="N4580" s="6">
        <f>IF(OR(A4580="",B4580=""),"",DATE(YEAR(B4580),MONTH(B4580),1))</f>
        <v/>
      </c>
      <c r="O4580" s="7">
        <f>IF(COUNTA(A4580:K4580)=0,"",IF(OR(A4580="",B4580=""),"Preencher CPF e entrada",IF(COUNTIFS($A$12:$A$5011,A4580,$B$12:$B$5011,B4580)&gt;1,"CPF + dia duplicado",IF(OR(AND(G4580&lt;&gt;"",G4580&lt;&gt;0,G4580&lt;&gt;1),AND(H4580&lt;&gt;"",H4580&lt;&gt;0,H4580&lt;&gt;1)),"Flags devem ser 0 ou 1",IF(AND(H4580=1,LEN(TRIM(I4580))=0),"Preencher nome do indicante",IF(AND(H4580&lt;&gt;1,I4580&lt;&gt;""),"Nome sem indicação interna",IF(AND(G4580=1,F4580=""),"Fechamento sem conversa",IF(OR(AND(E4580&lt;&gt;"",E4580&lt;B4580),AND(F4580&lt;&gt;"",F4580&lt;B4580)),"Evento anterior à entrada",IF(AND(F4580&lt;&gt;"",E4580=""),"Conversa sem agendamento",IF(OR(E4580&gt;TODAY(),F4580&gt;TODAY()),"Verificar evento futuro","OK"))))))))))</f>
        <v/>
      </c>
    </row>
    <row r="4581" spans="12:15">
      <c r="L4581" s="5">
        <f>IF(OR(A4581="",B4581=""),"",B4581-WEEKDAY(B4581,2)+1)</f>
        <v/>
      </c>
      <c r="M4581" s="5">
        <f>IF(L4581="","",L4581+6)</f>
        <v/>
      </c>
      <c r="N4581" s="6">
        <f>IF(OR(A4581="",B4581=""),"",DATE(YEAR(B4581),MONTH(B4581),1))</f>
        <v/>
      </c>
      <c r="O4581" s="7">
        <f>IF(COUNTA(A4581:K4581)=0,"",IF(OR(A4581="",B4581=""),"Preencher CPF e entrada",IF(COUNTIFS($A$12:$A$5011,A4581,$B$12:$B$5011,B4581)&gt;1,"CPF + dia duplicado",IF(OR(AND(G4581&lt;&gt;"",G4581&lt;&gt;0,G4581&lt;&gt;1),AND(H4581&lt;&gt;"",H4581&lt;&gt;0,H4581&lt;&gt;1)),"Flags devem ser 0 ou 1",IF(AND(H4581=1,LEN(TRIM(I4581))=0),"Preencher nome do indicante",IF(AND(H4581&lt;&gt;1,I4581&lt;&gt;""),"Nome sem indicação interna",IF(AND(G4581=1,F4581=""),"Fechamento sem conversa",IF(OR(AND(E4581&lt;&gt;"",E4581&lt;B4581),AND(F4581&lt;&gt;"",F4581&lt;B4581)),"Evento anterior à entrada",IF(AND(F4581&lt;&gt;"",E4581=""),"Conversa sem agendamento",IF(OR(E4581&gt;TODAY(),F4581&gt;TODAY()),"Verificar evento futuro","OK"))))))))))</f>
        <v/>
      </c>
    </row>
    <row r="4582" spans="12:15">
      <c r="L4582" s="5">
        <f>IF(OR(A4582="",B4582=""),"",B4582-WEEKDAY(B4582,2)+1)</f>
        <v/>
      </c>
      <c r="M4582" s="5">
        <f>IF(L4582="","",L4582+6)</f>
        <v/>
      </c>
      <c r="N4582" s="6">
        <f>IF(OR(A4582="",B4582=""),"",DATE(YEAR(B4582),MONTH(B4582),1))</f>
        <v/>
      </c>
      <c r="O4582" s="7">
        <f>IF(COUNTA(A4582:K4582)=0,"",IF(OR(A4582="",B4582=""),"Preencher CPF e entrada",IF(COUNTIFS($A$12:$A$5011,A4582,$B$12:$B$5011,B4582)&gt;1,"CPF + dia duplicado",IF(OR(AND(G4582&lt;&gt;"",G4582&lt;&gt;0,G4582&lt;&gt;1),AND(H4582&lt;&gt;"",H4582&lt;&gt;0,H4582&lt;&gt;1)),"Flags devem ser 0 ou 1",IF(AND(H4582=1,LEN(TRIM(I4582))=0),"Preencher nome do indicante",IF(AND(H4582&lt;&gt;1,I4582&lt;&gt;""),"Nome sem indicação interna",IF(AND(G4582=1,F4582=""),"Fechamento sem conversa",IF(OR(AND(E4582&lt;&gt;"",E4582&lt;B4582),AND(F4582&lt;&gt;"",F4582&lt;B4582)),"Evento anterior à entrada",IF(AND(F4582&lt;&gt;"",E4582=""),"Conversa sem agendamento",IF(OR(E4582&gt;TODAY(),F4582&gt;TODAY()),"Verificar evento futuro","OK"))))))))))</f>
        <v/>
      </c>
    </row>
    <row r="4583" spans="12:15">
      <c r="L4583" s="5">
        <f>IF(OR(A4583="",B4583=""),"",B4583-WEEKDAY(B4583,2)+1)</f>
        <v/>
      </c>
      <c r="M4583" s="5">
        <f>IF(L4583="","",L4583+6)</f>
        <v/>
      </c>
      <c r="N4583" s="6">
        <f>IF(OR(A4583="",B4583=""),"",DATE(YEAR(B4583),MONTH(B4583),1))</f>
        <v/>
      </c>
      <c r="O4583" s="7">
        <f>IF(COUNTA(A4583:K4583)=0,"",IF(OR(A4583="",B4583=""),"Preencher CPF e entrada",IF(COUNTIFS($A$12:$A$5011,A4583,$B$12:$B$5011,B4583)&gt;1,"CPF + dia duplicado",IF(OR(AND(G4583&lt;&gt;"",G4583&lt;&gt;0,G4583&lt;&gt;1),AND(H4583&lt;&gt;"",H4583&lt;&gt;0,H4583&lt;&gt;1)),"Flags devem ser 0 ou 1",IF(AND(H4583=1,LEN(TRIM(I4583))=0),"Preencher nome do indicante",IF(AND(H4583&lt;&gt;1,I4583&lt;&gt;""),"Nome sem indicação interna",IF(AND(G4583=1,F4583=""),"Fechamento sem conversa",IF(OR(AND(E4583&lt;&gt;"",E4583&lt;B4583),AND(F4583&lt;&gt;"",F4583&lt;B4583)),"Evento anterior à entrada",IF(AND(F4583&lt;&gt;"",E4583=""),"Conversa sem agendamento",IF(OR(E4583&gt;TODAY(),F4583&gt;TODAY()),"Verificar evento futuro","OK"))))))))))</f>
        <v/>
      </c>
    </row>
    <row r="4584" spans="12:15">
      <c r="L4584" s="5">
        <f>IF(OR(A4584="",B4584=""),"",B4584-WEEKDAY(B4584,2)+1)</f>
        <v/>
      </c>
      <c r="M4584" s="5">
        <f>IF(L4584="","",L4584+6)</f>
        <v/>
      </c>
      <c r="N4584" s="6">
        <f>IF(OR(A4584="",B4584=""),"",DATE(YEAR(B4584),MONTH(B4584),1))</f>
        <v/>
      </c>
      <c r="O4584" s="7">
        <f>IF(COUNTA(A4584:K4584)=0,"",IF(OR(A4584="",B4584=""),"Preencher CPF e entrada",IF(COUNTIFS($A$12:$A$5011,A4584,$B$12:$B$5011,B4584)&gt;1,"CPF + dia duplicado",IF(OR(AND(G4584&lt;&gt;"",G4584&lt;&gt;0,G4584&lt;&gt;1),AND(H4584&lt;&gt;"",H4584&lt;&gt;0,H4584&lt;&gt;1)),"Flags devem ser 0 ou 1",IF(AND(H4584=1,LEN(TRIM(I4584))=0),"Preencher nome do indicante",IF(AND(H4584&lt;&gt;1,I4584&lt;&gt;""),"Nome sem indicação interna",IF(AND(G4584=1,F4584=""),"Fechamento sem conversa",IF(OR(AND(E4584&lt;&gt;"",E4584&lt;B4584),AND(F4584&lt;&gt;"",F4584&lt;B4584)),"Evento anterior à entrada",IF(AND(F4584&lt;&gt;"",E4584=""),"Conversa sem agendamento",IF(OR(E4584&gt;TODAY(),F4584&gt;TODAY()),"Verificar evento futuro","OK"))))))))))</f>
        <v/>
      </c>
    </row>
    <row r="4585" spans="12:15">
      <c r="L4585" s="5">
        <f>IF(OR(A4585="",B4585=""),"",B4585-WEEKDAY(B4585,2)+1)</f>
        <v/>
      </c>
      <c r="M4585" s="5">
        <f>IF(L4585="","",L4585+6)</f>
        <v/>
      </c>
      <c r="N4585" s="6">
        <f>IF(OR(A4585="",B4585=""),"",DATE(YEAR(B4585),MONTH(B4585),1))</f>
        <v/>
      </c>
      <c r="O4585" s="7">
        <f>IF(COUNTA(A4585:K4585)=0,"",IF(OR(A4585="",B4585=""),"Preencher CPF e entrada",IF(COUNTIFS($A$12:$A$5011,A4585,$B$12:$B$5011,B4585)&gt;1,"CPF + dia duplicado",IF(OR(AND(G4585&lt;&gt;"",G4585&lt;&gt;0,G4585&lt;&gt;1),AND(H4585&lt;&gt;"",H4585&lt;&gt;0,H4585&lt;&gt;1)),"Flags devem ser 0 ou 1",IF(AND(H4585=1,LEN(TRIM(I4585))=0),"Preencher nome do indicante",IF(AND(H4585&lt;&gt;1,I4585&lt;&gt;""),"Nome sem indicação interna",IF(AND(G4585=1,F4585=""),"Fechamento sem conversa",IF(OR(AND(E4585&lt;&gt;"",E4585&lt;B4585),AND(F4585&lt;&gt;"",F4585&lt;B4585)),"Evento anterior à entrada",IF(AND(F4585&lt;&gt;"",E4585=""),"Conversa sem agendamento",IF(OR(E4585&gt;TODAY(),F4585&gt;TODAY()),"Verificar evento futuro","OK"))))))))))</f>
        <v/>
      </c>
    </row>
    <row r="4586" spans="12:15">
      <c r="L4586" s="5">
        <f>IF(OR(A4586="",B4586=""),"",B4586-WEEKDAY(B4586,2)+1)</f>
        <v/>
      </c>
      <c r="M4586" s="5">
        <f>IF(L4586="","",L4586+6)</f>
        <v/>
      </c>
      <c r="N4586" s="6">
        <f>IF(OR(A4586="",B4586=""),"",DATE(YEAR(B4586),MONTH(B4586),1))</f>
        <v/>
      </c>
      <c r="O4586" s="7">
        <f>IF(COUNTA(A4586:K4586)=0,"",IF(OR(A4586="",B4586=""),"Preencher CPF e entrada",IF(COUNTIFS($A$12:$A$5011,A4586,$B$12:$B$5011,B4586)&gt;1,"CPF + dia duplicado",IF(OR(AND(G4586&lt;&gt;"",G4586&lt;&gt;0,G4586&lt;&gt;1),AND(H4586&lt;&gt;"",H4586&lt;&gt;0,H4586&lt;&gt;1)),"Flags devem ser 0 ou 1",IF(AND(H4586=1,LEN(TRIM(I4586))=0),"Preencher nome do indicante",IF(AND(H4586&lt;&gt;1,I4586&lt;&gt;""),"Nome sem indicação interna",IF(AND(G4586=1,F4586=""),"Fechamento sem conversa",IF(OR(AND(E4586&lt;&gt;"",E4586&lt;B4586),AND(F4586&lt;&gt;"",F4586&lt;B4586)),"Evento anterior à entrada",IF(AND(F4586&lt;&gt;"",E4586=""),"Conversa sem agendamento",IF(OR(E4586&gt;TODAY(),F4586&gt;TODAY()),"Verificar evento futuro","OK"))))))))))</f>
        <v/>
      </c>
    </row>
    <row r="4587" spans="12:15">
      <c r="L4587" s="5">
        <f>IF(OR(A4587="",B4587=""),"",B4587-WEEKDAY(B4587,2)+1)</f>
        <v/>
      </c>
      <c r="M4587" s="5">
        <f>IF(L4587="","",L4587+6)</f>
        <v/>
      </c>
      <c r="N4587" s="6">
        <f>IF(OR(A4587="",B4587=""),"",DATE(YEAR(B4587),MONTH(B4587),1))</f>
        <v/>
      </c>
      <c r="O4587" s="7">
        <f>IF(COUNTA(A4587:K4587)=0,"",IF(OR(A4587="",B4587=""),"Preencher CPF e entrada",IF(COUNTIFS($A$12:$A$5011,A4587,$B$12:$B$5011,B4587)&gt;1,"CPF + dia duplicado",IF(OR(AND(G4587&lt;&gt;"",G4587&lt;&gt;0,G4587&lt;&gt;1),AND(H4587&lt;&gt;"",H4587&lt;&gt;0,H4587&lt;&gt;1)),"Flags devem ser 0 ou 1",IF(AND(H4587=1,LEN(TRIM(I4587))=0),"Preencher nome do indicante",IF(AND(H4587&lt;&gt;1,I4587&lt;&gt;""),"Nome sem indicação interna",IF(AND(G4587=1,F4587=""),"Fechamento sem conversa",IF(OR(AND(E4587&lt;&gt;"",E4587&lt;B4587),AND(F4587&lt;&gt;"",F4587&lt;B4587)),"Evento anterior à entrada",IF(AND(F4587&lt;&gt;"",E4587=""),"Conversa sem agendamento",IF(OR(E4587&gt;TODAY(),F4587&gt;TODAY()),"Verificar evento futuro","OK"))))))))))</f>
        <v/>
      </c>
    </row>
    <row r="4588" spans="12:15">
      <c r="L4588" s="5">
        <f>IF(OR(A4588="",B4588=""),"",B4588-WEEKDAY(B4588,2)+1)</f>
        <v/>
      </c>
      <c r="M4588" s="5">
        <f>IF(L4588="","",L4588+6)</f>
        <v/>
      </c>
      <c r="N4588" s="6">
        <f>IF(OR(A4588="",B4588=""),"",DATE(YEAR(B4588),MONTH(B4588),1))</f>
        <v/>
      </c>
      <c r="O4588" s="7">
        <f>IF(COUNTA(A4588:K4588)=0,"",IF(OR(A4588="",B4588=""),"Preencher CPF e entrada",IF(COUNTIFS($A$12:$A$5011,A4588,$B$12:$B$5011,B4588)&gt;1,"CPF + dia duplicado",IF(OR(AND(G4588&lt;&gt;"",G4588&lt;&gt;0,G4588&lt;&gt;1),AND(H4588&lt;&gt;"",H4588&lt;&gt;0,H4588&lt;&gt;1)),"Flags devem ser 0 ou 1",IF(AND(H4588=1,LEN(TRIM(I4588))=0),"Preencher nome do indicante",IF(AND(H4588&lt;&gt;1,I4588&lt;&gt;""),"Nome sem indicação interna",IF(AND(G4588=1,F4588=""),"Fechamento sem conversa",IF(OR(AND(E4588&lt;&gt;"",E4588&lt;B4588),AND(F4588&lt;&gt;"",F4588&lt;B4588)),"Evento anterior à entrada",IF(AND(F4588&lt;&gt;"",E4588=""),"Conversa sem agendamento",IF(OR(E4588&gt;TODAY(),F4588&gt;TODAY()),"Verificar evento futuro","OK"))))))))))</f>
        <v/>
      </c>
    </row>
    <row r="4589" spans="12:15">
      <c r="L4589" s="5">
        <f>IF(OR(A4589="",B4589=""),"",B4589-WEEKDAY(B4589,2)+1)</f>
        <v/>
      </c>
      <c r="M4589" s="5">
        <f>IF(L4589="","",L4589+6)</f>
        <v/>
      </c>
      <c r="N4589" s="6">
        <f>IF(OR(A4589="",B4589=""),"",DATE(YEAR(B4589),MONTH(B4589),1))</f>
        <v/>
      </c>
      <c r="O4589" s="7">
        <f>IF(COUNTA(A4589:K4589)=0,"",IF(OR(A4589="",B4589=""),"Preencher CPF e entrada",IF(COUNTIFS($A$12:$A$5011,A4589,$B$12:$B$5011,B4589)&gt;1,"CPF + dia duplicado",IF(OR(AND(G4589&lt;&gt;"",G4589&lt;&gt;0,G4589&lt;&gt;1),AND(H4589&lt;&gt;"",H4589&lt;&gt;0,H4589&lt;&gt;1)),"Flags devem ser 0 ou 1",IF(AND(H4589=1,LEN(TRIM(I4589))=0),"Preencher nome do indicante",IF(AND(H4589&lt;&gt;1,I4589&lt;&gt;""),"Nome sem indicação interna",IF(AND(G4589=1,F4589=""),"Fechamento sem conversa",IF(OR(AND(E4589&lt;&gt;"",E4589&lt;B4589),AND(F4589&lt;&gt;"",F4589&lt;B4589)),"Evento anterior à entrada",IF(AND(F4589&lt;&gt;"",E4589=""),"Conversa sem agendamento",IF(OR(E4589&gt;TODAY(),F4589&gt;TODAY()),"Verificar evento futuro","OK"))))))))))</f>
        <v/>
      </c>
    </row>
    <row r="4590" spans="12:15">
      <c r="L4590" s="5">
        <f>IF(OR(A4590="",B4590=""),"",B4590-WEEKDAY(B4590,2)+1)</f>
        <v/>
      </c>
      <c r="M4590" s="5">
        <f>IF(L4590="","",L4590+6)</f>
        <v/>
      </c>
      <c r="N4590" s="6">
        <f>IF(OR(A4590="",B4590=""),"",DATE(YEAR(B4590),MONTH(B4590),1))</f>
        <v/>
      </c>
      <c r="O4590" s="7">
        <f>IF(COUNTA(A4590:K4590)=0,"",IF(OR(A4590="",B4590=""),"Preencher CPF e entrada",IF(COUNTIFS($A$12:$A$5011,A4590,$B$12:$B$5011,B4590)&gt;1,"CPF + dia duplicado",IF(OR(AND(G4590&lt;&gt;"",G4590&lt;&gt;0,G4590&lt;&gt;1),AND(H4590&lt;&gt;"",H4590&lt;&gt;0,H4590&lt;&gt;1)),"Flags devem ser 0 ou 1",IF(AND(H4590=1,LEN(TRIM(I4590))=0),"Preencher nome do indicante",IF(AND(H4590&lt;&gt;1,I4590&lt;&gt;""),"Nome sem indicação interna",IF(AND(G4590=1,F4590=""),"Fechamento sem conversa",IF(OR(AND(E4590&lt;&gt;"",E4590&lt;B4590),AND(F4590&lt;&gt;"",F4590&lt;B4590)),"Evento anterior à entrada",IF(AND(F4590&lt;&gt;"",E4590=""),"Conversa sem agendamento",IF(OR(E4590&gt;TODAY(),F4590&gt;TODAY()),"Verificar evento futuro","OK"))))))))))</f>
        <v/>
      </c>
    </row>
    <row r="4591" spans="12:15">
      <c r="L4591" s="5">
        <f>IF(OR(A4591="",B4591=""),"",B4591-WEEKDAY(B4591,2)+1)</f>
        <v/>
      </c>
      <c r="M4591" s="5">
        <f>IF(L4591="","",L4591+6)</f>
        <v/>
      </c>
      <c r="N4591" s="6">
        <f>IF(OR(A4591="",B4591=""),"",DATE(YEAR(B4591),MONTH(B4591),1))</f>
        <v/>
      </c>
      <c r="O4591" s="7">
        <f>IF(COUNTA(A4591:K4591)=0,"",IF(OR(A4591="",B4591=""),"Preencher CPF e entrada",IF(COUNTIFS($A$12:$A$5011,A4591,$B$12:$B$5011,B4591)&gt;1,"CPF + dia duplicado",IF(OR(AND(G4591&lt;&gt;"",G4591&lt;&gt;0,G4591&lt;&gt;1),AND(H4591&lt;&gt;"",H4591&lt;&gt;0,H4591&lt;&gt;1)),"Flags devem ser 0 ou 1",IF(AND(H4591=1,LEN(TRIM(I4591))=0),"Preencher nome do indicante",IF(AND(H4591&lt;&gt;1,I4591&lt;&gt;""),"Nome sem indicação interna",IF(AND(G4591=1,F4591=""),"Fechamento sem conversa",IF(OR(AND(E4591&lt;&gt;"",E4591&lt;B4591),AND(F4591&lt;&gt;"",F4591&lt;B4591)),"Evento anterior à entrada",IF(AND(F4591&lt;&gt;"",E4591=""),"Conversa sem agendamento",IF(OR(E4591&gt;TODAY(),F4591&gt;TODAY()),"Verificar evento futuro","OK"))))))))))</f>
        <v/>
      </c>
    </row>
    <row r="4592" spans="12:15">
      <c r="L4592" s="5">
        <f>IF(OR(A4592="",B4592=""),"",B4592-WEEKDAY(B4592,2)+1)</f>
        <v/>
      </c>
      <c r="M4592" s="5">
        <f>IF(L4592="","",L4592+6)</f>
        <v/>
      </c>
      <c r="N4592" s="6">
        <f>IF(OR(A4592="",B4592=""),"",DATE(YEAR(B4592),MONTH(B4592),1))</f>
        <v/>
      </c>
      <c r="O4592" s="7">
        <f>IF(COUNTA(A4592:K4592)=0,"",IF(OR(A4592="",B4592=""),"Preencher CPF e entrada",IF(COUNTIFS($A$12:$A$5011,A4592,$B$12:$B$5011,B4592)&gt;1,"CPF + dia duplicado",IF(OR(AND(G4592&lt;&gt;"",G4592&lt;&gt;0,G4592&lt;&gt;1),AND(H4592&lt;&gt;"",H4592&lt;&gt;0,H4592&lt;&gt;1)),"Flags devem ser 0 ou 1",IF(AND(H4592=1,LEN(TRIM(I4592))=0),"Preencher nome do indicante",IF(AND(H4592&lt;&gt;1,I4592&lt;&gt;""),"Nome sem indicação interna",IF(AND(G4592=1,F4592=""),"Fechamento sem conversa",IF(OR(AND(E4592&lt;&gt;"",E4592&lt;B4592),AND(F4592&lt;&gt;"",F4592&lt;B4592)),"Evento anterior à entrada",IF(AND(F4592&lt;&gt;"",E4592=""),"Conversa sem agendamento",IF(OR(E4592&gt;TODAY(),F4592&gt;TODAY()),"Verificar evento futuro","OK"))))))))))</f>
        <v/>
      </c>
    </row>
    <row r="4593" spans="12:15">
      <c r="L4593" s="5">
        <f>IF(OR(A4593="",B4593=""),"",B4593-WEEKDAY(B4593,2)+1)</f>
        <v/>
      </c>
      <c r="M4593" s="5">
        <f>IF(L4593="","",L4593+6)</f>
        <v/>
      </c>
      <c r="N4593" s="6">
        <f>IF(OR(A4593="",B4593=""),"",DATE(YEAR(B4593),MONTH(B4593),1))</f>
        <v/>
      </c>
      <c r="O4593" s="7">
        <f>IF(COUNTA(A4593:K4593)=0,"",IF(OR(A4593="",B4593=""),"Preencher CPF e entrada",IF(COUNTIFS($A$12:$A$5011,A4593,$B$12:$B$5011,B4593)&gt;1,"CPF + dia duplicado",IF(OR(AND(G4593&lt;&gt;"",G4593&lt;&gt;0,G4593&lt;&gt;1),AND(H4593&lt;&gt;"",H4593&lt;&gt;0,H4593&lt;&gt;1)),"Flags devem ser 0 ou 1",IF(AND(H4593=1,LEN(TRIM(I4593))=0),"Preencher nome do indicante",IF(AND(H4593&lt;&gt;1,I4593&lt;&gt;""),"Nome sem indicação interna",IF(AND(G4593=1,F4593=""),"Fechamento sem conversa",IF(OR(AND(E4593&lt;&gt;"",E4593&lt;B4593),AND(F4593&lt;&gt;"",F4593&lt;B4593)),"Evento anterior à entrada",IF(AND(F4593&lt;&gt;"",E4593=""),"Conversa sem agendamento",IF(OR(E4593&gt;TODAY(),F4593&gt;TODAY()),"Verificar evento futuro","OK"))))))))))</f>
        <v/>
      </c>
    </row>
    <row r="4594" spans="12:15">
      <c r="L4594" s="5">
        <f>IF(OR(A4594="",B4594=""),"",B4594-WEEKDAY(B4594,2)+1)</f>
        <v/>
      </c>
      <c r="M4594" s="5">
        <f>IF(L4594="","",L4594+6)</f>
        <v/>
      </c>
      <c r="N4594" s="6">
        <f>IF(OR(A4594="",B4594=""),"",DATE(YEAR(B4594),MONTH(B4594),1))</f>
        <v/>
      </c>
      <c r="O4594" s="7">
        <f>IF(COUNTA(A4594:K4594)=0,"",IF(OR(A4594="",B4594=""),"Preencher CPF e entrada",IF(COUNTIFS($A$12:$A$5011,A4594,$B$12:$B$5011,B4594)&gt;1,"CPF + dia duplicado",IF(OR(AND(G4594&lt;&gt;"",G4594&lt;&gt;0,G4594&lt;&gt;1),AND(H4594&lt;&gt;"",H4594&lt;&gt;0,H4594&lt;&gt;1)),"Flags devem ser 0 ou 1",IF(AND(H4594=1,LEN(TRIM(I4594))=0),"Preencher nome do indicante",IF(AND(H4594&lt;&gt;1,I4594&lt;&gt;""),"Nome sem indicação interna",IF(AND(G4594=1,F4594=""),"Fechamento sem conversa",IF(OR(AND(E4594&lt;&gt;"",E4594&lt;B4594),AND(F4594&lt;&gt;"",F4594&lt;B4594)),"Evento anterior à entrada",IF(AND(F4594&lt;&gt;"",E4594=""),"Conversa sem agendamento",IF(OR(E4594&gt;TODAY(),F4594&gt;TODAY()),"Verificar evento futuro","OK"))))))))))</f>
        <v/>
      </c>
    </row>
    <row r="4595" spans="12:15">
      <c r="L4595" s="5">
        <f>IF(OR(A4595="",B4595=""),"",B4595-WEEKDAY(B4595,2)+1)</f>
        <v/>
      </c>
      <c r="M4595" s="5">
        <f>IF(L4595="","",L4595+6)</f>
        <v/>
      </c>
      <c r="N4595" s="6">
        <f>IF(OR(A4595="",B4595=""),"",DATE(YEAR(B4595),MONTH(B4595),1))</f>
        <v/>
      </c>
      <c r="O4595" s="7">
        <f>IF(COUNTA(A4595:K4595)=0,"",IF(OR(A4595="",B4595=""),"Preencher CPF e entrada",IF(COUNTIFS($A$12:$A$5011,A4595,$B$12:$B$5011,B4595)&gt;1,"CPF + dia duplicado",IF(OR(AND(G4595&lt;&gt;"",G4595&lt;&gt;0,G4595&lt;&gt;1),AND(H4595&lt;&gt;"",H4595&lt;&gt;0,H4595&lt;&gt;1)),"Flags devem ser 0 ou 1",IF(AND(H4595=1,LEN(TRIM(I4595))=0),"Preencher nome do indicante",IF(AND(H4595&lt;&gt;1,I4595&lt;&gt;""),"Nome sem indicação interna",IF(AND(G4595=1,F4595=""),"Fechamento sem conversa",IF(OR(AND(E4595&lt;&gt;"",E4595&lt;B4595),AND(F4595&lt;&gt;"",F4595&lt;B4595)),"Evento anterior à entrada",IF(AND(F4595&lt;&gt;"",E4595=""),"Conversa sem agendamento",IF(OR(E4595&gt;TODAY(),F4595&gt;TODAY()),"Verificar evento futuro","OK"))))))))))</f>
        <v/>
      </c>
    </row>
    <row r="4596" spans="12:15">
      <c r="L4596" s="5">
        <f>IF(OR(A4596="",B4596=""),"",B4596-WEEKDAY(B4596,2)+1)</f>
        <v/>
      </c>
      <c r="M4596" s="5">
        <f>IF(L4596="","",L4596+6)</f>
        <v/>
      </c>
      <c r="N4596" s="6">
        <f>IF(OR(A4596="",B4596=""),"",DATE(YEAR(B4596),MONTH(B4596),1))</f>
        <v/>
      </c>
      <c r="O4596" s="7">
        <f>IF(COUNTA(A4596:K4596)=0,"",IF(OR(A4596="",B4596=""),"Preencher CPF e entrada",IF(COUNTIFS($A$12:$A$5011,A4596,$B$12:$B$5011,B4596)&gt;1,"CPF + dia duplicado",IF(OR(AND(G4596&lt;&gt;"",G4596&lt;&gt;0,G4596&lt;&gt;1),AND(H4596&lt;&gt;"",H4596&lt;&gt;0,H4596&lt;&gt;1)),"Flags devem ser 0 ou 1",IF(AND(H4596=1,LEN(TRIM(I4596))=0),"Preencher nome do indicante",IF(AND(H4596&lt;&gt;1,I4596&lt;&gt;""),"Nome sem indicação interna",IF(AND(G4596=1,F4596=""),"Fechamento sem conversa",IF(OR(AND(E4596&lt;&gt;"",E4596&lt;B4596),AND(F4596&lt;&gt;"",F4596&lt;B4596)),"Evento anterior à entrada",IF(AND(F4596&lt;&gt;"",E4596=""),"Conversa sem agendamento",IF(OR(E4596&gt;TODAY(),F4596&gt;TODAY()),"Verificar evento futuro","OK"))))))))))</f>
        <v/>
      </c>
    </row>
    <row r="4597" spans="12:15">
      <c r="L4597" s="5">
        <f>IF(OR(A4597="",B4597=""),"",B4597-WEEKDAY(B4597,2)+1)</f>
        <v/>
      </c>
      <c r="M4597" s="5">
        <f>IF(L4597="","",L4597+6)</f>
        <v/>
      </c>
      <c r="N4597" s="6">
        <f>IF(OR(A4597="",B4597=""),"",DATE(YEAR(B4597),MONTH(B4597),1))</f>
        <v/>
      </c>
      <c r="O4597" s="7">
        <f>IF(COUNTA(A4597:K4597)=0,"",IF(OR(A4597="",B4597=""),"Preencher CPF e entrada",IF(COUNTIFS($A$12:$A$5011,A4597,$B$12:$B$5011,B4597)&gt;1,"CPF + dia duplicado",IF(OR(AND(G4597&lt;&gt;"",G4597&lt;&gt;0,G4597&lt;&gt;1),AND(H4597&lt;&gt;"",H4597&lt;&gt;0,H4597&lt;&gt;1)),"Flags devem ser 0 ou 1",IF(AND(H4597=1,LEN(TRIM(I4597))=0),"Preencher nome do indicante",IF(AND(H4597&lt;&gt;1,I4597&lt;&gt;""),"Nome sem indicação interna",IF(AND(G4597=1,F4597=""),"Fechamento sem conversa",IF(OR(AND(E4597&lt;&gt;"",E4597&lt;B4597),AND(F4597&lt;&gt;"",F4597&lt;B4597)),"Evento anterior à entrada",IF(AND(F4597&lt;&gt;"",E4597=""),"Conversa sem agendamento",IF(OR(E4597&gt;TODAY(),F4597&gt;TODAY()),"Verificar evento futuro","OK"))))))))))</f>
        <v/>
      </c>
    </row>
    <row r="4598" spans="12:15">
      <c r="L4598" s="5">
        <f>IF(OR(A4598="",B4598=""),"",B4598-WEEKDAY(B4598,2)+1)</f>
        <v/>
      </c>
      <c r="M4598" s="5">
        <f>IF(L4598="","",L4598+6)</f>
        <v/>
      </c>
      <c r="N4598" s="6">
        <f>IF(OR(A4598="",B4598=""),"",DATE(YEAR(B4598),MONTH(B4598),1))</f>
        <v/>
      </c>
      <c r="O4598" s="7">
        <f>IF(COUNTA(A4598:K4598)=0,"",IF(OR(A4598="",B4598=""),"Preencher CPF e entrada",IF(COUNTIFS($A$12:$A$5011,A4598,$B$12:$B$5011,B4598)&gt;1,"CPF + dia duplicado",IF(OR(AND(G4598&lt;&gt;"",G4598&lt;&gt;0,G4598&lt;&gt;1),AND(H4598&lt;&gt;"",H4598&lt;&gt;0,H4598&lt;&gt;1)),"Flags devem ser 0 ou 1",IF(AND(H4598=1,LEN(TRIM(I4598))=0),"Preencher nome do indicante",IF(AND(H4598&lt;&gt;1,I4598&lt;&gt;""),"Nome sem indicação interna",IF(AND(G4598=1,F4598=""),"Fechamento sem conversa",IF(OR(AND(E4598&lt;&gt;"",E4598&lt;B4598),AND(F4598&lt;&gt;"",F4598&lt;B4598)),"Evento anterior à entrada",IF(AND(F4598&lt;&gt;"",E4598=""),"Conversa sem agendamento",IF(OR(E4598&gt;TODAY(),F4598&gt;TODAY()),"Verificar evento futuro","OK"))))))))))</f>
        <v/>
      </c>
    </row>
    <row r="4599" spans="12:15">
      <c r="L4599" s="5">
        <f>IF(OR(A4599="",B4599=""),"",B4599-WEEKDAY(B4599,2)+1)</f>
        <v/>
      </c>
      <c r="M4599" s="5">
        <f>IF(L4599="","",L4599+6)</f>
        <v/>
      </c>
      <c r="N4599" s="6">
        <f>IF(OR(A4599="",B4599=""),"",DATE(YEAR(B4599),MONTH(B4599),1))</f>
        <v/>
      </c>
      <c r="O4599" s="7">
        <f>IF(COUNTA(A4599:K4599)=0,"",IF(OR(A4599="",B4599=""),"Preencher CPF e entrada",IF(COUNTIFS($A$12:$A$5011,A4599,$B$12:$B$5011,B4599)&gt;1,"CPF + dia duplicado",IF(OR(AND(G4599&lt;&gt;"",G4599&lt;&gt;0,G4599&lt;&gt;1),AND(H4599&lt;&gt;"",H4599&lt;&gt;0,H4599&lt;&gt;1)),"Flags devem ser 0 ou 1",IF(AND(H4599=1,LEN(TRIM(I4599))=0),"Preencher nome do indicante",IF(AND(H4599&lt;&gt;1,I4599&lt;&gt;""),"Nome sem indicação interna",IF(AND(G4599=1,F4599=""),"Fechamento sem conversa",IF(OR(AND(E4599&lt;&gt;"",E4599&lt;B4599),AND(F4599&lt;&gt;"",F4599&lt;B4599)),"Evento anterior à entrada",IF(AND(F4599&lt;&gt;"",E4599=""),"Conversa sem agendamento",IF(OR(E4599&gt;TODAY(),F4599&gt;TODAY()),"Verificar evento futuro","OK"))))))))))</f>
        <v/>
      </c>
    </row>
    <row r="4600" spans="12:15">
      <c r="L4600" s="5">
        <f>IF(OR(A4600="",B4600=""),"",B4600-WEEKDAY(B4600,2)+1)</f>
        <v/>
      </c>
      <c r="M4600" s="5">
        <f>IF(L4600="","",L4600+6)</f>
        <v/>
      </c>
      <c r="N4600" s="6">
        <f>IF(OR(A4600="",B4600=""),"",DATE(YEAR(B4600),MONTH(B4600),1))</f>
        <v/>
      </c>
      <c r="O4600" s="7">
        <f>IF(COUNTA(A4600:K4600)=0,"",IF(OR(A4600="",B4600=""),"Preencher CPF e entrada",IF(COUNTIFS($A$12:$A$5011,A4600,$B$12:$B$5011,B4600)&gt;1,"CPF + dia duplicado",IF(OR(AND(G4600&lt;&gt;"",G4600&lt;&gt;0,G4600&lt;&gt;1),AND(H4600&lt;&gt;"",H4600&lt;&gt;0,H4600&lt;&gt;1)),"Flags devem ser 0 ou 1",IF(AND(H4600=1,LEN(TRIM(I4600))=0),"Preencher nome do indicante",IF(AND(H4600&lt;&gt;1,I4600&lt;&gt;""),"Nome sem indicação interna",IF(AND(G4600=1,F4600=""),"Fechamento sem conversa",IF(OR(AND(E4600&lt;&gt;"",E4600&lt;B4600),AND(F4600&lt;&gt;"",F4600&lt;B4600)),"Evento anterior à entrada",IF(AND(F4600&lt;&gt;"",E4600=""),"Conversa sem agendamento",IF(OR(E4600&gt;TODAY(),F4600&gt;TODAY()),"Verificar evento futuro","OK"))))))))))</f>
        <v/>
      </c>
    </row>
    <row r="4601" spans="12:15">
      <c r="L4601" s="5">
        <f>IF(OR(A4601="",B4601=""),"",B4601-WEEKDAY(B4601,2)+1)</f>
        <v/>
      </c>
      <c r="M4601" s="5">
        <f>IF(L4601="","",L4601+6)</f>
        <v/>
      </c>
      <c r="N4601" s="6">
        <f>IF(OR(A4601="",B4601=""),"",DATE(YEAR(B4601),MONTH(B4601),1))</f>
        <v/>
      </c>
      <c r="O4601" s="7">
        <f>IF(COUNTA(A4601:K4601)=0,"",IF(OR(A4601="",B4601=""),"Preencher CPF e entrada",IF(COUNTIFS($A$12:$A$5011,A4601,$B$12:$B$5011,B4601)&gt;1,"CPF + dia duplicado",IF(OR(AND(G4601&lt;&gt;"",G4601&lt;&gt;0,G4601&lt;&gt;1),AND(H4601&lt;&gt;"",H4601&lt;&gt;0,H4601&lt;&gt;1)),"Flags devem ser 0 ou 1",IF(AND(H4601=1,LEN(TRIM(I4601))=0),"Preencher nome do indicante",IF(AND(H4601&lt;&gt;1,I4601&lt;&gt;""),"Nome sem indicação interna",IF(AND(G4601=1,F4601=""),"Fechamento sem conversa",IF(OR(AND(E4601&lt;&gt;"",E4601&lt;B4601),AND(F4601&lt;&gt;"",F4601&lt;B4601)),"Evento anterior à entrada",IF(AND(F4601&lt;&gt;"",E4601=""),"Conversa sem agendamento",IF(OR(E4601&gt;TODAY(),F4601&gt;TODAY()),"Verificar evento futuro","OK"))))))))))</f>
        <v/>
      </c>
    </row>
    <row r="4602" spans="12:15">
      <c r="L4602" s="5">
        <f>IF(OR(A4602="",B4602=""),"",B4602-WEEKDAY(B4602,2)+1)</f>
        <v/>
      </c>
      <c r="M4602" s="5">
        <f>IF(L4602="","",L4602+6)</f>
        <v/>
      </c>
      <c r="N4602" s="6">
        <f>IF(OR(A4602="",B4602=""),"",DATE(YEAR(B4602),MONTH(B4602),1))</f>
        <v/>
      </c>
      <c r="O4602" s="7">
        <f>IF(COUNTA(A4602:K4602)=0,"",IF(OR(A4602="",B4602=""),"Preencher CPF e entrada",IF(COUNTIFS($A$12:$A$5011,A4602,$B$12:$B$5011,B4602)&gt;1,"CPF + dia duplicado",IF(OR(AND(G4602&lt;&gt;"",G4602&lt;&gt;0,G4602&lt;&gt;1),AND(H4602&lt;&gt;"",H4602&lt;&gt;0,H4602&lt;&gt;1)),"Flags devem ser 0 ou 1",IF(AND(H4602=1,LEN(TRIM(I4602))=0),"Preencher nome do indicante",IF(AND(H4602&lt;&gt;1,I4602&lt;&gt;""),"Nome sem indicação interna",IF(AND(G4602=1,F4602=""),"Fechamento sem conversa",IF(OR(AND(E4602&lt;&gt;"",E4602&lt;B4602),AND(F4602&lt;&gt;"",F4602&lt;B4602)),"Evento anterior à entrada",IF(AND(F4602&lt;&gt;"",E4602=""),"Conversa sem agendamento",IF(OR(E4602&gt;TODAY(),F4602&gt;TODAY()),"Verificar evento futuro","OK"))))))))))</f>
        <v/>
      </c>
    </row>
    <row r="4603" spans="12:15">
      <c r="L4603" s="5">
        <f>IF(OR(A4603="",B4603=""),"",B4603-WEEKDAY(B4603,2)+1)</f>
        <v/>
      </c>
      <c r="M4603" s="5">
        <f>IF(L4603="","",L4603+6)</f>
        <v/>
      </c>
      <c r="N4603" s="6">
        <f>IF(OR(A4603="",B4603=""),"",DATE(YEAR(B4603),MONTH(B4603),1))</f>
        <v/>
      </c>
      <c r="O4603" s="7">
        <f>IF(COUNTA(A4603:K4603)=0,"",IF(OR(A4603="",B4603=""),"Preencher CPF e entrada",IF(COUNTIFS($A$12:$A$5011,A4603,$B$12:$B$5011,B4603)&gt;1,"CPF + dia duplicado",IF(OR(AND(G4603&lt;&gt;"",G4603&lt;&gt;0,G4603&lt;&gt;1),AND(H4603&lt;&gt;"",H4603&lt;&gt;0,H4603&lt;&gt;1)),"Flags devem ser 0 ou 1",IF(AND(H4603=1,LEN(TRIM(I4603))=0),"Preencher nome do indicante",IF(AND(H4603&lt;&gt;1,I4603&lt;&gt;""),"Nome sem indicação interna",IF(AND(G4603=1,F4603=""),"Fechamento sem conversa",IF(OR(AND(E4603&lt;&gt;"",E4603&lt;B4603),AND(F4603&lt;&gt;"",F4603&lt;B4603)),"Evento anterior à entrada",IF(AND(F4603&lt;&gt;"",E4603=""),"Conversa sem agendamento",IF(OR(E4603&gt;TODAY(),F4603&gt;TODAY()),"Verificar evento futuro","OK"))))))))))</f>
        <v/>
      </c>
    </row>
    <row r="4604" spans="12:15">
      <c r="L4604" s="5">
        <f>IF(OR(A4604="",B4604=""),"",B4604-WEEKDAY(B4604,2)+1)</f>
        <v/>
      </c>
      <c r="M4604" s="5">
        <f>IF(L4604="","",L4604+6)</f>
        <v/>
      </c>
      <c r="N4604" s="6">
        <f>IF(OR(A4604="",B4604=""),"",DATE(YEAR(B4604),MONTH(B4604),1))</f>
        <v/>
      </c>
      <c r="O4604" s="7">
        <f>IF(COUNTA(A4604:K4604)=0,"",IF(OR(A4604="",B4604=""),"Preencher CPF e entrada",IF(COUNTIFS($A$12:$A$5011,A4604,$B$12:$B$5011,B4604)&gt;1,"CPF + dia duplicado",IF(OR(AND(G4604&lt;&gt;"",G4604&lt;&gt;0,G4604&lt;&gt;1),AND(H4604&lt;&gt;"",H4604&lt;&gt;0,H4604&lt;&gt;1)),"Flags devem ser 0 ou 1",IF(AND(H4604=1,LEN(TRIM(I4604))=0),"Preencher nome do indicante",IF(AND(H4604&lt;&gt;1,I4604&lt;&gt;""),"Nome sem indicação interna",IF(AND(G4604=1,F4604=""),"Fechamento sem conversa",IF(OR(AND(E4604&lt;&gt;"",E4604&lt;B4604),AND(F4604&lt;&gt;"",F4604&lt;B4604)),"Evento anterior à entrada",IF(AND(F4604&lt;&gt;"",E4604=""),"Conversa sem agendamento",IF(OR(E4604&gt;TODAY(),F4604&gt;TODAY()),"Verificar evento futuro","OK"))))))))))</f>
        <v/>
      </c>
    </row>
    <row r="4605" spans="12:15">
      <c r="L4605" s="5">
        <f>IF(OR(A4605="",B4605=""),"",B4605-WEEKDAY(B4605,2)+1)</f>
        <v/>
      </c>
      <c r="M4605" s="5">
        <f>IF(L4605="","",L4605+6)</f>
        <v/>
      </c>
      <c r="N4605" s="6">
        <f>IF(OR(A4605="",B4605=""),"",DATE(YEAR(B4605),MONTH(B4605),1))</f>
        <v/>
      </c>
      <c r="O4605" s="7">
        <f>IF(COUNTA(A4605:K4605)=0,"",IF(OR(A4605="",B4605=""),"Preencher CPF e entrada",IF(COUNTIFS($A$12:$A$5011,A4605,$B$12:$B$5011,B4605)&gt;1,"CPF + dia duplicado",IF(OR(AND(G4605&lt;&gt;"",G4605&lt;&gt;0,G4605&lt;&gt;1),AND(H4605&lt;&gt;"",H4605&lt;&gt;0,H4605&lt;&gt;1)),"Flags devem ser 0 ou 1",IF(AND(H4605=1,LEN(TRIM(I4605))=0),"Preencher nome do indicante",IF(AND(H4605&lt;&gt;1,I4605&lt;&gt;""),"Nome sem indicação interna",IF(AND(G4605=1,F4605=""),"Fechamento sem conversa",IF(OR(AND(E4605&lt;&gt;"",E4605&lt;B4605),AND(F4605&lt;&gt;"",F4605&lt;B4605)),"Evento anterior à entrada",IF(AND(F4605&lt;&gt;"",E4605=""),"Conversa sem agendamento",IF(OR(E4605&gt;TODAY(),F4605&gt;TODAY()),"Verificar evento futuro","OK"))))))))))</f>
        <v/>
      </c>
    </row>
    <row r="4606" spans="12:15">
      <c r="L4606" s="5">
        <f>IF(OR(A4606="",B4606=""),"",B4606-WEEKDAY(B4606,2)+1)</f>
        <v/>
      </c>
      <c r="M4606" s="5">
        <f>IF(L4606="","",L4606+6)</f>
        <v/>
      </c>
      <c r="N4606" s="6">
        <f>IF(OR(A4606="",B4606=""),"",DATE(YEAR(B4606),MONTH(B4606),1))</f>
        <v/>
      </c>
      <c r="O4606" s="7">
        <f>IF(COUNTA(A4606:K4606)=0,"",IF(OR(A4606="",B4606=""),"Preencher CPF e entrada",IF(COUNTIFS($A$12:$A$5011,A4606,$B$12:$B$5011,B4606)&gt;1,"CPF + dia duplicado",IF(OR(AND(G4606&lt;&gt;"",G4606&lt;&gt;0,G4606&lt;&gt;1),AND(H4606&lt;&gt;"",H4606&lt;&gt;0,H4606&lt;&gt;1)),"Flags devem ser 0 ou 1",IF(AND(H4606=1,LEN(TRIM(I4606))=0),"Preencher nome do indicante",IF(AND(H4606&lt;&gt;1,I4606&lt;&gt;""),"Nome sem indicação interna",IF(AND(G4606=1,F4606=""),"Fechamento sem conversa",IF(OR(AND(E4606&lt;&gt;"",E4606&lt;B4606),AND(F4606&lt;&gt;"",F4606&lt;B4606)),"Evento anterior à entrada",IF(AND(F4606&lt;&gt;"",E4606=""),"Conversa sem agendamento",IF(OR(E4606&gt;TODAY(),F4606&gt;TODAY()),"Verificar evento futuro","OK"))))))))))</f>
        <v/>
      </c>
    </row>
    <row r="4607" spans="12:15">
      <c r="L4607" s="5">
        <f>IF(OR(A4607="",B4607=""),"",B4607-WEEKDAY(B4607,2)+1)</f>
        <v/>
      </c>
      <c r="M4607" s="5">
        <f>IF(L4607="","",L4607+6)</f>
        <v/>
      </c>
      <c r="N4607" s="6">
        <f>IF(OR(A4607="",B4607=""),"",DATE(YEAR(B4607),MONTH(B4607),1))</f>
        <v/>
      </c>
      <c r="O4607" s="7">
        <f>IF(COUNTA(A4607:K4607)=0,"",IF(OR(A4607="",B4607=""),"Preencher CPF e entrada",IF(COUNTIFS($A$12:$A$5011,A4607,$B$12:$B$5011,B4607)&gt;1,"CPF + dia duplicado",IF(OR(AND(G4607&lt;&gt;"",G4607&lt;&gt;0,G4607&lt;&gt;1),AND(H4607&lt;&gt;"",H4607&lt;&gt;0,H4607&lt;&gt;1)),"Flags devem ser 0 ou 1",IF(AND(H4607=1,LEN(TRIM(I4607))=0),"Preencher nome do indicante",IF(AND(H4607&lt;&gt;1,I4607&lt;&gt;""),"Nome sem indicação interna",IF(AND(G4607=1,F4607=""),"Fechamento sem conversa",IF(OR(AND(E4607&lt;&gt;"",E4607&lt;B4607),AND(F4607&lt;&gt;"",F4607&lt;B4607)),"Evento anterior à entrada",IF(AND(F4607&lt;&gt;"",E4607=""),"Conversa sem agendamento",IF(OR(E4607&gt;TODAY(),F4607&gt;TODAY()),"Verificar evento futuro","OK"))))))))))</f>
        <v/>
      </c>
    </row>
    <row r="4608" spans="12:15">
      <c r="L4608" s="5">
        <f>IF(OR(A4608="",B4608=""),"",B4608-WEEKDAY(B4608,2)+1)</f>
        <v/>
      </c>
      <c r="M4608" s="5">
        <f>IF(L4608="","",L4608+6)</f>
        <v/>
      </c>
      <c r="N4608" s="6">
        <f>IF(OR(A4608="",B4608=""),"",DATE(YEAR(B4608),MONTH(B4608),1))</f>
        <v/>
      </c>
      <c r="O4608" s="7">
        <f>IF(COUNTA(A4608:K4608)=0,"",IF(OR(A4608="",B4608=""),"Preencher CPF e entrada",IF(COUNTIFS($A$12:$A$5011,A4608,$B$12:$B$5011,B4608)&gt;1,"CPF + dia duplicado",IF(OR(AND(G4608&lt;&gt;"",G4608&lt;&gt;0,G4608&lt;&gt;1),AND(H4608&lt;&gt;"",H4608&lt;&gt;0,H4608&lt;&gt;1)),"Flags devem ser 0 ou 1",IF(AND(H4608=1,LEN(TRIM(I4608))=0),"Preencher nome do indicante",IF(AND(H4608&lt;&gt;1,I4608&lt;&gt;""),"Nome sem indicação interna",IF(AND(G4608=1,F4608=""),"Fechamento sem conversa",IF(OR(AND(E4608&lt;&gt;"",E4608&lt;B4608),AND(F4608&lt;&gt;"",F4608&lt;B4608)),"Evento anterior à entrada",IF(AND(F4608&lt;&gt;"",E4608=""),"Conversa sem agendamento",IF(OR(E4608&gt;TODAY(),F4608&gt;TODAY()),"Verificar evento futuro","OK"))))))))))</f>
        <v/>
      </c>
    </row>
    <row r="4609" spans="12:15">
      <c r="L4609" s="5">
        <f>IF(OR(A4609="",B4609=""),"",B4609-WEEKDAY(B4609,2)+1)</f>
        <v/>
      </c>
      <c r="M4609" s="5">
        <f>IF(L4609="","",L4609+6)</f>
        <v/>
      </c>
      <c r="N4609" s="6">
        <f>IF(OR(A4609="",B4609=""),"",DATE(YEAR(B4609),MONTH(B4609),1))</f>
        <v/>
      </c>
      <c r="O4609" s="7">
        <f>IF(COUNTA(A4609:K4609)=0,"",IF(OR(A4609="",B4609=""),"Preencher CPF e entrada",IF(COUNTIFS($A$12:$A$5011,A4609,$B$12:$B$5011,B4609)&gt;1,"CPF + dia duplicado",IF(OR(AND(G4609&lt;&gt;"",G4609&lt;&gt;0,G4609&lt;&gt;1),AND(H4609&lt;&gt;"",H4609&lt;&gt;0,H4609&lt;&gt;1)),"Flags devem ser 0 ou 1",IF(AND(H4609=1,LEN(TRIM(I4609))=0),"Preencher nome do indicante",IF(AND(H4609&lt;&gt;1,I4609&lt;&gt;""),"Nome sem indicação interna",IF(AND(G4609=1,F4609=""),"Fechamento sem conversa",IF(OR(AND(E4609&lt;&gt;"",E4609&lt;B4609),AND(F4609&lt;&gt;"",F4609&lt;B4609)),"Evento anterior à entrada",IF(AND(F4609&lt;&gt;"",E4609=""),"Conversa sem agendamento",IF(OR(E4609&gt;TODAY(),F4609&gt;TODAY()),"Verificar evento futuro","OK"))))))))))</f>
        <v/>
      </c>
    </row>
    <row r="4610" spans="12:15">
      <c r="L4610" s="5">
        <f>IF(OR(A4610="",B4610=""),"",B4610-WEEKDAY(B4610,2)+1)</f>
        <v/>
      </c>
      <c r="M4610" s="5">
        <f>IF(L4610="","",L4610+6)</f>
        <v/>
      </c>
      <c r="N4610" s="6">
        <f>IF(OR(A4610="",B4610=""),"",DATE(YEAR(B4610),MONTH(B4610),1))</f>
        <v/>
      </c>
      <c r="O4610" s="7">
        <f>IF(COUNTA(A4610:K4610)=0,"",IF(OR(A4610="",B4610=""),"Preencher CPF e entrada",IF(COUNTIFS($A$12:$A$5011,A4610,$B$12:$B$5011,B4610)&gt;1,"CPF + dia duplicado",IF(OR(AND(G4610&lt;&gt;"",G4610&lt;&gt;0,G4610&lt;&gt;1),AND(H4610&lt;&gt;"",H4610&lt;&gt;0,H4610&lt;&gt;1)),"Flags devem ser 0 ou 1",IF(AND(H4610=1,LEN(TRIM(I4610))=0),"Preencher nome do indicante",IF(AND(H4610&lt;&gt;1,I4610&lt;&gt;""),"Nome sem indicação interna",IF(AND(G4610=1,F4610=""),"Fechamento sem conversa",IF(OR(AND(E4610&lt;&gt;"",E4610&lt;B4610),AND(F4610&lt;&gt;"",F4610&lt;B4610)),"Evento anterior à entrada",IF(AND(F4610&lt;&gt;"",E4610=""),"Conversa sem agendamento",IF(OR(E4610&gt;TODAY(),F4610&gt;TODAY()),"Verificar evento futuro","OK"))))))))))</f>
        <v/>
      </c>
    </row>
    <row r="4611" spans="12:15">
      <c r="L4611" s="5">
        <f>IF(OR(A4611="",B4611=""),"",B4611-WEEKDAY(B4611,2)+1)</f>
        <v/>
      </c>
      <c r="M4611" s="5">
        <f>IF(L4611="","",L4611+6)</f>
        <v/>
      </c>
      <c r="N4611" s="6">
        <f>IF(OR(A4611="",B4611=""),"",DATE(YEAR(B4611),MONTH(B4611),1))</f>
        <v/>
      </c>
      <c r="O4611" s="7">
        <f>IF(COUNTA(A4611:K4611)=0,"",IF(OR(A4611="",B4611=""),"Preencher CPF e entrada",IF(COUNTIFS($A$12:$A$5011,A4611,$B$12:$B$5011,B4611)&gt;1,"CPF + dia duplicado",IF(OR(AND(G4611&lt;&gt;"",G4611&lt;&gt;0,G4611&lt;&gt;1),AND(H4611&lt;&gt;"",H4611&lt;&gt;0,H4611&lt;&gt;1)),"Flags devem ser 0 ou 1",IF(AND(H4611=1,LEN(TRIM(I4611))=0),"Preencher nome do indicante",IF(AND(H4611&lt;&gt;1,I4611&lt;&gt;""),"Nome sem indicação interna",IF(AND(G4611=1,F4611=""),"Fechamento sem conversa",IF(OR(AND(E4611&lt;&gt;"",E4611&lt;B4611),AND(F4611&lt;&gt;"",F4611&lt;B4611)),"Evento anterior à entrada",IF(AND(F4611&lt;&gt;"",E4611=""),"Conversa sem agendamento",IF(OR(E4611&gt;TODAY(),F4611&gt;TODAY()),"Verificar evento futuro","OK"))))))))))</f>
        <v/>
      </c>
    </row>
    <row r="4612" spans="12:15">
      <c r="L4612" s="5">
        <f>IF(OR(A4612="",B4612=""),"",B4612-WEEKDAY(B4612,2)+1)</f>
        <v/>
      </c>
      <c r="M4612" s="5">
        <f>IF(L4612="","",L4612+6)</f>
        <v/>
      </c>
      <c r="N4612" s="6">
        <f>IF(OR(A4612="",B4612=""),"",DATE(YEAR(B4612),MONTH(B4612),1))</f>
        <v/>
      </c>
      <c r="O4612" s="7">
        <f>IF(COUNTA(A4612:K4612)=0,"",IF(OR(A4612="",B4612=""),"Preencher CPF e entrada",IF(COUNTIFS($A$12:$A$5011,A4612,$B$12:$B$5011,B4612)&gt;1,"CPF + dia duplicado",IF(OR(AND(G4612&lt;&gt;"",G4612&lt;&gt;0,G4612&lt;&gt;1),AND(H4612&lt;&gt;"",H4612&lt;&gt;0,H4612&lt;&gt;1)),"Flags devem ser 0 ou 1",IF(AND(H4612=1,LEN(TRIM(I4612))=0),"Preencher nome do indicante",IF(AND(H4612&lt;&gt;1,I4612&lt;&gt;""),"Nome sem indicação interna",IF(AND(G4612=1,F4612=""),"Fechamento sem conversa",IF(OR(AND(E4612&lt;&gt;"",E4612&lt;B4612),AND(F4612&lt;&gt;"",F4612&lt;B4612)),"Evento anterior à entrada",IF(AND(F4612&lt;&gt;"",E4612=""),"Conversa sem agendamento",IF(OR(E4612&gt;TODAY(),F4612&gt;TODAY()),"Verificar evento futuro","OK"))))))))))</f>
        <v/>
      </c>
    </row>
    <row r="4613" spans="12:15">
      <c r="L4613" s="5">
        <f>IF(OR(A4613="",B4613=""),"",B4613-WEEKDAY(B4613,2)+1)</f>
        <v/>
      </c>
      <c r="M4613" s="5">
        <f>IF(L4613="","",L4613+6)</f>
        <v/>
      </c>
      <c r="N4613" s="6">
        <f>IF(OR(A4613="",B4613=""),"",DATE(YEAR(B4613),MONTH(B4613),1))</f>
        <v/>
      </c>
      <c r="O4613" s="7">
        <f>IF(COUNTA(A4613:K4613)=0,"",IF(OR(A4613="",B4613=""),"Preencher CPF e entrada",IF(COUNTIFS($A$12:$A$5011,A4613,$B$12:$B$5011,B4613)&gt;1,"CPF + dia duplicado",IF(OR(AND(G4613&lt;&gt;"",G4613&lt;&gt;0,G4613&lt;&gt;1),AND(H4613&lt;&gt;"",H4613&lt;&gt;0,H4613&lt;&gt;1)),"Flags devem ser 0 ou 1",IF(AND(H4613=1,LEN(TRIM(I4613))=0),"Preencher nome do indicante",IF(AND(H4613&lt;&gt;1,I4613&lt;&gt;""),"Nome sem indicação interna",IF(AND(G4613=1,F4613=""),"Fechamento sem conversa",IF(OR(AND(E4613&lt;&gt;"",E4613&lt;B4613),AND(F4613&lt;&gt;"",F4613&lt;B4613)),"Evento anterior à entrada",IF(AND(F4613&lt;&gt;"",E4613=""),"Conversa sem agendamento",IF(OR(E4613&gt;TODAY(),F4613&gt;TODAY()),"Verificar evento futuro","OK"))))))))))</f>
        <v/>
      </c>
    </row>
    <row r="4614" spans="12:15">
      <c r="L4614" s="5">
        <f>IF(OR(A4614="",B4614=""),"",B4614-WEEKDAY(B4614,2)+1)</f>
        <v/>
      </c>
      <c r="M4614" s="5">
        <f>IF(L4614="","",L4614+6)</f>
        <v/>
      </c>
      <c r="N4614" s="6">
        <f>IF(OR(A4614="",B4614=""),"",DATE(YEAR(B4614),MONTH(B4614),1))</f>
        <v/>
      </c>
      <c r="O4614" s="7">
        <f>IF(COUNTA(A4614:K4614)=0,"",IF(OR(A4614="",B4614=""),"Preencher CPF e entrada",IF(COUNTIFS($A$12:$A$5011,A4614,$B$12:$B$5011,B4614)&gt;1,"CPF + dia duplicado",IF(OR(AND(G4614&lt;&gt;"",G4614&lt;&gt;0,G4614&lt;&gt;1),AND(H4614&lt;&gt;"",H4614&lt;&gt;0,H4614&lt;&gt;1)),"Flags devem ser 0 ou 1",IF(AND(H4614=1,LEN(TRIM(I4614))=0),"Preencher nome do indicante",IF(AND(H4614&lt;&gt;1,I4614&lt;&gt;""),"Nome sem indicação interna",IF(AND(G4614=1,F4614=""),"Fechamento sem conversa",IF(OR(AND(E4614&lt;&gt;"",E4614&lt;B4614),AND(F4614&lt;&gt;"",F4614&lt;B4614)),"Evento anterior à entrada",IF(AND(F4614&lt;&gt;"",E4614=""),"Conversa sem agendamento",IF(OR(E4614&gt;TODAY(),F4614&gt;TODAY()),"Verificar evento futuro","OK"))))))))))</f>
        <v/>
      </c>
    </row>
    <row r="4615" spans="12:15">
      <c r="L4615" s="5">
        <f>IF(OR(A4615="",B4615=""),"",B4615-WEEKDAY(B4615,2)+1)</f>
        <v/>
      </c>
      <c r="M4615" s="5">
        <f>IF(L4615="","",L4615+6)</f>
        <v/>
      </c>
      <c r="N4615" s="6">
        <f>IF(OR(A4615="",B4615=""),"",DATE(YEAR(B4615),MONTH(B4615),1))</f>
        <v/>
      </c>
      <c r="O4615" s="7">
        <f>IF(COUNTA(A4615:K4615)=0,"",IF(OR(A4615="",B4615=""),"Preencher CPF e entrada",IF(COUNTIFS($A$12:$A$5011,A4615,$B$12:$B$5011,B4615)&gt;1,"CPF + dia duplicado",IF(OR(AND(G4615&lt;&gt;"",G4615&lt;&gt;0,G4615&lt;&gt;1),AND(H4615&lt;&gt;"",H4615&lt;&gt;0,H4615&lt;&gt;1)),"Flags devem ser 0 ou 1",IF(AND(H4615=1,LEN(TRIM(I4615))=0),"Preencher nome do indicante",IF(AND(H4615&lt;&gt;1,I4615&lt;&gt;""),"Nome sem indicação interna",IF(AND(G4615=1,F4615=""),"Fechamento sem conversa",IF(OR(AND(E4615&lt;&gt;"",E4615&lt;B4615),AND(F4615&lt;&gt;"",F4615&lt;B4615)),"Evento anterior à entrada",IF(AND(F4615&lt;&gt;"",E4615=""),"Conversa sem agendamento",IF(OR(E4615&gt;TODAY(),F4615&gt;TODAY()),"Verificar evento futuro","OK"))))))))))</f>
        <v/>
      </c>
    </row>
    <row r="4616" spans="12:15">
      <c r="L4616" s="5">
        <f>IF(OR(A4616="",B4616=""),"",B4616-WEEKDAY(B4616,2)+1)</f>
        <v/>
      </c>
      <c r="M4616" s="5">
        <f>IF(L4616="","",L4616+6)</f>
        <v/>
      </c>
      <c r="N4616" s="6">
        <f>IF(OR(A4616="",B4616=""),"",DATE(YEAR(B4616),MONTH(B4616),1))</f>
        <v/>
      </c>
      <c r="O4616" s="7">
        <f>IF(COUNTA(A4616:K4616)=0,"",IF(OR(A4616="",B4616=""),"Preencher CPF e entrada",IF(COUNTIFS($A$12:$A$5011,A4616,$B$12:$B$5011,B4616)&gt;1,"CPF + dia duplicado",IF(OR(AND(G4616&lt;&gt;"",G4616&lt;&gt;0,G4616&lt;&gt;1),AND(H4616&lt;&gt;"",H4616&lt;&gt;0,H4616&lt;&gt;1)),"Flags devem ser 0 ou 1",IF(AND(H4616=1,LEN(TRIM(I4616))=0),"Preencher nome do indicante",IF(AND(H4616&lt;&gt;1,I4616&lt;&gt;""),"Nome sem indicação interna",IF(AND(G4616=1,F4616=""),"Fechamento sem conversa",IF(OR(AND(E4616&lt;&gt;"",E4616&lt;B4616),AND(F4616&lt;&gt;"",F4616&lt;B4616)),"Evento anterior à entrada",IF(AND(F4616&lt;&gt;"",E4616=""),"Conversa sem agendamento",IF(OR(E4616&gt;TODAY(),F4616&gt;TODAY()),"Verificar evento futuro","OK"))))))))))</f>
        <v/>
      </c>
    </row>
    <row r="4617" spans="12:15">
      <c r="L4617" s="5">
        <f>IF(OR(A4617="",B4617=""),"",B4617-WEEKDAY(B4617,2)+1)</f>
        <v/>
      </c>
      <c r="M4617" s="5">
        <f>IF(L4617="","",L4617+6)</f>
        <v/>
      </c>
      <c r="N4617" s="6">
        <f>IF(OR(A4617="",B4617=""),"",DATE(YEAR(B4617),MONTH(B4617),1))</f>
        <v/>
      </c>
      <c r="O4617" s="7">
        <f>IF(COUNTA(A4617:K4617)=0,"",IF(OR(A4617="",B4617=""),"Preencher CPF e entrada",IF(COUNTIFS($A$12:$A$5011,A4617,$B$12:$B$5011,B4617)&gt;1,"CPF + dia duplicado",IF(OR(AND(G4617&lt;&gt;"",G4617&lt;&gt;0,G4617&lt;&gt;1),AND(H4617&lt;&gt;"",H4617&lt;&gt;0,H4617&lt;&gt;1)),"Flags devem ser 0 ou 1",IF(AND(H4617=1,LEN(TRIM(I4617))=0),"Preencher nome do indicante",IF(AND(H4617&lt;&gt;1,I4617&lt;&gt;""),"Nome sem indicação interna",IF(AND(G4617=1,F4617=""),"Fechamento sem conversa",IF(OR(AND(E4617&lt;&gt;"",E4617&lt;B4617),AND(F4617&lt;&gt;"",F4617&lt;B4617)),"Evento anterior à entrada",IF(AND(F4617&lt;&gt;"",E4617=""),"Conversa sem agendamento",IF(OR(E4617&gt;TODAY(),F4617&gt;TODAY()),"Verificar evento futuro","OK"))))))))))</f>
        <v/>
      </c>
    </row>
    <row r="4618" spans="12:15">
      <c r="L4618" s="5">
        <f>IF(OR(A4618="",B4618=""),"",B4618-WEEKDAY(B4618,2)+1)</f>
        <v/>
      </c>
      <c r="M4618" s="5">
        <f>IF(L4618="","",L4618+6)</f>
        <v/>
      </c>
      <c r="N4618" s="6">
        <f>IF(OR(A4618="",B4618=""),"",DATE(YEAR(B4618),MONTH(B4618),1))</f>
        <v/>
      </c>
      <c r="O4618" s="7">
        <f>IF(COUNTA(A4618:K4618)=0,"",IF(OR(A4618="",B4618=""),"Preencher CPF e entrada",IF(COUNTIFS($A$12:$A$5011,A4618,$B$12:$B$5011,B4618)&gt;1,"CPF + dia duplicado",IF(OR(AND(G4618&lt;&gt;"",G4618&lt;&gt;0,G4618&lt;&gt;1),AND(H4618&lt;&gt;"",H4618&lt;&gt;0,H4618&lt;&gt;1)),"Flags devem ser 0 ou 1",IF(AND(H4618=1,LEN(TRIM(I4618))=0),"Preencher nome do indicante",IF(AND(H4618&lt;&gt;1,I4618&lt;&gt;""),"Nome sem indicação interna",IF(AND(G4618=1,F4618=""),"Fechamento sem conversa",IF(OR(AND(E4618&lt;&gt;"",E4618&lt;B4618),AND(F4618&lt;&gt;"",F4618&lt;B4618)),"Evento anterior à entrada",IF(AND(F4618&lt;&gt;"",E4618=""),"Conversa sem agendamento",IF(OR(E4618&gt;TODAY(),F4618&gt;TODAY()),"Verificar evento futuro","OK"))))))))))</f>
        <v/>
      </c>
    </row>
    <row r="4619" spans="12:15">
      <c r="L4619" s="5">
        <f>IF(OR(A4619="",B4619=""),"",B4619-WEEKDAY(B4619,2)+1)</f>
        <v/>
      </c>
      <c r="M4619" s="5">
        <f>IF(L4619="","",L4619+6)</f>
        <v/>
      </c>
      <c r="N4619" s="6">
        <f>IF(OR(A4619="",B4619=""),"",DATE(YEAR(B4619),MONTH(B4619),1))</f>
        <v/>
      </c>
      <c r="O4619" s="7">
        <f>IF(COUNTA(A4619:K4619)=0,"",IF(OR(A4619="",B4619=""),"Preencher CPF e entrada",IF(COUNTIFS($A$12:$A$5011,A4619,$B$12:$B$5011,B4619)&gt;1,"CPF + dia duplicado",IF(OR(AND(G4619&lt;&gt;"",G4619&lt;&gt;0,G4619&lt;&gt;1),AND(H4619&lt;&gt;"",H4619&lt;&gt;0,H4619&lt;&gt;1)),"Flags devem ser 0 ou 1",IF(AND(H4619=1,LEN(TRIM(I4619))=0),"Preencher nome do indicante",IF(AND(H4619&lt;&gt;1,I4619&lt;&gt;""),"Nome sem indicação interna",IF(AND(G4619=1,F4619=""),"Fechamento sem conversa",IF(OR(AND(E4619&lt;&gt;"",E4619&lt;B4619),AND(F4619&lt;&gt;"",F4619&lt;B4619)),"Evento anterior à entrada",IF(AND(F4619&lt;&gt;"",E4619=""),"Conversa sem agendamento",IF(OR(E4619&gt;TODAY(),F4619&gt;TODAY()),"Verificar evento futuro","OK"))))))))))</f>
        <v/>
      </c>
    </row>
    <row r="4620" spans="12:15">
      <c r="L4620" s="5">
        <f>IF(OR(A4620="",B4620=""),"",B4620-WEEKDAY(B4620,2)+1)</f>
        <v/>
      </c>
      <c r="M4620" s="5">
        <f>IF(L4620="","",L4620+6)</f>
        <v/>
      </c>
      <c r="N4620" s="6">
        <f>IF(OR(A4620="",B4620=""),"",DATE(YEAR(B4620),MONTH(B4620),1))</f>
        <v/>
      </c>
      <c r="O4620" s="7">
        <f>IF(COUNTA(A4620:K4620)=0,"",IF(OR(A4620="",B4620=""),"Preencher CPF e entrada",IF(COUNTIFS($A$12:$A$5011,A4620,$B$12:$B$5011,B4620)&gt;1,"CPF + dia duplicado",IF(OR(AND(G4620&lt;&gt;"",G4620&lt;&gt;0,G4620&lt;&gt;1),AND(H4620&lt;&gt;"",H4620&lt;&gt;0,H4620&lt;&gt;1)),"Flags devem ser 0 ou 1",IF(AND(H4620=1,LEN(TRIM(I4620))=0),"Preencher nome do indicante",IF(AND(H4620&lt;&gt;1,I4620&lt;&gt;""),"Nome sem indicação interna",IF(AND(G4620=1,F4620=""),"Fechamento sem conversa",IF(OR(AND(E4620&lt;&gt;"",E4620&lt;B4620),AND(F4620&lt;&gt;"",F4620&lt;B4620)),"Evento anterior à entrada",IF(AND(F4620&lt;&gt;"",E4620=""),"Conversa sem agendamento",IF(OR(E4620&gt;TODAY(),F4620&gt;TODAY()),"Verificar evento futuro","OK"))))))))))</f>
        <v/>
      </c>
    </row>
    <row r="4621" spans="12:15">
      <c r="L4621" s="5">
        <f>IF(OR(A4621="",B4621=""),"",B4621-WEEKDAY(B4621,2)+1)</f>
        <v/>
      </c>
      <c r="M4621" s="5">
        <f>IF(L4621="","",L4621+6)</f>
        <v/>
      </c>
      <c r="N4621" s="6">
        <f>IF(OR(A4621="",B4621=""),"",DATE(YEAR(B4621),MONTH(B4621),1))</f>
        <v/>
      </c>
      <c r="O4621" s="7">
        <f>IF(COUNTA(A4621:K4621)=0,"",IF(OR(A4621="",B4621=""),"Preencher CPF e entrada",IF(COUNTIFS($A$12:$A$5011,A4621,$B$12:$B$5011,B4621)&gt;1,"CPF + dia duplicado",IF(OR(AND(G4621&lt;&gt;"",G4621&lt;&gt;0,G4621&lt;&gt;1),AND(H4621&lt;&gt;"",H4621&lt;&gt;0,H4621&lt;&gt;1)),"Flags devem ser 0 ou 1",IF(AND(H4621=1,LEN(TRIM(I4621))=0),"Preencher nome do indicante",IF(AND(H4621&lt;&gt;1,I4621&lt;&gt;""),"Nome sem indicação interna",IF(AND(G4621=1,F4621=""),"Fechamento sem conversa",IF(OR(AND(E4621&lt;&gt;"",E4621&lt;B4621),AND(F4621&lt;&gt;"",F4621&lt;B4621)),"Evento anterior à entrada",IF(AND(F4621&lt;&gt;"",E4621=""),"Conversa sem agendamento",IF(OR(E4621&gt;TODAY(),F4621&gt;TODAY()),"Verificar evento futuro","OK"))))))))))</f>
        <v/>
      </c>
    </row>
    <row r="4622" spans="12:15">
      <c r="L4622" s="5">
        <f>IF(OR(A4622="",B4622=""),"",B4622-WEEKDAY(B4622,2)+1)</f>
        <v/>
      </c>
      <c r="M4622" s="5">
        <f>IF(L4622="","",L4622+6)</f>
        <v/>
      </c>
      <c r="N4622" s="6">
        <f>IF(OR(A4622="",B4622=""),"",DATE(YEAR(B4622),MONTH(B4622),1))</f>
        <v/>
      </c>
      <c r="O4622" s="7">
        <f>IF(COUNTA(A4622:K4622)=0,"",IF(OR(A4622="",B4622=""),"Preencher CPF e entrada",IF(COUNTIFS($A$12:$A$5011,A4622,$B$12:$B$5011,B4622)&gt;1,"CPF + dia duplicado",IF(OR(AND(G4622&lt;&gt;"",G4622&lt;&gt;0,G4622&lt;&gt;1),AND(H4622&lt;&gt;"",H4622&lt;&gt;0,H4622&lt;&gt;1)),"Flags devem ser 0 ou 1",IF(AND(H4622=1,LEN(TRIM(I4622))=0),"Preencher nome do indicante",IF(AND(H4622&lt;&gt;1,I4622&lt;&gt;""),"Nome sem indicação interna",IF(AND(G4622=1,F4622=""),"Fechamento sem conversa",IF(OR(AND(E4622&lt;&gt;"",E4622&lt;B4622),AND(F4622&lt;&gt;"",F4622&lt;B4622)),"Evento anterior à entrada",IF(AND(F4622&lt;&gt;"",E4622=""),"Conversa sem agendamento",IF(OR(E4622&gt;TODAY(),F4622&gt;TODAY()),"Verificar evento futuro","OK"))))))))))</f>
        <v/>
      </c>
    </row>
    <row r="4623" spans="12:15">
      <c r="L4623" s="5">
        <f>IF(OR(A4623="",B4623=""),"",B4623-WEEKDAY(B4623,2)+1)</f>
        <v/>
      </c>
      <c r="M4623" s="5">
        <f>IF(L4623="","",L4623+6)</f>
        <v/>
      </c>
      <c r="N4623" s="6">
        <f>IF(OR(A4623="",B4623=""),"",DATE(YEAR(B4623),MONTH(B4623),1))</f>
        <v/>
      </c>
      <c r="O4623" s="7">
        <f>IF(COUNTA(A4623:K4623)=0,"",IF(OR(A4623="",B4623=""),"Preencher CPF e entrada",IF(COUNTIFS($A$12:$A$5011,A4623,$B$12:$B$5011,B4623)&gt;1,"CPF + dia duplicado",IF(OR(AND(G4623&lt;&gt;"",G4623&lt;&gt;0,G4623&lt;&gt;1),AND(H4623&lt;&gt;"",H4623&lt;&gt;0,H4623&lt;&gt;1)),"Flags devem ser 0 ou 1",IF(AND(H4623=1,LEN(TRIM(I4623))=0),"Preencher nome do indicante",IF(AND(H4623&lt;&gt;1,I4623&lt;&gt;""),"Nome sem indicação interna",IF(AND(G4623=1,F4623=""),"Fechamento sem conversa",IF(OR(AND(E4623&lt;&gt;"",E4623&lt;B4623),AND(F4623&lt;&gt;"",F4623&lt;B4623)),"Evento anterior à entrada",IF(AND(F4623&lt;&gt;"",E4623=""),"Conversa sem agendamento",IF(OR(E4623&gt;TODAY(),F4623&gt;TODAY()),"Verificar evento futuro","OK"))))))))))</f>
        <v/>
      </c>
    </row>
    <row r="4624" spans="12:15">
      <c r="L4624" s="5">
        <f>IF(OR(A4624="",B4624=""),"",B4624-WEEKDAY(B4624,2)+1)</f>
        <v/>
      </c>
      <c r="M4624" s="5">
        <f>IF(L4624="","",L4624+6)</f>
        <v/>
      </c>
      <c r="N4624" s="6">
        <f>IF(OR(A4624="",B4624=""),"",DATE(YEAR(B4624),MONTH(B4624),1))</f>
        <v/>
      </c>
      <c r="O4624" s="7">
        <f>IF(COUNTA(A4624:K4624)=0,"",IF(OR(A4624="",B4624=""),"Preencher CPF e entrada",IF(COUNTIFS($A$12:$A$5011,A4624,$B$12:$B$5011,B4624)&gt;1,"CPF + dia duplicado",IF(OR(AND(G4624&lt;&gt;"",G4624&lt;&gt;0,G4624&lt;&gt;1),AND(H4624&lt;&gt;"",H4624&lt;&gt;0,H4624&lt;&gt;1)),"Flags devem ser 0 ou 1",IF(AND(H4624=1,LEN(TRIM(I4624))=0),"Preencher nome do indicante",IF(AND(H4624&lt;&gt;1,I4624&lt;&gt;""),"Nome sem indicação interna",IF(AND(G4624=1,F4624=""),"Fechamento sem conversa",IF(OR(AND(E4624&lt;&gt;"",E4624&lt;B4624),AND(F4624&lt;&gt;"",F4624&lt;B4624)),"Evento anterior à entrada",IF(AND(F4624&lt;&gt;"",E4624=""),"Conversa sem agendamento",IF(OR(E4624&gt;TODAY(),F4624&gt;TODAY()),"Verificar evento futuro","OK"))))))))))</f>
        <v/>
      </c>
    </row>
    <row r="4625" spans="12:15">
      <c r="L4625" s="5">
        <f>IF(OR(A4625="",B4625=""),"",B4625-WEEKDAY(B4625,2)+1)</f>
        <v/>
      </c>
      <c r="M4625" s="5">
        <f>IF(L4625="","",L4625+6)</f>
        <v/>
      </c>
      <c r="N4625" s="6">
        <f>IF(OR(A4625="",B4625=""),"",DATE(YEAR(B4625),MONTH(B4625),1))</f>
        <v/>
      </c>
      <c r="O4625" s="7">
        <f>IF(COUNTA(A4625:K4625)=0,"",IF(OR(A4625="",B4625=""),"Preencher CPF e entrada",IF(COUNTIFS($A$12:$A$5011,A4625,$B$12:$B$5011,B4625)&gt;1,"CPF + dia duplicado",IF(OR(AND(G4625&lt;&gt;"",G4625&lt;&gt;0,G4625&lt;&gt;1),AND(H4625&lt;&gt;"",H4625&lt;&gt;0,H4625&lt;&gt;1)),"Flags devem ser 0 ou 1",IF(AND(H4625=1,LEN(TRIM(I4625))=0),"Preencher nome do indicante",IF(AND(H4625&lt;&gt;1,I4625&lt;&gt;""),"Nome sem indicação interna",IF(AND(G4625=1,F4625=""),"Fechamento sem conversa",IF(OR(AND(E4625&lt;&gt;"",E4625&lt;B4625),AND(F4625&lt;&gt;"",F4625&lt;B4625)),"Evento anterior à entrada",IF(AND(F4625&lt;&gt;"",E4625=""),"Conversa sem agendamento",IF(OR(E4625&gt;TODAY(),F4625&gt;TODAY()),"Verificar evento futuro","OK"))))))))))</f>
        <v/>
      </c>
    </row>
    <row r="4626" spans="12:15">
      <c r="L4626" s="5">
        <f>IF(OR(A4626="",B4626=""),"",B4626-WEEKDAY(B4626,2)+1)</f>
        <v/>
      </c>
      <c r="M4626" s="5">
        <f>IF(L4626="","",L4626+6)</f>
        <v/>
      </c>
      <c r="N4626" s="6">
        <f>IF(OR(A4626="",B4626=""),"",DATE(YEAR(B4626),MONTH(B4626),1))</f>
        <v/>
      </c>
      <c r="O4626" s="7">
        <f>IF(COUNTA(A4626:K4626)=0,"",IF(OR(A4626="",B4626=""),"Preencher CPF e entrada",IF(COUNTIFS($A$12:$A$5011,A4626,$B$12:$B$5011,B4626)&gt;1,"CPF + dia duplicado",IF(OR(AND(G4626&lt;&gt;"",G4626&lt;&gt;0,G4626&lt;&gt;1),AND(H4626&lt;&gt;"",H4626&lt;&gt;0,H4626&lt;&gt;1)),"Flags devem ser 0 ou 1",IF(AND(H4626=1,LEN(TRIM(I4626))=0),"Preencher nome do indicante",IF(AND(H4626&lt;&gt;1,I4626&lt;&gt;""),"Nome sem indicação interna",IF(AND(G4626=1,F4626=""),"Fechamento sem conversa",IF(OR(AND(E4626&lt;&gt;"",E4626&lt;B4626),AND(F4626&lt;&gt;"",F4626&lt;B4626)),"Evento anterior à entrada",IF(AND(F4626&lt;&gt;"",E4626=""),"Conversa sem agendamento",IF(OR(E4626&gt;TODAY(),F4626&gt;TODAY()),"Verificar evento futuro","OK"))))))))))</f>
        <v/>
      </c>
    </row>
    <row r="4627" spans="12:15">
      <c r="L4627" s="5">
        <f>IF(OR(A4627="",B4627=""),"",B4627-WEEKDAY(B4627,2)+1)</f>
        <v/>
      </c>
      <c r="M4627" s="5">
        <f>IF(L4627="","",L4627+6)</f>
        <v/>
      </c>
      <c r="N4627" s="6">
        <f>IF(OR(A4627="",B4627=""),"",DATE(YEAR(B4627),MONTH(B4627),1))</f>
        <v/>
      </c>
      <c r="O4627" s="7">
        <f>IF(COUNTA(A4627:K4627)=0,"",IF(OR(A4627="",B4627=""),"Preencher CPF e entrada",IF(COUNTIFS($A$12:$A$5011,A4627,$B$12:$B$5011,B4627)&gt;1,"CPF + dia duplicado",IF(OR(AND(G4627&lt;&gt;"",G4627&lt;&gt;0,G4627&lt;&gt;1),AND(H4627&lt;&gt;"",H4627&lt;&gt;0,H4627&lt;&gt;1)),"Flags devem ser 0 ou 1",IF(AND(H4627=1,LEN(TRIM(I4627))=0),"Preencher nome do indicante",IF(AND(H4627&lt;&gt;1,I4627&lt;&gt;""),"Nome sem indicação interna",IF(AND(G4627=1,F4627=""),"Fechamento sem conversa",IF(OR(AND(E4627&lt;&gt;"",E4627&lt;B4627),AND(F4627&lt;&gt;"",F4627&lt;B4627)),"Evento anterior à entrada",IF(AND(F4627&lt;&gt;"",E4627=""),"Conversa sem agendamento",IF(OR(E4627&gt;TODAY(),F4627&gt;TODAY()),"Verificar evento futuro","OK"))))))))))</f>
        <v/>
      </c>
    </row>
    <row r="4628" spans="12:15">
      <c r="L4628" s="5">
        <f>IF(OR(A4628="",B4628=""),"",B4628-WEEKDAY(B4628,2)+1)</f>
        <v/>
      </c>
      <c r="M4628" s="5">
        <f>IF(L4628="","",L4628+6)</f>
        <v/>
      </c>
      <c r="N4628" s="6">
        <f>IF(OR(A4628="",B4628=""),"",DATE(YEAR(B4628),MONTH(B4628),1))</f>
        <v/>
      </c>
      <c r="O4628" s="7">
        <f>IF(COUNTA(A4628:K4628)=0,"",IF(OR(A4628="",B4628=""),"Preencher CPF e entrada",IF(COUNTIFS($A$12:$A$5011,A4628,$B$12:$B$5011,B4628)&gt;1,"CPF + dia duplicado",IF(OR(AND(G4628&lt;&gt;"",G4628&lt;&gt;0,G4628&lt;&gt;1),AND(H4628&lt;&gt;"",H4628&lt;&gt;0,H4628&lt;&gt;1)),"Flags devem ser 0 ou 1",IF(AND(H4628=1,LEN(TRIM(I4628))=0),"Preencher nome do indicante",IF(AND(H4628&lt;&gt;1,I4628&lt;&gt;""),"Nome sem indicação interna",IF(AND(G4628=1,F4628=""),"Fechamento sem conversa",IF(OR(AND(E4628&lt;&gt;"",E4628&lt;B4628),AND(F4628&lt;&gt;"",F4628&lt;B4628)),"Evento anterior à entrada",IF(AND(F4628&lt;&gt;"",E4628=""),"Conversa sem agendamento",IF(OR(E4628&gt;TODAY(),F4628&gt;TODAY()),"Verificar evento futuro","OK"))))))))))</f>
        <v/>
      </c>
    </row>
    <row r="4629" spans="12:15">
      <c r="L4629" s="5">
        <f>IF(OR(A4629="",B4629=""),"",B4629-WEEKDAY(B4629,2)+1)</f>
        <v/>
      </c>
      <c r="M4629" s="5">
        <f>IF(L4629="","",L4629+6)</f>
        <v/>
      </c>
      <c r="N4629" s="6">
        <f>IF(OR(A4629="",B4629=""),"",DATE(YEAR(B4629),MONTH(B4629),1))</f>
        <v/>
      </c>
      <c r="O4629" s="7">
        <f>IF(COUNTA(A4629:K4629)=0,"",IF(OR(A4629="",B4629=""),"Preencher CPF e entrada",IF(COUNTIFS($A$12:$A$5011,A4629,$B$12:$B$5011,B4629)&gt;1,"CPF + dia duplicado",IF(OR(AND(G4629&lt;&gt;"",G4629&lt;&gt;0,G4629&lt;&gt;1),AND(H4629&lt;&gt;"",H4629&lt;&gt;0,H4629&lt;&gt;1)),"Flags devem ser 0 ou 1",IF(AND(H4629=1,LEN(TRIM(I4629))=0),"Preencher nome do indicante",IF(AND(H4629&lt;&gt;1,I4629&lt;&gt;""),"Nome sem indicação interna",IF(AND(G4629=1,F4629=""),"Fechamento sem conversa",IF(OR(AND(E4629&lt;&gt;"",E4629&lt;B4629),AND(F4629&lt;&gt;"",F4629&lt;B4629)),"Evento anterior à entrada",IF(AND(F4629&lt;&gt;"",E4629=""),"Conversa sem agendamento",IF(OR(E4629&gt;TODAY(),F4629&gt;TODAY()),"Verificar evento futuro","OK"))))))))))</f>
        <v/>
      </c>
    </row>
    <row r="4630" spans="12:15">
      <c r="L4630" s="5">
        <f>IF(OR(A4630="",B4630=""),"",B4630-WEEKDAY(B4630,2)+1)</f>
        <v/>
      </c>
      <c r="M4630" s="5">
        <f>IF(L4630="","",L4630+6)</f>
        <v/>
      </c>
      <c r="N4630" s="6">
        <f>IF(OR(A4630="",B4630=""),"",DATE(YEAR(B4630),MONTH(B4630),1))</f>
        <v/>
      </c>
      <c r="O4630" s="7">
        <f>IF(COUNTA(A4630:K4630)=0,"",IF(OR(A4630="",B4630=""),"Preencher CPF e entrada",IF(COUNTIFS($A$12:$A$5011,A4630,$B$12:$B$5011,B4630)&gt;1,"CPF + dia duplicado",IF(OR(AND(G4630&lt;&gt;"",G4630&lt;&gt;0,G4630&lt;&gt;1),AND(H4630&lt;&gt;"",H4630&lt;&gt;0,H4630&lt;&gt;1)),"Flags devem ser 0 ou 1",IF(AND(H4630=1,LEN(TRIM(I4630))=0),"Preencher nome do indicante",IF(AND(H4630&lt;&gt;1,I4630&lt;&gt;""),"Nome sem indicação interna",IF(AND(G4630=1,F4630=""),"Fechamento sem conversa",IF(OR(AND(E4630&lt;&gt;"",E4630&lt;B4630),AND(F4630&lt;&gt;"",F4630&lt;B4630)),"Evento anterior à entrada",IF(AND(F4630&lt;&gt;"",E4630=""),"Conversa sem agendamento",IF(OR(E4630&gt;TODAY(),F4630&gt;TODAY()),"Verificar evento futuro","OK"))))))))))</f>
        <v/>
      </c>
    </row>
    <row r="4631" spans="12:15">
      <c r="L4631" s="5">
        <f>IF(OR(A4631="",B4631=""),"",B4631-WEEKDAY(B4631,2)+1)</f>
        <v/>
      </c>
      <c r="M4631" s="5">
        <f>IF(L4631="","",L4631+6)</f>
        <v/>
      </c>
      <c r="N4631" s="6">
        <f>IF(OR(A4631="",B4631=""),"",DATE(YEAR(B4631),MONTH(B4631),1))</f>
        <v/>
      </c>
      <c r="O4631" s="7">
        <f>IF(COUNTA(A4631:K4631)=0,"",IF(OR(A4631="",B4631=""),"Preencher CPF e entrada",IF(COUNTIFS($A$12:$A$5011,A4631,$B$12:$B$5011,B4631)&gt;1,"CPF + dia duplicado",IF(OR(AND(G4631&lt;&gt;"",G4631&lt;&gt;0,G4631&lt;&gt;1),AND(H4631&lt;&gt;"",H4631&lt;&gt;0,H4631&lt;&gt;1)),"Flags devem ser 0 ou 1",IF(AND(H4631=1,LEN(TRIM(I4631))=0),"Preencher nome do indicante",IF(AND(H4631&lt;&gt;1,I4631&lt;&gt;""),"Nome sem indicação interna",IF(AND(G4631=1,F4631=""),"Fechamento sem conversa",IF(OR(AND(E4631&lt;&gt;"",E4631&lt;B4631),AND(F4631&lt;&gt;"",F4631&lt;B4631)),"Evento anterior à entrada",IF(AND(F4631&lt;&gt;"",E4631=""),"Conversa sem agendamento",IF(OR(E4631&gt;TODAY(),F4631&gt;TODAY()),"Verificar evento futuro","OK"))))))))))</f>
        <v/>
      </c>
    </row>
    <row r="4632" spans="12:15">
      <c r="L4632" s="5">
        <f>IF(OR(A4632="",B4632=""),"",B4632-WEEKDAY(B4632,2)+1)</f>
        <v/>
      </c>
      <c r="M4632" s="5">
        <f>IF(L4632="","",L4632+6)</f>
        <v/>
      </c>
      <c r="N4632" s="6">
        <f>IF(OR(A4632="",B4632=""),"",DATE(YEAR(B4632),MONTH(B4632),1))</f>
        <v/>
      </c>
      <c r="O4632" s="7">
        <f>IF(COUNTA(A4632:K4632)=0,"",IF(OR(A4632="",B4632=""),"Preencher CPF e entrada",IF(COUNTIFS($A$12:$A$5011,A4632,$B$12:$B$5011,B4632)&gt;1,"CPF + dia duplicado",IF(OR(AND(G4632&lt;&gt;"",G4632&lt;&gt;0,G4632&lt;&gt;1),AND(H4632&lt;&gt;"",H4632&lt;&gt;0,H4632&lt;&gt;1)),"Flags devem ser 0 ou 1",IF(AND(H4632=1,LEN(TRIM(I4632))=0),"Preencher nome do indicante",IF(AND(H4632&lt;&gt;1,I4632&lt;&gt;""),"Nome sem indicação interna",IF(AND(G4632=1,F4632=""),"Fechamento sem conversa",IF(OR(AND(E4632&lt;&gt;"",E4632&lt;B4632),AND(F4632&lt;&gt;"",F4632&lt;B4632)),"Evento anterior à entrada",IF(AND(F4632&lt;&gt;"",E4632=""),"Conversa sem agendamento",IF(OR(E4632&gt;TODAY(),F4632&gt;TODAY()),"Verificar evento futuro","OK"))))))))))</f>
        <v/>
      </c>
    </row>
    <row r="4633" spans="12:15">
      <c r="L4633" s="5">
        <f>IF(OR(A4633="",B4633=""),"",B4633-WEEKDAY(B4633,2)+1)</f>
        <v/>
      </c>
      <c r="M4633" s="5">
        <f>IF(L4633="","",L4633+6)</f>
        <v/>
      </c>
      <c r="N4633" s="6">
        <f>IF(OR(A4633="",B4633=""),"",DATE(YEAR(B4633),MONTH(B4633),1))</f>
        <v/>
      </c>
      <c r="O4633" s="7">
        <f>IF(COUNTA(A4633:K4633)=0,"",IF(OR(A4633="",B4633=""),"Preencher CPF e entrada",IF(COUNTIFS($A$12:$A$5011,A4633,$B$12:$B$5011,B4633)&gt;1,"CPF + dia duplicado",IF(OR(AND(G4633&lt;&gt;"",G4633&lt;&gt;0,G4633&lt;&gt;1),AND(H4633&lt;&gt;"",H4633&lt;&gt;0,H4633&lt;&gt;1)),"Flags devem ser 0 ou 1",IF(AND(H4633=1,LEN(TRIM(I4633))=0),"Preencher nome do indicante",IF(AND(H4633&lt;&gt;1,I4633&lt;&gt;""),"Nome sem indicação interna",IF(AND(G4633=1,F4633=""),"Fechamento sem conversa",IF(OR(AND(E4633&lt;&gt;"",E4633&lt;B4633),AND(F4633&lt;&gt;"",F4633&lt;B4633)),"Evento anterior à entrada",IF(AND(F4633&lt;&gt;"",E4633=""),"Conversa sem agendamento",IF(OR(E4633&gt;TODAY(),F4633&gt;TODAY()),"Verificar evento futuro","OK"))))))))))</f>
        <v/>
      </c>
    </row>
    <row r="4634" spans="12:15">
      <c r="L4634" s="5">
        <f>IF(OR(A4634="",B4634=""),"",B4634-WEEKDAY(B4634,2)+1)</f>
        <v/>
      </c>
      <c r="M4634" s="5">
        <f>IF(L4634="","",L4634+6)</f>
        <v/>
      </c>
      <c r="N4634" s="6">
        <f>IF(OR(A4634="",B4634=""),"",DATE(YEAR(B4634),MONTH(B4634),1))</f>
        <v/>
      </c>
      <c r="O4634" s="7">
        <f>IF(COUNTA(A4634:K4634)=0,"",IF(OR(A4634="",B4634=""),"Preencher CPF e entrada",IF(COUNTIFS($A$12:$A$5011,A4634,$B$12:$B$5011,B4634)&gt;1,"CPF + dia duplicado",IF(OR(AND(G4634&lt;&gt;"",G4634&lt;&gt;0,G4634&lt;&gt;1),AND(H4634&lt;&gt;"",H4634&lt;&gt;0,H4634&lt;&gt;1)),"Flags devem ser 0 ou 1",IF(AND(H4634=1,LEN(TRIM(I4634))=0),"Preencher nome do indicante",IF(AND(H4634&lt;&gt;1,I4634&lt;&gt;""),"Nome sem indicação interna",IF(AND(G4634=1,F4634=""),"Fechamento sem conversa",IF(OR(AND(E4634&lt;&gt;"",E4634&lt;B4634),AND(F4634&lt;&gt;"",F4634&lt;B4634)),"Evento anterior à entrada",IF(AND(F4634&lt;&gt;"",E4634=""),"Conversa sem agendamento",IF(OR(E4634&gt;TODAY(),F4634&gt;TODAY()),"Verificar evento futuro","OK"))))))))))</f>
        <v/>
      </c>
    </row>
    <row r="4635" spans="12:15">
      <c r="L4635" s="5">
        <f>IF(OR(A4635="",B4635=""),"",B4635-WEEKDAY(B4635,2)+1)</f>
        <v/>
      </c>
      <c r="M4635" s="5">
        <f>IF(L4635="","",L4635+6)</f>
        <v/>
      </c>
      <c r="N4635" s="6">
        <f>IF(OR(A4635="",B4635=""),"",DATE(YEAR(B4635),MONTH(B4635),1))</f>
        <v/>
      </c>
      <c r="O4635" s="7">
        <f>IF(COUNTA(A4635:K4635)=0,"",IF(OR(A4635="",B4635=""),"Preencher CPF e entrada",IF(COUNTIFS($A$12:$A$5011,A4635,$B$12:$B$5011,B4635)&gt;1,"CPF + dia duplicado",IF(OR(AND(G4635&lt;&gt;"",G4635&lt;&gt;0,G4635&lt;&gt;1),AND(H4635&lt;&gt;"",H4635&lt;&gt;0,H4635&lt;&gt;1)),"Flags devem ser 0 ou 1",IF(AND(H4635=1,LEN(TRIM(I4635))=0),"Preencher nome do indicante",IF(AND(H4635&lt;&gt;1,I4635&lt;&gt;""),"Nome sem indicação interna",IF(AND(G4635=1,F4635=""),"Fechamento sem conversa",IF(OR(AND(E4635&lt;&gt;"",E4635&lt;B4635),AND(F4635&lt;&gt;"",F4635&lt;B4635)),"Evento anterior à entrada",IF(AND(F4635&lt;&gt;"",E4635=""),"Conversa sem agendamento",IF(OR(E4635&gt;TODAY(),F4635&gt;TODAY()),"Verificar evento futuro","OK"))))))))))</f>
        <v/>
      </c>
    </row>
    <row r="4636" spans="12:15">
      <c r="L4636" s="5">
        <f>IF(OR(A4636="",B4636=""),"",B4636-WEEKDAY(B4636,2)+1)</f>
        <v/>
      </c>
      <c r="M4636" s="5">
        <f>IF(L4636="","",L4636+6)</f>
        <v/>
      </c>
      <c r="N4636" s="6">
        <f>IF(OR(A4636="",B4636=""),"",DATE(YEAR(B4636),MONTH(B4636),1))</f>
        <v/>
      </c>
      <c r="O4636" s="7">
        <f>IF(COUNTA(A4636:K4636)=0,"",IF(OR(A4636="",B4636=""),"Preencher CPF e entrada",IF(COUNTIFS($A$12:$A$5011,A4636,$B$12:$B$5011,B4636)&gt;1,"CPF + dia duplicado",IF(OR(AND(G4636&lt;&gt;"",G4636&lt;&gt;0,G4636&lt;&gt;1),AND(H4636&lt;&gt;"",H4636&lt;&gt;0,H4636&lt;&gt;1)),"Flags devem ser 0 ou 1",IF(AND(H4636=1,LEN(TRIM(I4636))=0),"Preencher nome do indicante",IF(AND(H4636&lt;&gt;1,I4636&lt;&gt;""),"Nome sem indicação interna",IF(AND(G4636=1,F4636=""),"Fechamento sem conversa",IF(OR(AND(E4636&lt;&gt;"",E4636&lt;B4636),AND(F4636&lt;&gt;"",F4636&lt;B4636)),"Evento anterior à entrada",IF(AND(F4636&lt;&gt;"",E4636=""),"Conversa sem agendamento",IF(OR(E4636&gt;TODAY(),F4636&gt;TODAY()),"Verificar evento futuro","OK"))))))))))</f>
        <v/>
      </c>
    </row>
    <row r="4637" spans="12:15">
      <c r="L4637" s="5">
        <f>IF(OR(A4637="",B4637=""),"",B4637-WEEKDAY(B4637,2)+1)</f>
        <v/>
      </c>
      <c r="M4637" s="5">
        <f>IF(L4637="","",L4637+6)</f>
        <v/>
      </c>
      <c r="N4637" s="6">
        <f>IF(OR(A4637="",B4637=""),"",DATE(YEAR(B4637),MONTH(B4637),1))</f>
        <v/>
      </c>
      <c r="O4637" s="7">
        <f>IF(COUNTA(A4637:K4637)=0,"",IF(OR(A4637="",B4637=""),"Preencher CPF e entrada",IF(COUNTIFS($A$12:$A$5011,A4637,$B$12:$B$5011,B4637)&gt;1,"CPF + dia duplicado",IF(OR(AND(G4637&lt;&gt;"",G4637&lt;&gt;0,G4637&lt;&gt;1),AND(H4637&lt;&gt;"",H4637&lt;&gt;0,H4637&lt;&gt;1)),"Flags devem ser 0 ou 1",IF(AND(H4637=1,LEN(TRIM(I4637))=0),"Preencher nome do indicante",IF(AND(H4637&lt;&gt;1,I4637&lt;&gt;""),"Nome sem indicação interna",IF(AND(G4637=1,F4637=""),"Fechamento sem conversa",IF(OR(AND(E4637&lt;&gt;"",E4637&lt;B4637),AND(F4637&lt;&gt;"",F4637&lt;B4637)),"Evento anterior à entrada",IF(AND(F4637&lt;&gt;"",E4637=""),"Conversa sem agendamento",IF(OR(E4637&gt;TODAY(),F4637&gt;TODAY()),"Verificar evento futuro","OK"))))))))))</f>
        <v/>
      </c>
    </row>
    <row r="4638" spans="12:15">
      <c r="L4638" s="5">
        <f>IF(OR(A4638="",B4638=""),"",B4638-WEEKDAY(B4638,2)+1)</f>
        <v/>
      </c>
      <c r="M4638" s="5">
        <f>IF(L4638="","",L4638+6)</f>
        <v/>
      </c>
      <c r="N4638" s="6">
        <f>IF(OR(A4638="",B4638=""),"",DATE(YEAR(B4638),MONTH(B4638),1))</f>
        <v/>
      </c>
      <c r="O4638" s="7">
        <f>IF(COUNTA(A4638:K4638)=0,"",IF(OR(A4638="",B4638=""),"Preencher CPF e entrada",IF(COUNTIFS($A$12:$A$5011,A4638,$B$12:$B$5011,B4638)&gt;1,"CPF + dia duplicado",IF(OR(AND(G4638&lt;&gt;"",G4638&lt;&gt;0,G4638&lt;&gt;1),AND(H4638&lt;&gt;"",H4638&lt;&gt;0,H4638&lt;&gt;1)),"Flags devem ser 0 ou 1",IF(AND(H4638=1,LEN(TRIM(I4638))=0),"Preencher nome do indicante",IF(AND(H4638&lt;&gt;1,I4638&lt;&gt;""),"Nome sem indicação interna",IF(AND(G4638=1,F4638=""),"Fechamento sem conversa",IF(OR(AND(E4638&lt;&gt;"",E4638&lt;B4638),AND(F4638&lt;&gt;"",F4638&lt;B4638)),"Evento anterior à entrada",IF(AND(F4638&lt;&gt;"",E4638=""),"Conversa sem agendamento",IF(OR(E4638&gt;TODAY(),F4638&gt;TODAY()),"Verificar evento futuro","OK"))))))))))</f>
        <v/>
      </c>
    </row>
    <row r="4639" spans="12:15">
      <c r="L4639" s="5">
        <f>IF(OR(A4639="",B4639=""),"",B4639-WEEKDAY(B4639,2)+1)</f>
        <v/>
      </c>
      <c r="M4639" s="5">
        <f>IF(L4639="","",L4639+6)</f>
        <v/>
      </c>
      <c r="N4639" s="6">
        <f>IF(OR(A4639="",B4639=""),"",DATE(YEAR(B4639),MONTH(B4639),1))</f>
        <v/>
      </c>
      <c r="O4639" s="7">
        <f>IF(COUNTA(A4639:K4639)=0,"",IF(OR(A4639="",B4639=""),"Preencher CPF e entrada",IF(COUNTIFS($A$12:$A$5011,A4639,$B$12:$B$5011,B4639)&gt;1,"CPF + dia duplicado",IF(OR(AND(G4639&lt;&gt;"",G4639&lt;&gt;0,G4639&lt;&gt;1),AND(H4639&lt;&gt;"",H4639&lt;&gt;0,H4639&lt;&gt;1)),"Flags devem ser 0 ou 1",IF(AND(H4639=1,LEN(TRIM(I4639))=0),"Preencher nome do indicante",IF(AND(H4639&lt;&gt;1,I4639&lt;&gt;""),"Nome sem indicação interna",IF(AND(G4639=1,F4639=""),"Fechamento sem conversa",IF(OR(AND(E4639&lt;&gt;"",E4639&lt;B4639),AND(F4639&lt;&gt;"",F4639&lt;B4639)),"Evento anterior à entrada",IF(AND(F4639&lt;&gt;"",E4639=""),"Conversa sem agendamento",IF(OR(E4639&gt;TODAY(),F4639&gt;TODAY()),"Verificar evento futuro","OK"))))))))))</f>
        <v/>
      </c>
    </row>
    <row r="4640" spans="12:15">
      <c r="L4640" s="5">
        <f>IF(OR(A4640="",B4640=""),"",B4640-WEEKDAY(B4640,2)+1)</f>
        <v/>
      </c>
      <c r="M4640" s="5">
        <f>IF(L4640="","",L4640+6)</f>
        <v/>
      </c>
      <c r="N4640" s="6">
        <f>IF(OR(A4640="",B4640=""),"",DATE(YEAR(B4640),MONTH(B4640),1))</f>
        <v/>
      </c>
      <c r="O4640" s="7">
        <f>IF(COUNTA(A4640:K4640)=0,"",IF(OR(A4640="",B4640=""),"Preencher CPF e entrada",IF(COUNTIFS($A$12:$A$5011,A4640,$B$12:$B$5011,B4640)&gt;1,"CPF + dia duplicado",IF(OR(AND(G4640&lt;&gt;"",G4640&lt;&gt;0,G4640&lt;&gt;1),AND(H4640&lt;&gt;"",H4640&lt;&gt;0,H4640&lt;&gt;1)),"Flags devem ser 0 ou 1",IF(AND(H4640=1,LEN(TRIM(I4640))=0),"Preencher nome do indicante",IF(AND(H4640&lt;&gt;1,I4640&lt;&gt;""),"Nome sem indicação interna",IF(AND(G4640=1,F4640=""),"Fechamento sem conversa",IF(OR(AND(E4640&lt;&gt;"",E4640&lt;B4640),AND(F4640&lt;&gt;"",F4640&lt;B4640)),"Evento anterior à entrada",IF(AND(F4640&lt;&gt;"",E4640=""),"Conversa sem agendamento",IF(OR(E4640&gt;TODAY(),F4640&gt;TODAY()),"Verificar evento futuro","OK"))))))))))</f>
        <v/>
      </c>
    </row>
    <row r="4641" spans="12:15">
      <c r="L4641" s="5">
        <f>IF(OR(A4641="",B4641=""),"",B4641-WEEKDAY(B4641,2)+1)</f>
        <v/>
      </c>
      <c r="M4641" s="5">
        <f>IF(L4641="","",L4641+6)</f>
        <v/>
      </c>
      <c r="N4641" s="6">
        <f>IF(OR(A4641="",B4641=""),"",DATE(YEAR(B4641),MONTH(B4641),1))</f>
        <v/>
      </c>
      <c r="O4641" s="7">
        <f>IF(COUNTA(A4641:K4641)=0,"",IF(OR(A4641="",B4641=""),"Preencher CPF e entrada",IF(COUNTIFS($A$12:$A$5011,A4641,$B$12:$B$5011,B4641)&gt;1,"CPF + dia duplicado",IF(OR(AND(G4641&lt;&gt;"",G4641&lt;&gt;0,G4641&lt;&gt;1),AND(H4641&lt;&gt;"",H4641&lt;&gt;0,H4641&lt;&gt;1)),"Flags devem ser 0 ou 1",IF(AND(H4641=1,LEN(TRIM(I4641))=0),"Preencher nome do indicante",IF(AND(H4641&lt;&gt;1,I4641&lt;&gt;""),"Nome sem indicação interna",IF(AND(G4641=1,F4641=""),"Fechamento sem conversa",IF(OR(AND(E4641&lt;&gt;"",E4641&lt;B4641),AND(F4641&lt;&gt;"",F4641&lt;B4641)),"Evento anterior à entrada",IF(AND(F4641&lt;&gt;"",E4641=""),"Conversa sem agendamento",IF(OR(E4641&gt;TODAY(),F4641&gt;TODAY()),"Verificar evento futuro","OK"))))))))))</f>
        <v/>
      </c>
    </row>
    <row r="4642" spans="12:15">
      <c r="L4642" s="5">
        <f>IF(OR(A4642="",B4642=""),"",B4642-WEEKDAY(B4642,2)+1)</f>
        <v/>
      </c>
      <c r="M4642" s="5">
        <f>IF(L4642="","",L4642+6)</f>
        <v/>
      </c>
      <c r="N4642" s="6">
        <f>IF(OR(A4642="",B4642=""),"",DATE(YEAR(B4642),MONTH(B4642),1))</f>
        <v/>
      </c>
      <c r="O4642" s="7">
        <f>IF(COUNTA(A4642:K4642)=0,"",IF(OR(A4642="",B4642=""),"Preencher CPF e entrada",IF(COUNTIFS($A$12:$A$5011,A4642,$B$12:$B$5011,B4642)&gt;1,"CPF + dia duplicado",IF(OR(AND(G4642&lt;&gt;"",G4642&lt;&gt;0,G4642&lt;&gt;1),AND(H4642&lt;&gt;"",H4642&lt;&gt;0,H4642&lt;&gt;1)),"Flags devem ser 0 ou 1",IF(AND(H4642=1,LEN(TRIM(I4642))=0),"Preencher nome do indicante",IF(AND(H4642&lt;&gt;1,I4642&lt;&gt;""),"Nome sem indicação interna",IF(AND(G4642=1,F4642=""),"Fechamento sem conversa",IF(OR(AND(E4642&lt;&gt;"",E4642&lt;B4642),AND(F4642&lt;&gt;"",F4642&lt;B4642)),"Evento anterior à entrada",IF(AND(F4642&lt;&gt;"",E4642=""),"Conversa sem agendamento",IF(OR(E4642&gt;TODAY(),F4642&gt;TODAY()),"Verificar evento futuro","OK"))))))))))</f>
        <v/>
      </c>
    </row>
    <row r="4643" spans="12:15">
      <c r="L4643" s="5">
        <f>IF(OR(A4643="",B4643=""),"",B4643-WEEKDAY(B4643,2)+1)</f>
        <v/>
      </c>
      <c r="M4643" s="5">
        <f>IF(L4643="","",L4643+6)</f>
        <v/>
      </c>
      <c r="N4643" s="6">
        <f>IF(OR(A4643="",B4643=""),"",DATE(YEAR(B4643),MONTH(B4643),1))</f>
        <v/>
      </c>
      <c r="O4643" s="7">
        <f>IF(COUNTA(A4643:K4643)=0,"",IF(OR(A4643="",B4643=""),"Preencher CPF e entrada",IF(COUNTIFS($A$12:$A$5011,A4643,$B$12:$B$5011,B4643)&gt;1,"CPF + dia duplicado",IF(OR(AND(G4643&lt;&gt;"",G4643&lt;&gt;0,G4643&lt;&gt;1),AND(H4643&lt;&gt;"",H4643&lt;&gt;0,H4643&lt;&gt;1)),"Flags devem ser 0 ou 1",IF(AND(H4643=1,LEN(TRIM(I4643))=0),"Preencher nome do indicante",IF(AND(H4643&lt;&gt;1,I4643&lt;&gt;""),"Nome sem indicação interna",IF(AND(G4643=1,F4643=""),"Fechamento sem conversa",IF(OR(AND(E4643&lt;&gt;"",E4643&lt;B4643),AND(F4643&lt;&gt;"",F4643&lt;B4643)),"Evento anterior à entrada",IF(AND(F4643&lt;&gt;"",E4643=""),"Conversa sem agendamento",IF(OR(E4643&gt;TODAY(),F4643&gt;TODAY()),"Verificar evento futuro","OK"))))))))))</f>
        <v/>
      </c>
    </row>
    <row r="4644" spans="12:15">
      <c r="L4644" s="5">
        <f>IF(OR(A4644="",B4644=""),"",B4644-WEEKDAY(B4644,2)+1)</f>
        <v/>
      </c>
      <c r="M4644" s="5">
        <f>IF(L4644="","",L4644+6)</f>
        <v/>
      </c>
      <c r="N4644" s="6">
        <f>IF(OR(A4644="",B4644=""),"",DATE(YEAR(B4644),MONTH(B4644),1))</f>
        <v/>
      </c>
      <c r="O4644" s="7">
        <f>IF(COUNTA(A4644:K4644)=0,"",IF(OR(A4644="",B4644=""),"Preencher CPF e entrada",IF(COUNTIFS($A$12:$A$5011,A4644,$B$12:$B$5011,B4644)&gt;1,"CPF + dia duplicado",IF(OR(AND(G4644&lt;&gt;"",G4644&lt;&gt;0,G4644&lt;&gt;1),AND(H4644&lt;&gt;"",H4644&lt;&gt;0,H4644&lt;&gt;1)),"Flags devem ser 0 ou 1",IF(AND(H4644=1,LEN(TRIM(I4644))=0),"Preencher nome do indicante",IF(AND(H4644&lt;&gt;1,I4644&lt;&gt;""),"Nome sem indicação interna",IF(AND(G4644=1,F4644=""),"Fechamento sem conversa",IF(OR(AND(E4644&lt;&gt;"",E4644&lt;B4644),AND(F4644&lt;&gt;"",F4644&lt;B4644)),"Evento anterior à entrada",IF(AND(F4644&lt;&gt;"",E4644=""),"Conversa sem agendamento",IF(OR(E4644&gt;TODAY(),F4644&gt;TODAY()),"Verificar evento futuro","OK"))))))))))</f>
        <v/>
      </c>
    </row>
    <row r="4645" spans="12:15">
      <c r="L4645" s="5">
        <f>IF(OR(A4645="",B4645=""),"",B4645-WEEKDAY(B4645,2)+1)</f>
        <v/>
      </c>
      <c r="M4645" s="5">
        <f>IF(L4645="","",L4645+6)</f>
        <v/>
      </c>
      <c r="N4645" s="6">
        <f>IF(OR(A4645="",B4645=""),"",DATE(YEAR(B4645),MONTH(B4645),1))</f>
        <v/>
      </c>
      <c r="O4645" s="7">
        <f>IF(COUNTA(A4645:K4645)=0,"",IF(OR(A4645="",B4645=""),"Preencher CPF e entrada",IF(COUNTIFS($A$12:$A$5011,A4645,$B$12:$B$5011,B4645)&gt;1,"CPF + dia duplicado",IF(OR(AND(G4645&lt;&gt;"",G4645&lt;&gt;0,G4645&lt;&gt;1),AND(H4645&lt;&gt;"",H4645&lt;&gt;0,H4645&lt;&gt;1)),"Flags devem ser 0 ou 1",IF(AND(H4645=1,LEN(TRIM(I4645))=0),"Preencher nome do indicante",IF(AND(H4645&lt;&gt;1,I4645&lt;&gt;""),"Nome sem indicação interna",IF(AND(G4645=1,F4645=""),"Fechamento sem conversa",IF(OR(AND(E4645&lt;&gt;"",E4645&lt;B4645),AND(F4645&lt;&gt;"",F4645&lt;B4645)),"Evento anterior à entrada",IF(AND(F4645&lt;&gt;"",E4645=""),"Conversa sem agendamento",IF(OR(E4645&gt;TODAY(),F4645&gt;TODAY()),"Verificar evento futuro","OK"))))))))))</f>
        <v/>
      </c>
    </row>
    <row r="4646" spans="12:15">
      <c r="L4646" s="5">
        <f>IF(OR(A4646="",B4646=""),"",B4646-WEEKDAY(B4646,2)+1)</f>
        <v/>
      </c>
      <c r="M4646" s="5">
        <f>IF(L4646="","",L4646+6)</f>
        <v/>
      </c>
      <c r="N4646" s="6">
        <f>IF(OR(A4646="",B4646=""),"",DATE(YEAR(B4646),MONTH(B4646),1))</f>
        <v/>
      </c>
      <c r="O4646" s="7">
        <f>IF(COUNTA(A4646:K4646)=0,"",IF(OR(A4646="",B4646=""),"Preencher CPF e entrada",IF(COUNTIFS($A$12:$A$5011,A4646,$B$12:$B$5011,B4646)&gt;1,"CPF + dia duplicado",IF(OR(AND(G4646&lt;&gt;"",G4646&lt;&gt;0,G4646&lt;&gt;1),AND(H4646&lt;&gt;"",H4646&lt;&gt;0,H4646&lt;&gt;1)),"Flags devem ser 0 ou 1",IF(AND(H4646=1,LEN(TRIM(I4646))=0),"Preencher nome do indicante",IF(AND(H4646&lt;&gt;1,I4646&lt;&gt;""),"Nome sem indicação interna",IF(AND(G4646=1,F4646=""),"Fechamento sem conversa",IF(OR(AND(E4646&lt;&gt;"",E4646&lt;B4646),AND(F4646&lt;&gt;"",F4646&lt;B4646)),"Evento anterior à entrada",IF(AND(F4646&lt;&gt;"",E4646=""),"Conversa sem agendamento",IF(OR(E4646&gt;TODAY(),F4646&gt;TODAY()),"Verificar evento futuro","OK"))))))))))</f>
        <v/>
      </c>
    </row>
    <row r="4647" spans="12:15">
      <c r="L4647" s="5">
        <f>IF(OR(A4647="",B4647=""),"",B4647-WEEKDAY(B4647,2)+1)</f>
        <v/>
      </c>
      <c r="M4647" s="5">
        <f>IF(L4647="","",L4647+6)</f>
        <v/>
      </c>
      <c r="N4647" s="6">
        <f>IF(OR(A4647="",B4647=""),"",DATE(YEAR(B4647),MONTH(B4647),1))</f>
        <v/>
      </c>
      <c r="O4647" s="7">
        <f>IF(COUNTA(A4647:K4647)=0,"",IF(OR(A4647="",B4647=""),"Preencher CPF e entrada",IF(COUNTIFS($A$12:$A$5011,A4647,$B$12:$B$5011,B4647)&gt;1,"CPF + dia duplicado",IF(OR(AND(G4647&lt;&gt;"",G4647&lt;&gt;0,G4647&lt;&gt;1),AND(H4647&lt;&gt;"",H4647&lt;&gt;0,H4647&lt;&gt;1)),"Flags devem ser 0 ou 1",IF(AND(H4647=1,LEN(TRIM(I4647))=0),"Preencher nome do indicante",IF(AND(H4647&lt;&gt;1,I4647&lt;&gt;""),"Nome sem indicação interna",IF(AND(G4647=1,F4647=""),"Fechamento sem conversa",IF(OR(AND(E4647&lt;&gt;"",E4647&lt;B4647),AND(F4647&lt;&gt;"",F4647&lt;B4647)),"Evento anterior à entrada",IF(AND(F4647&lt;&gt;"",E4647=""),"Conversa sem agendamento",IF(OR(E4647&gt;TODAY(),F4647&gt;TODAY()),"Verificar evento futuro","OK"))))))))))</f>
        <v/>
      </c>
    </row>
    <row r="4648" spans="12:15">
      <c r="L4648" s="5">
        <f>IF(OR(A4648="",B4648=""),"",B4648-WEEKDAY(B4648,2)+1)</f>
        <v/>
      </c>
      <c r="M4648" s="5">
        <f>IF(L4648="","",L4648+6)</f>
        <v/>
      </c>
      <c r="N4648" s="6">
        <f>IF(OR(A4648="",B4648=""),"",DATE(YEAR(B4648),MONTH(B4648),1))</f>
        <v/>
      </c>
      <c r="O4648" s="7">
        <f>IF(COUNTA(A4648:K4648)=0,"",IF(OR(A4648="",B4648=""),"Preencher CPF e entrada",IF(COUNTIFS($A$12:$A$5011,A4648,$B$12:$B$5011,B4648)&gt;1,"CPF + dia duplicado",IF(OR(AND(G4648&lt;&gt;"",G4648&lt;&gt;0,G4648&lt;&gt;1),AND(H4648&lt;&gt;"",H4648&lt;&gt;0,H4648&lt;&gt;1)),"Flags devem ser 0 ou 1",IF(AND(H4648=1,LEN(TRIM(I4648))=0),"Preencher nome do indicante",IF(AND(H4648&lt;&gt;1,I4648&lt;&gt;""),"Nome sem indicação interna",IF(AND(G4648=1,F4648=""),"Fechamento sem conversa",IF(OR(AND(E4648&lt;&gt;"",E4648&lt;B4648),AND(F4648&lt;&gt;"",F4648&lt;B4648)),"Evento anterior à entrada",IF(AND(F4648&lt;&gt;"",E4648=""),"Conversa sem agendamento",IF(OR(E4648&gt;TODAY(),F4648&gt;TODAY()),"Verificar evento futuro","OK"))))))))))</f>
        <v/>
      </c>
    </row>
    <row r="4649" spans="12:15">
      <c r="L4649" s="5">
        <f>IF(OR(A4649="",B4649=""),"",B4649-WEEKDAY(B4649,2)+1)</f>
        <v/>
      </c>
      <c r="M4649" s="5">
        <f>IF(L4649="","",L4649+6)</f>
        <v/>
      </c>
      <c r="N4649" s="6">
        <f>IF(OR(A4649="",B4649=""),"",DATE(YEAR(B4649),MONTH(B4649),1))</f>
        <v/>
      </c>
      <c r="O4649" s="7">
        <f>IF(COUNTA(A4649:K4649)=0,"",IF(OR(A4649="",B4649=""),"Preencher CPF e entrada",IF(COUNTIFS($A$12:$A$5011,A4649,$B$12:$B$5011,B4649)&gt;1,"CPF + dia duplicado",IF(OR(AND(G4649&lt;&gt;"",G4649&lt;&gt;0,G4649&lt;&gt;1),AND(H4649&lt;&gt;"",H4649&lt;&gt;0,H4649&lt;&gt;1)),"Flags devem ser 0 ou 1",IF(AND(H4649=1,LEN(TRIM(I4649))=0),"Preencher nome do indicante",IF(AND(H4649&lt;&gt;1,I4649&lt;&gt;""),"Nome sem indicação interna",IF(AND(G4649=1,F4649=""),"Fechamento sem conversa",IF(OR(AND(E4649&lt;&gt;"",E4649&lt;B4649),AND(F4649&lt;&gt;"",F4649&lt;B4649)),"Evento anterior à entrada",IF(AND(F4649&lt;&gt;"",E4649=""),"Conversa sem agendamento",IF(OR(E4649&gt;TODAY(),F4649&gt;TODAY()),"Verificar evento futuro","OK"))))))))))</f>
        <v/>
      </c>
    </row>
    <row r="4650" spans="12:15">
      <c r="L4650" s="5">
        <f>IF(OR(A4650="",B4650=""),"",B4650-WEEKDAY(B4650,2)+1)</f>
        <v/>
      </c>
      <c r="M4650" s="5">
        <f>IF(L4650="","",L4650+6)</f>
        <v/>
      </c>
      <c r="N4650" s="6">
        <f>IF(OR(A4650="",B4650=""),"",DATE(YEAR(B4650),MONTH(B4650),1))</f>
        <v/>
      </c>
      <c r="O4650" s="7">
        <f>IF(COUNTA(A4650:K4650)=0,"",IF(OR(A4650="",B4650=""),"Preencher CPF e entrada",IF(COUNTIFS($A$12:$A$5011,A4650,$B$12:$B$5011,B4650)&gt;1,"CPF + dia duplicado",IF(OR(AND(G4650&lt;&gt;"",G4650&lt;&gt;0,G4650&lt;&gt;1),AND(H4650&lt;&gt;"",H4650&lt;&gt;0,H4650&lt;&gt;1)),"Flags devem ser 0 ou 1",IF(AND(H4650=1,LEN(TRIM(I4650))=0),"Preencher nome do indicante",IF(AND(H4650&lt;&gt;1,I4650&lt;&gt;""),"Nome sem indicação interna",IF(AND(G4650=1,F4650=""),"Fechamento sem conversa",IF(OR(AND(E4650&lt;&gt;"",E4650&lt;B4650),AND(F4650&lt;&gt;"",F4650&lt;B4650)),"Evento anterior à entrada",IF(AND(F4650&lt;&gt;"",E4650=""),"Conversa sem agendamento",IF(OR(E4650&gt;TODAY(),F4650&gt;TODAY()),"Verificar evento futuro","OK"))))))))))</f>
        <v/>
      </c>
    </row>
    <row r="4651" spans="12:15">
      <c r="L4651" s="5">
        <f>IF(OR(A4651="",B4651=""),"",B4651-WEEKDAY(B4651,2)+1)</f>
        <v/>
      </c>
      <c r="M4651" s="5">
        <f>IF(L4651="","",L4651+6)</f>
        <v/>
      </c>
      <c r="N4651" s="6">
        <f>IF(OR(A4651="",B4651=""),"",DATE(YEAR(B4651),MONTH(B4651),1))</f>
        <v/>
      </c>
      <c r="O4651" s="7">
        <f>IF(COUNTA(A4651:K4651)=0,"",IF(OR(A4651="",B4651=""),"Preencher CPF e entrada",IF(COUNTIFS($A$12:$A$5011,A4651,$B$12:$B$5011,B4651)&gt;1,"CPF + dia duplicado",IF(OR(AND(G4651&lt;&gt;"",G4651&lt;&gt;0,G4651&lt;&gt;1),AND(H4651&lt;&gt;"",H4651&lt;&gt;0,H4651&lt;&gt;1)),"Flags devem ser 0 ou 1",IF(AND(H4651=1,LEN(TRIM(I4651))=0),"Preencher nome do indicante",IF(AND(H4651&lt;&gt;1,I4651&lt;&gt;""),"Nome sem indicação interna",IF(AND(G4651=1,F4651=""),"Fechamento sem conversa",IF(OR(AND(E4651&lt;&gt;"",E4651&lt;B4651),AND(F4651&lt;&gt;"",F4651&lt;B4651)),"Evento anterior à entrada",IF(AND(F4651&lt;&gt;"",E4651=""),"Conversa sem agendamento",IF(OR(E4651&gt;TODAY(),F4651&gt;TODAY()),"Verificar evento futuro","OK"))))))))))</f>
        <v/>
      </c>
    </row>
    <row r="4652" spans="12:15">
      <c r="L4652" s="5">
        <f>IF(OR(A4652="",B4652=""),"",B4652-WEEKDAY(B4652,2)+1)</f>
        <v/>
      </c>
      <c r="M4652" s="5">
        <f>IF(L4652="","",L4652+6)</f>
        <v/>
      </c>
      <c r="N4652" s="6">
        <f>IF(OR(A4652="",B4652=""),"",DATE(YEAR(B4652),MONTH(B4652),1))</f>
        <v/>
      </c>
      <c r="O4652" s="7">
        <f>IF(COUNTA(A4652:K4652)=0,"",IF(OR(A4652="",B4652=""),"Preencher CPF e entrada",IF(COUNTIFS($A$12:$A$5011,A4652,$B$12:$B$5011,B4652)&gt;1,"CPF + dia duplicado",IF(OR(AND(G4652&lt;&gt;"",G4652&lt;&gt;0,G4652&lt;&gt;1),AND(H4652&lt;&gt;"",H4652&lt;&gt;0,H4652&lt;&gt;1)),"Flags devem ser 0 ou 1",IF(AND(H4652=1,LEN(TRIM(I4652))=0),"Preencher nome do indicante",IF(AND(H4652&lt;&gt;1,I4652&lt;&gt;""),"Nome sem indicação interna",IF(AND(G4652=1,F4652=""),"Fechamento sem conversa",IF(OR(AND(E4652&lt;&gt;"",E4652&lt;B4652),AND(F4652&lt;&gt;"",F4652&lt;B4652)),"Evento anterior à entrada",IF(AND(F4652&lt;&gt;"",E4652=""),"Conversa sem agendamento",IF(OR(E4652&gt;TODAY(),F4652&gt;TODAY()),"Verificar evento futuro","OK"))))))))))</f>
        <v/>
      </c>
    </row>
    <row r="4653" spans="12:15">
      <c r="L4653" s="5">
        <f>IF(OR(A4653="",B4653=""),"",B4653-WEEKDAY(B4653,2)+1)</f>
        <v/>
      </c>
      <c r="M4653" s="5">
        <f>IF(L4653="","",L4653+6)</f>
        <v/>
      </c>
      <c r="N4653" s="6">
        <f>IF(OR(A4653="",B4653=""),"",DATE(YEAR(B4653),MONTH(B4653),1))</f>
        <v/>
      </c>
      <c r="O4653" s="7">
        <f>IF(COUNTA(A4653:K4653)=0,"",IF(OR(A4653="",B4653=""),"Preencher CPF e entrada",IF(COUNTIFS($A$12:$A$5011,A4653,$B$12:$B$5011,B4653)&gt;1,"CPF + dia duplicado",IF(OR(AND(G4653&lt;&gt;"",G4653&lt;&gt;0,G4653&lt;&gt;1),AND(H4653&lt;&gt;"",H4653&lt;&gt;0,H4653&lt;&gt;1)),"Flags devem ser 0 ou 1",IF(AND(H4653=1,LEN(TRIM(I4653))=0),"Preencher nome do indicante",IF(AND(H4653&lt;&gt;1,I4653&lt;&gt;""),"Nome sem indicação interna",IF(AND(G4653=1,F4653=""),"Fechamento sem conversa",IF(OR(AND(E4653&lt;&gt;"",E4653&lt;B4653),AND(F4653&lt;&gt;"",F4653&lt;B4653)),"Evento anterior à entrada",IF(AND(F4653&lt;&gt;"",E4653=""),"Conversa sem agendamento",IF(OR(E4653&gt;TODAY(),F4653&gt;TODAY()),"Verificar evento futuro","OK"))))))))))</f>
        <v/>
      </c>
    </row>
    <row r="4654" spans="12:15">
      <c r="L4654" s="5">
        <f>IF(OR(A4654="",B4654=""),"",B4654-WEEKDAY(B4654,2)+1)</f>
        <v/>
      </c>
      <c r="M4654" s="5">
        <f>IF(L4654="","",L4654+6)</f>
        <v/>
      </c>
      <c r="N4654" s="6">
        <f>IF(OR(A4654="",B4654=""),"",DATE(YEAR(B4654),MONTH(B4654),1))</f>
        <v/>
      </c>
      <c r="O4654" s="7">
        <f>IF(COUNTA(A4654:K4654)=0,"",IF(OR(A4654="",B4654=""),"Preencher CPF e entrada",IF(COUNTIFS($A$12:$A$5011,A4654,$B$12:$B$5011,B4654)&gt;1,"CPF + dia duplicado",IF(OR(AND(G4654&lt;&gt;"",G4654&lt;&gt;0,G4654&lt;&gt;1),AND(H4654&lt;&gt;"",H4654&lt;&gt;0,H4654&lt;&gt;1)),"Flags devem ser 0 ou 1",IF(AND(H4654=1,LEN(TRIM(I4654))=0),"Preencher nome do indicante",IF(AND(H4654&lt;&gt;1,I4654&lt;&gt;""),"Nome sem indicação interna",IF(AND(G4654=1,F4654=""),"Fechamento sem conversa",IF(OR(AND(E4654&lt;&gt;"",E4654&lt;B4654),AND(F4654&lt;&gt;"",F4654&lt;B4654)),"Evento anterior à entrada",IF(AND(F4654&lt;&gt;"",E4654=""),"Conversa sem agendamento",IF(OR(E4654&gt;TODAY(),F4654&gt;TODAY()),"Verificar evento futuro","OK"))))))))))</f>
        <v/>
      </c>
    </row>
    <row r="4655" spans="12:15">
      <c r="L4655" s="5">
        <f>IF(OR(A4655="",B4655=""),"",B4655-WEEKDAY(B4655,2)+1)</f>
        <v/>
      </c>
      <c r="M4655" s="5">
        <f>IF(L4655="","",L4655+6)</f>
        <v/>
      </c>
      <c r="N4655" s="6">
        <f>IF(OR(A4655="",B4655=""),"",DATE(YEAR(B4655),MONTH(B4655),1))</f>
        <v/>
      </c>
      <c r="O4655" s="7">
        <f>IF(COUNTA(A4655:K4655)=0,"",IF(OR(A4655="",B4655=""),"Preencher CPF e entrada",IF(COUNTIFS($A$12:$A$5011,A4655,$B$12:$B$5011,B4655)&gt;1,"CPF + dia duplicado",IF(OR(AND(G4655&lt;&gt;"",G4655&lt;&gt;0,G4655&lt;&gt;1),AND(H4655&lt;&gt;"",H4655&lt;&gt;0,H4655&lt;&gt;1)),"Flags devem ser 0 ou 1",IF(AND(H4655=1,LEN(TRIM(I4655))=0),"Preencher nome do indicante",IF(AND(H4655&lt;&gt;1,I4655&lt;&gt;""),"Nome sem indicação interna",IF(AND(G4655=1,F4655=""),"Fechamento sem conversa",IF(OR(AND(E4655&lt;&gt;"",E4655&lt;B4655),AND(F4655&lt;&gt;"",F4655&lt;B4655)),"Evento anterior à entrada",IF(AND(F4655&lt;&gt;"",E4655=""),"Conversa sem agendamento",IF(OR(E4655&gt;TODAY(),F4655&gt;TODAY()),"Verificar evento futuro","OK"))))))))))</f>
        <v/>
      </c>
    </row>
    <row r="4656" spans="12:15">
      <c r="L4656" s="5">
        <f>IF(OR(A4656="",B4656=""),"",B4656-WEEKDAY(B4656,2)+1)</f>
        <v/>
      </c>
      <c r="M4656" s="5">
        <f>IF(L4656="","",L4656+6)</f>
        <v/>
      </c>
      <c r="N4656" s="6">
        <f>IF(OR(A4656="",B4656=""),"",DATE(YEAR(B4656),MONTH(B4656),1))</f>
        <v/>
      </c>
      <c r="O4656" s="7">
        <f>IF(COUNTA(A4656:K4656)=0,"",IF(OR(A4656="",B4656=""),"Preencher CPF e entrada",IF(COUNTIFS($A$12:$A$5011,A4656,$B$12:$B$5011,B4656)&gt;1,"CPF + dia duplicado",IF(OR(AND(G4656&lt;&gt;"",G4656&lt;&gt;0,G4656&lt;&gt;1),AND(H4656&lt;&gt;"",H4656&lt;&gt;0,H4656&lt;&gt;1)),"Flags devem ser 0 ou 1",IF(AND(H4656=1,LEN(TRIM(I4656))=0),"Preencher nome do indicante",IF(AND(H4656&lt;&gt;1,I4656&lt;&gt;""),"Nome sem indicação interna",IF(AND(G4656=1,F4656=""),"Fechamento sem conversa",IF(OR(AND(E4656&lt;&gt;"",E4656&lt;B4656),AND(F4656&lt;&gt;"",F4656&lt;B4656)),"Evento anterior à entrada",IF(AND(F4656&lt;&gt;"",E4656=""),"Conversa sem agendamento",IF(OR(E4656&gt;TODAY(),F4656&gt;TODAY()),"Verificar evento futuro","OK"))))))))))</f>
        <v/>
      </c>
    </row>
    <row r="4657" spans="12:15">
      <c r="L4657" s="5">
        <f>IF(OR(A4657="",B4657=""),"",B4657-WEEKDAY(B4657,2)+1)</f>
        <v/>
      </c>
      <c r="M4657" s="5">
        <f>IF(L4657="","",L4657+6)</f>
        <v/>
      </c>
      <c r="N4657" s="6">
        <f>IF(OR(A4657="",B4657=""),"",DATE(YEAR(B4657),MONTH(B4657),1))</f>
        <v/>
      </c>
      <c r="O4657" s="7">
        <f>IF(COUNTA(A4657:K4657)=0,"",IF(OR(A4657="",B4657=""),"Preencher CPF e entrada",IF(COUNTIFS($A$12:$A$5011,A4657,$B$12:$B$5011,B4657)&gt;1,"CPF + dia duplicado",IF(OR(AND(G4657&lt;&gt;"",G4657&lt;&gt;0,G4657&lt;&gt;1),AND(H4657&lt;&gt;"",H4657&lt;&gt;0,H4657&lt;&gt;1)),"Flags devem ser 0 ou 1",IF(AND(H4657=1,LEN(TRIM(I4657))=0),"Preencher nome do indicante",IF(AND(H4657&lt;&gt;1,I4657&lt;&gt;""),"Nome sem indicação interna",IF(AND(G4657=1,F4657=""),"Fechamento sem conversa",IF(OR(AND(E4657&lt;&gt;"",E4657&lt;B4657),AND(F4657&lt;&gt;"",F4657&lt;B4657)),"Evento anterior à entrada",IF(AND(F4657&lt;&gt;"",E4657=""),"Conversa sem agendamento",IF(OR(E4657&gt;TODAY(),F4657&gt;TODAY()),"Verificar evento futuro","OK"))))))))))</f>
        <v/>
      </c>
    </row>
    <row r="4658" spans="12:15">
      <c r="L4658" s="5">
        <f>IF(OR(A4658="",B4658=""),"",B4658-WEEKDAY(B4658,2)+1)</f>
        <v/>
      </c>
      <c r="M4658" s="5">
        <f>IF(L4658="","",L4658+6)</f>
        <v/>
      </c>
      <c r="N4658" s="6">
        <f>IF(OR(A4658="",B4658=""),"",DATE(YEAR(B4658),MONTH(B4658),1))</f>
        <v/>
      </c>
      <c r="O4658" s="7">
        <f>IF(COUNTA(A4658:K4658)=0,"",IF(OR(A4658="",B4658=""),"Preencher CPF e entrada",IF(COUNTIFS($A$12:$A$5011,A4658,$B$12:$B$5011,B4658)&gt;1,"CPF + dia duplicado",IF(OR(AND(G4658&lt;&gt;"",G4658&lt;&gt;0,G4658&lt;&gt;1),AND(H4658&lt;&gt;"",H4658&lt;&gt;0,H4658&lt;&gt;1)),"Flags devem ser 0 ou 1",IF(AND(H4658=1,LEN(TRIM(I4658))=0),"Preencher nome do indicante",IF(AND(H4658&lt;&gt;1,I4658&lt;&gt;""),"Nome sem indicação interna",IF(AND(G4658=1,F4658=""),"Fechamento sem conversa",IF(OR(AND(E4658&lt;&gt;"",E4658&lt;B4658),AND(F4658&lt;&gt;"",F4658&lt;B4658)),"Evento anterior à entrada",IF(AND(F4658&lt;&gt;"",E4658=""),"Conversa sem agendamento",IF(OR(E4658&gt;TODAY(),F4658&gt;TODAY()),"Verificar evento futuro","OK"))))))))))</f>
        <v/>
      </c>
    </row>
    <row r="4659" spans="12:15">
      <c r="L4659" s="5">
        <f>IF(OR(A4659="",B4659=""),"",B4659-WEEKDAY(B4659,2)+1)</f>
        <v/>
      </c>
      <c r="M4659" s="5">
        <f>IF(L4659="","",L4659+6)</f>
        <v/>
      </c>
      <c r="N4659" s="6">
        <f>IF(OR(A4659="",B4659=""),"",DATE(YEAR(B4659),MONTH(B4659),1))</f>
        <v/>
      </c>
      <c r="O4659" s="7">
        <f>IF(COUNTA(A4659:K4659)=0,"",IF(OR(A4659="",B4659=""),"Preencher CPF e entrada",IF(COUNTIFS($A$12:$A$5011,A4659,$B$12:$B$5011,B4659)&gt;1,"CPF + dia duplicado",IF(OR(AND(G4659&lt;&gt;"",G4659&lt;&gt;0,G4659&lt;&gt;1),AND(H4659&lt;&gt;"",H4659&lt;&gt;0,H4659&lt;&gt;1)),"Flags devem ser 0 ou 1",IF(AND(H4659=1,LEN(TRIM(I4659))=0),"Preencher nome do indicante",IF(AND(H4659&lt;&gt;1,I4659&lt;&gt;""),"Nome sem indicação interna",IF(AND(G4659=1,F4659=""),"Fechamento sem conversa",IF(OR(AND(E4659&lt;&gt;"",E4659&lt;B4659),AND(F4659&lt;&gt;"",F4659&lt;B4659)),"Evento anterior à entrada",IF(AND(F4659&lt;&gt;"",E4659=""),"Conversa sem agendamento",IF(OR(E4659&gt;TODAY(),F4659&gt;TODAY()),"Verificar evento futuro","OK"))))))))))</f>
        <v/>
      </c>
    </row>
    <row r="4660" spans="12:15">
      <c r="L4660" s="5">
        <f>IF(OR(A4660="",B4660=""),"",B4660-WEEKDAY(B4660,2)+1)</f>
        <v/>
      </c>
      <c r="M4660" s="5">
        <f>IF(L4660="","",L4660+6)</f>
        <v/>
      </c>
      <c r="N4660" s="6">
        <f>IF(OR(A4660="",B4660=""),"",DATE(YEAR(B4660),MONTH(B4660),1))</f>
        <v/>
      </c>
      <c r="O4660" s="7">
        <f>IF(COUNTA(A4660:K4660)=0,"",IF(OR(A4660="",B4660=""),"Preencher CPF e entrada",IF(COUNTIFS($A$12:$A$5011,A4660,$B$12:$B$5011,B4660)&gt;1,"CPF + dia duplicado",IF(OR(AND(G4660&lt;&gt;"",G4660&lt;&gt;0,G4660&lt;&gt;1),AND(H4660&lt;&gt;"",H4660&lt;&gt;0,H4660&lt;&gt;1)),"Flags devem ser 0 ou 1",IF(AND(H4660=1,LEN(TRIM(I4660))=0),"Preencher nome do indicante",IF(AND(H4660&lt;&gt;1,I4660&lt;&gt;""),"Nome sem indicação interna",IF(AND(G4660=1,F4660=""),"Fechamento sem conversa",IF(OR(AND(E4660&lt;&gt;"",E4660&lt;B4660),AND(F4660&lt;&gt;"",F4660&lt;B4660)),"Evento anterior à entrada",IF(AND(F4660&lt;&gt;"",E4660=""),"Conversa sem agendamento",IF(OR(E4660&gt;TODAY(),F4660&gt;TODAY()),"Verificar evento futuro","OK"))))))))))</f>
        <v/>
      </c>
    </row>
    <row r="4661" spans="12:15">
      <c r="L4661" s="5">
        <f>IF(OR(A4661="",B4661=""),"",B4661-WEEKDAY(B4661,2)+1)</f>
        <v/>
      </c>
      <c r="M4661" s="5">
        <f>IF(L4661="","",L4661+6)</f>
        <v/>
      </c>
      <c r="N4661" s="6">
        <f>IF(OR(A4661="",B4661=""),"",DATE(YEAR(B4661),MONTH(B4661),1))</f>
        <v/>
      </c>
      <c r="O4661" s="7">
        <f>IF(COUNTA(A4661:K4661)=0,"",IF(OR(A4661="",B4661=""),"Preencher CPF e entrada",IF(COUNTIFS($A$12:$A$5011,A4661,$B$12:$B$5011,B4661)&gt;1,"CPF + dia duplicado",IF(OR(AND(G4661&lt;&gt;"",G4661&lt;&gt;0,G4661&lt;&gt;1),AND(H4661&lt;&gt;"",H4661&lt;&gt;0,H4661&lt;&gt;1)),"Flags devem ser 0 ou 1",IF(AND(H4661=1,LEN(TRIM(I4661))=0),"Preencher nome do indicante",IF(AND(H4661&lt;&gt;1,I4661&lt;&gt;""),"Nome sem indicação interna",IF(AND(G4661=1,F4661=""),"Fechamento sem conversa",IF(OR(AND(E4661&lt;&gt;"",E4661&lt;B4661),AND(F4661&lt;&gt;"",F4661&lt;B4661)),"Evento anterior à entrada",IF(AND(F4661&lt;&gt;"",E4661=""),"Conversa sem agendamento",IF(OR(E4661&gt;TODAY(),F4661&gt;TODAY()),"Verificar evento futuro","OK"))))))))))</f>
        <v/>
      </c>
    </row>
    <row r="4662" spans="12:15">
      <c r="L4662" s="5">
        <f>IF(OR(A4662="",B4662=""),"",B4662-WEEKDAY(B4662,2)+1)</f>
        <v/>
      </c>
      <c r="M4662" s="5">
        <f>IF(L4662="","",L4662+6)</f>
        <v/>
      </c>
      <c r="N4662" s="6">
        <f>IF(OR(A4662="",B4662=""),"",DATE(YEAR(B4662),MONTH(B4662),1))</f>
        <v/>
      </c>
      <c r="O4662" s="7">
        <f>IF(COUNTA(A4662:K4662)=0,"",IF(OR(A4662="",B4662=""),"Preencher CPF e entrada",IF(COUNTIFS($A$12:$A$5011,A4662,$B$12:$B$5011,B4662)&gt;1,"CPF + dia duplicado",IF(OR(AND(G4662&lt;&gt;"",G4662&lt;&gt;0,G4662&lt;&gt;1),AND(H4662&lt;&gt;"",H4662&lt;&gt;0,H4662&lt;&gt;1)),"Flags devem ser 0 ou 1",IF(AND(H4662=1,LEN(TRIM(I4662))=0),"Preencher nome do indicante",IF(AND(H4662&lt;&gt;1,I4662&lt;&gt;""),"Nome sem indicação interna",IF(AND(G4662=1,F4662=""),"Fechamento sem conversa",IF(OR(AND(E4662&lt;&gt;"",E4662&lt;B4662),AND(F4662&lt;&gt;"",F4662&lt;B4662)),"Evento anterior à entrada",IF(AND(F4662&lt;&gt;"",E4662=""),"Conversa sem agendamento",IF(OR(E4662&gt;TODAY(),F4662&gt;TODAY()),"Verificar evento futuro","OK"))))))))))</f>
        <v/>
      </c>
    </row>
    <row r="4663" spans="12:15">
      <c r="L4663" s="5">
        <f>IF(OR(A4663="",B4663=""),"",B4663-WEEKDAY(B4663,2)+1)</f>
        <v/>
      </c>
      <c r="M4663" s="5">
        <f>IF(L4663="","",L4663+6)</f>
        <v/>
      </c>
      <c r="N4663" s="6">
        <f>IF(OR(A4663="",B4663=""),"",DATE(YEAR(B4663),MONTH(B4663),1))</f>
        <v/>
      </c>
      <c r="O4663" s="7">
        <f>IF(COUNTA(A4663:K4663)=0,"",IF(OR(A4663="",B4663=""),"Preencher CPF e entrada",IF(COUNTIFS($A$12:$A$5011,A4663,$B$12:$B$5011,B4663)&gt;1,"CPF + dia duplicado",IF(OR(AND(G4663&lt;&gt;"",G4663&lt;&gt;0,G4663&lt;&gt;1),AND(H4663&lt;&gt;"",H4663&lt;&gt;0,H4663&lt;&gt;1)),"Flags devem ser 0 ou 1",IF(AND(H4663=1,LEN(TRIM(I4663))=0),"Preencher nome do indicante",IF(AND(H4663&lt;&gt;1,I4663&lt;&gt;""),"Nome sem indicação interna",IF(AND(G4663=1,F4663=""),"Fechamento sem conversa",IF(OR(AND(E4663&lt;&gt;"",E4663&lt;B4663),AND(F4663&lt;&gt;"",F4663&lt;B4663)),"Evento anterior à entrada",IF(AND(F4663&lt;&gt;"",E4663=""),"Conversa sem agendamento",IF(OR(E4663&gt;TODAY(),F4663&gt;TODAY()),"Verificar evento futuro","OK"))))))))))</f>
        <v/>
      </c>
    </row>
    <row r="4664" spans="12:15">
      <c r="L4664" s="5">
        <f>IF(OR(A4664="",B4664=""),"",B4664-WEEKDAY(B4664,2)+1)</f>
        <v/>
      </c>
      <c r="M4664" s="5">
        <f>IF(L4664="","",L4664+6)</f>
        <v/>
      </c>
      <c r="N4664" s="6">
        <f>IF(OR(A4664="",B4664=""),"",DATE(YEAR(B4664),MONTH(B4664),1))</f>
        <v/>
      </c>
      <c r="O4664" s="7">
        <f>IF(COUNTA(A4664:K4664)=0,"",IF(OR(A4664="",B4664=""),"Preencher CPF e entrada",IF(COUNTIFS($A$12:$A$5011,A4664,$B$12:$B$5011,B4664)&gt;1,"CPF + dia duplicado",IF(OR(AND(G4664&lt;&gt;"",G4664&lt;&gt;0,G4664&lt;&gt;1),AND(H4664&lt;&gt;"",H4664&lt;&gt;0,H4664&lt;&gt;1)),"Flags devem ser 0 ou 1",IF(AND(H4664=1,LEN(TRIM(I4664))=0),"Preencher nome do indicante",IF(AND(H4664&lt;&gt;1,I4664&lt;&gt;""),"Nome sem indicação interna",IF(AND(G4664=1,F4664=""),"Fechamento sem conversa",IF(OR(AND(E4664&lt;&gt;"",E4664&lt;B4664),AND(F4664&lt;&gt;"",F4664&lt;B4664)),"Evento anterior à entrada",IF(AND(F4664&lt;&gt;"",E4664=""),"Conversa sem agendamento",IF(OR(E4664&gt;TODAY(),F4664&gt;TODAY()),"Verificar evento futuro","OK"))))))))))</f>
        <v/>
      </c>
    </row>
    <row r="4665" spans="12:15">
      <c r="L4665" s="5">
        <f>IF(OR(A4665="",B4665=""),"",B4665-WEEKDAY(B4665,2)+1)</f>
        <v/>
      </c>
      <c r="M4665" s="5">
        <f>IF(L4665="","",L4665+6)</f>
        <v/>
      </c>
      <c r="N4665" s="6">
        <f>IF(OR(A4665="",B4665=""),"",DATE(YEAR(B4665),MONTH(B4665),1))</f>
        <v/>
      </c>
      <c r="O4665" s="7">
        <f>IF(COUNTA(A4665:K4665)=0,"",IF(OR(A4665="",B4665=""),"Preencher CPF e entrada",IF(COUNTIFS($A$12:$A$5011,A4665,$B$12:$B$5011,B4665)&gt;1,"CPF + dia duplicado",IF(OR(AND(G4665&lt;&gt;"",G4665&lt;&gt;0,G4665&lt;&gt;1),AND(H4665&lt;&gt;"",H4665&lt;&gt;0,H4665&lt;&gt;1)),"Flags devem ser 0 ou 1",IF(AND(H4665=1,LEN(TRIM(I4665))=0),"Preencher nome do indicante",IF(AND(H4665&lt;&gt;1,I4665&lt;&gt;""),"Nome sem indicação interna",IF(AND(G4665=1,F4665=""),"Fechamento sem conversa",IF(OR(AND(E4665&lt;&gt;"",E4665&lt;B4665),AND(F4665&lt;&gt;"",F4665&lt;B4665)),"Evento anterior à entrada",IF(AND(F4665&lt;&gt;"",E4665=""),"Conversa sem agendamento",IF(OR(E4665&gt;TODAY(),F4665&gt;TODAY()),"Verificar evento futuro","OK"))))))))))</f>
        <v/>
      </c>
    </row>
    <row r="4666" spans="12:15">
      <c r="L4666" s="5">
        <f>IF(OR(A4666="",B4666=""),"",B4666-WEEKDAY(B4666,2)+1)</f>
        <v/>
      </c>
      <c r="M4666" s="5">
        <f>IF(L4666="","",L4666+6)</f>
        <v/>
      </c>
      <c r="N4666" s="6">
        <f>IF(OR(A4666="",B4666=""),"",DATE(YEAR(B4666),MONTH(B4666),1))</f>
        <v/>
      </c>
      <c r="O4666" s="7">
        <f>IF(COUNTA(A4666:K4666)=0,"",IF(OR(A4666="",B4666=""),"Preencher CPF e entrada",IF(COUNTIFS($A$12:$A$5011,A4666,$B$12:$B$5011,B4666)&gt;1,"CPF + dia duplicado",IF(OR(AND(G4666&lt;&gt;"",G4666&lt;&gt;0,G4666&lt;&gt;1),AND(H4666&lt;&gt;"",H4666&lt;&gt;0,H4666&lt;&gt;1)),"Flags devem ser 0 ou 1",IF(AND(H4666=1,LEN(TRIM(I4666))=0),"Preencher nome do indicante",IF(AND(H4666&lt;&gt;1,I4666&lt;&gt;""),"Nome sem indicação interna",IF(AND(G4666=1,F4666=""),"Fechamento sem conversa",IF(OR(AND(E4666&lt;&gt;"",E4666&lt;B4666),AND(F4666&lt;&gt;"",F4666&lt;B4666)),"Evento anterior à entrada",IF(AND(F4666&lt;&gt;"",E4666=""),"Conversa sem agendamento",IF(OR(E4666&gt;TODAY(),F4666&gt;TODAY()),"Verificar evento futuro","OK"))))))))))</f>
        <v/>
      </c>
    </row>
    <row r="4667" spans="12:15">
      <c r="L4667" s="5">
        <f>IF(OR(A4667="",B4667=""),"",B4667-WEEKDAY(B4667,2)+1)</f>
        <v/>
      </c>
      <c r="M4667" s="5">
        <f>IF(L4667="","",L4667+6)</f>
        <v/>
      </c>
      <c r="N4667" s="6">
        <f>IF(OR(A4667="",B4667=""),"",DATE(YEAR(B4667),MONTH(B4667),1))</f>
        <v/>
      </c>
      <c r="O4667" s="7">
        <f>IF(COUNTA(A4667:K4667)=0,"",IF(OR(A4667="",B4667=""),"Preencher CPF e entrada",IF(COUNTIFS($A$12:$A$5011,A4667,$B$12:$B$5011,B4667)&gt;1,"CPF + dia duplicado",IF(OR(AND(G4667&lt;&gt;"",G4667&lt;&gt;0,G4667&lt;&gt;1),AND(H4667&lt;&gt;"",H4667&lt;&gt;0,H4667&lt;&gt;1)),"Flags devem ser 0 ou 1",IF(AND(H4667=1,LEN(TRIM(I4667))=0),"Preencher nome do indicante",IF(AND(H4667&lt;&gt;1,I4667&lt;&gt;""),"Nome sem indicação interna",IF(AND(G4667=1,F4667=""),"Fechamento sem conversa",IF(OR(AND(E4667&lt;&gt;"",E4667&lt;B4667),AND(F4667&lt;&gt;"",F4667&lt;B4667)),"Evento anterior à entrada",IF(AND(F4667&lt;&gt;"",E4667=""),"Conversa sem agendamento",IF(OR(E4667&gt;TODAY(),F4667&gt;TODAY()),"Verificar evento futuro","OK"))))))))))</f>
        <v/>
      </c>
    </row>
    <row r="4668" spans="12:15">
      <c r="L4668" s="5">
        <f>IF(OR(A4668="",B4668=""),"",B4668-WEEKDAY(B4668,2)+1)</f>
        <v/>
      </c>
      <c r="M4668" s="5">
        <f>IF(L4668="","",L4668+6)</f>
        <v/>
      </c>
      <c r="N4668" s="6">
        <f>IF(OR(A4668="",B4668=""),"",DATE(YEAR(B4668),MONTH(B4668),1))</f>
        <v/>
      </c>
      <c r="O4668" s="7">
        <f>IF(COUNTA(A4668:K4668)=0,"",IF(OR(A4668="",B4668=""),"Preencher CPF e entrada",IF(COUNTIFS($A$12:$A$5011,A4668,$B$12:$B$5011,B4668)&gt;1,"CPF + dia duplicado",IF(OR(AND(G4668&lt;&gt;"",G4668&lt;&gt;0,G4668&lt;&gt;1),AND(H4668&lt;&gt;"",H4668&lt;&gt;0,H4668&lt;&gt;1)),"Flags devem ser 0 ou 1",IF(AND(H4668=1,LEN(TRIM(I4668))=0),"Preencher nome do indicante",IF(AND(H4668&lt;&gt;1,I4668&lt;&gt;""),"Nome sem indicação interna",IF(AND(G4668=1,F4668=""),"Fechamento sem conversa",IF(OR(AND(E4668&lt;&gt;"",E4668&lt;B4668),AND(F4668&lt;&gt;"",F4668&lt;B4668)),"Evento anterior à entrada",IF(AND(F4668&lt;&gt;"",E4668=""),"Conversa sem agendamento",IF(OR(E4668&gt;TODAY(),F4668&gt;TODAY()),"Verificar evento futuro","OK"))))))))))</f>
        <v/>
      </c>
    </row>
    <row r="4669" spans="12:15">
      <c r="L4669" s="5">
        <f>IF(OR(A4669="",B4669=""),"",B4669-WEEKDAY(B4669,2)+1)</f>
        <v/>
      </c>
      <c r="M4669" s="5">
        <f>IF(L4669="","",L4669+6)</f>
        <v/>
      </c>
      <c r="N4669" s="6">
        <f>IF(OR(A4669="",B4669=""),"",DATE(YEAR(B4669),MONTH(B4669),1))</f>
        <v/>
      </c>
      <c r="O4669" s="7">
        <f>IF(COUNTA(A4669:K4669)=0,"",IF(OR(A4669="",B4669=""),"Preencher CPF e entrada",IF(COUNTIFS($A$12:$A$5011,A4669,$B$12:$B$5011,B4669)&gt;1,"CPF + dia duplicado",IF(OR(AND(G4669&lt;&gt;"",G4669&lt;&gt;0,G4669&lt;&gt;1),AND(H4669&lt;&gt;"",H4669&lt;&gt;0,H4669&lt;&gt;1)),"Flags devem ser 0 ou 1",IF(AND(H4669=1,LEN(TRIM(I4669))=0),"Preencher nome do indicante",IF(AND(H4669&lt;&gt;1,I4669&lt;&gt;""),"Nome sem indicação interna",IF(AND(G4669=1,F4669=""),"Fechamento sem conversa",IF(OR(AND(E4669&lt;&gt;"",E4669&lt;B4669),AND(F4669&lt;&gt;"",F4669&lt;B4669)),"Evento anterior à entrada",IF(AND(F4669&lt;&gt;"",E4669=""),"Conversa sem agendamento",IF(OR(E4669&gt;TODAY(),F4669&gt;TODAY()),"Verificar evento futuro","OK"))))))))))</f>
        <v/>
      </c>
    </row>
    <row r="4670" spans="12:15">
      <c r="L4670" s="5">
        <f>IF(OR(A4670="",B4670=""),"",B4670-WEEKDAY(B4670,2)+1)</f>
        <v/>
      </c>
      <c r="M4670" s="5">
        <f>IF(L4670="","",L4670+6)</f>
        <v/>
      </c>
      <c r="N4670" s="6">
        <f>IF(OR(A4670="",B4670=""),"",DATE(YEAR(B4670),MONTH(B4670),1))</f>
        <v/>
      </c>
      <c r="O4670" s="7">
        <f>IF(COUNTA(A4670:K4670)=0,"",IF(OR(A4670="",B4670=""),"Preencher CPF e entrada",IF(COUNTIFS($A$12:$A$5011,A4670,$B$12:$B$5011,B4670)&gt;1,"CPF + dia duplicado",IF(OR(AND(G4670&lt;&gt;"",G4670&lt;&gt;0,G4670&lt;&gt;1),AND(H4670&lt;&gt;"",H4670&lt;&gt;0,H4670&lt;&gt;1)),"Flags devem ser 0 ou 1",IF(AND(H4670=1,LEN(TRIM(I4670))=0),"Preencher nome do indicante",IF(AND(H4670&lt;&gt;1,I4670&lt;&gt;""),"Nome sem indicação interna",IF(AND(G4670=1,F4670=""),"Fechamento sem conversa",IF(OR(AND(E4670&lt;&gt;"",E4670&lt;B4670),AND(F4670&lt;&gt;"",F4670&lt;B4670)),"Evento anterior à entrada",IF(AND(F4670&lt;&gt;"",E4670=""),"Conversa sem agendamento",IF(OR(E4670&gt;TODAY(),F4670&gt;TODAY()),"Verificar evento futuro","OK"))))))))))</f>
        <v/>
      </c>
    </row>
    <row r="4671" spans="12:15">
      <c r="L4671" s="5">
        <f>IF(OR(A4671="",B4671=""),"",B4671-WEEKDAY(B4671,2)+1)</f>
        <v/>
      </c>
      <c r="M4671" s="5">
        <f>IF(L4671="","",L4671+6)</f>
        <v/>
      </c>
      <c r="N4671" s="6">
        <f>IF(OR(A4671="",B4671=""),"",DATE(YEAR(B4671),MONTH(B4671),1))</f>
        <v/>
      </c>
      <c r="O4671" s="7">
        <f>IF(COUNTA(A4671:K4671)=0,"",IF(OR(A4671="",B4671=""),"Preencher CPF e entrada",IF(COUNTIFS($A$12:$A$5011,A4671,$B$12:$B$5011,B4671)&gt;1,"CPF + dia duplicado",IF(OR(AND(G4671&lt;&gt;"",G4671&lt;&gt;0,G4671&lt;&gt;1),AND(H4671&lt;&gt;"",H4671&lt;&gt;0,H4671&lt;&gt;1)),"Flags devem ser 0 ou 1",IF(AND(H4671=1,LEN(TRIM(I4671))=0),"Preencher nome do indicante",IF(AND(H4671&lt;&gt;1,I4671&lt;&gt;""),"Nome sem indicação interna",IF(AND(G4671=1,F4671=""),"Fechamento sem conversa",IF(OR(AND(E4671&lt;&gt;"",E4671&lt;B4671),AND(F4671&lt;&gt;"",F4671&lt;B4671)),"Evento anterior à entrada",IF(AND(F4671&lt;&gt;"",E4671=""),"Conversa sem agendamento",IF(OR(E4671&gt;TODAY(),F4671&gt;TODAY()),"Verificar evento futuro","OK"))))))))))</f>
        <v/>
      </c>
    </row>
    <row r="4672" spans="12:15">
      <c r="L4672" s="5">
        <f>IF(OR(A4672="",B4672=""),"",B4672-WEEKDAY(B4672,2)+1)</f>
        <v/>
      </c>
      <c r="M4672" s="5">
        <f>IF(L4672="","",L4672+6)</f>
        <v/>
      </c>
      <c r="N4672" s="6">
        <f>IF(OR(A4672="",B4672=""),"",DATE(YEAR(B4672),MONTH(B4672),1))</f>
        <v/>
      </c>
      <c r="O4672" s="7">
        <f>IF(COUNTA(A4672:K4672)=0,"",IF(OR(A4672="",B4672=""),"Preencher CPF e entrada",IF(COUNTIFS($A$12:$A$5011,A4672,$B$12:$B$5011,B4672)&gt;1,"CPF + dia duplicado",IF(OR(AND(G4672&lt;&gt;"",G4672&lt;&gt;0,G4672&lt;&gt;1),AND(H4672&lt;&gt;"",H4672&lt;&gt;0,H4672&lt;&gt;1)),"Flags devem ser 0 ou 1",IF(AND(H4672=1,LEN(TRIM(I4672))=0),"Preencher nome do indicante",IF(AND(H4672&lt;&gt;1,I4672&lt;&gt;""),"Nome sem indicação interna",IF(AND(G4672=1,F4672=""),"Fechamento sem conversa",IF(OR(AND(E4672&lt;&gt;"",E4672&lt;B4672),AND(F4672&lt;&gt;"",F4672&lt;B4672)),"Evento anterior à entrada",IF(AND(F4672&lt;&gt;"",E4672=""),"Conversa sem agendamento",IF(OR(E4672&gt;TODAY(),F4672&gt;TODAY()),"Verificar evento futuro","OK"))))))))))</f>
        <v/>
      </c>
    </row>
    <row r="4673" spans="12:15">
      <c r="L4673" s="5">
        <f>IF(OR(A4673="",B4673=""),"",B4673-WEEKDAY(B4673,2)+1)</f>
        <v/>
      </c>
      <c r="M4673" s="5">
        <f>IF(L4673="","",L4673+6)</f>
        <v/>
      </c>
      <c r="N4673" s="6">
        <f>IF(OR(A4673="",B4673=""),"",DATE(YEAR(B4673),MONTH(B4673),1))</f>
        <v/>
      </c>
      <c r="O4673" s="7">
        <f>IF(COUNTA(A4673:K4673)=0,"",IF(OR(A4673="",B4673=""),"Preencher CPF e entrada",IF(COUNTIFS($A$12:$A$5011,A4673,$B$12:$B$5011,B4673)&gt;1,"CPF + dia duplicado",IF(OR(AND(G4673&lt;&gt;"",G4673&lt;&gt;0,G4673&lt;&gt;1),AND(H4673&lt;&gt;"",H4673&lt;&gt;0,H4673&lt;&gt;1)),"Flags devem ser 0 ou 1",IF(AND(H4673=1,LEN(TRIM(I4673))=0),"Preencher nome do indicante",IF(AND(H4673&lt;&gt;1,I4673&lt;&gt;""),"Nome sem indicação interna",IF(AND(G4673=1,F4673=""),"Fechamento sem conversa",IF(OR(AND(E4673&lt;&gt;"",E4673&lt;B4673),AND(F4673&lt;&gt;"",F4673&lt;B4673)),"Evento anterior à entrada",IF(AND(F4673&lt;&gt;"",E4673=""),"Conversa sem agendamento",IF(OR(E4673&gt;TODAY(),F4673&gt;TODAY()),"Verificar evento futuro","OK"))))))))))</f>
        <v/>
      </c>
    </row>
    <row r="4674" spans="12:15">
      <c r="L4674" s="5">
        <f>IF(OR(A4674="",B4674=""),"",B4674-WEEKDAY(B4674,2)+1)</f>
        <v/>
      </c>
      <c r="M4674" s="5">
        <f>IF(L4674="","",L4674+6)</f>
        <v/>
      </c>
      <c r="N4674" s="6">
        <f>IF(OR(A4674="",B4674=""),"",DATE(YEAR(B4674),MONTH(B4674),1))</f>
        <v/>
      </c>
      <c r="O4674" s="7">
        <f>IF(COUNTA(A4674:K4674)=0,"",IF(OR(A4674="",B4674=""),"Preencher CPF e entrada",IF(COUNTIFS($A$12:$A$5011,A4674,$B$12:$B$5011,B4674)&gt;1,"CPF + dia duplicado",IF(OR(AND(G4674&lt;&gt;"",G4674&lt;&gt;0,G4674&lt;&gt;1),AND(H4674&lt;&gt;"",H4674&lt;&gt;0,H4674&lt;&gt;1)),"Flags devem ser 0 ou 1",IF(AND(H4674=1,LEN(TRIM(I4674))=0),"Preencher nome do indicante",IF(AND(H4674&lt;&gt;1,I4674&lt;&gt;""),"Nome sem indicação interna",IF(AND(G4674=1,F4674=""),"Fechamento sem conversa",IF(OR(AND(E4674&lt;&gt;"",E4674&lt;B4674),AND(F4674&lt;&gt;"",F4674&lt;B4674)),"Evento anterior à entrada",IF(AND(F4674&lt;&gt;"",E4674=""),"Conversa sem agendamento",IF(OR(E4674&gt;TODAY(),F4674&gt;TODAY()),"Verificar evento futuro","OK"))))))))))</f>
        <v/>
      </c>
    </row>
    <row r="4675" spans="12:15">
      <c r="L4675" s="5">
        <f>IF(OR(A4675="",B4675=""),"",B4675-WEEKDAY(B4675,2)+1)</f>
        <v/>
      </c>
      <c r="M4675" s="5">
        <f>IF(L4675="","",L4675+6)</f>
        <v/>
      </c>
      <c r="N4675" s="6">
        <f>IF(OR(A4675="",B4675=""),"",DATE(YEAR(B4675),MONTH(B4675),1))</f>
        <v/>
      </c>
      <c r="O4675" s="7">
        <f>IF(COUNTA(A4675:K4675)=0,"",IF(OR(A4675="",B4675=""),"Preencher CPF e entrada",IF(COUNTIFS($A$12:$A$5011,A4675,$B$12:$B$5011,B4675)&gt;1,"CPF + dia duplicado",IF(OR(AND(G4675&lt;&gt;"",G4675&lt;&gt;0,G4675&lt;&gt;1),AND(H4675&lt;&gt;"",H4675&lt;&gt;0,H4675&lt;&gt;1)),"Flags devem ser 0 ou 1",IF(AND(H4675=1,LEN(TRIM(I4675))=0),"Preencher nome do indicante",IF(AND(H4675&lt;&gt;1,I4675&lt;&gt;""),"Nome sem indicação interna",IF(AND(G4675=1,F4675=""),"Fechamento sem conversa",IF(OR(AND(E4675&lt;&gt;"",E4675&lt;B4675),AND(F4675&lt;&gt;"",F4675&lt;B4675)),"Evento anterior à entrada",IF(AND(F4675&lt;&gt;"",E4675=""),"Conversa sem agendamento",IF(OR(E4675&gt;TODAY(),F4675&gt;TODAY()),"Verificar evento futuro","OK"))))))))))</f>
        <v/>
      </c>
    </row>
    <row r="4676" spans="12:15">
      <c r="L4676" s="5">
        <f>IF(OR(A4676="",B4676=""),"",B4676-WEEKDAY(B4676,2)+1)</f>
        <v/>
      </c>
      <c r="M4676" s="5">
        <f>IF(L4676="","",L4676+6)</f>
        <v/>
      </c>
      <c r="N4676" s="6">
        <f>IF(OR(A4676="",B4676=""),"",DATE(YEAR(B4676),MONTH(B4676),1))</f>
        <v/>
      </c>
      <c r="O4676" s="7">
        <f>IF(COUNTA(A4676:K4676)=0,"",IF(OR(A4676="",B4676=""),"Preencher CPF e entrada",IF(COUNTIFS($A$12:$A$5011,A4676,$B$12:$B$5011,B4676)&gt;1,"CPF + dia duplicado",IF(OR(AND(G4676&lt;&gt;"",G4676&lt;&gt;0,G4676&lt;&gt;1),AND(H4676&lt;&gt;"",H4676&lt;&gt;0,H4676&lt;&gt;1)),"Flags devem ser 0 ou 1",IF(AND(H4676=1,LEN(TRIM(I4676))=0),"Preencher nome do indicante",IF(AND(H4676&lt;&gt;1,I4676&lt;&gt;""),"Nome sem indicação interna",IF(AND(G4676=1,F4676=""),"Fechamento sem conversa",IF(OR(AND(E4676&lt;&gt;"",E4676&lt;B4676),AND(F4676&lt;&gt;"",F4676&lt;B4676)),"Evento anterior à entrada",IF(AND(F4676&lt;&gt;"",E4676=""),"Conversa sem agendamento",IF(OR(E4676&gt;TODAY(),F4676&gt;TODAY()),"Verificar evento futuro","OK"))))))))))</f>
        <v/>
      </c>
    </row>
    <row r="4677" spans="12:15">
      <c r="L4677" s="5">
        <f>IF(OR(A4677="",B4677=""),"",B4677-WEEKDAY(B4677,2)+1)</f>
        <v/>
      </c>
      <c r="M4677" s="5">
        <f>IF(L4677="","",L4677+6)</f>
        <v/>
      </c>
      <c r="N4677" s="6">
        <f>IF(OR(A4677="",B4677=""),"",DATE(YEAR(B4677),MONTH(B4677),1))</f>
        <v/>
      </c>
      <c r="O4677" s="7">
        <f>IF(COUNTA(A4677:K4677)=0,"",IF(OR(A4677="",B4677=""),"Preencher CPF e entrada",IF(COUNTIFS($A$12:$A$5011,A4677,$B$12:$B$5011,B4677)&gt;1,"CPF + dia duplicado",IF(OR(AND(G4677&lt;&gt;"",G4677&lt;&gt;0,G4677&lt;&gt;1),AND(H4677&lt;&gt;"",H4677&lt;&gt;0,H4677&lt;&gt;1)),"Flags devem ser 0 ou 1",IF(AND(H4677=1,LEN(TRIM(I4677))=0),"Preencher nome do indicante",IF(AND(H4677&lt;&gt;1,I4677&lt;&gt;""),"Nome sem indicação interna",IF(AND(G4677=1,F4677=""),"Fechamento sem conversa",IF(OR(AND(E4677&lt;&gt;"",E4677&lt;B4677),AND(F4677&lt;&gt;"",F4677&lt;B4677)),"Evento anterior à entrada",IF(AND(F4677&lt;&gt;"",E4677=""),"Conversa sem agendamento",IF(OR(E4677&gt;TODAY(),F4677&gt;TODAY()),"Verificar evento futuro","OK"))))))))))</f>
        <v/>
      </c>
    </row>
    <row r="4678" spans="12:15">
      <c r="L4678" s="5">
        <f>IF(OR(A4678="",B4678=""),"",B4678-WEEKDAY(B4678,2)+1)</f>
        <v/>
      </c>
      <c r="M4678" s="5">
        <f>IF(L4678="","",L4678+6)</f>
        <v/>
      </c>
      <c r="N4678" s="6">
        <f>IF(OR(A4678="",B4678=""),"",DATE(YEAR(B4678),MONTH(B4678),1))</f>
        <v/>
      </c>
      <c r="O4678" s="7">
        <f>IF(COUNTA(A4678:K4678)=0,"",IF(OR(A4678="",B4678=""),"Preencher CPF e entrada",IF(COUNTIFS($A$12:$A$5011,A4678,$B$12:$B$5011,B4678)&gt;1,"CPF + dia duplicado",IF(OR(AND(G4678&lt;&gt;"",G4678&lt;&gt;0,G4678&lt;&gt;1),AND(H4678&lt;&gt;"",H4678&lt;&gt;0,H4678&lt;&gt;1)),"Flags devem ser 0 ou 1",IF(AND(H4678=1,LEN(TRIM(I4678))=0),"Preencher nome do indicante",IF(AND(H4678&lt;&gt;1,I4678&lt;&gt;""),"Nome sem indicação interna",IF(AND(G4678=1,F4678=""),"Fechamento sem conversa",IF(OR(AND(E4678&lt;&gt;"",E4678&lt;B4678),AND(F4678&lt;&gt;"",F4678&lt;B4678)),"Evento anterior à entrada",IF(AND(F4678&lt;&gt;"",E4678=""),"Conversa sem agendamento",IF(OR(E4678&gt;TODAY(),F4678&gt;TODAY()),"Verificar evento futuro","OK"))))))))))</f>
        <v/>
      </c>
    </row>
    <row r="4679" spans="12:15">
      <c r="L4679" s="5">
        <f>IF(OR(A4679="",B4679=""),"",B4679-WEEKDAY(B4679,2)+1)</f>
        <v/>
      </c>
      <c r="M4679" s="5">
        <f>IF(L4679="","",L4679+6)</f>
        <v/>
      </c>
      <c r="N4679" s="6">
        <f>IF(OR(A4679="",B4679=""),"",DATE(YEAR(B4679),MONTH(B4679),1))</f>
        <v/>
      </c>
      <c r="O4679" s="7">
        <f>IF(COUNTA(A4679:K4679)=0,"",IF(OR(A4679="",B4679=""),"Preencher CPF e entrada",IF(COUNTIFS($A$12:$A$5011,A4679,$B$12:$B$5011,B4679)&gt;1,"CPF + dia duplicado",IF(OR(AND(G4679&lt;&gt;"",G4679&lt;&gt;0,G4679&lt;&gt;1),AND(H4679&lt;&gt;"",H4679&lt;&gt;0,H4679&lt;&gt;1)),"Flags devem ser 0 ou 1",IF(AND(H4679=1,LEN(TRIM(I4679))=0),"Preencher nome do indicante",IF(AND(H4679&lt;&gt;1,I4679&lt;&gt;""),"Nome sem indicação interna",IF(AND(G4679=1,F4679=""),"Fechamento sem conversa",IF(OR(AND(E4679&lt;&gt;"",E4679&lt;B4679),AND(F4679&lt;&gt;"",F4679&lt;B4679)),"Evento anterior à entrada",IF(AND(F4679&lt;&gt;"",E4679=""),"Conversa sem agendamento",IF(OR(E4679&gt;TODAY(),F4679&gt;TODAY()),"Verificar evento futuro","OK"))))))))))</f>
        <v/>
      </c>
    </row>
    <row r="4680" spans="12:15">
      <c r="L4680" s="5">
        <f>IF(OR(A4680="",B4680=""),"",B4680-WEEKDAY(B4680,2)+1)</f>
        <v/>
      </c>
      <c r="M4680" s="5">
        <f>IF(L4680="","",L4680+6)</f>
        <v/>
      </c>
      <c r="N4680" s="6">
        <f>IF(OR(A4680="",B4680=""),"",DATE(YEAR(B4680),MONTH(B4680),1))</f>
        <v/>
      </c>
      <c r="O4680" s="7">
        <f>IF(COUNTA(A4680:K4680)=0,"",IF(OR(A4680="",B4680=""),"Preencher CPF e entrada",IF(COUNTIFS($A$12:$A$5011,A4680,$B$12:$B$5011,B4680)&gt;1,"CPF + dia duplicado",IF(OR(AND(G4680&lt;&gt;"",G4680&lt;&gt;0,G4680&lt;&gt;1),AND(H4680&lt;&gt;"",H4680&lt;&gt;0,H4680&lt;&gt;1)),"Flags devem ser 0 ou 1",IF(AND(H4680=1,LEN(TRIM(I4680))=0),"Preencher nome do indicante",IF(AND(H4680&lt;&gt;1,I4680&lt;&gt;""),"Nome sem indicação interna",IF(AND(G4680=1,F4680=""),"Fechamento sem conversa",IF(OR(AND(E4680&lt;&gt;"",E4680&lt;B4680),AND(F4680&lt;&gt;"",F4680&lt;B4680)),"Evento anterior à entrada",IF(AND(F4680&lt;&gt;"",E4680=""),"Conversa sem agendamento",IF(OR(E4680&gt;TODAY(),F4680&gt;TODAY()),"Verificar evento futuro","OK"))))))))))</f>
        <v/>
      </c>
    </row>
    <row r="4681" spans="12:15">
      <c r="L4681" s="5">
        <f>IF(OR(A4681="",B4681=""),"",B4681-WEEKDAY(B4681,2)+1)</f>
        <v/>
      </c>
      <c r="M4681" s="5">
        <f>IF(L4681="","",L4681+6)</f>
        <v/>
      </c>
      <c r="N4681" s="6">
        <f>IF(OR(A4681="",B4681=""),"",DATE(YEAR(B4681),MONTH(B4681),1))</f>
        <v/>
      </c>
      <c r="O4681" s="7">
        <f>IF(COUNTA(A4681:K4681)=0,"",IF(OR(A4681="",B4681=""),"Preencher CPF e entrada",IF(COUNTIFS($A$12:$A$5011,A4681,$B$12:$B$5011,B4681)&gt;1,"CPF + dia duplicado",IF(OR(AND(G4681&lt;&gt;"",G4681&lt;&gt;0,G4681&lt;&gt;1),AND(H4681&lt;&gt;"",H4681&lt;&gt;0,H4681&lt;&gt;1)),"Flags devem ser 0 ou 1",IF(AND(H4681=1,LEN(TRIM(I4681))=0),"Preencher nome do indicante",IF(AND(H4681&lt;&gt;1,I4681&lt;&gt;""),"Nome sem indicação interna",IF(AND(G4681=1,F4681=""),"Fechamento sem conversa",IF(OR(AND(E4681&lt;&gt;"",E4681&lt;B4681),AND(F4681&lt;&gt;"",F4681&lt;B4681)),"Evento anterior à entrada",IF(AND(F4681&lt;&gt;"",E4681=""),"Conversa sem agendamento",IF(OR(E4681&gt;TODAY(),F4681&gt;TODAY()),"Verificar evento futuro","OK"))))))))))</f>
        <v/>
      </c>
    </row>
    <row r="4682" spans="12:15">
      <c r="L4682" s="5">
        <f>IF(OR(A4682="",B4682=""),"",B4682-WEEKDAY(B4682,2)+1)</f>
        <v/>
      </c>
      <c r="M4682" s="5">
        <f>IF(L4682="","",L4682+6)</f>
        <v/>
      </c>
      <c r="N4682" s="6">
        <f>IF(OR(A4682="",B4682=""),"",DATE(YEAR(B4682),MONTH(B4682),1))</f>
        <v/>
      </c>
      <c r="O4682" s="7">
        <f>IF(COUNTA(A4682:K4682)=0,"",IF(OR(A4682="",B4682=""),"Preencher CPF e entrada",IF(COUNTIFS($A$12:$A$5011,A4682,$B$12:$B$5011,B4682)&gt;1,"CPF + dia duplicado",IF(OR(AND(G4682&lt;&gt;"",G4682&lt;&gt;0,G4682&lt;&gt;1),AND(H4682&lt;&gt;"",H4682&lt;&gt;0,H4682&lt;&gt;1)),"Flags devem ser 0 ou 1",IF(AND(H4682=1,LEN(TRIM(I4682))=0),"Preencher nome do indicante",IF(AND(H4682&lt;&gt;1,I4682&lt;&gt;""),"Nome sem indicação interna",IF(AND(G4682=1,F4682=""),"Fechamento sem conversa",IF(OR(AND(E4682&lt;&gt;"",E4682&lt;B4682),AND(F4682&lt;&gt;"",F4682&lt;B4682)),"Evento anterior à entrada",IF(AND(F4682&lt;&gt;"",E4682=""),"Conversa sem agendamento",IF(OR(E4682&gt;TODAY(),F4682&gt;TODAY()),"Verificar evento futuro","OK"))))))))))</f>
        <v/>
      </c>
    </row>
    <row r="4683" spans="12:15">
      <c r="L4683" s="5">
        <f>IF(OR(A4683="",B4683=""),"",B4683-WEEKDAY(B4683,2)+1)</f>
        <v/>
      </c>
      <c r="M4683" s="5">
        <f>IF(L4683="","",L4683+6)</f>
        <v/>
      </c>
      <c r="N4683" s="6">
        <f>IF(OR(A4683="",B4683=""),"",DATE(YEAR(B4683),MONTH(B4683),1))</f>
        <v/>
      </c>
      <c r="O4683" s="7">
        <f>IF(COUNTA(A4683:K4683)=0,"",IF(OR(A4683="",B4683=""),"Preencher CPF e entrada",IF(COUNTIFS($A$12:$A$5011,A4683,$B$12:$B$5011,B4683)&gt;1,"CPF + dia duplicado",IF(OR(AND(G4683&lt;&gt;"",G4683&lt;&gt;0,G4683&lt;&gt;1),AND(H4683&lt;&gt;"",H4683&lt;&gt;0,H4683&lt;&gt;1)),"Flags devem ser 0 ou 1",IF(AND(H4683=1,LEN(TRIM(I4683))=0),"Preencher nome do indicante",IF(AND(H4683&lt;&gt;1,I4683&lt;&gt;""),"Nome sem indicação interna",IF(AND(G4683=1,F4683=""),"Fechamento sem conversa",IF(OR(AND(E4683&lt;&gt;"",E4683&lt;B4683),AND(F4683&lt;&gt;"",F4683&lt;B4683)),"Evento anterior à entrada",IF(AND(F4683&lt;&gt;"",E4683=""),"Conversa sem agendamento",IF(OR(E4683&gt;TODAY(),F4683&gt;TODAY()),"Verificar evento futuro","OK"))))))))))</f>
        <v/>
      </c>
    </row>
    <row r="4684" spans="12:15">
      <c r="L4684" s="5">
        <f>IF(OR(A4684="",B4684=""),"",B4684-WEEKDAY(B4684,2)+1)</f>
        <v/>
      </c>
      <c r="M4684" s="5">
        <f>IF(L4684="","",L4684+6)</f>
        <v/>
      </c>
      <c r="N4684" s="6">
        <f>IF(OR(A4684="",B4684=""),"",DATE(YEAR(B4684),MONTH(B4684),1))</f>
        <v/>
      </c>
      <c r="O4684" s="7">
        <f>IF(COUNTA(A4684:K4684)=0,"",IF(OR(A4684="",B4684=""),"Preencher CPF e entrada",IF(COUNTIFS($A$12:$A$5011,A4684,$B$12:$B$5011,B4684)&gt;1,"CPF + dia duplicado",IF(OR(AND(G4684&lt;&gt;"",G4684&lt;&gt;0,G4684&lt;&gt;1),AND(H4684&lt;&gt;"",H4684&lt;&gt;0,H4684&lt;&gt;1)),"Flags devem ser 0 ou 1",IF(AND(H4684=1,LEN(TRIM(I4684))=0),"Preencher nome do indicante",IF(AND(H4684&lt;&gt;1,I4684&lt;&gt;""),"Nome sem indicação interna",IF(AND(G4684=1,F4684=""),"Fechamento sem conversa",IF(OR(AND(E4684&lt;&gt;"",E4684&lt;B4684),AND(F4684&lt;&gt;"",F4684&lt;B4684)),"Evento anterior à entrada",IF(AND(F4684&lt;&gt;"",E4684=""),"Conversa sem agendamento",IF(OR(E4684&gt;TODAY(),F4684&gt;TODAY()),"Verificar evento futuro","OK"))))))))))</f>
        <v/>
      </c>
    </row>
    <row r="4685" spans="12:15">
      <c r="L4685" s="5">
        <f>IF(OR(A4685="",B4685=""),"",B4685-WEEKDAY(B4685,2)+1)</f>
        <v/>
      </c>
      <c r="M4685" s="5">
        <f>IF(L4685="","",L4685+6)</f>
        <v/>
      </c>
      <c r="N4685" s="6">
        <f>IF(OR(A4685="",B4685=""),"",DATE(YEAR(B4685),MONTH(B4685),1))</f>
        <v/>
      </c>
      <c r="O4685" s="7">
        <f>IF(COUNTA(A4685:K4685)=0,"",IF(OR(A4685="",B4685=""),"Preencher CPF e entrada",IF(COUNTIFS($A$12:$A$5011,A4685,$B$12:$B$5011,B4685)&gt;1,"CPF + dia duplicado",IF(OR(AND(G4685&lt;&gt;"",G4685&lt;&gt;0,G4685&lt;&gt;1),AND(H4685&lt;&gt;"",H4685&lt;&gt;0,H4685&lt;&gt;1)),"Flags devem ser 0 ou 1",IF(AND(H4685=1,LEN(TRIM(I4685))=0),"Preencher nome do indicante",IF(AND(H4685&lt;&gt;1,I4685&lt;&gt;""),"Nome sem indicação interna",IF(AND(G4685=1,F4685=""),"Fechamento sem conversa",IF(OR(AND(E4685&lt;&gt;"",E4685&lt;B4685),AND(F4685&lt;&gt;"",F4685&lt;B4685)),"Evento anterior à entrada",IF(AND(F4685&lt;&gt;"",E4685=""),"Conversa sem agendamento",IF(OR(E4685&gt;TODAY(),F4685&gt;TODAY()),"Verificar evento futuro","OK"))))))))))</f>
        <v/>
      </c>
    </row>
    <row r="4686" spans="12:15">
      <c r="L4686" s="5">
        <f>IF(OR(A4686="",B4686=""),"",B4686-WEEKDAY(B4686,2)+1)</f>
        <v/>
      </c>
      <c r="M4686" s="5">
        <f>IF(L4686="","",L4686+6)</f>
        <v/>
      </c>
      <c r="N4686" s="6">
        <f>IF(OR(A4686="",B4686=""),"",DATE(YEAR(B4686),MONTH(B4686),1))</f>
        <v/>
      </c>
      <c r="O4686" s="7">
        <f>IF(COUNTA(A4686:K4686)=0,"",IF(OR(A4686="",B4686=""),"Preencher CPF e entrada",IF(COUNTIFS($A$12:$A$5011,A4686,$B$12:$B$5011,B4686)&gt;1,"CPF + dia duplicado",IF(OR(AND(G4686&lt;&gt;"",G4686&lt;&gt;0,G4686&lt;&gt;1),AND(H4686&lt;&gt;"",H4686&lt;&gt;0,H4686&lt;&gt;1)),"Flags devem ser 0 ou 1",IF(AND(H4686=1,LEN(TRIM(I4686))=0),"Preencher nome do indicante",IF(AND(H4686&lt;&gt;1,I4686&lt;&gt;""),"Nome sem indicação interna",IF(AND(G4686=1,F4686=""),"Fechamento sem conversa",IF(OR(AND(E4686&lt;&gt;"",E4686&lt;B4686),AND(F4686&lt;&gt;"",F4686&lt;B4686)),"Evento anterior à entrada",IF(AND(F4686&lt;&gt;"",E4686=""),"Conversa sem agendamento",IF(OR(E4686&gt;TODAY(),F4686&gt;TODAY()),"Verificar evento futuro","OK"))))))))))</f>
        <v/>
      </c>
    </row>
    <row r="4687" spans="12:15">
      <c r="L4687" s="5">
        <f>IF(OR(A4687="",B4687=""),"",B4687-WEEKDAY(B4687,2)+1)</f>
        <v/>
      </c>
      <c r="M4687" s="5">
        <f>IF(L4687="","",L4687+6)</f>
        <v/>
      </c>
      <c r="N4687" s="6">
        <f>IF(OR(A4687="",B4687=""),"",DATE(YEAR(B4687),MONTH(B4687),1))</f>
        <v/>
      </c>
      <c r="O4687" s="7">
        <f>IF(COUNTA(A4687:K4687)=0,"",IF(OR(A4687="",B4687=""),"Preencher CPF e entrada",IF(COUNTIFS($A$12:$A$5011,A4687,$B$12:$B$5011,B4687)&gt;1,"CPF + dia duplicado",IF(OR(AND(G4687&lt;&gt;"",G4687&lt;&gt;0,G4687&lt;&gt;1),AND(H4687&lt;&gt;"",H4687&lt;&gt;0,H4687&lt;&gt;1)),"Flags devem ser 0 ou 1",IF(AND(H4687=1,LEN(TRIM(I4687))=0),"Preencher nome do indicante",IF(AND(H4687&lt;&gt;1,I4687&lt;&gt;""),"Nome sem indicação interna",IF(AND(G4687=1,F4687=""),"Fechamento sem conversa",IF(OR(AND(E4687&lt;&gt;"",E4687&lt;B4687),AND(F4687&lt;&gt;"",F4687&lt;B4687)),"Evento anterior à entrada",IF(AND(F4687&lt;&gt;"",E4687=""),"Conversa sem agendamento",IF(OR(E4687&gt;TODAY(),F4687&gt;TODAY()),"Verificar evento futuro","OK"))))))))))</f>
        <v/>
      </c>
    </row>
    <row r="4688" spans="12:15">
      <c r="L4688" s="5">
        <f>IF(OR(A4688="",B4688=""),"",B4688-WEEKDAY(B4688,2)+1)</f>
        <v/>
      </c>
      <c r="M4688" s="5">
        <f>IF(L4688="","",L4688+6)</f>
        <v/>
      </c>
      <c r="N4688" s="6">
        <f>IF(OR(A4688="",B4688=""),"",DATE(YEAR(B4688),MONTH(B4688),1))</f>
        <v/>
      </c>
      <c r="O4688" s="7">
        <f>IF(COUNTA(A4688:K4688)=0,"",IF(OR(A4688="",B4688=""),"Preencher CPF e entrada",IF(COUNTIFS($A$12:$A$5011,A4688,$B$12:$B$5011,B4688)&gt;1,"CPF + dia duplicado",IF(OR(AND(G4688&lt;&gt;"",G4688&lt;&gt;0,G4688&lt;&gt;1),AND(H4688&lt;&gt;"",H4688&lt;&gt;0,H4688&lt;&gt;1)),"Flags devem ser 0 ou 1",IF(AND(H4688=1,LEN(TRIM(I4688))=0),"Preencher nome do indicante",IF(AND(H4688&lt;&gt;1,I4688&lt;&gt;""),"Nome sem indicação interna",IF(AND(G4688=1,F4688=""),"Fechamento sem conversa",IF(OR(AND(E4688&lt;&gt;"",E4688&lt;B4688),AND(F4688&lt;&gt;"",F4688&lt;B4688)),"Evento anterior à entrada",IF(AND(F4688&lt;&gt;"",E4688=""),"Conversa sem agendamento",IF(OR(E4688&gt;TODAY(),F4688&gt;TODAY()),"Verificar evento futuro","OK"))))))))))</f>
        <v/>
      </c>
    </row>
    <row r="4689" spans="12:15">
      <c r="L4689" s="5">
        <f>IF(OR(A4689="",B4689=""),"",B4689-WEEKDAY(B4689,2)+1)</f>
        <v/>
      </c>
      <c r="M4689" s="5">
        <f>IF(L4689="","",L4689+6)</f>
        <v/>
      </c>
      <c r="N4689" s="6">
        <f>IF(OR(A4689="",B4689=""),"",DATE(YEAR(B4689),MONTH(B4689),1))</f>
        <v/>
      </c>
      <c r="O4689" s="7">
        <f>IF(COUNTA(A4689:K4689)=0,"",IF(OR(A4689="",B4689=""),"Preencher CPF e entrada",IF(COUNTIFS($A$12:$A$5011,A4689,$B$12:$B$5011,B4689)&gt;1,"CPF + dia duplicado",IF(OR(AND(G4689&lt;&gt;"",G4689&lt;&gt;0,G4689&lt;&gt;1),AND(H4689&lt;&gt;"",H4689&lt;&gt;0,H4689&lt;&gt;1)),"Flags devem ser 0 ou 1",IF(AND(H4689=1,LEN(TRIM(I4689))=0),"Preencher nome do indicante",IF(AND(H4689&lt;&gt;1,I4689&lt;&gt;""),"Nome sem indicação interna",IF(AND(G4689=1,F4689=""),"Fechamento sem conversa",IF(OR(AND(E4689&lt;&gt;"",E4689&lt;B4689),AND(F4689&lt;&gt;"",F4689&lt;B4689)),"Evento anterior à entrada",IF(AND(F4689&lt;&gt;"",E4689=""),"Conversa sem agendamento",IF(OR(E4689&gt;TODAY(),F4689&gt;TODAY()),"Verificar evento futuro","OK"))))))))))</f>
        <v/>
      </c>
    </row>
    <row r="4690" spans="12:15">
      <c r="L4690" s="5">
        <f>IF(OR(A4690="",B4690=""),"",B4690-WEEKDAY(B4690,2)+1)</f>
        <v/>
      </c>
      <c r="M4690" s="5">
        <f>IF(L4690="","",L4690+6)</f>
        <v/>
      </c>
      <c r="N4690" s="6">
        <f>IF(OR(A4690="",B4690=""),"",DATE(YEAR(B4690),MONTH(B4690),1))</f>
        <v/>
      </c>
      <c r="O4690" s="7">
        <f>IF(COUNTA(A4690:K4690)=0,"",IF(OR(A4690="",B4690=""),"Preencher CPF e entrada",IF(COUNTIFS($A$12:$A$5011,A4690,$B$12:$B$5011,B4690)&gt;1,"CPF + dia duplicado",IF(OR(AND(G4690&lt;&gt;"",G4690&lt;&gt;0,G4690&lt;&gt;1),AND(H4690&lt;&gt;"",H4690&lt;&gt;0,H4690&lt;&gt;1)),"Flags devem ser 0 ou 1",IF(AND(H4690=1,LEN(TRIM(I4690))=0),"Preencher nome do indicante",IF(AND(H4690&lt;&gt;1,I4690&lt;&gt;""),"Nome sem indicação interna",IF(AND(G4690=1,F4690=""),"Fechamento sem conversa",IF(OR(AND(E4690&lt;&gt;"",E4690&lt;B4690),AND(F4690&lt;&gt;"",F4690&lt;B4690)),"Evento anterior à entrada",IF(AND(F4690&lt;&gt;"",E4690=""),"Conversa sem agendamento",IF(OR(E4690&gt;TODAY(),F4690&gt;TODAY()),"Verificar evento futuro","OK"))))))))))</f>
        <v/>
      </c>
    </row>
    <row r="4691" spans="12:15">
      <c r="L4691" s="5">
        <f>IF(OR(A4691="",B4691=""),"",B4691-WEEKDAY(B4691,2)+1)</f>
        <v/>
      </c>
      <c r="M4691" s="5">
        <f>IF(L4691="","",L4691+6)</f>
        <v/>
      </c>
      <c r="N4691" s="6">
        <f>IF(OR(A4691="",B4691=""),"",DATE(YEAR(B4691),MONTH(B4691),1))</f>
        <v/>
      </c>
      <c r="O4691" s="7">
        <f>IF(COUNTA(A4691:K4691)=0,"",IF(OR(A4691="",B4691=""),"Preencher CPF e entrada",IF(COUNTIFS($A$12:$A$5011,A4691,$B$12:$B$5011,B4691)&gt;1,"CPF + dia duplicado",IF(OR(AND(G4691&lt;&gt;"",G4691&lt;&gt;0,G4691&lt;&gt;1),AND(H4691&lt;&gt;"",H4691&lt;&gt;0,H4691&lt;&gt;1)),"Flags devem ser 0 ou 1",IF(AND(H4691=1,LEN(TRIM(I4691))=0),"Preencher nome do indicante",IF(AND(H4691&lt;&gt;1,I4691&lt;&gt;""),"Nome sem indicação interna",IF(AND(G4691=1,F4691=""),"Fechamento sem conversa",IF(OR(AND(E4691&lt;&gt;"",E4691&lt;B4691),AND(F4691&lt;&gt;"",F4691&lt;B4691)),"Evento anterior à entrada",IF(AND(F4691&lt;&gt;"",E4691=""),"Conversa sem agendamento",IF(OR(E4691&gt;TODAY(),F4691&gt;TODAY()),"Verificar evento futuro","OK"))))))))))</f>
        <v/>
      </c>
    </row>
    <row r="4692" spans="12:15">
      <c r="L4692" s="5">
        <f>IF(OR(A4692="",B4692=""),"",B4692-WEEKDAY(B4692,2)+1)</f>
        <v/>
      </c>
      <c r="M4692" s="5">
        <f>IF(L4692="","",L4692+6)</f>
        <v/>
      </c>
      <c r="N4692" s="6">
        <f>IF(OR(A4692="",B4692=""),"",DATE(YEAR(B4692),MONTH(B4692),1))</f>
        <v/>
      </c>
      <c r="O4692" s="7">
        <f>IF(COUNTA(A4692:K4692)=0,"",IF(OR(A4692="",B4692=""),"Preencher CPF e entrada",IF(COUNTIFS($A$12:$A$5011,A4692,$B$12:$B$5011,B4692)&gt;1,"CPF + dia duplicado",IF(OR(AND(G4692&lt;&gt;"",G4692&lt;&gt;0,G4692&lt;&gt;1),AND(H4692&lt;&gt;"",H4692&lt;&gt;0,H4692&lt;&gt;1)),"Flags devem ser 0 ou 1",IF(AND(H4692=1,LEN(TRIM(I4692))=0),"Preencher nome do indicante",IF(AND(H4692&lt;&gt;1,I4692&lt;&gt;""),"Nome sem indicação interna",IF(AND(G4692=1,F4692=""),"Fechamento sem conversa",IF(OR(AND(E4692&lt;&gt;"",E4692&lt;B4692),AND(F4692&lt;&gt;"",F4692&lt;B4692)),"Evento anterior à entrada",IF(AND(F4692&lt;&gt;"",E4692=""),"Conversa sem agendamento",IF(OR(E4692&gt;TODAY(),F4692&gt;TODAY()),"Verificar evento futuro","OK"))))))))))</f>
        <v/>
      </c>
    </row>
    <row r="4693" spans="12:15">
      <c r="L4693" s="5">
        <f>IF(OR(A4693="",B4693=""),"",B4693-WEEKDAY(B4693,2)+1)</f>
        <v/>
      </c>
      <c r="M4693" s="5">
        <f>IF(L4693="","",L4693+6)</f>
        <v/>
      </c>
      <c r="N4693" s="6">
        <f>IF(OR(A4693="",B4693=""),"",DATE(YEAR(B4693),MONTH(B4693),1))</f>
        <v/>
      </c>
      <c r="O4693" s="7">
        <f>IF(COUNTA(A4693:K4693)=0,"",IF(OR(A4693="",B4693=""),"Preencher CPF e entrada",IF(COUNTIFS($A$12:$A$5011,A4693,$B$12:$B$5011,B4693)&gt;1,"CPF + dia duplicado",IF(OR(AND(G4693&lt;&gt;"",G4693&lt;&gt;0,G4693&lt;&gt;1),AND(H4693&lt;&gt;"",H4693&lt;&gt;0,H4693&lt;&gt;1)),"Flags devem ser 0 ou 1",IF(AND(H4693=1,LEN(TRIM(I4693))=0),"Preencher nome do indicante",IF(AND(H4693&lt;&gt;1,I4693&lt;&gt;""),"Nome sem indicação interna",IF(AND(G4693=1,F4693=""),"Fechamento sem conversa",IF(OR(AND(E4693&lt;&gt;"",E4693&lt;B4693),AND(F4693&lt;&gt;"",F4693&lt;B4693)),"Evento anterior à entrada",IF(AND(F4693&lt;&gt;"",E4693=""),"Conversa sem agendamento",IF(OR(E4693&gt;TODAY(),F4693&gt;TODAY()),"Verificar evento futuro","OK"))))))))))</f>
        <v/>
      </c>
    </row>
    <row r="4694" spans="12:15">
      <c r="L4694" s="5">
        <f>IF(OR(A4694="",B4694=""),"",B4694-WEEKDAY(B4694,2)+1)</f>
        <v/>
      </c>
      <c r="M4694" s="5">
        <f>IF(L4694="","",L4694+6)</f>
        <v/>
      </c>
      <c r="N4694" s="6">
        <f>IF(OR(A4694="",B4694=""),"",DATE(YEAR(B4694),MONTH(B4694),1))</f>
        <v/>
      </c>
      <c r="O4694" s="7">
        <f>IF(COUNTA(A4694:K4694)=0,"",IF(OR(A4694="",B4694=""),"Preencher CPF e entrada",IF(COUNTIFS($A$12:$A$5011,A4694,$B$12:$B$5011,B4694)&gt;1,"CPF + dia duplicado",IF(OR(AND(G4694&lt;&gt;"",G4694&lt;&gt;0,G4694&lt;&gt;1),AND(H4694&lt;&gt;"",H4694&lt;&gt;0,H4694&lt;&gt;1)),"Flags devem ser 0 ou 1",IF(AND(H4694=1,LEN(TRIM(I4694))=0),"Preencher nome do indicante",IF(AND(H4694&lt;&gt;1,I4694&lt;&gt;""),"Nome sem indicação interna",IF(AND(G4694=1,F4694=""),"Fechamento sem conversa",IF(OR(AND(E4694&lt;&gt;"",E4694&lt;B4694),AND(F4694&lt;&gt;"",F4694&lt;B4694)),"Evento anterior à entrada",IF(AND(F4694&lt;&gt;"",E4694=""),"Conversa sem agendamento",IF(OR(E4694&gt;TODAY(),F4694&gt;TODAY()),"Verificar evento futuro","OK"))))))))))</f>
        <v/>
      </c>
    </row>
    <row r="4695" spans="12:15">
      <c r="L4695" s="5">
        <f>IF(OR(A4695="",B4695=""),"",B4695-WEEKDAY(B4695,2)+1)</f>
        <v/>
      </c>
      <c r="M4695" s="5">
        <f>IF(L4695="","",L4695+6)</f>
        <v/>
      </c>
      <c r="N4695" s="6">
        <f>IF(OR(A4695="",B4695=""),"",DATE(YEAR(B4695),MONTH(B4695),1))</f>
        <v/>
      </c>
      <c r="O4695" s="7">
        <f>IF(COUNTA(A4695:K4695)=0,"",IF(OR(A4695="",B4695=""),"Preencher CPF e entrada",IF(COUNTIFS($A$12:$A$5011,A4695,$B$12:$B$5011,B4695)&gt;1,"CPF + dia duplicado",IF(OR(AND(G4695&lt;&gt;"",G4695&lt;&gt;0,G4695&lt;&gt;1),AND(H4695&lt;&gt;"",H4695&lt;&gt;0,H4695&lt;&gt;1)),"Flags devem ser 0 ou 1",IF(AND(H4695=1,LEN(TRIM(I4695))=0),"Preencher nome do indicante",IF(AND(H4695&lt;&gt;1,I4695&lt;&gt;""),"Nome sem indicação interna",IF(AND(G4695=1,F4695=""),"Fechamento sem conversa",IF(OR(AND(E4695&lt;&gt;"",E4695&lt;B4695),AND(F4695&lt;&gt;"",F4695&lt;B4695)),"Evento anterior à entrada",IF(AND(F4695&lt;&gt;"",E4695=""),"Conversa sem agendamento",IF(OR(E4695&gt;TODAY(),F4695&gt;TODAY()),"Verificar evento futuro","OK"))))))))))</f>
        <v/>
      </c>
    </row>
    <row r="4696" spans="12:15">
      <c r="L4696" s="5">
        <f>IF(OR(A4696="",B4696=""),"",B4696-WEEKDAY(B4696,2)+1)</f>
        <v/>
      </c>
      <c r="M4696" s="5">
        <f>IF(L4696="","",L4696+6)</f>
        <v/>
      </c>
      <c r="N4696" s="6">
        <f>IF(OR(A4696="",B4696=""),"",DATE(YEAR(B4696),MONTH(B4696),1))</f>
        <v/>
      </c>
      <c r="O4696" s="7">
        <f>IF(COUNTA(A4696:K4696)=0,"",IF(OR(A4696="",B4696=""),"Preencher CPF e entrada",IF(COUNTIFS($A$12:$A$5011,A4696,$B$12:$B$5011,B4696)&gt;1,"CPF + dia duplicado",IF(OR(AND(G4696&lt;&gt;"",G4696&lt;&gt;0,G4696&lt;&gt;1),AND(H4696&lt;&gt;"",H4696&lt;&gt;0,H4696&lt;&gt;1)),"Flags devem ser 0 ou 1",IF(AND(H4696=1,LEN(TRIM(I4696))=0),"Preencher nome do indicante",IF(AND(H4696&lt;&gt;1,I4696&lt;&gt;""),"Nome sem indicação interna",IF(AND(G4696=1,F4696=""),"Fechamento sem conversa",IF(OR(AND(E4696&lt;&gt;"",E4696&lt;B4696),AND(F4696&lt;&gt;"",F4696&lt;B4696)),"Evento anterior à entrada",IF(AND(F4696&lt;&gt;"",E4696=""),"Conversa sem agendamento",IF(OR(E4696&gt;TODAY(),F4696&gt;TODAY()),"Verificar evento futuro","OK"))))))))))</f>
        <v/>
      </c>
    </row>
    <row r="4697" spans="12:15">
      <c r="L4697" s="5">
        <f>IF(OR(A4697="",B4697=""),"",B4697-WEEKDAY(B4697,2)+1)</f>
        <v/>
      </c>
      <c r="M4697" s="5">
        <f>IF(L4697="","",L4697+6)</f>
        <v/>
      </c>
      <c r="N4697" s="6">
        <f>IF(OR(A4697="",B4697=""),"",DATE(YEAR(B4697),MONTH(B4697),1))</f>
        <v/>
      </c>
      <c r="O4697" s="7">
        <f>IF(COUNTA(A4697:K4697)=0,"",IF(OR(A4697="",B4697=""),"Preencher CPF e entrada",IF(COUNTIFS($A$12:$A$5011,A4697,$B$12:$B$5011,B4697)&gt;1,"CPF + dia duplicado",IF(OR(AND(G4697&lt;&gt;"",G4697&lt;&gt;0,G4697&lt;&gt;1),AND(H4697&lt;&gt;"",H4697&lt;&gt;0,H4697&lt;&gt;1)),"Flags devem ser 0 ou 1",IF(AND(H4697=1,LEN(TRIM(I4697))=0),"Preencher nome do indicante",IF(AND(H4697&lt;&gt;1,I4697&lt;&gt;""),"Nome sem indicação interna",IF(AND(G4697=1,F4697=""),"Fechamento sem conversa",IF(OR(AND(E4697&lt;&gt;"",E4697&lt;B4697),AND(F4697&lt;&gt;"",F4697&lt;B4697)),"Evento anterior à entrada",IF(AND(F4697&lt;&gt;"",E4697=""),"Conversa sem agendamento",IF(OR(E4697&gt;TODAY(),F4697&gt;TODAY()),"Verificar evento futuro","OK"))))))))))</f>
        <v/>
      </c>
    </row>
    <row r="4698" spans="12:15">
      <c r="L4698" s="5">
        <f>IF(OR(A4698="",B4698=""),"",B4698-WEEKDAY(B4698,2)+1)</f>
        <v/>
      </c>
      <c r="M4698" s="5">
        <f>IF(L4698="","",L4698+6)</f>
        <v/>
      </c>
      <c r="N4698" s="6">
        <f>IF(OR(A4698="",B4698=""),"",DATE(YEAR(B4698),MONTH(B4698),1))</f>
        <v/>
      </c>
      <c r="O4698" s="7">
        <f>IF(COUNTA(A4698:K4698)=0,"",IF(OR(A4698="",B4698=""),"Preencher CPF e entrada",IF(COUNTIFS($A$12:$A$5011,A4698,$B$12:$B$5011,B4698)&gt;1,"CPF + dia duplicado",IF(OR(AND(G4698&lt;&gt;"",G4698&lt;&gt;0,G4698&lt;&gt;1),AND(H4698&lt;&gt;"",H4698&lt;&gt;0,H4698&lt;&gt;1)),"Flags devem ser 0 ou 1",IF(AND(H4698=1,LEN(TRIM(I4698))=0),"Preencher nome do indicante",IF(AND(H4698&lt;&gt;1,I4698&lt;&gt;""),"Nome sem indicação interna",IF(AND(G4698=1,F4698=""),"Fechamento sem conversa",IF(OR(AND(E4698&lt;&gt;"",E4698&lt;B4698),AND(F4698&lt;&gt;"",F4698&lt;B4698)),"Evento anterior à entrada",IF(AND(F4698&lt;&gt;"",E4698=""),"Conversa sem agendamento",IF(OR(E4698&gt;TODAY(),F4698&gt;TODAY()),"Verificar evento futuro","OK"))))))))))</f>
        <v/>
      </c>
    </row>
    <row r="4699" spans="12:15">
      <c r="L4699" s="5">
        <f>IF(OR(A4699="",B4699=""),"",B4699-WEEKDAY(B4699,2)+1)</f>
        <v/>
      </c>
      <c r="M4699" s="5">
        <f>IF(L4699="","",L4699+6)</f>
        <v/>
      </c>
      <c r="N4699" s="6">
        <f>IF(OR(A4699="",B4699=""),"",DATE(YEAR(B4699),MONTH(B4699),1))</f>
        <v/>
      </c>
      <c r="O4699" s="7">
        <f>IF(COUNTA(A4699:K4699)=0,"",IF(OR(A4699="",B4699=""),"Preencher CPF e entrada",IF(COUNTIFS($A$12:$A$5011,A4699,$B$12:$B$5011,B4699)&gt;1,"CPF + dia duplicado",IF(OR(AND(G4699&lt;&gt;"",G4699&lt;&gt;0,G4699&lt;&gt;1),AND(H4699&lt;&gt;"",H4699&lt;&gt;0,H4699&lt;&gt;1)),"Flags devem ser 0 ou 1",IF(AND(H4699=1,LEN(TRIM(I4699))=0),"Preencher nome do indicante",IF(AND(H4699&lt;&gt;1,I4699&lt;&gt;""),"Nome sem indicação interna",IF(AND(G4699=1,F4699=""),"Fechamento sem conversa",IF(OR(AND(E4699&lt;&gt;"",E4699&lt;B4699),AND(F4699&lt;&gt;"",F4699&lt;B4699)),"Evento anterior à entrada",IF(AND(F4699&lt;&gt;"",E4699=""),"Conversa sem agendamento",IF(OR(E4699&gt;TODAY(),F4699&gt;TODAY()),"Verificar evento futuro","OK"))))))))))</f>
        <v/>
      </c>
    </row>
    <row r="4700" spans="12:15">
      <c r="L4700" s="5">
        <f>IF(OR(A4700="",B4700=""),"",B4700-WEEKDAY(B4700,2)+1)</f>
        <v/>
      </c>
      <c r="M4700" s="5">
        <f>IF(L4700="","",L4700+6)</f>
        <v/>
      </c>
      <c r="N4700" s="6">
        <f>IF(OR(A4700="",B4700=""),"",DATE(YEAR(B4700),MONTH(B4700),1))</f>
        <v/>
      </c>
      <c r="O4700" s="7">
        <f>IF(COUNTA(A4700:K4700)=0,"",IF(OR(A4700="",B4700=""),"Preencher CPF e entrada",IF(COUNTIFS($A$12:$A$5011,A4700,$B$12:$B$5011,B4700)&gt;1,"CPF + dia duplicado",IF(OR(AND(G4700&lt;&gt;"",G4700&lt;&gt;0,G4700&lt;&gt;1),AND(H4700&lt;&gt;"",H4700&lt;&gt;0,H4700&lt;&gt;1)),"Flags devem ser 0 ou 1",IF(AND(H4700=1,LEN(TRIM(I4700))=0),"Preencher nome do indicante",IF(AND(H4700&lt;&gt;1,I4700&lt;&gt;""),"Nome sem indicação interna",IF(AND(G4700=1,F4700=""),"Fechamento sem conversa",IF(OR(AND(E4700&lt;&gt;"",E4700&lt;B4700),AND(F4700&lt;&gt;"",F4700&lt;B4700)),"Evento anterior à entrada",IF(AND(F4700&lt;&gt;"",E4700=""),"Conversa sem agendamento",IF(OR(E4700&gt;TODAY(),F4700&gt;TODAY()),"Verificar evento futuro","OK"))))))))))</f>
        <v/>
      </c>
    </row>
    <row r="4701" spans="12:15">
      <c r="L4701" s="5">
        <f>IF(OR(A4701="",B4701=""),"",B4701-WEEKDAY(B4701,2)+1)</f>
        <v/>
      </c>
      <c r="M4701" s="5">
        <f>IF(L4701="","",L4701+6)</f>
        <v/>
      </c>
      <c r="N4701" s="6">
        <f>IF(OR(A4701="",B4701=""),"",DATE(YEAR(B4701),MONTH(B4701),1))</f>
        <v/>
      </c>
      <c r="O4701" s="7">
        <f>IF(COUNTA(A4701:K4701)=0,"",IF(OR(A4701="",B4701=""),"Preencher CPF e entrada",IF(COUNTIFS($A$12:$A$5011,A4701,$B$12:$B$5011,B4701)&gt;1,"CPF + dia duplicado",IF(OR(AND(G4701&lt;&gt;"",G4701&lt;&gt;0,G4701&lt;&gt;1),AND(H4701&lt;&gt;"",H4701&lt;&gt;0,H4701&lt;&gt;1)),"Flags devem ser 0 ou 1",IF(AND(H4701=1,LEN(TRIM(I4701))=0),"Preencher nome do indicante",IF(AND(H4701&lt;&gt;1,I4701&lt;&gt;""),"Nome sem indicação interna",IF(AND(G4701=1,F4701=""),"Fechamento sem conversa",IF(OR(AND(E4701&lt;&gt;"",E4701&lt;B4701),AND(F4701&lt;&gt;"",F4701&lt;B4701)),"Evento anterior à entrada",IF(AND(F4701&lt;&gt;"",E4701=""),"Conversa sem agendamento",IF(OR(E4701&gt;TODAY(),F4701&gt;TODAY()),"Verificar evento futuro","OK"))))))))))</f>
        <v/>
      </c>
    </row>
    <row r="4702" spans="12:15">
      <c r="L4702" s="5">
        <f>IF(OR(A4702="",B4702=""),"",B4702-WEEKDAY(B4702,2)+1)</f>
        <v/>
      </c>
      <c r="M4702" s="5">
        <f>IF(L4702="","",L4702+6)</f>
        <v/>
      </c>
      <c r="N4702" s="6">
        <f>IF(OR(A4702="",B4702=""),"",DATE(YEAR(B4702),MONTH(B4702),1))</f>
        <v/>
      </c>
      <c r="O4702" s="7">
        <f>IF(COUNTA(A4702:K4702)=0,"",IF(OR(A4702="",B4702=""),"Preencher CPF e entrada",IF(COUNTIFS($A$12:$A$5011,A4702,$B$12:$B$5011,B4702)&gt;1,"CPF + dia duplicado",IF(OR(AND(G4702&lt;&gt;"",G4702&lt;&gt;0,G4702&lt;&gt;1),AND(H4702&lt;&gt;"",H4702&lt;&gt;0,H4702&lt;&gt;1)),"Flags devem ser 0 ou 1",IF(AND(H4702=1,LEN(TRIM(I4702))=0),"Preencher nome do indicante",IF(AND(H4702&lt;&gt;1,I4702&lt;&gt;""),"Nome sem indicação interna",IF(AND(G4702=1,F4702=""),"Fechamento sem conversa",IF(OR(AND(E4702&lt;&gt;"",E4702&lt;B4702),AND(F4702&lt;&gt;"",F4702&lt;B4702)),"Evento anterior à entrada",IF(AND(F4702&lt;&gt;"",E4702=""),"Conversa sem agendamento",IF(OR(E4702&gt;TODAY(),F4702&gt;TODAY()),"Verificar evento futuro","OK"))))))))))</f>
        <v/>
      </c>
    </row>
    <row r="4703" spans="12:15">
      <c r="L4703" s="5">
        <f>IF(OR(A4703="",B4703=""),"",B4703-WEEKDAY(B4703,2)+1)</f>
        <v/>
      </c>
      <c r="M4703" s="5">
        <f>IF(L4703="","",L4703+6)</f>
        <v/>
      </c>
      <c r="N4703" s="6">
        <f>IF(OR(A4703="",B4703=""),"",DATE(YEAR(B4703),MONTH(B4703),1))</f>
        <v/>
      </c>
      <c r="O4703" s="7">
        <f>IF(COUNTA(A4703:K4703)=0,"",IF(OR(A4703="",B4703=""),"Preencher CPF e entrada",IF(COUNTIFS($A$12:$A$5011,A4703,$B$12:$B$5011,B4703)&gt;1,"CPF + dia duplicado",IF(OR(AND(G4703&lt;&gt;"",G4703&lt;&gt;0,G4703&lt;&gt;1),AND(H4703&lt;&gt;"",H4703&lt;&gt;0,H4703&lt;&gt;1)),"Flags devem ser 0 ou 1",IF(AND(H4703=1,LEN(TRIM(I4703))=0),"Preencher nome do indicante",IF(AND(H4703&lt;&gt;1,I4703&lt;&gt;""),"Nome sem indicação interna",IF(AND(G4703=1,F4703=""),"Fechamento sem conversa",IF(OR(AND(E4703&lt;&gt;"",E4703&lt;B4703),AND(F4703&lt;&gt;"",F4703&lt;B4703)),"Evento anterior à entrada",IF(AND(F4703&lt;&gt;"",E4703=""),"Conversa sem agendamento",IF(OR(E4703&gt;TODAY(),F4703&gt;TODAY()),"Verificar evento futuro","OK"))))))))))</f>
        <v/>
      </c>
    </row>
    <row r="4704" spans="12:15">
      <c r="L4704" s="5">
        <f>IF(OR(A4704="",B4704=""),"",B4704-WEEKDAY(B4704,2)+1)</f>
        <v/>
      </c>
      <c r="M4704" s="5">
        <f>IF(L4704="","",L4704+6)</f>
        <v/>
      </c>
      <c r="N4704" s="6">
        <f>IF(OR(A4704="",B4704=""),"",DATE(YEAR(B4704),MONTH(B4704),1))</f>
        <v/>
      </c>
      <c r="O4704" s="7">
        <f>IF(COUNTA(A4704:K4704)=0,"",IF(OR(A4704="",B4704=""),"Preencher CPF e entrada",IF(COUNTIFS($A$12:$A$5011,A4704,$B$12:$B$5011,B4704)&gt;1,"CPF + dia duplicado",IF(OR(AND(G4704&lt;&gt;"",G4704&lt;&gt;0,G4704&lt;&gt;1),AND(H4704&lt;&gt;"",H4704&lt;&gt;0,H4704&lt;&gt;1)),"Flags devem ser 0 ou 1",IF(AND(H4704=1,LEN(TRIM(I4704))=0),"Preencher nome do indicante",IF(AND(H4704&lt;&gt;1,I4704&lt;&gt;""),"Nome sem indicação interna",IF(AND(G4704=1,F4704=""),"Fechamento sem conversa",IF(OR(AND(E4704&lt;&gt;"",E4704&lt;B4704),AND(F4704&lt;&gt;"",F4704&lt;B4704)),"Evento anterior à entrada",IF(AND(F4704&lt;&gt;"",E4704=""),"Conversa sem agendamento",IF(OR(E4704&gt;TODAY(),F4704&gt;TODAY()),"Verificar evento futuro","OK"))))))))))</f>
        <v/>
      </c>
    </row>
    <row r="4705" spans="12:15">
      <c r="L4705" s="5">
        <f>IF(OR(A4705="",B4705=""),"",B4705-WEEKDAY(B4705,2)+1)</f>
        <v/>
      </c>
      <c r="M4705" s="5">
        <f>IF(L4705="","",L4705+6)</f>
        <v/>
      </c>
      <c r="N4705" s="6">
        <f>IF(OR(A4705="",B4705=""),"",DATE(YEAR(B4705),MONTH(B4705),1))</f>
        <v/>
      </c>
      <c r="O4705" s="7">
        <f>IF(COUNTA(A4705:K4705)=0,"",IF(OR(A4705="",B4705=""),"Preencher CPF e entrada",IF(COUNTIFS($A$12:$A$5011,A4705,$B$12:$B$5011,B4705)&gt;1,"CPF + dia duplicado",IF(OR(AND(G4705&lt;&gt;"",G4705&lt;&gt;0,G4705&lt;&gt;1),AND(H4705&lt;&gt;"",H4705&lt;&gt;0,H4705&lt;&gt;1)),"Flags devem ser 0 ou 1",IF(AND(H4705=1,LEN(TRIM(I4705))=0),"Preencher nome do indicante",IF(AND(H4705&lt;&gt;1,I4705&lt;&gt;""),"Nome sem indicação interna",IF(AND(G4705=1,F4705=""),"Fechamento sem conversa",IF(OR(AND(E4705&lt;&gt;"",E4705&lt;B4705),AND(F4705&lt;&gt;"",F4705&lt;B4705)),"Evento anterior à entrada",IF(AND(F4705&lt;&gt;"",E4705=""),"Conversa sem agendamento",IF(OR(E4705&gt;TODAY(),F4705&gt;TODAY()),"Verificar evento futuro","OK"))))))))))</f>
        <v/>
      </c>
    </row>
    <row r="4706" spans="12:15">
      <c r="L4706" s="5">
        <f>IF(OR(A4706="",B4706=""),"",B4706-WEEKDAY(B4706,2)+1)</f>
        <v/>
      </c>
      <c r="M4706" s="5">
        <f>IF(L4706="","",L4706+6)</f>
        <v/>
      </c>
      <c r="N4706" s="6">
        <f>IF(OR(A4706="",B4706=""),"",DATE(YEAR(B4706),MONTH(B4706),1))</f>
        <v/>
      </c>
      <c r="O4706" s="7">
        <f>IF(COUNTA(A4706:K4706)=0,"",IF(OR(A4706="",B4706=""),"Preencher CPF e entrada",IF(COUNTIFS($A$12:$A$5011,A4706,$B$12:$B$5011,B4706)&gt;1,"CPF + dia duplicado",IF(OR(AND(G4706&lt;&gt;"",G4706&lt;&gt;0,G4706&lt;&gt;1),AND(H4706&lt;&gt;"",H4706&lt;&gt;0,H4706&lt;&gt;1)),"Flags devem ser 0 ou 1",IF(AND(H4706=1,LEN(TRIM(I4706))=0),"Preencher nome do indicante",IF(AND(H4706&lt;&gt;1,I4706&lt;&gt;""),"Nome sem indicação interna",IF(AND(G4706=1,F4706=""),"Fechamento sem conversa",IF(OR(AND(E4706&lt;&gt;"",E4706&lt;B4706),AND(F4706&lt;&gt;"",F4706&lt;B4706)),"Evento anterior à entrada",IF(AND(F4706&lt;&gt;"",E4706=""),"Conversa sem agendamento",IF(OR(E4706&gt;TODAY(),F4706&gt;TODAY()),"Verificar evento futuro","OK"))))))))))</f>
        <v/>
      </c>
    </row>
    <row r="4707" spans="12:15">
      <c r="L4707" s="5">
        <f>IF(OR(A4707="",B4707=""),"",B4707-WEEKDAY(B4707,2)+1)</f>
        <v/>
      </c>
      <c r="M4707" s="5">
        <f>IF(L4707="","",L4707+6)</f>
        <v/>
      </c>
      <c r="N4707" s="6">
        <f>IF(OR(A4707="",B4707=""),"",DATE(YEAR(B4707),MONTH(B4707),1))</f>
        <v/>
      </c>
      <c r="O4707" s="7">
        <f>IF(COUNTA(A4707:K4707)=0,"",IF(OR(A4707="",B4707=""),"Preencher CPF e entrada",IF(COUNTIFS($A$12:$A$5011,A4707,$B$12:$B$5011,B4707)&gt;1,"CPF + dia duplicado",IF(OR(AND(G4707&lt;&gt;"",G4707&lt;&gt;0,G4707&lt;&gt;1),AND(H4707&lt;&gt;"",H4707&lt;&gt;0,H4707&lt;&gt;1)),"Flags devem ser 0 ou 1",IF(AND(H4707=1,LEN(TRIM(I4707))=0),"Preencher nome do indicante",IF(AND(H4707&lt;&gt;1,I4707&lt;&gt;""),"Nome sem indicação interna",IF(AND(G4707=1,F4707=""),"Fechamento sem conversa",IF(OR(AND(E4707&lt;&gt;"",E4707&lt;B4707),AND(F4707&lt;&gt;"",F4707&lt;B4707)),"Evento anterior à entrada",IF(AND(F4707&lt;&gt;"",E4707=""),"Conversa sem agendamento",IF(OR(E4707&gt;TODAY(),F4707&gt;TODAY()),"Verificar evento futuro","OK"))))))))))</f>
        <v/>
      </c>
    </row>
    <row r="4708" spans="12:15">
      <c r="L4708" s="5">
        <f>IF(OR(A4708="",B4708=""),"",B4708-WEEKDAY(B4708,2)+1)</f>
        <v/>
      </c>
      <c r="M4708" s="5">
        <f>IF(L4708="","",L4708+6)</f>
        <v/>
      </c>
      <c r="N4708" s="6">
        <f>IF(OR(A4708="",B4708=""),"",DATE(YEAR(B4708),MONTH(B4708),1))</f>
        <v/>
      </c>
      <c r="O4708" s="7">
        <f>IF(COUNTA(A4708:K4708)=0,"",IF(OR(A4708="",B4708=""),"Preencher CPF e entrada",IF(COUNTIFS($A$12:$A$5011,A4708,$B$12:$B$5011,B4708)&gt;1,"CPF + dia duplicado",IF(OR(AND(G4708&lt;&gt;"",G4708&lt;&gt;0,G4708&lt;&gt;1),AND(H4708&lt;&gt;"",H4708&lt;&gt;0,H4708&lt;&gt;1)),"Flags devem ser 0 ou 1",IF(AND(H4708=1,LEN(TRIM(I4708))=0),"Preencher nome do indicante",IF(AND(H4708&lt;&gt;1,I4708&lt;&gt;""),"Nome sem indicação interna",IF(AND(G4708=1,F4708=""),"Fechamento sem conversa",IF(OR(AND(E4708&lt;&gt;"",E4708&lt;B4708),AND(F4708&lt;&gt;"",F4708&lt;B4708)),"Evento anterior à entrada",IF(AND(F4708&lt;&gt;"",E4708=""),"Conversa sem agendamento",IF(OR(E4708&gt;TODAY(),F4708&gt;TODAY()),"Verificar evento futuro","OK"))))))))))</f>
        <v/>
      </c>
    </row>
    <row r="4709" spans="12:15">
      <c r="L4709" s="5">
        <f>IF(OR(A4709="",B4709=""),"",B4709-WEEKDAY(B4709,2)+1)</f>
        <v/>
      </c>
      <c r="M4709" s="5">
        <f>IF(L4709="","",L4709+6)</f>
        <v/>
      </c>
      <c r="N4709" s="6">
        <f>IF(OR(A4709="",B4709=""),"",DATE(YEAR(B4709),MONTH(B4709),1))</f>
        <v/>
      </c>
      <c r="O4709" s="7">
        <f>IF(COUNTA(A4709:K4709)=0,"",IF(OR(A4709="",B4709=""),"Preencher CPF e entrada",IF(COUNTIFS($A$12:$A$5011,A4709,$B$12:$B$5011,B4709)&gt;1,"CPF + dia duplicado",IF(OR(AND(G4709&lt;&gt;"",G4709&lt;&gt;0,G4709&lt;&gt;1),AND(H4709&lt;&gt;"",H4709&lt;&gt;0,H4709&lt;&gt;1)),"Flags devem ser 0 ou 1",IF(AND(H4709=1,LEN(TRIM(I4709))=0),"Preencher nome do indicante",IF(AND(H4709&lt;&gt;1,I4709&lt;&gt;""),"Nome sem indicação interna",IF(AND(G4709=1,F4709=""),"Fechamento sem conversa",IF(OR(AND(E4709&lt;&gt;"",E4709&lt;B4709),AND(F4709&lt;&gt;"",F4709&lt;B4709)),"Evento anterior à entrada",IF(AND(F4709&lt;&gt;"",E4709=""),"Conversa sem agendamento",IF(OR(E4709&gt;TODAY(),F4709&gt;TODAY()),"Verificar evento futuro","OK"))))))))))</f>
        <v/>
      </c>
    </row>
    <row r="4710" spans="12:15">
      <c r="L4710" s="5">
        <f>IF(OR(A4710="",B4710=""),"",B4710-WEEKDAY(B4710,2)+1)</f>
        <v/>
      </c>
      <c r="M4710" s="5">
        <f>IF(L4710="","",L4710+6)</f>
        <v/>
      </c>
      <c r="N4710" s="6">
        <f>IF(OR(A4710="",B4710=""),"",DATE(YEAR(B4710),MONTH(B4710),1))</f>
        <v/>
      </c>
      <c r="O4710" s="7">
        <f>IF(COUNTA(A4710:K4710)=0,"",IF(OR(A4710="",B4710=""),"Preencher CPF e entrada",IF(COUNTIFS($A$12:$A$5011,A4710,$B$12:$B$5011,B4710)&gt;1,"CPF + dia duplicado",IF(OR(AND(G4710&lt;&gt;"",G4710&lt;&gt;0,G4710&lt;&gt;1),AND(H4710&lt;&gt;"",H4710&lt;&gt;0,H4710&lt;&gt;1)),"Flags devem ser 0 ou 1",IF(AND(H4710=1,LEN(TRIM(I4710))=0),"Preencher nome do indicante",IF(AND(H4710&lt;&gt;1,I4710&lt;&gt;""),"Nome sem indicação interna",IF(AND(G4710=1,F4710=""),"Fechamento sem conversa",IF(OR(AND(E4710&lt;&gt;"",E4710&lt;B4710),AND(F4710&lt;&gt;"",F4710&lt;B4710)),"Evento anterior à entrada",IF(AND(F4710&lt;&gt;"",E4710=""),"Conversa sem agendamento",IF(OR(E4710&gt;TODAY(),F4710&gt;TODAY()),"Verificar evento futuro","OK"))))))))))</f>
        <v/>
      </c>
    </row>
    <row r="4711" spans="12:15">
      <c r="L4711" s="5">
        <f>IF(OR(A4711="",B4711=""),"",B4711-WEEKDAY(B4711,2)+1)</f>
        <v/>
      </c>
      <c r="M4711" s="5">
        <f>IF(L4711="","",L4711+6)</f>
        <v/>
      </c>
      <c r="N4711" s="6">
        <f>IF(OR(A4711="",B4711=""),"",DATE(YEAR(B4711),MONTH(B4711),1))</f>
        <v/>
      </c>
      <c r="O4711" s="7">
        <f>IF(COUNTA(A4711:K4711)=0,"",IF(OR(A4711="",B4711=""),"Preencher CPF e entrada",IF(COUNTIFS($A$12:$A$5011,A4711,$B$12:$B$5011,B4711)&gt;1,"CPF + dia duplicado",IF(OR(AND(G4711&lt;&gt;"",G4711&lt;&gt;0,G4711&lt;&gt;1),AND(H4711&lt;&gt;"",H4711&lt;&gt;0,H4711&lt;&gt;1)),"Flags devem ser 0 ou 1",IF(AND(H4711=1,LEN(TRIM(I4711))=0),"Preencher nome do indicante",IF(AND(H4711&lt;&gt;1,I4711&lt;&gt;""),"Nome sem indicação interna",IF(AND(G4711=1,F4711=""),"Fechamento sem conversa",IF(OR(AND(E4711&lt;&gt;"",E4711&lt;B4711),AND(F4711&lt;&gt;"",F4711&lt;B4711)),"Evento anterior à entrada",IF(AND(F4711&lt;&gt;"",E4711=""),"Conversa sem agendamento",IF(OR(E4711&gt;TODAY(),F4711&gt;TODAY()),"Verificar evento futuro","OK"))))))))))</f>
        <v/>
      </c>
    </row>
    <row r="4712" spans="12:15">
      <c r="L4712" s="5">
        <f>IF(OR(A4712="",B4712=""),"",B4712-WEEKDAY(B4712,2)+1)</f>
        <v/>
      </c>
      <c r="M4712" s="5">
        <f>IF(L4712="","",L4712+6)</f>
        <v/>
      </c>
      <c r="N4712" s="6">
        <f>IF(OR(A4712="",B4712=""),"",DATE(YEAR(B4712),MONTH(B4712),1))</f>
        <v/>
      </c>
      <c r="O4712" s="7">
        <f>IF(COUNTA(A4712:K4712)=0,"",IF(OR(A4712="",B4712=""),"Preencher CPF e entrada",IF(COUNTIFS($A$12:$A$5011,A4712,$B$12:$B$5011,B4712)&gt;1,"CPF + dia duplicado",IF(OR(AND(G4712&lt;&gt;"",G4712&lt;&gt;0,G4712&lt;&gt;1),AND(H4712&lt;&gt;"",H4712&lt;&gt;0,H4712&lt;&gt;1)),"Flags devem ser 0 ou 1",IF(AND(H4712=1,LEN(TRIM(I4712))=0),"Preencher nome do indicante",IF(AND(H4712&lt;&gt;1,I4712&lt;&gt;""),"Nome sem indicação interna",IF(AND(G4712=1,F4712=""),"Fechamento sem conversa",IF(OR(AND(E4712&lt;&gt;"",E4712&lt;B4712),AND(F4712&lt;&gt;"",F4712&lt;B4712)),"Evento anterior à entrada",IF(AND(F4712&lt;&gt;"",E4712=""),"Conversa sem agendamento",IF(OR(E4712&gt;TODAY(),F4712&gt;TODAY()),"Verificar evento futuro","OK"))))))))))</f>
        <v/>
      </c>
    </row>
    <row r="4713" spans="12:15">
      <c r="L4713" s="5">
        <f>IF(OR(A4713="",B4713=""),"",B4713-WEEKDAY(B4713,2)+1)</f>
        <v/>
      </c>
      <c r="M4713" s="5">
        <f>IF(L4713="","",L4713+6)</f>
        <v/>
      </c>
      <c r="N4713" s="6">
        <f>IF(OR(A4713="",B4713=""),"",DATE(YEAR(B4713),MONTH(B4713),1))</f>
        <v/>
      </c>
      <c r="O4713" s="7">
        <f>IF(COUNTA(A4713:K4713)=0,"",IF(OR(A4713="",B4713=""),"Preencher CPF e entrada",IF(COUNTIFS($A$12:$A$5011,A4713,$B$12:$B$5011,B4713)&gt;1,"CPF + dia duplicado",IF(OR(AND(G4713&lt;&gt;"",G4713&lt;&gt;0,G4713&lt;&gt;1),AND(H4713&lt;&gt;"",H4713&lt;&gt;0,H4713&lt;&gt;1)),"Flags devem ser 0 ou 1",IF(AND(H4713=1,LEN(TRIM(I4713))=0),"Preencher nome do indicante",IF(AND(H4713&lt;&gt;1,I4713&lt;&gt;""),"Nome sem indicação interna",IF(AND(G4713=1,F4713=""),"Fechamento sem conversa",IF(OR(AND(E4713&lt;&gt;"",E4713&lt;B4713),AND(F4713&lt;&gt;"",F4713&lt;B4713)),"Evento anterior à entrada",IF(AND(F4713&lt;&gt;"",E4713=""),"Conversa sem agendamento",IF(OR(E4713&gt;TODAY(),F4713&gt;TODAY()),"Verificar evento futuro","OK"))))))))))</f>
        <v/>
      </c>
    </row>
    <row r="4714" spans="12:15">
      <c r="L4714" s="5">
        <f>IF(OR(A4714="",B4714=""),"",B4714-WEEKDAY(B4714,2)+1)</f>
        <v/>
      </c>
      <c r="M4714" s="5">
        <f>IF(L4714="","",L4714+6)</f>
        <v/>
      </c>
      <c r="N4714" s="6">
        <f>IF(OR(A4714="",B4714=""),"",DATE(YEAR(B4714),MONTH(B4714),1))</f>
        <v/>
      </c>
      <c r="O4714" s="7">
        <f>IF(COUNTA(A4714:K4714)=0,"",IF(OR(A4714="",B4714=""),"Preencher CPF e entrada",IF(COUNTIFS($A$12:$A$5011,A4714,$B$12:$B$5011,B4714)&gt;1,"CPF + dia duplicado",IF(OR(AND(G4714&lt;&gt;"",G4714&lt;&gt;0,G4714&lt;&gt;1),AND(H4714&lt;&gt;"",H4714&lt;&gt;0,H4714&lt;&gt;1)),"Flags devem ser 0 ou 1",IF(AND(H4714=1,LEN(TRIM(I4714))=0),"Preencher nome do indicante",IF(AND(H4714&lt;&gt;1,I4714&lt;&gt;""),"Nome sem indicação interna",IF(AND(G4714=1,F4714=""),"Fechamento sem conversa",IF(OR(AND(E4714&lt;&gt;"",E4714&lt;B4714),AND(F4714&lt;&gt;"",F4714&lt;B4714)),"Evento anterior à entrada",IF(AND(F4714&lt;&gt;"",E4714=""),"Conversa sem agendamento",IF(OR(E4714&gt;TODAY(),F4714&gt;TODAY()),"Verificar evento futuro","OK"))))))))))</f>
        <v/>
      </c>
    </row>
    <row r="4715" spans="12:15">
      <c r="L4715" s="5">
        <f>IF(OR(A4715="",B4715=""),"",B4715-WEEKDAY(B4715,2)+1)</f>
        <v/>
      </c>
      <c r="M4715" s="5">
        <f>IF(L4715="","",L4715+6)</f>
        <v/>
      </c>
      <c r="N4715" s="6">
        <f>IF(OR(A4715="",B4715=""),"",DATE(YEAR(B4715),MONTH(B4715),1))</f>
        <v/>
      </c>
      <c r="O4715" s="7">
        <f>IF(COUNTA(A4715:K4715)=0,"",IF(OR(A4715="",B4715=""),"Preencher CPF e entrada",IF(COUNTIFS($A$12:$A$5011,A4715,$B$12:$B$5011,B4715)&gt;1,"CPF + dia duplicado",IF(OR(AND(G4715&lt;&gt;"",G4715&lt;&gt;0,G4715&lt;&gt;1),AND(H4715&lt;&gt;"",H4715&lt;&gt;0,H4715&lt;&gt;1)),"Flags devem ser 0 ou 1",IF(AND(H4715=1,LEN(TRIM(I4715))=0),"Preencher nome do indicante",IF(AND(H4715&lt;&gt;1,I4715&lt;&gt;""),"Nome sem indicação interna",IF(AND(G4715=1,F4715=""),"Fechamento sem conversa",IF(OR(AND(E4715&lt;&gt;"",E4715&lt;B4715),AND(F4715&lt;&gt;"",F4715&lt;B4715)),"Evento anterior à entrada",IF(AND(F4715&lt;&gt;"",E4715=""),"Conversa sem agendamento",IF(OR(E4715&gt;TODAY(),F4715&gt;TODAY()),"Verificar evento futuro","OK"))))))))))</f>
        <v/>
      </c>
    </row>
    <row r="4716" spans="12:15">
      <c r="L4716" s="5">
        <f>IF(OR(A4716="",B4716=""),"",B4716-WEEKDAY(B4716,2)+1)</f>
        <v/>
      </c>
      <c r="M4716" s="5">
        <f>IF(L4716="","",L4716+6)</f>
        <v/>
      </c>
      <c r="N4716" s="6">
        <f>IF(OR(A4716="",B4716=""),"",DATE(YEAR(B4716),MONTH(B4716),1))</f>
        <v/>
      </c>
      <c r="O4716" s="7">
        <f>IF(COUNTA(A4716:K4716)=0,"",IF(OR(A4716="",B4716=""),"Preencher CPF e entrada",IF(COUNTIFS($A$12:$A$5011,A4716,$B$12:$B$5011,B4716)&gt;1,"CPF + dia duplicado",IF(OR(AND(G4716&lt;&gt;"",G4716&lt;&gt;0,G4716&lt;&gt;1),AND(H4716&lt;&gt;"",H4716&lt;&gt;0,H4716&lt;&gt;1)),"Flags devem ser 0 ou 1",IF(AND(H4716=1,LEN(TRIM(I4716))=0),"Preencher nome do indicante",IF(AND(H4716&lt;&gt;1,I4716&lt;&gt;""),"Nome sem indicação interna",IF(AND(G4716=1,F4716=""),"Fechamento sem conversa",IF(OR(AND(E4716&lt;&gt;"",E4716&lt;B4716),AND(F4716&lt;&gt;"",F4716&lt;B4716)),"Evento anterior à entrada",IF(AND(F4716&lt;&gt;"",E4716=""),"Conversa sem agendamento",IF(OR(E4716&gt;TODAY(),F4716&gt;TODAY()),"Verificar evento futuro","OK"))))))))))</f>
        <v/>
      </c>
    </row>
    <row r="4717" spans="12:15">
      <c r="L4717" s="5">
        <f>IF(OR(A4717="",B4717=""),"",B4717-WEEKDAY(B4717,2)+1)</f>
        <v/>
      </c>
      <c r="M4717" s="5">
        <f>IF(L4717="","",L4717+6)</f>
        <v/>
      </c>
      <c r="N4717" s="6">
        <f>IF(OR(A4717="",B4717=""),"",DATE(YEAR(B4717),MONTH(B4717),1))</f>
        <v/>
      </c>
      <c r="O4717" s="7">
        <f>IF(COUNTA(A4717:K4717)=0,"",IF(OR(A4717="",B4717=""),"Preencher CPF e entrada",IF(COUNTIFS($A$12:$A$5011,A4717,$B$12:$B$5011,B4717)&gt;1,"CPF + dia duplicado",IF(OR(AND(G4717&lt;&gt;"",G4717&lt;&gt;0,G4717&lt;&gt;1),AND(H4717&lt;&gt;"",H4717&lt;&gt;0,H4717&lt;&gt;1)),"Flags devem ser 0 ou 1",IF(AND(H4717=1,LEN(TRIM(I4717))=0),"Preencher nome do indicante",IF(AND(H4717&lt;&gt;1,I4717&lt;&gt;""),"Nome sem indicação interna",IF(AND(G4717=1,F4717=""),"Fechamento sem conversa",IF(OR(AND(E4717&lt;&gt;"",E4717&lt;B4717),AND(F4717&lt;&gt;"",F4717&lt;B4717)),"Evento anterior à entrada",IF(AND(F4717&lt;&gt;"",E4717=""),"Conversa sem agendamento",IF(OR(E4717&gt;TODAY(),F4717&gt;TODAY()),"Verificar evento futuro","OK"))))))))))</f>
        <v/>
      </c>
    </row>
    <row r="4718" spans="12:15">
      <c r="L4718" s="5">
        <f>IF(OR(A4718="",B4718=""),"",B4718-WEEKDAY(B4718,2)+1)</f>
        <v/>
      </c>
      <c r="M4718" s="5">
        <f>IF(L4718="","",L4718+6)</f>
        <v/>
      </c>
      <c r="N4718" s="6">
        <f>IF(OR(A4718="",B4718=""),"",DATE(YEAR(B4718),MONTH(B4718),1))</f>
        <v/>
      </c>
      <c r="O4718" s="7">
        <f>IF(COUNTA(A4718:K4718)=0,"",IF(OR(A4718="",B4718=""),"Preencher CPF e entrada",IF(COUNTIFS($A$12:$A$5011,A4718,$B$12:$B$5011,B4718)&gt;1,"CPF + dia duplicado",IF(OR(AND(G4718&lt;&gt;"",G4718&lt;&gt;0,G4718&lt;&gt;1),AND(H4718&lt;&gt;"",H4718&lt;&gt;0,H4718&lt;&gt;1)),"Flags devem ser 0 ou 1",IF(AND(H4718=1,LEN(TRIM(I4718))=0),"Preencher nome do indicante",IF(AND(H4718&lt;&gt;1,I4718&lt;&gt;""),"Nome sem indicação interna",IF(AND(G4718=1,F4718=""),"Fechamento sem conversa",IF(OR(AND(E4718&lt;&gt;"",E4718&lt;B4718),AND(F4718&lt;&gt;"",F4718&lt;B4718)),"Evento anterior à entrada",IF(AND(F4718&lt;&gt;"",E4718=""),"Conversa sem agendamento",IF(OR(E4718&gt;TODAY(),F4718&gt;TODAY()),"Verificar evento futuro","OK"))))))))))</f>
        <v/>
      </c>
    </row>
    <row r="4719" spans="12:15">
      <c r="L4719" s="5">
        <f>IF(OR(A4719="",B4719=""),"",B4719-WEEKDAY(B4719,2)+1)</f>
        <v/>
      </c>
      <c r="M4719" s="5">
        <f>IF(L4719="","",L4719+6)</f>
        <v/>
      </c>
      <c r="N4719" s="6">
        <f>IF(OR(A4719="",B4719=""),"",DATE(YEAR(B4719),MONTH(B4719),1))</f>
        <v/>
      </c>
      <c r="O4719" s="7">
        <f>IF(COUNTA(A4719:K4719)=0,"",IF(OR(A4719="",B4719=""),"Preencher CPF e entrada",IF(COUNTIFS($A$12:$A$5011,A4719,$B$12:$B$5011,B4719)&gt;1,"CPF + dia duplicado",IF(OR(AND(G4719&lt;&gt;"",G4719&lt;&gt;0,G4719&lt;&gt;1),AND(H4719&lt;&gt;"",H4719&lt;&gt;0,H4719&lt;&gt;1)),"Flags devem ser 0 ou 1",IF(AND(H4719=1,LEN(TRIM(I4719))=0),"Preencher nome do indicante",IF(AND(H4719&lt;&gt;1,I4719&lt;&gt;""),"Nome sem indicação interna",IF(AND(G4719=1,F4719=""),"Fechamento sem conversa",IF(OR(AND(E4719&lt;&gt;"",E4719&lt;B4719),AND(F4719&lt;&gt;"",F4719&lt;B4719)),"Evento anterior à entrada",IF(AND(F4719&lt;&gt;"",E4719=""),"Conversa sem agendamento",IF(OR(E4719&gt;TODAY(),F4719&gt;TODAY()),"Verificar evento futuro","OK"))))))))))</f>
        <v/>
      </c>
    </row>
    <row r="4720" spans="12:15">
      <c r="L4720" s="5">
        <f>IF(OR(A4720="",B4720=""),"",B4720-WEEKDAY(B4720,2)+1)</f>
        <v/>
      </c>
      <c r="M4720" s="5">
        <f>IF(L4720="","",L4720+6)</f>
        <v/>
      </c>
      <c r="N4720" s="6">
        <f>IF(OR(A4720="",B4720=""),"",DATE(YEAR(B4720),MONTH(B4720),1))</f>
        <v/>
      </c>
      <c r="O4720" s="7">
        <f>IF(COUNTA(A4720:K4720)=0,"",IF(OR(A4720="",B4720=""),"Preencher CPF e entrada",IF(COUNTIFS($A$12:$A$5011,A4720,$B$12:$B$5011,B4720)&gt;1,"CPF + dia duplicado",IF(OR(AND(G4720&lt;&gt;"",G4720&lt;&gt;0,G4720&lt;&gt;1),AND(H4720&lt;&gt;"",H4720&lt;&gt;0,H4720&lt;&gt;1)),"Flags devem ser 0 ou 1",IF(AND(H4720=1,LEN(TRIM(I4720))=0),"Preencher nome do indicante",IF(AND(H4720&lt;&gt;1,I4720&lt;&gt;""),"Nome sem indicação interna",IF(AND(G4720=1,F4720=""),"Fechamento sem conversa",IF(OR(AND(E4720&lt;&gt;"",E4720&lt;B4720),AND(F4720&lt;&gt;"",F4720&lt;B4720)),"Evento anterior à entrada",IF(AND(F4720&lt;&gt;"",E4720=""),"Conversa sem agendamento",IF(OR(E4720&gt;TODAY(),F4720&gt;TODAY()),"Verificar evento futuro","OK"))))))))))</f>
        <v/>
      </c>
    </row>
    <row r="4721" spans="12:15">
      <c r="L4721" s="5">
        <f>IF(OR(A4721="",B4721=""),"",B4721-WEEKDAY(B4721,2)+1)</f>
        <v/>
      </c>
      <c r="M4721" s="5">
        <f>IF(L4721="","",L4721+6)</f>
        <v/>
      </c>
      <c r="N4721" s="6">
        <f>IF(OR(A4721="",B4721=""),"",DATE(YEAR(B4721),MONTH(B4721),1))</f>
        <v/>
      </c>
      <c r="O4721" s="7">
        <f>IF(COUNTA(A4721:K4721)=0,"",IF(OR(A4721="",B4721=""),"Preencher CPF e entrada",IF(COUNTIFS($A$12:$A$5011,A4721,$B$12:$B$5011,B4721)&gt;1,"CPF + dia duplicado",IF(OR(AND(G4721&lt;&gt;"",G4721&lt;&gt;0,G4721&lt;&gt;1),AND(H4721&lt;&gt;"",H4721&lt;&gt;0,H4721&lt;&gt;1)),"Flags devem ser 0 ou 1",IF(AND(H4721=1,LEN(TRIM(I4721))=0),"Preencher nome do indicante",IF(AND(H4721&lt;&gt;1,I4721&lt;&gt;""),"Nome sem indicação interna",IF(AND(G4721=1,F4721=""),"Fechamento sem conversa",IF(OR(AND(E4721&lt;&gt;"",E4721&lt;B4721),AND(F4721&lt;&gt;"",F4721&lt;B4721)),"Evento anterior à entrada",IF(AND(F4721&lt;&gt;"",E4721=""),"Conversa sem agendamento",IF(OR(E4721&gt;TODAY(),F4721&gt;TODAY()),"Verificar evento futuro","OK"))))))))))</f>
        <v/>
      </c>
    </row>
    <row r="4722" spans="12:15">
      <c r="L4722" s="5">
        <f>IF(OR(A4722="",B4722=""),"",B4722-WEEKDAY(B4722,2)+1)</f>
        <v/>
      </c>
      <c r="M4722" s="5">
        <f>IF(L4722="","",L4722+6)</f>
        <v/>
      </c>
      <c r="N4722" s="6">
        <f>IF(OR(A4722="",B4722=""),"",DATE(YEAR(B4722),MONTH(B4722),1))</f>
        <v/>
      </c>
      <c r="O4722" s="7">
        <f>IF(COUNTA(A4722:K4722)=0,"",IF(OR(A4722="",B4722=""),"Preencher CPF e entrada",IF(COUNTIFS($A$12:$A$5011,A4722,$B$12:$B$5011,B4722)&gt;1,"CPF + dia duplicado",IF(OR(AND(G4722&lt;&gt;"",G4722&lt;&gt;0,G4722&lt;&gt;1),AND(H4722&lt;&gt;"",H4722&lt;&gt;0,H4722&lt;&gt;1)),"Flags devem ser 0 ou 1",IF(AND(H4722=1,LEN(TRIM(I4722))=0),"Preencher nome do indicante",IF(AND(H4722&lt;&gt;1,I4722&lt;&gt;""),"Nome sem indicação interna",IF(AND(G4722=1,F4722=""),"Fechamento sem conversa",IF(OR(AND(E4722&lt;&gt;"",E4722&lt;B4722),AND(F4722&lt;&gt;"",F4722&lt;B4722)),"Evento anterior à entrada",IF(AND(F4722&lt;&gt;"",E4722=""),"Conversa sem agendamento",IF(OR(E4722&gt;TODAY(),F4722&gt;TODAY()),"Verificar evento futuro","OK"))))))))))</f>
        <v/>
      </c>
    </row>
    <row r="4723" spans="12:15">
      <c r="L4723" s="5">
        <f>IF(OR(A4723="",B4723=""),"",B4723-WEEKDAY(B4723,2)+1)</f>
        <v/>
      </c>
      <c r="M4723" s="5">
        <f>IF(L4723="","",L4723+6)</f>
        <v/>
      </c>
      <c r="N4723" s="6">
        <f>IF(OR(A4723="",B4723=""),"",DATE(YEAR(B4723),MONTH(B4723),1))</f>
        <v/>
      </c>
      <c r="O4723" s="7">
        <f>IF(COUNTA(A4723:K4723)=0,"",IF(OR(A4723="",B4723=""),"Preencher CPF e entrada",IF(COUNTIFS($A$12:$A$5011,A4723,$B$12:$B$5011,B4723)&gt;1,"CPF + dia duplicado",IF(OR(AND(G4723&lt;&gt;"",G4723&lt;&gt;0,G4723&lt;&gt;1),AND(H4723&lt;&gt;"",H4723&lt;&gt;0,H4723&lt;&gt;1)),"Flags devem ser 0 ou 1",IF(AND(H4723=1,LEN(TRIM(I4723))=0),"Preencher nome do indicante",IF(AND(H4723&lt;&gt;1,I4723&lt;&gt;""),"Nome sem indicação interna",IF(AND(G4723=1,F4723=""),"Fechamento sem conversa",IF(OR(AND(E4723&lt;&gt;"",E4723&lt;B4723),AND(F4723&lt;&gt;"",F4723&lt;B4723)),"Evento anterior à entrada",IF(AND(F4723&lt;&gt;"",E4723=""),"Conversa sem agendamento",IF(OR(E4723&gt;TODAY(),F4723&gt;TODAY()),"Verificar evento futuro","OK"))))))))))</f>
        <v/>
      </c>
    </row>
    <row r="4724" spans="12:15">
      <c r="L4724" s="5">
        <f>IF(OR(A4724="",B4724=""),"",B4724-WEEKDAY(B4724,2)+1)</f>
        <v/>
      </c>
      <c r="M4724" s="5">
        <f>IF(L4724="","",L4724+6)</f>
        <v/>
      </c>
      <c r="N4724" s="6">
        <f>IF(OR(A4724="",B4724=""),"",DATE(YEAR(B4724),MONTH(B4724),1))</f>
        <v/>
      </c>
      <c r="O4724" s="7">
        <f>IF(COUNTA(A4724:K4724)=0,"",IF(OR(A4724="",B4724=""),"Preencher CPF e entrada",IF(COUNTIFS($A$12:$A$5011,A4724,$B$12:$B$5011,B4724)&gt;1,"CPF + dia duplicado",IF(OR(AND(G4724&lt;&gt;"",G4724&lt;&gt;0,G4724&lt;&gt;1),AND(H4724&lt;&gt;"",H4724&lt;&gt;0,H4724&lt;&gt;1)),"Flags devem ser 0 ou 1",IF(AND(H4724=1,LEN(TRIM(I4724))=0),"Preencher nome do indicante",IF(AND(H4724&lt;&gt;1,I4724&lt;&gt;""),"Nome sem indicação interna",IF(AND(G4724=1,F4724=""),"Fechamento sem conversa",IF(OR(AND(E4724&lt;&gt;"",E4724&lt;B4724),AND(F4724&lt;&gt;"",F4724&lt;B4724)),"Evento anterior à entrada",IF(AND(F4724&lt;&gt;"",E4724=""),"Conversa sem agendamento",IF(OR(E4724&gt;TODAY(),F4724&gt;TODAY()),"Verificar evento futuro","OK"))))))))))</f>
        <v/>
      </c>
    </row>
    <row r="4725" spans="12:15">
      <c r="L4725" s="5">
        <f>IF(OR(A4725="",B4725=""),"",B4725-WEEKDAY(B4725,2)+1)</f>
        <v/>
      </c>
      <c r="M4725" s="5">
        <f>IF(L4725="","",L4725+6)</f>
        <v/>
      </c>
      <c r="N4725" s="6">
        <f>IF(OR(A4725="",B4725=""),"",DATE(YEAR(B4725),MONTH(B4725),1))</f>
        <v/>
      </c>
      <c r="O4725" s="7">
        <f>IF(COUNTA(A4725:K4725)=0,"",IF(OR(A4725="",B4725=""),"Preencher CPF e entrada",IF(COUNTIFS($A$12:$A$5011,A4725,$B$12:$B$5011,B4725)&gt;1,"CPF + dia duplicado",IF(OR(AND(G4725&lt;&gt;"",G4725&lt;&gt;0,G4725&lt;&gt;1),AND(H4725&lt;&gt;"",H4725&lt;&gt;0,H4725&lt;&gt;1)),"Flags devem ser 0 ou 1",IF(AND(H4725=1,LEN(TRIM(I4725))=0),"Preencher nome do indicante",IF(AND(H4725&lt;&gt;1,I4725&lt;&gt;""),"Nome sem indicação interna",IF(AND(G4725=1,F4725=""),"Fechamento sem conversa",IF(OR(AND(E4725&lt;&gt;"",E4725&lt;B4725),AND(F4725&lt;&gt;"",F4725&lt;B4725)),"Evento anterior à entrada",IF(AND(F4725&lt;&gt;"",E4725=""),"Conversa sem agendamento",IF(OR(E4725&gt;TODAY(),F4725&gt;TODAY()),"Verificar evento futuro","OK"))))))))))</f>
        <v/>
      </c>
    </row>
    <row r="4726" spans="12:15">
      <c r="L4726" s="5">
        <f>IF(OR(A4726="",B4726=""),"",B4726-WEEKDAY(B4726,2)+1)</f>
        <v/>
      </c>
      <c r="M4726" s="5">
        <f>IF(L4726="","",L4726+6)</f>
        <v/>
      </c>
      <c r="N4726" s="6">
        <f>IF(OR(A4726="",B4726=""),"",DATE(YEAR(B4726),MONTH(B4726),1))</f>
        <v/>
      </c>
      <c r="O4726" s="7">
        <f>IF(COUNTA(A4726:K4726)=0,"",IF(OR(A4726="",B4726=""),"Preencher CPF e entrada",IF(COUNTIFS($A$12:$A$5011,A4726,$B$12:$B$5011,B4726)&gt;1,"CPF + dia duplicado",IF(OR(AND(G4726&lt;&gt;"",G4726&lt;&gt;0,G4726&lt;&gt;1),AND(H4726&lt;&gt;"",H4726&lt;&gt;0,H4726&lt;&gt;1)),"Flags devem ser 0 ou 1",IF(AND(H4726=1,LEN(TRIM(I4726))=0),"Preencher nome do indicante",IF(AND(H4726&lt;&gt;1,I4726&lt;&gt;""),"Nome sem indicação interna",IF(AND(G4726=1,F4726=""),"Fechamento sem conversa",IF(OR(AND(E4726&lt;&gt;"",E4726&lt;B4726),AND(F4726&lt;&gt;"",F4726&lt;B4726)),"Evento anterior à entrada",IF(AND(F4726&lt;&gt;"",E4726=""),"Conversa sem agendamento",IF(OR(E4726&gt;TODAY(),F4726&gt;TODAY()),"Verificar evento futuro","OK"))))))))))</f>
        <v/>
      </c>
    </row>
    <row r="4727" spans="12:15">
      <c r="L4727" s="5">
        <f>IF(OR(A4727="",B4727=""),"",B4727-WEEKDAY(B4727,2)+1)</f>
        <v/>
      </c>
      <c r="M4727" s="5">
        <f>IF(L4727="","",L4727+6)</f>
        <v/>
      </c>
      <c r="N4727" s="6">
        <f>IF(OR(A4727="",B4727=""),"",DATE(YEAR(B4727),MONTH(B4727),1))</f>
        <v/>
      </c>
      <c r="O4727" s="7">
        <f>IF(COUNTA(A4727:K4727)=0,"",IF(OR(A4727="",B4727=""),"Preencher CPF e entrada",IF(COUNTIFS($A$12:$A$5011,A4727,$B$12:$B$5011,B4727)&gt;1,"CPF + dia duplicado",IF(OR(AND(G4727&lt;&gt;"",G4727&lt;&gt;0,G4727&lt;&gt;1),AND(H4727&lt;&gt;"",H4727&lt;&gt;0,H4727&lt;&gt;1)),"Flags devem ser 0 ou 1",IF(AND(H4727=1,LEN(TRIM(I4727))=0),"Preencher nome do indicante",IF(AND(H4727&lt;&gt;1,I4727&lt;&gt;""),"Nome sem indicação interna",IF(AND(G4727=1,F4727=""),"Fechamento sem conversa",IF(OR(AND(E4727&lt;&gt;"",E4727&lt;B4727),AND(F4727&lt;&gt;"",F4727&lt;B4727)),"Evento anterior à entrada",IF(AND(F4727&lt;&gt;"",E4727=""),"Conversa sem agendamento",IF(OR(E4727&gt;TODAY(),F4727&gt;TODAY()),"Verificar evento futuro","OK"))))))))))</f>
        <v/>
      </c>
    </row>
    <row r="4728" spans="12:15">
      <c r="L4728" s="5">
        <f>IF(OR(A4728="",B4728=""),"",B4728-WEEKDAY(B4728,2)+1)</f>
        <v/>
      </c>
      <c r="M4728" s="5">
        <f>IF(L4728="","",L4728+6)</f>
        <v/>
      </c>
      <c r="N4728" s="6">
        <f>IF(OR(A4728="",B4728=""),"",DATE(YEAR(B4728),MONTH(B4728),1))</f>
        <v/>
      </c>
      <c r="O4728" s="7">
        <f>IF(COUNTA(A4728:K4728)=0,"",IF(OR(A4728="",B4728=""),"Preencher CPF e entrada",IF(COUNTIFS($A$12:$A$5011,A4728,$B$12:$B$5011,B4728)&gt;1,"CPF + dia duplicado",IF(OR(AND(G4728&lt;&gt;"",G4728&lt;&gt;0,G4728&lt;&gt;1),AND(H4728&lt;&gt;"",H4728&lt;&gt;0,H4728&lt;&gt;1)),"Flags devem ser 0 ou 1",IF(AND(H4728=1,LEN(TRIM(I4728))=0),"Preencher nome do indicante",IF(AND(H4728&lt;&gt;1,I4728&lt;&gt;""),"Nome sem indicação interna",IF(AND(G4728=1,F4728=""),"Fechamento sem conversa",IF(OR(AND(E4728&lt;&gt;"",E4728&lt;B4728),AND(F4728&lt;&gt;"",F4728&lt;B4728)),"Evento anterior à entrada",IF(AND(F4728&lt;&gt;"",E4728=""),"Conversa sem agendamento",IF(OR(E4728&gt;TODAY(),F4728&gt;TODAY()),"Verificar evento futuro","OK"))))))))))</f>
        <v/>
      </c>
    </row>
    <row r="4729" spans="12:15">
      <c r="L4729" s="5">
        <f>IF(OR(A4729="",B4729=""),"",B4729-WEEKDAY(B4729,2)+1)</f>
        <v/>
      </c>
      <c r="M4729" s="5">
        <f>IF(L4729="","",L4729+6)</f>
        <v/>
      </c>
      <c r="N4729" s="6">
        <f>IF(OR(A4729="",B4729=""),"",DATE(YEAR(B4729),MONTH(B4729),1))</f>
        <v/>
      </c>
      <c r="O4729" s="7">
        <f>IF(COUNTA(A4729:K4729)=0,"",IF(OR(A4729="",B4729=""),"Preencher CPF e entrada",IF(COUNTIFS($A$12:$A$5011,A4729,$B$12:$B$5011,B4729)&gt;1,"CPF + dia duplicado",IF(OR(AND(G4729&lt;&gt;"",G4729&lt;&gt;0,G4729&lt;&gt;1),AND(H4729&lt;&gt;"",H4729&lt;&gt;0,H4729&lt;&gt;1)),"Flags devem ser 0 ou 1",IF(AND(H4729=1,LEN(TRIM(I4729))=0),"Preencher nome do indicante",IF(AND(H4729&lt;&gt;1,I4729&lt;&gt;""),"Nome sem indicação interna",IF(AND(G4729=1,F4729=""),"Fechamento sem conversa",IF(OR(AND(E4729&lt;&gt;"",E4729&lt;B4729),AND(F4729&lt;&gt;"",F4729&lt;B4729)),"Evento anterior à entrada",IF(AND(F4729&lt;&gt;"",E4729=""),"Conversa sem agendamento",IF(OR(E4729&gt;TODAY(),F4729&gt;TODAY()),"Verificar evento futuro","OK"))))))))))</f>
        <v/>
      </c>
    </row>
    <row r="4730" spans="12:15">
      <c r="L4730" s="5">
        <f>IF(OR(A4730="",B4730=""),"",B4730-WEEKDAY(B4730,2)+1)</f>
        <v/>
      </c>
      <c r="M4730" s="5">
        <f>IF(L4730="","",L4730+6)</f>
        <v/>
      </c>
      <c r="N4730" s="6">
        <f>IF(OR(A4730="",B4730=""),"",DATE(YEAR(B4730),MONTH(B4730),1))</f>
        <v/>
      </c>
      <c r="O4730" s="7">
        <f>IF(COUNTA(A4730:K4730)=0,"",IF(OR(A4730="",B4730=""),"Preencher CPF e entrada",IF(COUNTIFS($A$12:$A$5011,A4730,$B$12:$B$5011,B4730)&gt;1,"CPF + dia duplicado",IF(OR(AND(G4730&lt;&gt;"",G4730&lt;&gt;0,G4730&lt;&gt;1),AND(H4730&lt;&gt;"",H4730&lt;&gt;0,H4730&lt;&gt;1)),"Flags devem ser 0 ou 1",IF(AND(H4730=1,LEN(TRIM(I4730))=0),"Preencher nome do indicante",IF(AND(H4730&lt;&gt;1,I4730&lt;&gt;""),"Nome sem indicação interna",IF(AND(G4730=1,F4730=""),"Fechamento sem conversa",IF(OR(AND(E4730&lt;&gt;"",E4730&lt;B4730),AND(F4730&lt;&gt;"",F4730&lt;B4730)),"Evento anterior à entrada",IF(AND(F4730&lt;&gt;"",E4730=""),"Conversa sem agendamento",IF(OR(E4730&gt;TODAY(),F4730&gt;TODAY()),"Verificar evento futuro","OK"))))))))))</f>
        <v/>
      </c>
    </row>
    <row r="4731" spans="12:15">
      <c r="L4731" s="5">
        <f>IF(OR(A4731="",B4731=""),"",B4731-WEEKDAY(B4731,2)+1)</f>
        <v/>
      </c>
      <c r="M4731" s="5">
        <f>IF(L4731="","",L4731+6)</f>
        <v/>
      </c>
      <c r="N4731" s="6">
        <f>IF(OR(A4731="",B4731=""),"",DATE(YEAR(B4731),MONTH(B4731),1))</f>
        <v/>
      </c>
      <c r="O4731" s="7">
        <f>IF(COUNTA(A4731:K4731)=0,"",IF(OR(A4731="",B4731=""),"Preencher CPF e entrada",IF(COUNTIFS($A$12:$A$5011,A4731,$B$12:$B$5011,B4731)&gt;1,"CPF + dia duplicado",IF(OR(AND(G4731&lt;&gt;"",G4731&lt;&gt;0,G4731&lt;&gt;1),AND(H4731&lt;&gt;"",H4731&lt;&gt;0,H4731&lt;&gt;1)),"Flags devem ser 0 ou 1",IF(AND(H4731=1,LEN(TRIM(I4731))=0),"Preencher nome do indicante",IF(AND(H4731&lt;&gt;1,I4731&lt;&gt;""),"Nome sem indicação interna",IF(AND(G4731=1,F4731=""),"Fechamento sem conversa",IF(OR(AND(E4731&lt;&gt;"",E4731&lt;B4731),AND(F4731&lt;&gt;"",F4731&lt;B4731)),"Evento anterior à entrada",IF(AND(F4731&lt;&gt;"",E4731=""),"Conversa sem agendamento",IF(OR(E4731&gt;TODAY(),F4731&gt;TODAY()),"Verificar evento futuro","OK"))))))))))</f>
        <v/>
      </c>
    </row>
    <row r="4732" spans="12:15">
      <c r="L4732" s="5">
        <f>IF(OR(A4732="",B4732=""),"",B4732-WEEKDAY(B4732,2)+1)</f>
        <v/>
      </c>
      <c r="M4732" s="5">
        <f>IF(L4732="","",L4732+6)</f>
        <v/>
      </c>
      <c r="N4732" s="6">
        <f>IF(OR(A4732="",B4732=""),"",DATE(YEAR(B4732),MONTH(B4732),1))</f>
        <v/>
      </c>
      <c r="O4732" s="7">
        <f>IF(COUNTA(A4732:K4732)=0,"",IF(OR(A4732="",B4732=""),"Preencher CPF e entrada",IF(COUNTIFS($A$12:$A$5011,A4732,$B$12:$B$5011,B4732)&gt;1,"CPF + dia duplicado",IF(OR(AND(G4732&lt;&gt;"",G4732&lt;&gt;0,G4732&lt;&gt;1),AND(H4732&lt;&gt;"",H4732&lt;&gt;0,H4732&lt;&gt;1)),"Flags devem ser 0 ou 1",IF(AND(H4732=1,LEN(TRIM(I4732))=0),"Preencher nome do indicante",IF(AND(H4732&lt;&gt;1,I4732&lt;&gt;""),"Nome sem indicação interna",IF(AND(G4732=1,F4732=""),"Fechamento sem conversa",IF(OR(AND(E4732&lt;&gt;"",E4732&lt;B4732),AND(F4732&lt;&gt;"",F4732&lt;B4732)),"Evento anterior à entrada",IF(AND(F4732&lt;&gt;"",E4732=""),"Conversa sem agendamento",IF(OR(E4732&gt;TODAY(),F4732&gt;TODAY()),"Verificar evento futuro","OK"))))))))))</f>
        <v/>
      </c>
    </row>
    <row r="4733" spans="12:15">
      <c r="L4733" s="5">
        <f>IF(OR(A4733="",B4733=""),"",B4733-WEEKDAY(B4733,2)+1)</f>
        <v/>
      </c>
      <c r="M4733" s="5">
        <f>IF(L4733="","",L4733+6)</f>
        <v/>
      </c>
      <c r="N4733" s="6">
        <f>IF(OR(A4733="",B4733=""),"",DATE(YEAR(B4733),MONTH(B4733),1))</f>
        <v/>
      </c>
      <c r="O4733" s="7">
        <f>IF(COUNTA(A4733:K4733)=0,"",IF(OR(A4733="",B4733=""),"Preencher CPF e entrada",IF(COUNTIFS($A$12:$A$5011,A4733,$B$12:$B$5011,B4733)&gt;1,"CPF + dia duplicado",IF(OR(AND(G4733&lt;&gt;"",G4733&lt;&gt;0,G4733&lt;&gt;1),AND(H4733&lt;&gt;"",H4733&lt;&gt;0,H4733&lt;&gt;1)),"Flags devem ser 0 ou 1",IF(AND(H4733=1,LEN(TRIM(I4733))=0),"Preencher nome do indicante",IF(AND(H4733&lt;&gt;1,I4733&lt;&gt;""),"Nome sem indicação interna",IF(AND(G4733=1,F4733=""),"Fechamento sem conversa",IF(OR(AND(E4733&lt;&gt;"",E4733&lt;B4733),AND(F4733&lt;&gt;"",F4733&lt;B4733)),"Evento anterior à entrada",IF(AND(F4733&lt;&gt;"",E4733=""),"Conversa sem agendamento",IF(OR(E4733&gt;TODAY(),F4733&gt;TODAY()),"Verificar evento futuro","OK"))))))))))</f>
        <v/>
      </c>
    </row>
    <row r="4734" spans="12:15">
      <c r="L4734" s="5">
        <f>IF(OR(A4734="",B4734=""),"",B4734-WEEKDAY(B4734,2)+1)</f>
        <v/>
      </c>
      <c r="M4734" s="5">
        <f>IF(L4734="","",L4734+6)</f>
        <v/>
      </c>
      <c r="N4734" s="6">
        <f>IF(OR(A4734="",B4734=""),"",DATE(YEAR(B4734),MONTH(B4734),1))</f>
        <v/>
      </c>
      <c r="O4734" s="7">
        <f>IF(COUNTA(A4734:K4734)=0,"",IF(OR(A4734="",B4734=""),"Preencher CPF e entrada",IF(COUNTIFS($A$12:$A$5011,A4734,$B$12:$B$5011,B4734)&gt;1,"CPF + dia duplicado",IF(OR(AND(G4734&lt;&gt;"",G4734&lt;&gt;0,G4734&lt;&gt;1),AND(H4734&lt;&gt;"",H4734&lt;&gt;0,H4734&lt;&gt;1)),"Flags devem ser 0 ou 1",IF(AND(H4734=1,LEN(TRIM(I4734))=0),"Preencher nome do indicante",IF(AND(H4734&lt;&gt;1,I4734&lt;&gt;""),"Nome sem indicação interna",IF(AND(G4734=1,F4734=""),"Fechamento sem conversa",IF(OR(AND(E4734&lt;&gt;"",E4734&lt;B4734),AND(F4734&lt;&gt;"",F4734&lt;B4734)),"Evento anterior à entrada",IF(AND(F4734&lt;&gt;"",E4734=""),"Conversa sem agendamento",IF(OR(E4734&gt;TODAY(),F4734&gt;TODAY()),"Verificar evento futuro","OK"))))))))))</f>
        <v/>
      </c>
    </row>
    <row r="4735" spans="12:15">
      <c r="L4735" s="5">
        <f>IF(OR(A4735="",B4735=""),"",B4735-WEEKDAY(B4735,2)+1)</f>
        <v/>
      </c>
      <c r="M4735" s="5">
        <f>IF(L4735="","",L4735+6)</f>
        <v/>
      </c>
      <c r="N4735" s="6">
        <f>IF(OR(A4735="",B4735=""),"",DATE(YEAR(B4735),MONTH(B4735),1))</f>
        <v/>
      </c>
      <c r="O4735" s="7">
        <f>IF(COUNTA(A4735:K4735)=0,"",IF(OR(A4735="",B4735=""),"Preencher CPF e entrada",IF(COUNTIFS($A$12:$A$5011,A4735,$B$12:$B$5011,B4735)&gt;1,"CPF + dia duplicado",IF(OR(AND(G4735&lt;&gt;"",G4735&lt;&gt;0,G4735&lt;&gt;1),AND(H4735&lt;&gt;"",H4735&lt;&gt;0,H4735&lt;&gt;1)),"Flags devem ser 0 ou 1",IF(AND(H4735=1,LEN(TRIM(I4735))=0),"Preencher nome do indicante",IF(AND(H4735&lt;&gt;1,I4735&lt;&gt;""),"Nome sem indicação interna",IF(AND(G4735=1,F4735=""),"Fechamento sem conversa",IF(OR(AND(E4735&lt;&gt;"",E4735&lt;B4735),AND(F4735&lt;&gt;"",F4735&lt;B4735)),"Evento anterior à entrada",IF(AND(F4735&lt;&gt;"",E4735=""),"Conversa sem agendamento",IF(OR(E4735&gt;TODAY(),F4735&gt;TODAY()),"Verificar evento futuro","OK"))))))))))</f>
        <v/>
      </c>
    </row>
    <row r="4736" spans="12:15">
      <c r="L4736" s="5">
        <f>IF(OR(A4736="",B4736=""),"",B4736-WEEKDAY(B4736,2)+1)</f>
        <v/>
      </c>
      <c r="M4736" s="5">
        <f>IF(L4736="","",L4736+6)</f>
        <v/>
      </c>
      <c r="N4736" s="6">
        <f>IF(OR(A4736="",B4736=""),"",DATE(YEAR(B4736),MONTH(B4736),1))</f>
        <v/>
      </c>
      <c r="O4736" s="7">
        <f>IF(COUNTA(A4736:K4736)=0,"",IF(OR(A4736="",B4736=""),"Preencher CPF e entrada",IF(COUNTIFS($A$12:$A$5011,A4736,$B$12:$B$5011,B4736)&gt;1,"CPF + dia duplicado",IF(OR(AND(G4736&lt;&gt;"",G4736&lt;&gt;0,G4736&lt;&gt;1),AND(H4736&lt;&gt;"",H4736&lt;&gt;0,H4736&lt;&gt;1)),"Flags devem ser 0 ou 1",IF(AND(H4736=1,LEN(TRIM(I4736))=0),"Preencher nome do indicante",IF(AND(H4736&lt;&gt;1,I4736&lt;&gt;""),"Nome sem indicação interna",IF(AND(G4736=1,F4736=""),"Fechamento sem conversa",IF(OR(AND(E4736&lt;&gt;"",E4736&lt;B4736),AND(F4736&lt;&gt;"",F4736&lt;B4736)),"Evento anterior à entrada",IF(AND(F4736&lt;&gt;"",E4736=""),"Conversa sem agendamento",IF(OR(E4736&gt;TODAY(),F4736&gt;TODAY()),"Verificar evento futuro","OK"))))))))))</f>
        <v/>
      </c>
    </row>
    <row r="4737" spans="12:15">
      <c r="L4737" s="5">
        <f>IF(OR(A4737="",B4737=""),"",B4737-WEEKDAY(B4737,2)+1)</f>
        <v/>
      </c>
      <c r="M4737" s="5">
        <f>IF(L4737="","",L4737+6)</f>
        <v/>
      </c>
      <c r="N4737" s="6">
        <f>IF(OR(A4737="",B4737=""),"",DATE(YEAR(B4737),MONTH(B4737),1))</f>
        <v/>
      </c>
      <c r="O4737" s="7">
        <f>IF(COUNTA(A4737:K4737)=0,"",IF(OR(A4737="",B4737=""),"Preencher CPF e entrada",IF(COUNTIFS($A$12:$A$5011,A4737,$B$12:$B$5011,B4737)&gt;1,"CPF + dia duplicado",IF(OR(AND(G4737&lt;&gt;"",G4737&lt;&gt;0,G4737&lt;&gt;1),AND(H4737&lt;&gt;"",H4737&lt;&gt;0,H4737&lt;&gt;1)),"Flags devem ser 0 ou 1",IF(AND(H4737=1,LEN(TRIM(I4737))=0),"Preencher nome do indicante",IF(AND(H4737&lt;&gt;1,I4737&lt;&gt;""),"Nome sem indicação interna",IF(AND(G4737=1,F4737=""),"Fechamento sem conversa",IF(OR(AND(E4737&lt;&gt;"",E4737&lt;B4737),AND(F4737&lt;&gt;"",F4737&lt;B4737)),"Evento anterior à entrada",IF(AND(F4737&lt;&gt;"",E4737=""),"Conversa sem agendamento",IF(OR(E4737&gt;TODAY(),F4737&gt;TODAY()),"Verificar evento futuro","OK"))))))))))</f>
        <v/>
      </c>
    </row>
    <row r="4738" spans="12:15">
      <c r="L4738" s="5">
        <f>IF(OR(A4738="",B4738=""),"",B4738-WEEKDAY(B4738,2)+1)</f>
        <v/>
      </c>
      <c r="M4738" s="5">
        <f>IF(L4738="","",L4738+6)</f>
        <v/>
      </c>
      <c r="N4738" s="6">
        <f>IF(OR(A4738="",B4738=""),"",DATE(YEAR(B4738),MONTH(B4738),1))</f>
        <v/>
      </c>
      <c r="O4738" s="7">
        <f>IF(COUNTA(A4738:K4738)=0,"",IF(OR(A4738="",B4738=""),"Preencher CPF e entrada",IF(COUNTIFS($A$12:$A$5011,A4738,$B$12:$B$5011,B4738)&gt;1,"CPF + dia duplicado",IF(OR(AND(G4738&lt;&gt;"",G4738&lt;&gt;0,G4738&lt;&gt;1),AND(H4738&lt;&gt;"",H4738&lt;&gt;0,H4738&lt;&gt;1)),"Flags devem ser 0 ou 1",IF(AND(H4738=1,LEN(TRIM(I4738))=0),"Preencher nome do indicante",IF(AND(H4738&lt;&gt;1,I4738&lt;&gt;""),"Nome sem indicação interna",IF(AND(G4738=1,F4738=""),"Fechamento sem conversa",IF(OR(AND(E4738&lt;&gt;"",E4738&lt;B4738),AND(F4738&lt;&gt;"",F4738&lt;B4738)),"Evento anterior à entrada",IF(AND(F4738&lt;&gt;"",E4738=""),"Conversa sem agendamento",IF(OR(E4738&gt;TODAY(),F4738&gt;TODAY()),"Verificar evento futuro","OK"))))))))))</f>
        <v/>
      </c>
    </row>
    <row r="4739" spans="12:15">
      <c r="L4739" s="5">
        <f>IF(OR(A4739="",B4739=""),"",B4739-WEEKDAY(B4739,2)+1)</f>
        <v/>
      </c>
      <c r="M4739" s="5">
        <f>IF(L4739="","",L4739+6)</f>
        <v/>
      </c>
      <c r="N4739" s="6">
        <f>IF(OR(A4739="",B4739=""),"",DATE(YEAR(B4739),MONTH(B4739),1))</f>
        <v/>
      </c>
      <c r="O4739" s="7">
        <f>IF(COUNTA(A4739:K4739)=0,"",IF(OR(A4739="",B4739=""),"Preencher CPF e entrada",IF(COUNTIFS($A$12:$A$5011,A4739,$B$12:$B$5011,B4739)&gt;1,"CPF + dia duplicado",IF(OR(AND(G4739&lt;&gt;"",G4739&lt;&gt;0,G4739&lt;&gt;1),AND(H4739&lt;&gt;"",H4739&lt;&gt;0,H4739&lt;&gt;1)),"Flags devem ser 0 ou 1",IF(AND(H4739=1,LEN(TRIM(I4739))=0),"Preencher nome do indicante",IF(AND(H4739&lt;&gt;1,I4739&lt;&gt;""),"Nome sem indicação interna",IF(AND(G4739=1,F4739=""),"Fechamento sem conversa",IF(OR(AND(E4739&lt;&gt;"",E4739&lt;B4739),AND(F4739&lt;&gt;"",F4739&lt;B4739)),"Evento anterior à entrada",IF(AND(F4739&lt;&gt;"",E4739=""),"Conversa sem agendamento",IF(OR(E4739&gt;TODAY(),F4739&gt;TODAY()),"Verificar evento futuro","OK"))))))))))</f>
        <v/>
      </c>
    </row>
    <row r="4740" spans="12:15">
      <c r="L4740" s="5">
        <f>IF(OR(A4740="",B4740=""),"",B4740-WEEKDAY(B4740,2)+1)</f>
        <v/>
      </c>
      <c r="M4740" s="5">
        <f>IF(L4740="","",L4740+6)</f>
        <v/>
      </c>
      <c r="N4740" s="6">
        <f>IF(OR(A4740="",B4740=""),"",DATE(YEAR(B4740),MONTH(B4740),1))</f>
        <v/>
      </c>
      <c r="O4740" s="7">
        <f>IF(COUNTA(A4740:K4740)=0,"",IF(OR(A4740="",B4740=""),"Preencher CPF e entrada",IF(COUNTIFS($A$12:$A$5011,A4740,$B$12:$B$5011,B4740)&gt;1,"CPF + dia duplicado",IF(OR(AND(G4740&lt;&gt;"",G4740&lt;&gt;0,G4740&lt;&gt;1),AND(H4740&lt;&gt;"",H4740&lt;&gt;0,H4740&lt;&gt;1)),"Flags devem ser 0 ou 1",IF(AND(H4740=1,LEN(TRIM(I4740))=0),"Preencher nome do indicante",IF(AND(H4740&lt;&gt;1,I4740&lt;&gt;""),"Nome sem indicação interna",IF(AND(G4740=1,F4740=""),"Fechamento sem conversa",IF(OR(AND(E4740&lt;&gt;"",E4740&lt;B4740),AND(F4740&lt;&gt;"",F4740&lt;B4740)),"Evento anterior à entrada",IF(AND(F4740&lt;&gt;"",E4740=""),"Conversa sem agendamento",IF(OR(E4740&gt;TODAY(),F4740&gt;TODAY()),"Verificar evento futuro","OK"))))))))))</f>
        <v/>
      </c>
    </row>
    <row r="4741" spans="12:15">
      <c r="L4741" s="5">
        <f>IF(OR(A4741="",B4741=""),"",B4741-WEEKDAY(B4741,2)+1)</f>
        <v/>
      </c>
      <c r="M4741" s="5">
        <f>IF(L4741="","",L4741+6)</f>
        <v/>
      </c>
      <c r="N4741" s="6">
        <f>IF(OR(A4741="",B4741=""),"",DATE(YEAR(B4741),MONTH(B4741),1))</f>
        <v/>
      </c>
      <c r="O4741" s="7">
        <f>IF(COUNTA(A4741:K4741)=0,"",IF(OR(A4741="",B4741=""),"Preencher CPF e entrada",IF(COUNTIFS($A$12:$A$5011,A4741,$B$12:$B$5011,B4741)&gt;1,"CPF + dia duplicado",IF(OR(AND(G4741&lt;&gt;"",G4741&lt;&gt;0,G4741&lt;&gt;1),AND(H4741&lt;&gt;"",H4741&lt;&gt;0,H4741&lt;&gt;1)),"Flags devem ser 0 ou 1",IF(AND(H4741=1,LEN(TRIM(I4741))=0),"Preencher nome do indicante",IF(AND(H4741&lt;&gt;1,I4741&lt;&gt;""),"Nome sem indicação interna",IF(AND(G4741=1,F4741=""),"Fechamento sem conversa",IF(OR(AND(E4741&lt;&gt;"",E4741&lt;B4741),AND(F4741&lt;&gt;"",F4741&lt;B4741)),"Evento anterior à entrada",IF(AND(F4741&lt;&gt;"",E4741=""),"Conversa sem agendamento",IF(OR(E4741&gt;TODAY(),F4741&gt;TODAY()),"Verificar evento futuro","OK"))))))))))</f>
        <v/>
      </c>
    </row>
    <row r="4742" spans="12:15">
      <c r="L4742" s="5">
        <f>IF(OR(A4742="",B4742=""),"",B4742-WEEKDAY(B4742,2)+1)</f>
        <v/>
      </c>
      <c r="M4742" s="5">
        <f>IF(L4742="","",L4742+6)</f>
        <v/>
      </c>
      <c r="N4742" s="6">
        <f>IF(OR(A4742="",B4742=""),"",DATE(YEAR(B4742),MONTH(B4742),1))</f>
        <v/>
      </c>
      <c r="O4742" s="7">
        <f>IF(COUNTA(A4742:K4742)=0,"",IF(OR(A4742="",B4742=""),"Preencher CPF e entrada",IF(COUNTIFS($A$12:$A$5011,A4742,$B$12:$B$5011,B4742)&gt;1,"CPF + dia duplicado",IF(OR(AND(G4742&lt;&gt;"",G4742&lt;&gt;0,G4742&lt;&gt;1),AND(H4742&lt;&gt;"",H4742&lt;&gt;0,H4742&lt;&gt;1)),"Flags devem ser 0 ou 1",IF(AND(H4742=1,LEN(TRIM(I4742))=0),"Preencher nome do indicante",IF(AND(H4742&lt;&gt;1,I4742&lt;&gt;""),"Nome sem indicação interna",IF(AND(G4742=1,F4742=""),"Fechamento sem conversa",IF(OR(AND(E4742&lt;&gt;"",E4742&lt;B4742),AND(F4742&lt;&gt;"",F4742&lt;B4742)),"Evento anterior à entrada",IF(AND(F4742&lt;&gt;"",E4742=""),"Conversa sem agendamento",IF(OR(E4742&gt;TODAY(),F4742&gt;TODAY()),"Verificar evento futuro","OK"))))))))))</f>
        <v/>
      </c>
    </row>
    <row r="4743" spans="12:15">
      <c r="L4743" s="5">
        <f>IF(OR(A4743="",B4743=""),"",B4743-WEEKDAY(B4743,2)+1)</f>
        <v/>
      </c>
      <c r="M4743" s="5">
        <f>IF(L4743="","",L4743+6)</f>
        <v/>
      </c>
      <c r="N4743" s="6">
        <f>IF(OR(A4743="",B4743=""),"",DATE(YEAR(B4743),MONTH(B4743),1))</f>
        <v/>
      </c>
      <c r="O4743" s="7">
        <f>IF(COUNTA(A4743:K4743)=0,"",IF(OR(A4743="",B4743=""),"Preencher CPF e entrada",IF(COUNTIFS($A$12:$A$5011,A4743,$B$12:$B$5011,B4743)&gt;1,"CPF + dia duplicado",IF(OR(AND(G4743&lt;&gt;"",G4743&lt;&gt;0,G4743&lt;&gt;1),AND(H4743&lt;&gt;"",H4743&lt;&gt;0,H4743&lt;&gt;1)),"Flags devem ser 0 ou 1",IF(AND(H4743=1,LEN(TRIM(I4743))=0),"Preencher nome do indicante",IF(AND(H4743&lt;&gt;1,I4743&lt;&gt;""),"Nome sem indicação interna",IF(AND(G4743=1,F4743=""),"Fechamento sem conversa",IF(OR(AND(E4743&lt;&gt;"",E4743&lt;B4743),AND(F4743&lt;&gt;"",F4743&lt;B4743)),"Evento anterior à entrada",IF(AND(F4743&lt;&gt;"",E4743=""),"Conversa sem agendamento",IF(OR(E4743&gt;TODAY(),F4743&gt;TODAY()),"Verificar evento futuro","OK"))))))))))</f>
        <v/>
      </c>
    </row>
    <row r="4744" spans="12:15">
      <c r="L4744" s="5">
        <f>IF(OR(A4744="",B4744=""),"",B4744-WEEKDAY(B4744,2)+1)</f>
        <v/>
      </c>
      <c r="M4744" s="5">
        <f>IF(L4744="","",L4744+6)</f>
        <v/>
      </c>
      <c r="N4744" s="6">
        <f>IF(OR(A4744="",B4744=""),"",DATE(YEAR(B4744),MONTH(B4744),1))</f>
        <v/>
      </c>
      <c r="O4744" s="7">
        <f>IF(COUNTA(A4744:K4744)=0,"",IF(OR(A4744="",B4744=""),"Preencher CPF e entrada",IF(COUNTIFS($A$12:$A$5011,A4744,$B$12:$B$5011,B4744)&gt;1,"CPF + dia duplicado",IF(OR(AND(G4744&lt;&gt;"",G4744&lt;&gt;0,G4744&lt;&gt;1),AND(H4744&lt;&gt;"",H4744&lt;&gt;0,H4744&lt;&gt;1)),"Flags devem ser 0 ou 1",IF(AND(H4744=1,LEN(TRIM(I4744))=0),"Preencher nome do indicante",IF(AND(H4744&lt;&gt;1,I4744&lt;&gt;""),"Nome sem indicação interna",IF(AND(G4744=1,F4744=""),"Fechamento sem conversa",IF(OR(AND(E4744&lt;&gt;"",E4744&lt;B4744),AND(F4744&lt;&gt;"",F4744&lt;B4744)),"Evento anterior à entrada",IF(AND(F4744&lt;&gt;"",E4744=""),"Conversa sem agendamento",IF(OR(E4744&gt;TODAY(),F4744&gt;TODAY()),"Verificar evento futuro","OK"))))))))))</f>
        <v/>
      </c>
    </row>
    <row r="4745" spans="12:15">
      <c r="L4745" s="5">
        <f>IF(OR(A4745="",B4745=""),"",B4745-WEEKDAY(B4745,2)+1)</f>
        <v/>
      </c>
      <c r="M4745" s="5">
        <f>IF(L4745="","",L4745+6)</f>
        <v/>
      </c>
      <c r="N4745" s="6">
        <f>IF(OR(A4745="",B4745=""),"",DATE(YEAR(B4745),MONTH(B4745),1))</f>
        <v/>
      </c>
      <c r="O4745" s="7">
        <f>IF(COUNTA(A4745:K4745)=0,"",IF(OR(A4745="",B4745=""),"Preencher CPF e entrada",IF(COUNTIFS($A$12:$A$5011,A4745,$B$12:$B$5011,B4745)&gt;1,"CPF + dia duplicado",IF(OR(AND(G4745&lt;&gt;"",G4745&lt;&gt;0,G4745&lt;&gt;1),AND(H4745&lt;&gt;"",H4745&lt;&gt;0,H4745&lt;&gt;1)),"Flags devem ser 0 ou 1",IF(AND(H4745=1,LEN(TRIM(I4745))=0),"Preencher nome do indicante",IF(AND(H4745&lt;&gt;1,I4745&lt;&gt;""),"Nome sem indicação interna",IF(AND(G4745=1,F4745=""),"Fechamento sem conversa",IF(OR(AND(E4745&lt;&gt;"",E4745&lt;B4745),AND(F4745&lt;&gt;"",F4745&lt;B4745)),"Evento anterior à entrada",IF(AND(F4745&lt;&gt;"",E4745=""),"Conversa sem agendamento",IF(OR(E4745&gt;TODAY(),F4745&gt;TODAY()),"Verificar evento futuro","OK"))))))))))</f>
        <v/>
      </c>
    </row>
    <row r="4746" spans="12:15">
      <c r="L4746" s="5">
        <f>IF(OR(A4746="",B4746=""),"",B4746-WEEKDAY(B4746,2)+1)</f>
        <v/>
      </c>
      <c r="M4746" s="5">
        <f>IF(L4746="","",L4746+6)</f>
        <v/>
      </c>
      <c r="N4746" s="6">
        <f>IF(OR(A4746="",B4746=""),"",DATE(YEAR(B4746),MONTH(B4746),1))</f>
        <v/>
      </c>
      <c r="O4746" s="7">
        <f>IF(COUNTA(A4746:K4746)=0,"",IF(OR(A4746="",B4746=""),"Preencher CPF e entrada",IF(COUNTIFS($A$12:$A$5011,A4746,$B$12:$B$5011,B4746)&gt;1,"CPF + dia duplicado",IF(OR(AND(G4746&lt;&gt;"",G4746&lt;&gt;0,G4746&lt;&gt;1),AND(H4746&lt;&gt;"",H4746&lt;&gt;0,H4746&lt;&gt;1)),"Flags devem ser 0 ou 1",IF(AND(H4746=1,LEN(TRIM(I4746))=0),"Preencher nome do indicante",IF(AND(H4746&lt;&gt;1,I4746&lt;&gt;""),"Nome sem indicação interna",IF(AND(G4746=1,F4746=""),"Fechamento sem conversa",IF(OR(AND(E4746&lt;&gt;"",E4746&lt;B4746),AND(F4746&lt;&gt;"",F4746&lt;B4746)),"Evento anterior à entrada",IF(AND(F4746&lt;&gt;"",E4746=""),"Conversa sem agendamento",IF(OR(E4746&gt;TODAY(),F4746&gt;TODAY()),"Verificar evento futuro","OK"))))))))))</f>
        <v/>
      </c>
    </row>
    <row r="4747" spans="12:15">
      <c r="L4747" s="5">
        <f>IF(OR(A4747="",B4747=""),"",B4747-WEEKDAY(B4747,2)+1)</f>
        <v/>
      </c>
      <c r="M4747" s="5">
        <f>IF(L4747="","",L4747+6)</f>
        <v/>
      </c>
      <c r="N4747" s="6">
        <f>IF(OR(A4747="",B4747=""),"",DATE(YEAR(B4747),MONTH(B4747),1))</f>
        <v/>
      </c>
      <c r="O4747" s="7">
        <f>IF(COUNTA(A4747:K4747)=0,"",IF(OR(A4747="",B4747=""),"Preencher CPF e entrada",IF(COUNTIFS($A$12:$A$5011,A4747,$B$12:$B$5011,B4747)&gt;1,"CPF + dia duplicado",IF(OR(AND(G4747&lt;&gt;"",G4747&lt;&gt;0,G4747&lt;&gt;1),AND(H4747&lt;&gt;"",H4747&lt;&gt;0,H4747&lt;&gt;1)),"Flags devem ser 0 ou 1",IF(AND(H4747=1,LEN(TRIM(I4747))=0),"Preencher nome do indicante",IF(AND(H4747&lt;&gt;1,I4747&lt;&gt;""),"Nome sem indicação interna",IF(AND(G4747=1,F4747=""),"Fechamento sem conversa",IF(OR(AND(E4747&lt;&gt;"",E4747&lt;B4747),AND(F4747&lt;&gt;"",F4747&lt;B4747)),"Evento anterior à entrada",IF(AND(F4747&lt;&gt;"",E4747=""),"Conversa sem agendamento",IF(OR(E4747&gt;TODAY(),F4747&gt;TODAY()),"Verificar evento futuro","OK"))))))))))</f>
        <v/>
      </c>
    </row>
    <row r="4748" spans="12:15">
      <c r="L4748" s="5">
        <f>IF(OR(A4748="",B4748=""),"",B4748-WEEKDAY(B4748,2)+1)</f>
        <v/>
      </c>
      <c r="M4748" s="5">
        <f>IF(L4748="","",L4748+6)</f>
        <v/>
      </c>
      <c r="N4748" s="6">
        <f>IF(OR(A4748="",B4748=""),"",DATE(YEAR(B4748),MONTH(B4748),1))</f>
        <v/>
      </c>
      <c r="O4748" s="7">
        <f>IF(COUNTA(A4748:K4748)=0,"",IF(OR(A4748="",B4748=""),"Preencher CPF e entrada",IF(COUNTIFS($A$12:$A$5011,A4748,$B$12:$B$5011,B4748)&gt;1,"CPF + dia duplicado",IF(OR(AND(G4748&lt;&gt;"",G4748&lt;&gt;0,G4748&lt;&gt;1),AND(H4748&lt;&gt;"",H4748&lt;&gt;0,H4748&lt;&gt;1)),"Flags devem ser 0 ou 1",IF(AND(H4748=1,LEN(TRIM(I4748))=0),"Preencher nome do indicante",IF(AND(H4748&lt;&gt;1,I4748&lt;&gt;""),"Nome sem indicação interna",IF(AND(G4748=1,F4748=""),"Fechamento sem conversa",IF(OR(AND(E4748&lt;&gt;"",E4748&lt;B4748),AND(F4748&lt;&gt;"",F4748&lt;B4748)),"Evento anterior à entrada",IF(AND(F4748&lt;&gt;"",E4748=""),"Conversa sem agendamento",IF(OR(E4748&gt;TODAY(),F4748&gt;TODAY()),"Verificar evento futuro","OK"))))))))))</f>
        <v/>
      </c>
    </row>
    <row r="4749" spans="12:15">
      <c r="L4749" s="5">
        <f>IF(OR(A4749="",B4749=""),"",B4749-WEEKDAY(B4749,2)+1)</f>
        <v/>
      </c>
      <c r="M4749" s="5">
        <f>IF(L4749="","",L4749+6)</f>
        <v/>
      </c>
      <c r="N4749" s="6">
        <f>IF(OR(A4749="",B4749=""),"",DATE(YEAR(B4749),MONTH(B4749),1))</f>
        <v/>
      </c>
      <c r="O4749" s="7">
        <f>IF(COUNTA(A4749:K4749)=0,"",IF(OR(A4749="",B4749=""),"Preencher CPF e entrada",IF(COUNTIFS($A$12:$A$5011,A4749,$B$12:$B$5011,B4749)&gt;1,"CPF + dia duplicado",IF(OR(AND(G4749&lt;&gt;"",G4749&lt;&gt;0,G4749&lt;&gt;1),AND(H4749&lt;&gt;"",H4749&lt;&gt;0,H4749&lt;&gt;1)),"Flags devem ser 0 ou 1",IF(AND(H4749=1,LEN(TRIM(I4749))=0),"Preencher nome do indicante",IF(AND(H4749&lt;&gt;1,I4749&lt;&gt;""),"Nome sem indicação interna",IF(AND(G4749=1,F4749=""),"Fechamento sem conversa",IF(OR(AND(E4749&lt;&gt;"",E4749&lt;B4749),AND(F4749&lt;&gt;"",F4749&lt;B4749)),"Evento anterior à entrada",IF(AND(F4749&lt;&gt;"",E4749=""),"Conversa sem agendamento",IF(OR(E4749&gt;TODAY(),F4749&gt;TODAY()),"Verificar evento futuro","OK"))))))))))</f>
        <v/>
      </c>
    </row>
    <row r="4750" spans="12:15">
      <c r="L4750" s="5">
        <f>IF(OR(A4750="",B4750=""),"",B4750-WEEKDAY(B4750,2)+1)</f>
        <v/>
      </c>
      <c r="M4750" s="5">
        <f>IF(L4750="","",L4750+6)</f>
        <v/>
      </c>
      <c r="N4750" s="6">
        <f>IF(OR(A4750="",B4750=""),"",DATE(YEAR(B4750),MONTH(B4750),1))</f>
        <v/>
      </c>
      <c r="O4750" s="7">
        <f>IF(COUNTA(A4750:K4750)=0,"",IF(OR(A4750="",B4750=""),"Preencher CPF e entrada",IF(COUNTIFS($A$12:$A$5011,A4750,$B$12:$B$5011,B4750)&gt;1,"CPF + dia duplicado",IF(OR(AND(G4750&lt;&gt;"",G4750&lt;&gt;0,G4750&lt;&gt;1),AND(H4750&lt;&gt;"",H4750&lt;&gt;0,H4750&lt;&gt;1)),"Flags devem ser 0 ou 1",IF(AND(H4750=1,LEN(TRIM(I4750))=0),"Preencher nome do indicante",IF(AND(H4750&lt;&gt;1,I4750&lt;&gt;""),"Nome sem indicação interna",IF(AND(G4750=1,F4750=""),"Fechamento sem conversa",IF(OR(AND(E4750&lt;&gt;"",E4750&lt;B4750),AND(F4750&lt;&gt;"",F4750&lt;B4750)),"Evento anterior à entrada",IF(AND(F4750&lt;&gt;"",E4750=""),"Conversa sem agendamento",IF(OR(E4750&gt;TODAY(),F4750&gt;TODAY()),"Verificar evento futuro","OK"))))))))))</f>
        <v/>
      </c>
    </row>
    <row r="4751" spans="12:15">
      <c r="L4751" s="5">
        <f>IF(OR(A4751="",B4751=""),"",B4751-WEEKDAY(B4751,2)+1)</f>
        <v/>
      </c>
      <c r="M4751" s="5">
        <f>IF(L4751="","",L4751+6)</f>
        <v/>
      </c>
      <c r="N4751" s="6">
        <f>IF(OR(A4751="",B4751=""),"",DATE(YEAR(B4751),MONTH(B4751),1))</f>
        <v/>
      </c>
      <c r="O4751" s="7">
        <f>IF(COUNTA(A4751:K4751)=0,"",IF(OR(A4751="",B4751=""),"Preencher CPF e entrada",IF(COUNTIFS($A$12:$A$5011,A4751,$B$12:$B$5011,B4751)&gt;1,"CPF + dia duplicado",IF(OR(AND(G4751&lt;&gt;"",G4751&lt;&gt;0,G4751&lt;&gt;1),AND(H4751&lt;&gt;"",H4751&lt;&gt;0,H4751&lt;&gt;1)),"Flags devem ser 0 ou 1",IF(AND(H4751=1,LEN(TRIM(I4751))=0),"Preencher nome do indicante",IF(AND(H4751&lt;&gt;1,I4751&lt;&gt;""),"Nome sem indicação interna",IF(AND(G4751=1,F4751=""),"Fechamento sem conversa",IF(OR(AND(E4751&lt;&gt;"",E4751&lt;B4751),AND(F4751&lt;&gt;"",F4751&lt;B4751)),"Evento anterior à entrada",IF(AND(F4751&lt;&gt;"",E4751=""),"Conversa sem agendamento",IF(OR(E4751&gt;TODAY(),F4751&gt;TODAY()),"Verificar evento futuro","OK"))))))))))</f>
        <v/>
      </c>
    </row>
    <row r="4752" spans="12:15">
      <c r="L4752" s="5">
        <f>IF(OR(A4752="",B4752=""),"",B4752-WEEKDAY(B4752,2)+1)</f>
        <v/>
      </c>
      <c r="M4752" s="5">
        <f>IF(L4752="","",L4752+6)</f>
        <v/>
      </c>
      <c r="N4752" s="6">
        <f>IF(OR(A4752="",B4752=""),"",DATE(YEAR(B4752),MONTH(B4752),1))</f>
        <v/>
      </c>
      <c r="O4752" s="7">
        <f>IF(COUNTA(A4752:K4752)=0,"",IF(OR(A4752="",B4752=""),"Preencher CPF e entrada",IF(COUNTIFS($A$12:$A$5011,A4752,$B$12:$B$5011,B4752)&gt;1,"CPF + dia duplicado",IF(OR(AND(G4752&lt;&gt;"",G4752&lt;&gt;0,G4752&lt;&gt;1),AND(H4752&lt;&gt;"",H4752&lt;&gt;0,H4752&lt;&gt;1)),"Flags devem ser 0 ou 1",IF(AND(H4752=1,LEN(TRIM(I4752))=0),"Preencher nome do indicante",IF(AND(H4752&lt;&gt;1,I4752&lt;&gt;""),"Nome sem indicação interna",IF(AND(G4752=1,F4752=""),"Fechamento sem conversa",IF(OR(AND(E4752&lt;&gt;"",E4752&lt;B4752),AND(F4752&lt;&gt;"",F4752&lt;B4752)),"Evento anterior à entrada",IF(AND(F4752&lt;&gt;"",E4752=""),"Conversa sem agendamento",IF(OR(E4752&gt;TODAY(),F4752&gt;TODAY()),"Verificar evento futuro","OK"))))))))))</f>
        <v/>
      </c>
    </row>
    <row r="4753" spans="12:15">
      <c r="L4753" s="5">
        <f>IF(OR(A4753="",B4753=""),"",B4753-WEEKDAY(B4753,2)+1)</f>
        <v/>
      </c>
      <c r="M4753" s="5">
        <f>IF(L4753="","",L4753+6)</f>
        <v/>
      </c>
      <c r="N4753" s="6">
        <f>IF(OR(A4753="",B4753=""),"",DATE(YEAR(B4753),MONTH(B4753),1))</f>
        <v/>
      </c>
      <c r="O4753" s="7">
        <f>IF(COUNTA(A4753:K4753)=0,"",IF(OR(A4753="",B4753=""),"Preencher CPF e entrada",IF(COUNTIFS($A$12:$A$5011,A4753,$B$12:$B$5011,B4753)&gt;1,"CPF + dia duplicado",IF(OR(AND(G4753&lt;&gt;"",G4753&lt;&gt;0,G4753&lt;&gt;1),AND(H4753&lt;&gt;"",H4753&lt;&gt;0,H4753&lt;&gt;1)),"Flags devem ser 0 ou 1",IF(AND(H4753=1,LEN(TRIM(I4753))=0),"Preencher nome do indicante",IF(AND(H4753&lt;&gt;1,I4753&lt;&gt;""),"Nome sem indicação interna",IF(AND(G4753=1,F4753=""),"Fechamento sem conversa",IF(OR(AND(E4753&lt;&gt;"",E4753&lt;B4753),AND(F4753&lt;&gt;"",F4753&lt;B4753)),"Evento anterior à entrada",IF(AND(F4753&lt;&gt;"",E4753=""),"Conversa sem agendamento",IF(OR(E4753&gt;TODAY(),F4753&gt;TODAY()),"Verificar evento futuro","OK"))))))))))</f>
        <v/>
      </c>
    </row>
    <row r="4754" spans="12:15">
      <c r="L4754" s="5">
        <f>IF(OR(A4754="",B4754=""),"",B4754-WEEKDAY(B4754,2)+1)</f>
        <v/>
      </c>
      <c r="M4754" s="5">
        <f>IF(L4754="","",L4754+6)</f>
        <v/>
      </c>
      <c r="N4754" s="6">
        <f>IF(OR(A4754="",B4754=""),"",DATE(YEAR(B4754),MONTH(B4754),1))</f>
        <v/>
      </c>
      <c r="O4754" s="7">
        <f>IF(COUNTA(A4754:K4754)=0,"",IF(OR(A4754="",B4754=""),"Preencher CPF e entrada",IF(COUNTIFS($A$12:$A$5011,A4754,$B$12:$B$5011,B4754)&gt;1,"CPF + dia duplicado",IF(OR(AND(G4754&lt;&gt;"",G4754&lt;&gt;0,G4754&lt;&gt;1),AND(H4754&lt;&gt;"",H4754&lt;&gt;0,H4754&lt;&gt;1)),"Flags devem ser 0 ou 1",IF(AND(H4754=1,LEN(TRIM(I4754))=0),"Preencher nome do indicante",IF(AND(H4754&lt;&gt;1,I4754&lt;&gt;""),"Nome sem indicação interna",IF(AND(G4754=1,F4754=""),"Fechamento sem conversa",IF(OR(AND(E4754&lt;&gt;"",E4754&lt;B4754),AND(F4754&lt;&gt;"",F4754&lt;B4754)),"Evento anterior à entrada",IF(AND(F4754&lt;&gt;"",E4754=""),"Conversa sem agendamento",IF(OR(E4754&gt;TODAY(),F4754&gt;TODAY()),"Verificar evento futuro","OK"))))))))))</f>
        <v/>
      </c>
    </row>
    <row r="4755" spans="12:15">
      <c r="L4755" s="5">
        <f>IF(OR(A4755="",B4755=""),"",B4755-WEEKDAY(B4755,2)+1)</f>
        <v/>
      </c>
      <c r="M4755" s="5">
        <f>IF(L4755="","",L4755+6)</f>
        <v/>
      </c>
      <c r="N4755" s="6">
        <f>IF(OR(A4755="",B4755=""),"",DATE(YEAR(B4755),MONTH(B4755),1))</f>
        <v/>
      </c>
      <c r="O4755" s="7">
        <f>IF(COUNTA(A4755:K4755)=0,"",IF(OR(A4755="",B4755=""),"Preencher CPF e entrada",IF(COUNTIFS($A$12:$A$5011,A4755,$B$12:$B$5011,B4755)&gt;1,"CPF + dia duplicado",IF(OR(AND(G4755&lt;&gt;"",G4755&lt;&gt;0,G4755&lt;&gt;1),AND(H4755&lt;&gt;"",H4755&lt;&gt;0,H4755&lt;&gt;1)),"Flags devem ser 0 ou 1",IF(AND(H4755=1,LEN(TRIM(I4755))=0),"Preencher nome do indicante",IF(AND(H4755&lt;&gt;1,I4755&lt;&gt;""),"Nome sem indicação interna",IF(AND(G4755=1,F4755=""),"Fechamento sem conversa",IF(OR(AND(E4755&lt;&gt;"",E4755&lt;B4755),AND(F4755&lt;&gt;"",F4755&lt;B4755)),"Evento anterior à entrada",IF(AND(F4755&lt;&gt;"",E4755=""),"Conversa sem agendamento",IF(OR(E4755&gt;TODAY(),F4755&gt;TODAY()),"Verificar evento futuro","OK"))))))))))</f>
        <v/>
      </c>
    </row>
    <row r="4756" spans="12:15">
      <c r="L4756" s="5">
        <f>IF(OR(A4756="",B4756=""),"",B4756-WEEKDAY(B4756,2)+1)</f>
        <v/>
      </c>
      <c r="M4756" s="5">
        <f>IF(L4756="","",L4756+6)</f>
        <v/>
      </c>
      <c r="N4756" s="6">
        <f>IF(OR(A4756="",B4756=""),"",DATE(YEAR(B4756),MONTH(B4756),1))</f>
        <v/>
      </c>
      <c r="O4756" s="7">
        <f>IF(COUNTA(A4756:K4756)=0,"",IF(OR(A4756="",B4756=""),"Preencher CPF e entrada",IF(COUNTIFS($A$12:$A$5011,A4756,$B$12:$B$5011,B4756)&gt;1,"CPF + dia duplicado",IF(OR(AND(G4756&lt;&gt;"",G4756&lt;&gt;0,G4756&lt;&gt;1),AND(H4756&lt;&gt;"",H4756&lt;&gt;0,H4756&lt;&gt;1)),"Flags devem ser 0 ou 1",IF(AND(H4756=1,LEN(TRIM(I4756))=0),"Preencher nome do indicante",IF(AND(H4756&lt;&gt;1,I4756&lt;&gt;""),"Nome sem indicação interna",IF(AND(G4756=1,F4756=""),"Fechamento sem conversa",IF(OR(AND(E4756&lt;&gt;"",E4756&lt;B4756),AND(F4756&lt;&gt;"",F4756&lt;B4756)),"Evento anterior à entrada",IF(AND(F4756&lt;&gt;"",E4756=""),"Conversa sem agendamento",IF(OR(E4756&gt;TODAY(),F4756&gt;TODAY()),"Verificar evento futuro","OK"))))))))))</f>
        <v/>
      </c>
    </row>
    <row r="4757" spans="12:15">
      <c r="L4757" s="5">
        <f>IF(OR(A4757="",B4757=""),"",B4757-WEEKDAY(B4757,2)+1)</f>
        <v/>
      </c>
      <c r="M4757" s="5">
        <f>IF(L4757="","",L4757+6)</f>
        <v/>
      </c>
      <c r="N4757" s="6">
        <f>IF(OR(A4757="",B4757=""),"",DATE(YEAR(B4757),MONTH(B4757),1))</f>
        <v/>
      </c>
      <c r="O4757" s="7">
        <f>IF(COUNTA(A4757:K4757)=0,"",IF(OR(A4757="",B4757=""),"Preencher CPF e entrada",IF(COUNTIFS($A$12:$A$5011,A4757,$B$12:$B$5011,B4757)&gt;1,"CPF + dia duplicado",IF(OR(AND(G4757&lt;&gt;"",G4757&lt;&gt;0,G4757&lt;&gt;1),AND(H4757&lt;&gt;"",H4757&lt;&gt;0,H4757&lt;&gt;1)),"Flags devem ser 0 ou 1",IF(AND(H4757=1,LEN(TRIM(I4757))=0),"Preencher nome do indicante",IF(AND(H4757&lt;&gt;1,I4757&lt;&gt;""),"Nome sem indicação interna",IF(AND(G4757=1,F4757=""),"Fechamento sem conversa",IF(OR(AND(E4757&lt;&gt;"",E4757&lt;B4757),AND(F4757&lt;&gt;"",F4757&lt;B4757)),"Evento anterior à entrada",IF(AND(F4757&lt;&gt;"",E4757=""),"Conversa sem agendamento",IF(OR(E4757&gt;TODAY(),F4757&gt;TODAY()),"Verificar evento futuro","OK"))))))))))</f>
        <v/>
      </c>
    </row>
    <row r="4758" spans="12:15">
      <c r="L4758" s="5">
        <f>IF(OR(A4758="",B4758=""),"",B4758-WEEKDAY(B4758,2)+1)</f>
        <v/>
      </c>
      <c r="M4758" s="5">
        <f>IF(L4758="","",L4758+6)</f>
        <v/>
      </c>
      <c r="N4758" s="6">
        <f>IF(OR(A4758="",B4758=""),"",DATE(YEAR(B4758),MONTH(B4758),1))</f>
        <v/>
      </c>
      <c r="O4758" s="7">
        <f>IF(COUNTA(A4758:K4758)=0,"",IF(OR(A4758="",B4758=""),"Preencher CPF e entrada",IF(COUNTIFS($A$12:$A$5011,A4758,$B$12:$B$5011,B4758)&gt;1,"CPF + dia duplicado",IF(OR(AND(G4758&lt;&gt;"",G4758&lt;&gt;0,G4758&lt;&gt;1),AND(H4758&lt;&gt;"",H4758&lt;&gt;0,H4758&lt;&gt;1)),"Flags devem ser 0 ou 1",IF(AND(H4758=1,LEN(TRIM(I4758))=0),"Preencher nome do indicante",IF(AND(H4758&lt;&gt;1,I4758&lt;&gt;""),"Nome sem indicação interna",IF(AND(G4758=1,F4758=""),"Fechamento sem conversa",IF(OR(AND(E4758&lt;&gt;"",E4758&lt;B4758),AND(F4758&lt;&gt;"",F4758&lt;B4758)),"Evento anterior à entrada",IF(AND(F4758&lt;&gt;"",E4758=""),"Conversa sem agendamento",IF(OR(E4758&gt;TODAY(),F4758&gt;TODAY()),"Verificar evento futuro","OK"))))))))))</f>
        <v/>
      </c>
    </row>
    <row r="4759" spans="12:15">
      <c r="L4759" s="5">
        <f>IF(OR(A4759="",B4759=""),"",B4759-WEEKDAY(B4759,2)+1)</f>
        <v/>
      </c>
      <c r="M4759" s="5">
        <f>IF(L4759="","",L4759+6)</f>
        <v/>
      </c>
      <c r="N4759" s="6">
        <f>IF(OR(A4759="",B4759=""),"",DATE(YEAR(B4759),MONTH(B4759),1))</f>
        <v/>
      </c>
      <c r="O4759" s="7">
        <f>IF(COUNTA(A4759:K4759)=0,"",IF(OR(A4759="",B4759=""),"Preencher CPF e entrada",IF(COUNTIFS($A$12:$A$5011,A4759,$B$12:$B$5011,B4759)&gt;1,"CPF + dia duplicado",IF(OR(AND(G4759&lt;&gt;"",G4759&lt;&gt;0,G4759&lt;&gt;1),AND(H4759&lt;&gt;"",H4759&lt;&gt;0,H4759&lt;&gt;1)),"Flags devem ser 0 ou 1",IF(AND(H4759=1,LEN(TRIM(I4759))=0),"Preencher nome do indicante",IF(AND(H4759&lt;&gt;1,I4759&lt;&gt;""),"Nome sem indicação interna",IF(AND(G4759=1,F4759=""),"Fechamento sem conversa",IF(OR(AND(E4759&lt;&gt;"",E4759&lt;B4759),AND(F4759&lt;&gt;"",F4759&lt;B4759)),"Evento anterior à entrada",IF(AND(F4759&lt;&gt;"",E4759=""),"Conversa sem agendamento",IF(OR(E4759&gt;TODAY(),F4759&gt;TODAY()),"Verificar evento futuro","OK"))))))))))</f>
        <v/>
      </c>
    </row>
    <row r="4760" spans="12:15">
      <c r="L4760" s="5">
        <f>IF(OR(A4760="",B4760=""),"",B4760-WEEKDAY(B4760,2)+1)</f>
        <v/>
      </c>
      <c r="M4760" s="5">
        <f>IF(L4760="","",L4760+6)</f>
        <v/>
      </c>
      <c r="N4760" s="6">
        <f>IF(OR(A4760="",B4760=""),"",DATE(YEAR(B4760),MONTH(B4760),1))</f>
        <v/>
      </c>
      <c r="O4760" s="7">
        <f>IF(COUNTA(A4760:K4760)=0,"",IF(OR(A4760="",B4760=""),"Preencher CPF e entrada",IF(COUNTIFS($A$12:$A$5011,A4760,$B$12:$B$5011,B4760)&gt;1,"CPF + dia duplicado",IF(OR(AND(G4760&lt;&gt;"",G4760&lt;&gt;0,G4760&lt;&gt;1),AND(H4760&lt;&gt;"",H4760&lt;&gt;0,H4760&lt;&gt;1)),"Flags devem ser 0 ou 1",IF(AND(H4760=1,LEN(TRIM(I4760))=0),"Preencher nome do indicante",IF(AND(H4760&lt;&gt;1,I4760&lt;&gt;""),"Nome sem indicação interna",IF(AND(G4760=1,F4760=""),"Fechamento sem conversa",IF(OR(AND(E4760&lt;&gt;"",E4760&lt;B4760),AND(F4760&lt;&gt;"",F4760&lt;B4760)),"Evento anterior à entrada",IF(AND(F4760&lt;&gt;"",E4760=""),"Conversa sem agendamento",IF(OR(E4760&gt;TODAY(),F4760&gt;TODAY()),"Verificar evento futuro","OK"))))))))))</f>
        <v/>
      </c>
    </row>
    <row r="4761" spans="12:15">
      <c r="L4761" s="5">
        <f>IF(OR(A4761="",B4761=""),"",B4761-WEEKDAY(B4761,2)+1)</f>
        <v/>
      </c>
      <c r="M4761" s="5">
        <f>IF(L4761="","",L4761+6)</f>
        <v/>
      </c>
      <c r="N4761" s="6">
        <f>IF(OR(A4761="",B4761=""),"",DATE(YEAR(B4761),MONTH(B4761),1))</f>
        <v/>
      </c>
      <c r="O4761" s="7">
        <f>IF(COUNTA(A4761:K4761)=0,"",IF(OR(A4761="",B4761=""),"Preencher CPF e entrada",IF(COUNTIFS($A$12:$A$5011,A4761,$B$12:$B$5011,B4761)&gt;1,"CPF + dia duplicado",IF(OR(AND(G4761&lt;&gt;"",G4761&lt;&gt;0,G4761&lt;&gt;1),AND(H4761&lt;&gt;"",H4761&lt;&gt;0,H4761&lt;&gt;1)),"Flags devem ser 0 ou 1",IF(AND(H4761=1,LEN(TRIM(I4761))=0),"Preencher nome do indicante",IF(AND(H4761&lt;&gt;1,I4761&lt;&gt;""),"Nome sem indicação interna",IF(AND(G4761=1,F4761=""),"Fechamento sem conversa",IF(OR(AND(E4761&lt;&gt;"",E4761&lt;B4761),AND(F4761&lt;&gt;"",F4761&lt;B4761)),"Evento anterior à entrada",IF(AND(F4761&lt;&gt;"",E4761=""),"Conversa sem agendamento",IF(OR(E4761&gt;TODAY(),F4761&gt;TODAY()),"Verificar evento futuro","OK"))))))))))</f>
        <v/>
      </c>
    </row>
    <row r="4762" spans="12:15">
      <c r="L4762" s="5">
        <f>IF(OR(A4762="",B4762=""),"",B4762-WEEKDAY(B4762,2)+1)</f>
        <v/>
      </c>
      <c r="M4762" s="5">
        <f>IF(L4762="","",L4762+6)</f>
        <v/>
      </c>
      <c r="N4762" s="6">
        <f>IF(OR(A4762="",B4762=""),"",DATE(YEAR(B4762),MONTH(B4762),1))</f>
        <v/>
      </c>
      <c r="O4762" s="7">
        <f>IF(COUNTA(A4762:K4762)=0,"",IF(OR(A4762="",B4762=""),"Preencher CPF e entrada",IF(COUNTIFS($A$12:$A$5011,A4762,$B$12:$B$5011,B4762)&gt;1,"CPF + dia duplicado",IF(OR(AND(G4762&lt;&gt;"",G4762&lt;&gt;0,G4762&lt;&gt;1),AND(H4762&lt;&gt;"",H4762&lt;&gt;0,H4762&lt;&gt;1)),"Flags devem ser 0 ou 1",IF(AND(H4762=1,LEN(TRIM(I4762))=0),"Preencher nome do indicante",IF(AND(H4762&lt;&gt;1,I4762&lt;&gt;""),"Nome sem indicação interna",IF(AND(G4762=1,F4762=""),"Fechamento sem conversa",IF(OR(AND(E4762&lt;&gt;"",E4762&lt;B4762),AND(F4762&lt;&gt;"",F4762&lt;B4762)),"Evento anterior à entrada",IF(AND(F4762&lt;&gt;"",E4762=""),"Conversa sem agendamento",IF(OR(E4762&gt;TODAY(),F4762&gt;TODAY()),"Verificar evento futuro","OK"))))))))))</f>
        <v/>
      </c>
    </row>
    <row r="4763" spans="12:15">
      <c r="L4763" s="5">
        <f>IF(OR(A4763="",B4763=""),"",B4763-WEEKDAY(B4763,2)+1)</f>
        <v/>
      </c>
      <c r="M4763" s="5">
        <f>IF(L4763="","",L4763+6)</f>
        <v/>
      </c>
      <c r="N4763" s="6">
        <f>IF(OR(A4763="",B4763=""),"",DATE(YEAR(B4763),MONTH(B4763),1))</f>
        <v/>
      </c>
      <c r="O4763" s="7">
        <f>IF(COUNTA(A4763:K4763)=0,"",IF(OR(A4763="",B4763=""),"Preencher CPF e entrada",IF(COUNTIFS($A$12:$A$5011,A4763,$B$12:$B$5011,B4763)&gt;1,"CPF + dia duplicado",IF(OR(AND(G4763&lt;&gt;"",G4763&lt;&gt;0,G4763&lt;&gt;1),AND(H4763&lt;&gt;"",H4763&lt;&gt;0,H4763&lt;&gt;1)),"Flags devem ser 0 ou 1",IF(AND(H4763=1,LEN(TRIM(I4763))=0),"Preencher nome do indicante",IF(AND(H4763&lt;&gt;1,I4763&lt;&gt;""),"Nome sem indicação interna",IF(AND(G4763=1,F4763=""),"Fechamento sem conversa",IF(OR(AND(E4763&lt;&gt;"",E4763&lt;B4763),AND(F4763&lt;&gt;"",F4763&lt;B4763)),"Evento anterior à entrada",IF(AND(F4763&lt;&gt;"",E4763=""),"Conversa sem agendamento",IF(OR(E4763&gt;TODAY(),F4763&gt;TODAY()),"Verificar evento futuro","OK"))))))))))</f>
        <v/>
      </c>
    </row>
    <row r="4764" spans="12:15">
      <c r="L4764" s="5">
        <f>IF(OR(A4764="",B4764=""),"",B4764-WEEKDAY(B4764,2)+1)</f>
        <v/>
      </c>
      <c r="M4764" s="5">
        <f>IF(L4764="","",L4764+6)</f>
        <v/>
      </c>
      <c r="N4764" s="6">
        <f>IF(OR(A4764="",B4764=""),"",DATE(YEAR(B4764),MONTH(B4764),1))</f>
        <v/>
      </c>
      <c r="O4764" s="7">
        <f>IF(COUNTA(A4764:K4764)=0,"",IF(OR(A4764="",B4764=""),"Preencher CPF e entrada",IF(COUNTIFS($A$12:$A$5011,A4764,$B$12:$B$5011,B4764)&gt;1,"CPF + dia duplicado",IF(OR(AND(G4764&lt;&gt;"",G4764&lt;&gt;0,G4764&lt;&gt;1),AND(H4764&lt;&gt;"",H4764&lt;&gt;0,H4764&lt;&gt;1)),"Flags devem ser 0 ou 1",IF(AND(H4764=1,LEN(TRIM(I4764))=0),"Preencher nome do indicante",IF(AND(H4764&lt;&gt;1,I4764&lt;&gt;""),"Nome sem indicação interna",IF(AND(G4764=1,F4764=""),"Fechamento sem conversa",IF(OR(AND(E4764&lt;&gt;"",E4764&lt;B4764),AND(F4764&lt;&gt;"",F4764&lt;B4764)),"Evento anterior à entrada",IF(AND(F4764&lt;&gt;"",E4764=""),"Conversa sem agendamento",IF(OR(E4764&gt;TODAY(),F4764&gt;TODAY()),"Verificar evento futuro","OK"))))))))))</f>
        <v/>
      </c>
    </row>
    <row r="4765" spans="12:15">
      <c r="L4765" s="5">
        <f>IF(OR(A4765="",B4765=""),"",B4765-WEEKDAY(B4765,2)+1)</f>
        <v/>
      </c>
      <c r="M4765" s="5">
        <f>IF(L4765="","",L4765+6)</f>
        <v/>
      </c>
      <c r="N4765" s="6">
        <f>IF(OR(A4765="",B4765=""),"",DATE(YEAR(B4765),MONTH(B4765),1))</f>
        <v/>
      </c>
      <c r="O4765" s="7">
        <f>IF(COUNTA(A4765:K4765)=0,"",IF(OR(A4765="",B4765=""),"Preencher CPF e entrada",IF(COUNTIFS($A$12:$A$5011,A4765,$B$12:$B$5011,B4765)&gt;1,"CPF + dia duplicado",IF(OR(AND(G4765&lt;&gt;"",G4765&lt;&gt;0,G4765&lt;&gt;1),AND(H4765&lt;&gt;"",H4765&lt;&gt;0,H4765&lt;&gt;1)),"Flags devem ser 0 ou 1",IF(AND(H4765=1,LEN(TRIM(I4765))=0),"Preencher nome do indicante",IF(AND(H4765&lt;&gt;1,I4765&lt;&gt;""),"Nome sem indicação interna",IF(AND(G4765=1,F4765=""),"Fechamento sem conversa",IF(OR(AND(E4765&lt;&gt;"",E4765&lt;B4765),AND(F4765&lt;&gt;"",F4765&lt;B4765)),"Evento anterior à entrada",IF(AND(F4765&lt;&gt;"",E4765=""),"Conversa sem agendamento",IF(OR(E4765&gt;TODAY(),F4765&gt;TODAY()),"Verificar evento futuro","OK"))))))))))</f>
        <v/>
      </c>
    </row>
    <row r="4766" spans="12:15">
      <c r="L4766" s="5">
        <f>IF(OR(A4766="",B4766=""),"",B4766-WEEKDAY(B4766,2)+1)</f>
        <v/>
      </c>
      <c r="M4766" s="5">
        <f>IF(L4766="","",L4766+6)</f>
        <v/>
      </c>
      <c r="N4766" s="6">
        <f>IF(OR(A4766="",B4766=""),"",DATE(YEAR(B4766),MONTH(B4766),1))</f>
        <v/>
      </c>
      <c r="O4766" s="7">
        <f>IF(COUNTA(A4766:K4766)=0,"",IF(OR(A4766="",B4766=""),"Preencher CPF e entrada",IF(COUNTIFS($A$12:$A$5011,A4766,$B$12:$B$5011,B4766)&gt;1,"CPF + dia duplicado",IF(OR(AND(G4766&lt;&gt;"",G4766&lt;&gt;0,G4766&lt;&gt;1),AND(H4766&lt;&gt;"",H4766&lt;&gt;0,H4766&lt;&gt;1)),"Flags devem ser 0 ou 1",IF(AND(H4766=1,LEN(TRIM(I4766))=0),"Preencher nome do indicante",IF(AND(H4766&lt;&gt;1,I4766&lt;&gt;""),"Nome sem indicação interna",IF(AND(G4766=1,F4766=""),"Fechamento sem conversa",IF(OR(AND(E4766&lt;&gt;"",E4766&lt;B4766),AND(F4766&lt;&gt;"",F4766&lt;B4766)),"Evento anterior à entrada",IF(AND(F4766&lt;&gt;"",E4766=""),"Conversa sem agendamento",IF(OR(E4766&gt;TODAY(),F4766&gt;TODAY()),"Verificar evento futuro","OK"))))))))))</f>
        <v/>
      </c>
    </row>
    <row r="4767" spans="12:15">
      <c r="L4767" s="5">
        <f>IF(OR(A4767="",B4767=""),"",B4767-WEEKDAY(B4767,2)+1)</f>
        <v/>
      </c>
      <c r="M4767" s="5">
        <f>IF(L4767="","",L4767+6)</f>
        <v/>
      </c>
      <c r="N4767" s="6">
        <f>IF(OR(A4767="",B4767=""),"",DATE(YEAR(B4767),MONTH(B4767),1))</f>
        <v/>
      </c>
      <c r="O4767" s="7">
        <f>IF(COUNTA(A4767:K4767)=0,"",IF(OR(A4767="",B4767=""),"Preencher CPF e entrada",IF(COUNTIFS($A$12:$A$5011,A4767,$B$12:$B$5011,B4767)&gt;1,"CPF + dia duplicado",IF(OR(AND(G4767&lt;&gt;"",G4767&lt;&gt;0,G4767&lt;&gt;1),AND(H4767&lt;&gt;"",H4767&lt;&gt;0,H4767&lt;&gt;1)),"Flags devem ser 0 ou 1",IF(AND(H4767=1,LEN(TRIM(I4767))=0),"Preencher nome do indicante",IF(AND(H4767&lt;&gt;1,I4767&lt;&gt;""),"Nome sem indicação interna",IF(AND(G4767=1,F4767=""),"Fechamento sem conversa",IF(OR(AND(E4767&lt;&gt;"",E4767&lt;B4767),AND(F4767&lt;&gt;"",F4767&lt;B4767)),"Evento anterior à entrada",IF(AND(F4767&lt;&gt;"",E4767=""),"Conversa sem agendamento",IF(OR(E4767&gt;TODAY(),F4767&gt;TODAY()),"Verificar evento futuro","OK"))))))))))</f>
        <v/>
      </c>
    </row>
    <row r="4768" spans="12:15">
      <c r="L4768" s="5">
        <f>IF(OR(A4768="",B4768=""),"",B4768-WEEKDAY(B4768,2)+1)</f>
        <v/>
      </c>
      <c r="M4768" s="5">
        <f>IF(L4768="","",L4768+6)</f>
        <v/>
      </c>
      <c r="N4768" s="6">
        <f>IF(OR(A4768="",B4768=""),"",DATE(YEAR(B4768),MONTH(B4768),1))</f>
        <v/>
      </c>
      <c r="O4768" s="7">
        <f>IF(COUNTA(A4768:K4768)=0,"",IF(OR(A4768="",B4768=""),"Preencher CPF e entrada",IF(COUNTIFS($A$12:$A$5011,A4768,$B$12:$B$5011,B4768)&gt;1,"CPF + dia duplicado",IF(OR(AND(G4768&lt;&gt;"",G4768&lt;&gt;0,G4768&lt;&gt;1),AND(H4768&lt;&gt;"",H4768&lt;&gt;0,H4768&lt;&gt;1)),"Flags devem ser 0 ou 1",IF(AND(H4768=1,LEN(TRIM(I4768))=0),"Preencher nome do indicante",IF(AND(H4768&lt;&gt;1,I4768&lt;&gt;""),"Nome sem indicação interna",IF(AND(G4768=1,F4768=""),"Fechamento sem conversa",IF(OR(AND(E4768&lt;&gt;"",E4768&lt;B4768),AND(F4768&lt;&gt;"",F4768&lt;B4768)),"Evento anterior à entrada",IF(AND(F4768&lt;&gt;"",E4768=""),"Conversa sem agendamento",IF(OR(E4768&gt;TODAY(),F4768&gt;TODAY()),"Verificar evento futuro","OK"))))))))))</f>
        <v/>
      </c>
    </row>
    <row r="4769" spans="12:15">
      <c r="L4769" s="5">
        <f>IF(OR(A4769="",B4769=""),"",B4769-WEEKDAY(B4769,2)+1)</f>
        <v/>
      </c>
      <c r="M4769" s="5">
        <f>IF(L4769="","",L4769+6)</f>
        <v/>
      </c>
      <c r="N4769" s="6">
        <f>IF(OR(A4769="",B4769=""),"",DATE(YEAR(B4769),MONTH(B4769),1))</f>
        <v/>
      </c>
      <c r="O4769" s="7">
        <f>IF(COUNTA(A4769:K4769)=0,"",IF(OR(A4769="",B4769=""),"Preencher CPF e entrada",IF(COUNTIFS($A$12:$A$5011,A4769,$B$12:$B$5011,B4769)&gt;1,"CPF + dia duplicado",IF(OR(AND(G4769&lt;&gt;"",G4769&lt;&gt;0,G4769&lt;&gt;1),AND(H4769&lt;&gt;"",H4769&lt;&gt;0,H4769&lt;&gt;1)),"Flags devem ser 0 ou 1",IF(AND(H4769=1,LEN(TRIM(I4769))=0),"Preencher nome do indicante",IF(AND(H4769&lt;&gt;1,I4769&lt;&gt;""),"Nome sem indicação interna",IF(AND(G4769=1,F4769=""),"Fechamento sem conversa",IF(OR(AND(E4769&lt;&gt;"",E4769&lt;B4769),AND(F4769&lt;&gt;"",F4769&lt;B4769)),"Evento anterior à entrada",IF(AND(F4769&lt;&gt;"",E4769=""),"Conversa sem agendamento",IF(OR(E4769&gt;TODAY(),F4769&gt;TODAY()),"Verificar evento futuro","OK"))))))))))</f>
        <v/>
      </c>
    </row>
    <row r="4770" spans="12:15">
      <c r="L4770" s="5">
        <f>IF(OR(A4770="",B4770=""),"",B4770-WEEKDAY(B4770,2)+1)</f>
        <v/>
      </c>
      <c r="M4770" s="5">
        <f>IF(L4770="","",L4770+6)</f>
        <v/>
      </c>
      <c r="N4770" s="6">
        <f>IF(OR(A4770="",B4770=""),"",DATE(YEAR(B4770),MONTH(B4770),1))</f>
        <v/>
      </c>
      <c r="O4770" s="7">
        <f>IF(COUNTA(A4770:K4770)=0,"",IF(OR(A4770="",B4770=""),"Preencher CPF e entrada",IF(COUNTIFS($A$12:$A$5011,A4770,$B$12:$B$5011,B4770)&gt;1,"CPF + dia duplicado",IF(OR(AND(G4770&lt;&gt;"",G4770&lt;&gt;0,G4770&lt;&gt;1),AND(H4770&lt;&gt;"",H4770&lt;&gt;0,H4770&lt;&gt;1)),"Flags devem ser 0 ou 1",IF(AND(H4770=1,LEN(TRIM(I4770))=0),"Preencher nome do indicante",IF(AND(H4770&lt;&gt;1,I4770&lt;&gt;""),"Nome sem indicação interna",IF(AND(G4770=1,F4770=""),"Fechamento sem conversa",IF(OR(AND(E4770&lt;&gt;"",E4770&lt;B4770),AND(F4770&lt;&gt;"",F4770&lt;B4770)),"Evento anterior à entrada",IF(AND(F4770&lt;&gt;"",E4770=""),"Conversa sem agendamento",IF(OR(E4770&gt;TODAY(),F4770&gt;TODAY()),"Verificar evento futuro","OK"))))))))))</f>
        <v/>
      </c>
    </row>
    <row r="4771" spans="12:15">
      <c r="L4771" s="5">
        <f>IF(OR(A4771="",B4771=""),"",B4771-WEEKDAY(B4771,2)+1)</f>
        <v/>
      </c>
      <c r="M4771" s="5">
        <f>IF(L4771="","",L4771+6)</f>
        <v/>
      </c>
      <c r="N4771" s="6">
        <f>IF(OR(A4771="",B4771=""),"",DATE(YEAR(B4771),MONTH(B4771),1))</f>
        <v/>
      </c>
      <c r="O4771" s="7">
        <f>IF(COUNTA(A4771:K4771)=0,"",IF(OR(A4771="",B4771=""),"Preencher CPF e entrada",IF(COUNTIFS($A$12:$A$5011,A4771,$B$12:$B$5011,B4771)&gt;1,"CPF + dia duplicado",IF(OR(AND(G4771&lt;&gt;"",G4771&lt;&gt;0,G4771&lt;&gt;1),AND(H4771&lt;&gt;"",H4771&lt;&gt;0,H4771&lt;&gt;1)),"Flags devem ser 0 ou 1",IF(AND(H4771=1,LEN(TRIM(I4771))=0),"Preencher nome do indicante",IF(AND(H4771&lt;&gt;1,I4771&lt;&gt;""),"Nome sem indicação interna",IF(AND(G4771=1,F4771=""),"Fechamento sem conversa",IF(OR(AND(E4771&lt;&gt;"",E4771&lt;B4771),AND(F4771&lt;&gt;"",F4771&lt;B4771)),"Evento anterior à entrada",IF(AND(F4771&lt;&gt;"",E4771=""),"Conversa sem agendamento",IF(OR(E4771&gt;TODAY(),F4771&gt;TODAY()),"Verificar evento futuro","OK"))))))))))</f>
        <v/>
      </c>
    </row>
    <row r="4772" spans="12:15">
      <c r="L4772" s="5">
        <f>IF(OR(A4772="",B4772=""),"",B4772-WEEKDAY(B4772,2)+1)</f>
        <v/>
      </c>
      <c r="M4772" s="5">
        <f>IF(L4772="","",L4772+6)</f>
        <v/>
      </c>
      <c r="N4772" s="6">
        <f>IF(OR(A4772="",B4772=""),"",DATE(YEAR(B4772),MONTH(B4772),1))</f>
        <v/>
      </c>
      <c r="O4772" s="7">
        <f>IF(COUNTA(A4772:K4772)=0,"",IF(OR(A4772="",B4772=""),"Preencher CPF e entrada",IF(COUNTIFS($A$12:$A$5011,A4772,$B$12:$B$5011,B4772)&gt;1,"CPF + dia duplicado",IF(OR(AND(G4772&lt;&gt;"",G4772&lt;&gt;0,G4772&lt;&gt;1),AND(H4772&lt;&gt;"",H4772&lt;&gt;0,H4772&lt;&gt;1)),"Flags devem ser 0 ou 1",IF(AND(H4772=1,LEN(TRIM(I4772))=0),"Preencher nome do indicante",IF(AND(H4772&lt;&gt;1,I4772&lt;&gt;""),"Nome sem indicação interna",IF(AND(G4772=1,F4772=""),"Fechamento sem conversa",IF(OR(AND(E4772&lt;&gt;"",E4772&lt;B4772),AND(F4772&lt;&gt;"",F4772&lt;B4772)),"Evento anterior à entrada",IF(AND(F4772&lt;&gt;"",E4772=""),"Conversa sem agendamento",IF(OR(E4772&gt;TODAY(),F4772&gt;TODAY()),"Verificar evento futuro","OK"))))))))))</f>
        <v/>
      </c>
    </row>
    <row r="4773" spans="12:15">
      <c r="L4773" s="5">
        <f>IF(OR(A4773="",B4773=""),"",B4773-WEEKDAY(B4773,2)+1)</f>
        <v/>
      </c>
      <c r="M4773" s="5">
        <f>IF(L4773="","",L4773+6)</f>
        <v/>
      </c>
      <c r="N4773" s="6">
        <f>IF(OR(A4773="",B4773=""),"",DATE(YEAR(B4773),MONTH(B4773),1))</f>
        <v/>
      </c>
      <c r="O4773" s="7">
        <f>IF(COUNTA(A4773:K4773)=0,"",IF(OR(A4773="",B4773=""),"Preencher CPF e entrada",IF(COUNTIFS($A$12:$A$5011,A4773,$B$12:$B$5011,B4773)&gt;1,"CPF + dia duplicado",IF(OR(AND(G4773&lt;&gt;"",G4773&lt;&gt;0,G4773&lt;&gt;1),AND(H4773&lt;&gt;"",H4773&lt;&gt;0,H4773&lt;&gt;1)),"Flags devem ser 0 ou 1",IF(AND(H4773=1,LEN(TRIM(I4773))=0),"Preencher nome do indicante",IF(AND(H4773&lt;&gt;1,I4773&lt;&gt;""),"Nome sem indicação interna",IF(AND(G4773=1,F4773=""),"Fechamento sem conversa",IF(OR(AND(E4773&lt;&gt;"",E4773&lt;B4773),AND(F4773&lt;&gt;"",F4773&lt;B4773)),"Evento anterior à entrada",IF(AND(F4773&lt;&gt;"",E4773=""),"Conversa sem agendamento",IF(OR(E4773&gt;TODAY(),F4773&gt;TODAY()),"Verificar evento futuro","OK"))))))))))</f>
        <v/>
      </c>
    </row>
    <row r="4774" spans="12:15">
      <c r="L4774" s="5">
        <f>IF(OR(A4774="",B4774=""),"",B4774-WEEKDAY(B4774,2)+1)</f>
        <v/>
      </c>
      <c r="M4774" s="5">
        <f>IF(L4774="","",L4774+6)</f>
        <v/>
      </c>
      <c r="N4774" s="6">
        <f>IF(OR(A4774="",B4774=""),"",DATE(YEAR(B4774),MONTH(B4774),1))</f>
        <v/>
      </c>
      <c r="O4774" s="7">
        <f>IF(COUNTA(A4774:K4774)=0,"",IF(OR(A4774="",B4774=""),"Preencher CPF e entrada",IF(COUNTIFS($A$12:$A$5011,A4774,$B$12:$B$5011,B4774)&gt;1,"CPF + dia duplicado",IF(OR(AND(G4774&lt;&gt;"",G4774&lt;&gt;0,G4774&lt;&gt;1),AND(H4774&lt;&gt;"",H4774&lt;&gt;0,H4774&lt;&gt;1)),"Flags devem ser 0 ou 1",IF(AND(H4774=1,LEN(TRIM(I4774))=0),"Preencher nome do indicante",IF(AND(H4774&lt;&gt;1,I4774&lt;&gt;""),"Nome sem indicação interna",IF(AND(G4774=1,F4774=""),"Fechamento sem conversa",IF(OR(AND(E4774&lt;&gt;"",E4774&lt;B4774),AND(F4774&lt;&gt;"",F4774&lt;B4774)),"Evento anterior à entrada",IF(AND(F4774&lt;&gt;"",E4774=""),"Conversa sem agendamento",IF(OR(E4774&gt;TODAY(),F4774&gt;TODAY()),"Verificar evento futuro","OK"))))))))))</f>
        <v/>
      </c>
    </row>
    <row r="4775" spans="12:15">
      <c r="L4775" s="5">
        <f>IF(OR(A4775="",B4775=""),"",B4775-WEEKDAY(B4775,2)+1)</f>
        <v/>
      </c>
      <c r="M4775" s="5">
        <f>IF(L4775="","",L4775+6)</f>
        <v/>
      </c>
      <c r="N4775" s="6">
        <f>IF(OR(A4775="",B4775=""),"",DATE(YEAR(B4775),MONTH(B4775),1))</f>
        <v/>
      </c>
      <c r="O4775" s="7">
        <f>IF(COUNTA(A4775:K4775)=0,"",IF(OR(A4775="",B4775=""),"Preencher CPF e entrada",IF(COUNTIFS($A$12:$A$5011,A4775,$B$12:$B$5011,B4775)&gt;1,"CPF + dia duplicado",IF(OR(AND(G4775&lt;&gt;"",G4775&lt;&gt;0,G4775&lt;&gt;1),AND(H4775&lt;&gt;"",H4775&lt;&gt;0,H4775&lt;&gt;1)),"Flags devem ser 0 ou 1",IF(AND(H4775=1,LEN(TRIM(I4775))=0),"Preencher nome do indicante",IF(AND(H4775&lt;&gt;1,I4775&lt;&gt;""),"Nome sem indicação interna",IF(AND(G4775=1,F4775=""),"Fechamento sem conversa",IF(OR(AND(E4775&lt;&gt;"",E4775&lt;B4775),AND(F4775&lt;&gt;"",F4775&lt;B4775)),"Evento anterior à entrada",IF(AND(F4775&lt;&gt;"",E4775=""),"Conversa sem agendamento",IF(OR(E4775&gt;TODAY(),F4775&gt;TODAY()),"Verificar evento futuro","OK"))))))))))</f>
        <v/>
      </c>
    </row>
    <row r="4776" spans="12:15">
      <c r="L4776" s="5">
        <f>IF(OR(A4776="",B4776=""),"",B4776-WEEKDAY(B4776,2)+1)</f>
        <v/>
      </c>
      <c r="M4776" s="5">
        <f>IF(L4776="","",L4776+6)</f>
        <v/>
      </c>
      <c r="N4776" s="6">
        <f>IF(OR(A4776="",B4776=""),"",DATE(YEAR(B4776),MONTH(B4776),1))</f>
        <v/>
      </c>
      <c r="O4776" s="7">
        <f>IF(COUNTA(A4776:K4776)=0,"",IF(OR(A4776="",B4776=""),"Preencher CPF e entrada",IF(COUNTIFS($A$12:$A$5011,A4776,$B$12:$B$5011,B4776)&gt;1,"CPF + dia duplicado",IF(OR(AND(G4776&lt;&gt;"",G4776&lt;&gt;0,G4776&lt;&gt;1),AND(H4776&lt;&gt;"",H4776&lt;&gt;0,H4776&lt;&gt;1)),"Flags devem ser 0 ou 1",IF(AND(H4776=1,LEN(TRIM(I4776))=0),"Preencher nome do indicante",IF(AND(H4776&lt;&gt;1,I4776&lt;&gt;""),"Nome sem indicação interna",IF(AND(G4776=1,F4776=""),"Fechamento sem conversa",IF(OR(AND(E4776&lt;&gt;"",E4776&lt;B4776),AND(F4776&lt;&gt;"",F4776&lt;B4776)),"Evento anterior à entrada",IF(AND(F4776&lt;&gt;"",E4776=""),"Conversa sem agendamento",IF(OR(E4776&gt;TODAY(),F4776&gt;TODAY()),"Verificar evento futuro","OK"))))))))))</f>
        <v/>
      </c>
    </row>
    <row r="4777" spans="12:15">
      <c r="L4777" s="5">
        <f>IF(OR(A4777="",B4777=""),"",B4777-WEEKDAY(B4777,2)+1)</f>
        <v/>
      </c>
      <c r="M4777" s="5">
        <f>IF(L4777="","",L4777+6)</f>
        <v/>
      </c>
      <c r="N4777" s="6">
        <f>IF(OR(A4777="",B4777=""),"",DATE(YEAR(B4777),MONTH(B4777),1))</f>
        <v/>
      </c>
      <c r="O4777" s="7">
        <f>IF(COUNTA(A4777:K4777)=0,"",IF(OR(A4777="",B4777=""),"Preencher CPF e entrada",IF(COUNTIFS($A$12:$A$5011,A4777,$B$12:$B$5011,B4777)&gt;1,"CPF + dia duplicado",IF(OR(AND(G4777&lt;&gt;"",G4777&lt;&gt;0,G4777&lt;&gt;1),AND(H4777&lt;&gt;"",H4777&lt;&gt;0,H4777&lt;&gt;1)),"Flags devem ser 0 ou 1",IF(AND(H4777=1,LEN(TRIM(I4777))=0),"Preencher nome do indicante",IF(AND(H4777&lt;&gt;1,I4777&lt;&gt;""),"Nome sem indicação interna",IF(AND(G4777=1,F4777=""),"Fechamento sem conversa",IF(OR(AND(E4777&lt;&gt;"",E4777&lt;B4777),AND(F4777&lt;&gt;"",F4777&lt;B4777)),"Evento anterior à entrada",IF(AND(F4777&lt;&gt;"",E4777=""),"Conversa sem agendamento",IF(OR(E4777&gt;TODAY(),F4777&gt;TODAY()),"Verificar evento futuro","OK"))))))))))</f>
        <v/>
      </c>
    </row>
    <row r="4778" spans="12:15">
      <c r="L4778" s="5">
        <f>IF(OR(A4778="",B4778=""),"",B4778-WEEKDAY(B4778,2)+1)</f>
        <v/>
      </c>
      <c r="M4778" s="5">
        <f>IF(L4778="","",L4778+6)</f>
        <v/>
      </c>
      <c r="N4778" s="6">
        <f>IF(OR(A4778="",B4778=""),"",DATE(YEAR(B4778),MONTH(B4778),1))</f>
        <v/>
      </c>
      <c r="O4778" s="7">
        <f>IF(COUNTA(A4778:K4778)=0,"",IF(OR(A4778="",B4778=""),"Preencher CPF e entrada",IF(COUNTIFS($A$12:$A$5011,A4778,$B$12:$B$5011,B4778)&gt;1,"CPF + dia duplicado",IF(OR(AND(G4778&lt;&gt;"",G4778&lt;&gt;0,G4778&lt;&gt;1),AND(H4778&lt;&gt;"",H4778&lt;&gt;0,H4778&lt;&gt;1)),"Flags devem ser 0 ou 1",IF(AND(H4778=1,LEN(TRIM(I4778))=0),"Preencher nome do indicante",IF(AND(H4778&lt;&gt;1,I4778&lt;&gt;""),"Nome sem indicação interna",IF(AND(G4778=1,F4778=""),"Fechamento sem conversa",IF(OR(AND(E4778&lt;&gt;"",E4778&lt;B4778),AND(F4778&lt;&gt;"",F4778&lt;B4778)),"Evento anterior à entrada",IF(AND(F4778&lt;&gt;"",E4778=""),"Conversa sem agendamento",IF(OR(E4778&gt;TODAY(),F4778&gt;TODAY()),"Verificar evento futuro","OK"))))))))))</f>
        <v/>
      </c>
    </row>
    <row r="4779" spans="12:15">
      <c r="L4779" s="5">
        <f>IF(OR(A4779="",B4779=""),"",B4779-WEEKDAY(B4779,2)+1)</f>
        <v/>
      </c>
      <c r="M4779" s="5">
        <f>IF(L4779="","",L4779+6)</f>
        <v/>
      </c>
      <c r="N4779" s="6">
        <f>IF(OR(A4779="",B4779=""),"",DATE(YEAR(B4779),MONTH(B4779),1))</f>
        <v/>
      </c>
      <c r="O4779" s="7">
        <f>IF(COUNTA(A4779:K4779)=0,"",IF(OR(A4779="",B4779=""),"Preencher CPF e entrada",IF(COUNTIFS($A$12:$A$5011,A4779,$B$12:$B$5011,B4779)&gt;1,"CPF + dia duplicado",IF(OR(AND(G4779&lt;&gt;"",G4779&lt;&gt;0,G4779&lt;&gt;1),AND(H4779&lt;&gt;"",H4779&lt;&gt;0,H4779&lt;&gt;1)),"Flags devem ser 0 ou 1",IF(AND(H4779=1,LEN(TRIM(I4779))=0),"Preencher nome do indicante",IF(AND(H4779&lt;&gt;1,I4779&lt;&gt;""),"Nome sem indicação interna",IF(AND(G4779=1,F4779=""),"Fechamento sem conversa",IF(OR(AND(E4779&lt;&gt;"",E4779&lt;B4779),AND(F4779&lt;&gt;"",F4779&lt;B4779)),"Evento anterior à entrada",IF(AND(F4779&lt;&gt;"",E4779=""),"Conversa sem agendamento",IF(OR(E4779&gt;TODAY(),F4779&gt;TODAY()),"Verificar evento futuro","OK"))))))))))</f>
        <v/>
      </c>
    </row>
    <row r="4780" spans="12:15">
      <c r="L4780" s="5">
        <f>IF(OR(A4780="",B4780=""),"",B4780-WEEKDAY(B4780,2)+1)</f>
        <v/>
      </c>
      <c r="M4780" s="5">
        <f>IF(L4780="","",L4780+6)</f>
        <v/>
      </c>
      <c r="N4780" s="6">
        <f>IF(OR(A4780="",B4780=""),"",DATE(YEAR(B4780),MONTH(B4780),1))</f>
        <v/>
      </c>
      <c r="O4780" s="7">
        <f>IF(COUNTA(A4780:K4780)=0,"",IF(OR(A4780="",B4780=""),"Preencher CPF e entrada",IF(COUNTIFS($A$12:$A$5011,A4780,$B$12:$B$5011,B4780)&gt;1,"CPF + dia duplicado",IF(OR(AND(G4780&lt;&gt;"",G4780&lt;&gt;0,G4780&lt;&gt;1),AND(H4780&lt;&gt;"",H4780&lt;&gt;0,H4780&lt;&gt;1)),"Flags devem ser 0 ou 1",IF(AND(H4780=1,LEN(TRIM(I4780))=0),"Preencher nome do indicante",IF(AND(H4780&lt;&gt;1,I4780&lt;&gt;""),"Nome sem indicação interna",IF(AND(G4780=1,F4780=""),"Fechamento sem conversa",IF(OR(AND(E4780&lt;&gt;"",E4780&lt;B4780),AND(F4780&lt;&gt;"",F4780&lt;B4780)),"Evento anterior à entrada",IF(AND(F4780&lt;&gt;"",E4780=""),"Conversa sem agendamento",IF(OR(E4780&gt;TODAY(),F4780&gt;TODAY()),"Verificar evento futuro","OK"))))))))))</f>
        <v/>
      </c>
    </row>
    <row r="4781" spans="12:15">
      <c r="L4781" s="5">
        <f>IF(OR(A4781="",B4781=""),"",B4781-WEEKDAY(B4781,2)+1)</f>
        <v/>
      </c>
      <c r="M4781" s="5">
        <f>IF(L4781="","",L4781+6)</f>
        <v/>
      </c>
      <c r="N4781" s="6">
        <f>IF(OR(A4781="",B4781=""),"",DATE(YEAR(B4781),MONTH(B4781),1))</f>
        <v/>
      </c>
      <c r="O4781" s="7">
        <f>IF(COUNTA(A4781:K4781)=0,"",IF(OR(A4781="",B4781=""),"Preencher CPF e entrada",IF(COUNTIFS($A$12:$A$5011,A4781,$B$12:$B$5011,B4781)&gt;1,"CPF + dia duplicado",IF(OR(AND(G4781&lt;&gt;"",G4781&lt;&gt;0,G4781&lt;&gt;1),AND(H4781&lt;&gt;"",H4781&lt;&gt;0,H4781&lt;&gt;1)),"Flags devem ser 0 ou 1",IF(AND(H4781=1,LEN(TRIM(I4781))=0),"Preencher nome do indicante",IF(AND(H4781&lt;&gt;1,I4781&lt;&gt;""),"Nome sem indicação interna",IF(AND(G4781=1,F4781=""),"Fechamento sem conversa",IF(OR(AND(E4781&lt;&gt;"",E4781&lt;B4781),AND(F4781&lt;&gt;"",F4781&lt;B4781)),"Evento anterior à entrada",IF(AND(F4781&lt;&gt;"",E4781=""),"Conversa sem agendamento",IF(OR(E4781&gt;TODAY(),F4781&gt;TODAY()),"Verificar evento futuro","OK"))))))))))</f>
        <v/>
      </c>
    </row>
    <row r="4782" spans="12:15">
      <c r="L4782" s="5">
        <f>IF(OR(A4782="",B4782=""),"",B4782-WEEKDAY(B4782,2)+1)</f>
        <v/>
      </c>
      <c r="M4782" s="5">
        <f>IF(L4782="","",L4782+6)</f>
        <v/>
      </c>
      <c r="N4782" s="6">
        <f>IF(OR(A4782="",B4782=""),"",DATE(YEAR(B4782),MONTH(B4782),1))</f>
        <v/>
      </c>
      <c r="O4782" s="7">
        <f>IF(COUNTA(A4782:K4782)=0,"",IF(OR(A4782="",B4782=""),"Preencher CPF e entrada",IF(COUNTIFS($A$12:$A$5011,A4782,$B$12:$B$5011,B4782)&gt;1,"CPF + dia duplicado",IF(OR(AND(G4782&lt;&gt;"",G4782&lt;&gt;0,G4782&lt;&gt;1),AND(H4782&lt;&gt;"",H4782&lt;&gt;0,H4782&lt;&gt;1)),"Flags devem ser 0 ou 1",IF(AND(H4782=1,LEN(TRIM(I4782))=0),"Preencher nome do indicante",IF(AND(H4782&lt;&gt;1,I4782&lt;&gt;""),"Nome sem indicação interna",IF(AND(G4782=1,F4782=""),"Fechamento sem conversa",IF(OR(AND(E4782&lt;&gt;"",E4782&lt;B4782),AND(F4782&lt;&gt;"",F4782&lt;B4782)),"Evento anterior à entrada",IF(AND(F4782&lt;&gt;"",E4782=""),"Conversa sem agendamento",IF(OR(E4782&gt;TODAY(),F4782&gt;TODAY()),"Verificar evento futuro","OK"))))))))))</f>
        <v/>
      </c>
    </row>
    <row r="4783" spans="12:15">
      <c r="L4783" s="5">
        <f>IF(OR(A4783="",B4783=""),"",B4783-WEEKDAY(B4783,2)+1)</f>
        <v/>
      </c>
      <c r="M4783" s="5">
        <f>IF(L4783="","",L4783+6)</f>
        <v/>
      </c>
      <c r="N4783" s="6">
        <f>IF(OR(A4783="",B4783=""),"",DATE(YEAR(B4783),MONTH(B4783),1))</f>
        <v/>
      </c>
      <c r="O4783" s="7">
        <f>IF(COUNTA(A4783:K4783)=0,"",IF(OR(A4783="",B4783=""),"Preencher CPF e entrada",IF(COUNTIFS($A$12:$A$5011,A4783,$B$12:$B$5011,B4783)&gt;1,"CPF + dia duplicado",IF(OR(AND(G4783&lt;&gt;"",G4783&lt;&gt;0,G4783&lt;&gt;1),AND(H4783&lt;&gt;"",H4783&lt;&gt;0,H4783&lt;&gt;1)),"Flags devem ser 0 ou 1",IF(AND(H4783=1,LEN(TRIM(I4783))=0),"Preencher nome do indicante",IF(AND(H4783&lt;&gt;1,I4783&lt;&gt;""),"Nome sem indicação interna",IF(AND(G4783=1,F4783=""),"Fechamento sem conversa",IF(OR(AND(E4783&lt;&gt;"",E4783&lt;B4783),AND(F4783&lt;&gt;"",F4783&lt;B4783)),"Evento anterior à entrada",IF(AND(F4783&lt;&gt;"",E4783=""),"Conversa sem agendamento",IF(OR(E4783&gt;TODAY(),F4783&gt;TODAY()),"Verificar evento futuro","OK"))))))))))</f>
        <v/>
      </c>
    </row>
    <row r="4784" spans="12:15">
      <c r="L4784" s="5">
        <f>IF(OR(A4784="",B4784=""),"",B4784-WEEKDAY(B4784,2)+1)</f>
        <v/>
      </c>
      <c r="M4784" s="5">
        <f>IF(L4784="","",L4784+6)</f>
        <v/>
      </c>
      <c r="N4784" s="6">
        <f>IF(OR(A4784="",B4784=""),"",DATE(YEAR(B4784),MONTH(B4784),1))</f>
        <v/>
      </c>
      <c r="O4784" s="7">
        <f>IF(COUNTA(A4784:K4784)=0,"",IF(OR(A4784="",B4784=""),"Preencher CPF e entrada",IF(COUNTIFS($A$12:$A$5011,A4784,$B$12:$B$5011,B4784)&gt;1,"CPF + dia duplicado",IF(OR(AND(G4784&lt;&gt;"",G4784&lt;&gt;0,G4784&lt;&gt;1),AND(H4784&lt;&gt;"",H4784&lt;&gt;0,H4784&lt;&gt;1)),"Flags devem ser 0 ou 1",IF(AND(H4784=1,LEN(TRIM(I4784))=0),"Preencher nome do indicante",IF(AND(H4784&lt;&gt;1,I4784&lt;&gt;""),"Nome sem indicação interna",IF(AND(G4784=1,F4784=""),"Fechamento sem conversa",IF(OR(AND(E4784&lt;&gt;"",E4784&lt;B4784),AND(F4784&lt;&gt;"",F4784&lt;B4784)),"Evento anterior à entrada",IF(AND(F4784&lt;&gt;"",E4784=""),"Conversa sem agendamento",IF(OR(E4784&gt;TODAY(),F4784&gt;TODAY()),"Verificar evento futuro","OK"))))))))))</f>
        <v/>
      </c>
    </row>
    <row r="4785" spans="12:15">
      <c r="L4785" s="5">
        <f>IF(OR(A4785="",B4785=""),"",B4785-WEEKDAY(B4785,2)+1)</f>
        <v/>
      </c>
      <c r="M4785" s="5">
        <f>IF(L4785="","",L4785+6)</f>
        <v/>
      </c>
      <c r="N4785" s="6">
        <f>IF(OR(A4785="",B4785=""),"",DATE(YEAR(B4785),MONTH(B4785),1))</f>
        <v/>
      </c>
      <c r="O4785" s="7">
        <f>IF(COUNTA(A4785:K4785)=0,"",IF(OR(A4785="",B4785=""),"Preencher CPF e entrada",IF(COUNTIFS($A$12:$A$5011,A4785,$B$12:$B$5011,B4785)&gt;1,"CPF + dia duplicado",IF(OR(AND(G4785&lt;&gt;"",G4785&lt;&gt;0,G4785&lt;&gt;1),AND(H4785&lt;&gt;"",H4785&lt;&gt;0,H4785&lt;&gt;1)),"Flags devem ser 0 ou 1",IF(AND(H4785=1,LEN(TRIM(I4785))=0),"Preencher nome do indicante",IF(AND(H4785&lt;&gt;1,I4785&lt;&gt;""),"Nome sem indicação interna",IF(AND(G4785=1,F4785=""),"Fechamento sem conversa",IF(OR(AND(E4785&lt;&gt;"",E4785&lt;B4785),AND(F4785&lt;&gt;"",F4785&lt;B4785)),"Evento anterior à entrada",IF(AND(F4785&lt;&gt;"",E4785=""),"Conversa sem agendamento",IF(OR(E4785&gt;TODAY(),F4785&gt;TODAY()),"Verificar evento futuro","OK"))))))))))</f>
        <v/>
      </c>
    </row>
    <row r="4786" spans="12:15">
      <c r="L4786" s="5">
        <f>IF(OR(A4786="",B4786=""),"",B4786-WEEKDAY(B4786,2)+1)</f>
        <v/>
      </c>
      <c r="M4786" s="5">
        <f>IF(L4786="","",L4786+6)</f>
        <v/>
      </c>
      <c r="N4786" s="6">
        <f>IF(OR(A4786="",B4786=""),"",DATE(YEAR(B4786),MONTH(B4786),1))</f>
        <v/>
      </c>
      <c r="O4786" s="7">
        <f>IF(COUNTA(A4786:K4786)=0,"",IF(OR(A4786="",B4786=""),"Preencher CPF e entrada",IF(COUNTIFS($A$12:$A$5011,A4786,$B$12:$B$5011,B4786)&gt;1,"CPF + dia duplicado",IF(OR(AND(G4786&lt;&gt;"",G4786&lt;&gt;0,G4786&lt;&gt;1),AND(H4786&lt;&gt;"",H4786&lt;&gt;0,H4786&lt;&gt;1)),"Flags devem ser 0 ou 1",IF(AND(H4786=1,LEN(TRIM(I4786))=0),"Preencher nome do indicante",IF(AND(H4786&lt;&gt;1,I4786&lt;&gt;""),"Nome sem indicação interna",IF(AND(G4786=1,F4786=""),"Fechamento sem conversa",IF(OR(AND(E4786&lt;&gt;"",E4786&lt;B4786),AND(F4786&lt;&gt;"",F4786&lt;B4786)),"Evento anterior à entrada",IF(AND(F4786&lt;&gt;"",E4786=""),"Conversa sem agendamento",IF(OR(E4786&gt;TODAY(),F4786&gt;TODAY()),"Verificar evento futuro","OK"))))))))))</f>
        <v/>
      </c>
    </row>
    <row r="4787" spans="12:15">
      <c r="L4787" s="5">
        <f>IF(OR(A4787="",B4787=""),"",B4787-WEEKDAY(B4787,2)+1)</f>
        <v/>
      </c>
      <c r="M4787" s="5">
        <f>IF(L4787="","",L4787+6)</f>
        <v/>
      </c>
      <c r="N4787" s="6">
        <f>IF(OR(A4787="",B4787=""),"",DATE(YEAR(B4787),MONTH(B4787),1))</f>
        <v/>
      </c>
      <c r="O4787" s="7">
        <f>IF(COUNTA(A4787:K4787)=0,"",IF(OR(A4787="",B4787=""),"Preencher CPF e entrada",IF(COUNTIFS($A$12:$A$5011,A4787,$B$12:$B$5011,B4787)&gt;1,"CPF + dia duplicado",IF(OR(AND(G4787&lt;&gt;"",G4787&lt;&gt;0,G4787&lt;&gt;1),AND(H4787&lt;&gt;"",H4787&lt;&gt;0,H4787&lt;&gt;1)),"Flags devem ser 0 ou 1",IF(AND(H4787=1,LEN(TRIM(I4787))=0),"Preencher nome do indicante",IF(AND(H4787&lt;&gt;1,I4787&lt;&gt;""),"Nome sem indicação interna",IF(AND(G4787=1,F4787=""),"Fechamento sem conversa",IF(OR(AND(E4787&lt;&gt;"",E4787&lt;B4787),AND(F4787&lt;&gt;"",F4787&lt;B4787)),"Evento anterior à entrada",IF(AND(F4787&lt;&gt;"",E4787=""),"Conversa sem agendamento",IF(OR(E4787&gt;TODAY(),F4787&gt;TODAY()),"Verificar evento futuro","OK"))))))))))</f>
        <v/>
      </c>
    </row>
    <row r="4788" spans="12:15">
      <c r="L4788" s="5">
        <f>IF(OR(A4788="",B4788=""),"",B4788-WEEKDAY(B4788,2)+1)</f>
        <v/>
      </c>
      <c r="M4788" s="5">
        <f>IF(L4788="","",L4788+6)</f>
        <v/>
      </c>
      <c r="N4788" s="6">
        <f>IF(OR(A4788="",B4788=""),"",DATE(YEAR(B4788),MONTH(B4788),1))</f>
        <v/>
      </c>
      <c r="O4788" s="7">
        <f>IF(COUNTA(A4788:K4788)=0,"",IF(OR(A4788="",B4788=""),"Preencher CPF e entrada",IF(COUNTIFS($A$12:$A$5011,A4788,$B$12:$B$5011,B4788)&gt;1,"CPF + dia duplicado",IF(OR(AND(G4788&lt;&gt;"",G4788&lt;&gt;0,G4788&lt;&gt;1),AND(H4788&lt;&gt;"",H4788&lt;&gt;0,H4788&lt;&gt;1)),"Flags devem ser 0 ou 1",IF(AND(H4788=1,LEN(TRIM(I4788))=0),"Preencher nome do indicante",IF(AND(H4788&lt;&gt;1,I4788&lt;&gt;""),"Nome sem indicação interna",IF(AND(G4788=1,F4788=""),"Fechamento sem conversa",IF(OR(AND(E4788&lt;&gt;"",E4788&lt;B4788),AND(F4788&lt;&gt;"",F4788&lt;B4788)),"Evento anterior à entrada",IF(AND(F4788&lt;&gt;"",E4788=""),"Conversa sem agendamento",IF(OR(E4788&gt;TODAY(),F4788&gt;TODAY()),"Verificar evento futuro","OK"))))))))))</f>
        <v/>
      </c>
    </row>
    <row r="4789" spans="12:15">
      <c r="L4789" s="5">
        <f>IF(OR(A4789="",B4789=""),"",B4789-WEEKDAY(B4789,2)+1)</f>
        <v/>
      </c>
      <c r="M4789" s="5">
        <f>IF(L4789="","",L4789+6)</f>
        <v/>
      </c>
      <c r="N4789" s="6">
        <f>IF(OR(A4789="",B4789=""),"",DATE(YEAR(B4789),MONTH(B4789),1))</f>
        <v/>
      </c>
      <c r="O4789" s="7">
        <f>IF(COUNTA(A4789:K4789)=0,"",IF(OR(A4789="",B4789=""),"Preencher CPF e entrada",IF(COUNTIFS($A$12:$A$5011,A4789,$B$12:$B$5011,B4789)&gt;1,"CPF + dia duplicado",IF(OR(AND(G4789&lt;&gt;"",G4789&lt;&gt;0,G4789&lt;&gt;1),AND(H4789&lt;&gt;"",H4789&lt;&gt;0,H4789&lt;&gt;1)),"Flags devem ser 0 ou 1",IF(AND(H4789=1,LEN(TRIM(I4789))=0),"Preencher nome do indicante",IF(AND(H4789&lt;&gt;1,I4789&lt;&gt;""),"Nome sem indicação interna",IF(AND(G4789=1,F4789=""),"Fechamento sem conversa",IF(OR(AND(E4789&lt;&gt;"",E4789&lt;B4789),AND(F4789&lt;&gt;"",F4789&lt;B4789)),"Evento anterior à entrada",IF(AND(F4789&lt;&gt;"",E4789=""),"Conversa sem agendamento",IF(OR(E4789&gt;TODAY(),F4789&gt;TODAY()),"Verificar evento futuro","OK"))))))))))</f>
        <v/>
      </c>
    </row>
    <row r="4790" spans="12:15">
      <c r="L4790" s="5">
        <f>IF(OR(A4790="",B4790=""),"",B4790-WEEKDAY(B4790,2)+1)</f>
        <v/>
      </c>
      <c r="M4790" s="5">
        <f>IF(L4790="","",L4790+6)</f>
        <v/>
      </c>
      <c r="N4790" s="6">
        <f>IF(OR(A4790="",B4790=""),"",DATE(YEAR(B4790),MONTH(B4790),1))</f>
        <v/>
      </c>
      <c r="O4790" s="7">
        <f>IF(COUNTA(A4790:K4790)=0,"",IF(OR(A4790="",B4790=""),"Preencher CPF e entrada",IF(COUNTIFS($A$12:$A$5011,A4790,$B$12:$B$5011,B4790)&gt;1,"CPF + dia duplicado",IF(OR(AND(G4790&lt;&gt;"",G4790&lt;&gt;0,G4790&lt;&gt;1),AND(H4790&lt;&gt;"",H4790&lt;&gt;0,H4790&lt;&gt;1)),"Flags devem ser 0 ou 1",IF(AND(H4790=1,LEN(TRIM(I4790))=0),"Preencher nome do indicante",IF(AND(H4790&lt;&gt;1,I4790&lt;&gt;""),"Nome sem indicação interna",IF(AND(G4790=1,F4790=""),"Fechamento sem conversa",IF(OR(AND(E4790&lt;&gt;"",E4790&lt;B4790),AND(F4790&lt;&gt;"",F4790&lt;B4790)),"Evento anterior à entrada",IF(AND(F4790&lt;&gt;"",E4790=""),"Conversa sem agendamento",IF(OR(E4790&gt;TODAY(),F4790&gt;TODAY()),"Verificar evento futuro","OK"))))))))))</f>
        <v/>
      </c>
    </row>
    <row r="4791" spans="12:15">
      <c r="L4791" s="5">
        <f>IF(OR(A4791="",B4791=""),"",B4791-WEEKDAY(B4791,2)+1)</f>
        <v/>
      </c>
      <c r="M4791" s="5">
        <f>IF(L4791="","",L4791+6)</f>
        <v/>
      </c>
      <c r="N4791" s="6">
        <f>IF(OR(A4791="",B4791=""),"",DATE(YEAR(B4791),MONTH(B4791),1))</f>
        <v/>
      </c>
      <c r="O4791" s="7">
        <f>IF(COUNTA(A4791:K4791)=0,"",IF(OR(A4791="",B4791=""),"Preencher CPF e entrada",IF(COUNTIFS($A$12:$A$5011,A4791,$B$12:$B$5011,B4791)&gt;1,"CPF + dia duplicado",IF(OR(AND(G4791&lt;&gt;"",G4791&lt;&gt;0,G4791&lt;&gt;1),AND(H4791&lt;&gt;"",H4791&lt;&gt;0,H4791&lt;&gt;1)),"Flags devem ser 0 ou 1",IF(AND(H4791=1,LEN(TRIM(I4791))=0),"Preencher nome do indicante",IF(AND(H4791&lt;&gt;1,I4791&lt;&gt;""),"Nome sem indicação interna",IF(AND(G4791=1,F4791=""),"Fechamento sem conversa",IF(OR(AND(E4791&lt;&gt;"",E4791&lt;B4791),AND(F4791&lt;&gt;"",F4791&lt;B4791)),"Evento anterior à entrada",IF(AND(F4791&lt;&gt;"",E4791=""),"Conversa sem agendamento",IF(OR(E4791&gt;TODAY(),F4791&gt;TODAY()),"Verificar evento futuro","OK"))))))))))</f>
        <v/>
      </c>
    </row>
    <row r="4792" spans="12:15">
      <c r="L4792" s="5">
        <f>IF(OR(A4792="",B4792=""),"",B4792-WEEKDAY(B4792,2)+1)</f>
        <v/>
      </c>
      <c r="M4792" s="5">
        <f>IF(L4792="","",L4792+6)</f>
        <v/>
      </c>
      <c r="N4792" s="6">
        <f>IF(OR(A4792="",B4792=""),"",DATE(YEAR(B4792),MONTH(B4792),1))</f>
        <v/>
      </c>
      <c r="O4792" s="7">
        <f>IF(COUNTA(A4792:K4792)=0,"",IF(OR(A4792="",B4792=""),"Preencher CPF e entrada",IF(COUNTIFS($A$12:$A$5011,A4792,$B$12:$B$5011,B4792)&gt;1,"CPF + dia duplicado",IF(OR(AND(G4792&lt;&gt;"",G4792&lt;&gt;0,G4792&lt;&gt;1),AND(H4792&lt;&gt;"",H4792&lt;&gt;0,H4792&lt;&gt;1)),"Flags devem ser 0 ou 1",IF(AND(H4792=1,LEN(TRIM(I4792))=0),"Preencher nome do indicante",IF(AND(H4792&lt;&gt;1,I4792&lt;&gt;""),"Nome sem indicação interna",IF(AND(G4792=1,F4792=""),"Fechamento sem conversa",IF(OR(AND(E4792&lt;&gt;"",E4792&lt;B4792),AND(F4792&lt;&gt;"",F4792&lt;B4792)),"Evento anterior à entrada",IF(AND(F4792&lt;&gt;"",E4792=""),"Conversa sem agendamento",IF(OR(E4792&gt;TODAY(),F4792&gt;TODAY()),"Verificar evento futuro","OK"))))))))))</f>
        <v/>
      </c>
    </row>
    <row r="4793" spans="12:15">
      <c r="L4793" s="5">
        <f>IF(OR(A4793="",B4793=""),"",B4793-WEEKDAY(B4793,2)+1)</f>
        <v/>
      </c>
      <c r="M4793" s="5">
        <f>IF(L4793="","",L4793+6)</f>
        <v/>
      </c>
      <c r="N4793" s="6">
        <f>IF(OR(A4793="",B4793=""),"",DATE(YEAR(B4793),MONTH(B4793),1))</f>
        <v/>
      </c>
      <c r="O4793" s="7">
        <f>IF(COUNTA(A4793:K4793)=0,"",IF(OR(A4793="",B4793=""),"Preencher CPF e entrada",IF(COUNTIFS($A$12:$A$5011,A4793,$B$12:$B$5011,B4793)&gt;1,"CPF + dia duplicado",IF(OR(AND(G4793&lt;&gt;"",G4793&lt;&gt;0,G4793&lt;&gt;1),AND(H4793&lt;&gt;"",H4793&lt;&gt;0,H4793&lt;&gt;1)),"Flags devem ser 0 ou 1",IF(AND(H4793=1,LEN(TRIM(I4793))=0),"Preencher nome do indicante",IF(AND(H4793&lt;&gt;1,I4793&lt;&gt;""),"Nome sem indicação interna",IF(AND(G4793=1,F4793=""),"Fechamento sem conversa",IF(OR(AND(E4793&lt;&gt;"",E4793&lt;B4793),AND(F4793&lt;&gt;"",F4793&lt;B4793)),"Evento anterior à entrada",IF(AND(F4793&lt;&gt;"",E4793=""),"Conversa sem agendamento",IF(OR(E4793&gt;TODAY(),F4793&gt;TODAY()),"Verificar evento futuro","OK"))))))))))</f>
        <v/>
      </c>
    </row>
    <row r="4794" spans="12:15">
      <c r="L4794" s="5">
        <f>IF(OR(A4794="",B4794=""),"",B4794-WEEKDAY(B4794,2)+1)</f>
        <v/>
      </c>
      <c r="M4794" s="5">
        <f>IF(L4794="","",L4794+6)</f>
        <v/>
      </c>
      <c r="N4794" s="6">
        <f>IF(OR(A4794="",B4794=""),"",DATE(YEAR(B4794),MONTH(B4794),1))</f>
        <v/>
      </c>
      <c r="O4794" s="7">
        <f>IF(COUNTA(A4794:K4794)=0,"",IF(OR(A4794="",B4794=""),"Preencher CPF e entrada",IF(COUNTIFS($A$12:$A$5011,A4794,$B$12:$B$5011,B4794)&gt;1,"CPF + dia duplicado",IF(OR(AND(G4794&lt;&gt;"",G4794&lt;&gt;0,G4794&lt;&gt;1),AND(H4794&lt;&gt;"",H4794&lt;&gt;0,H4794&lt;&gt;1)),"Flags devem ser 0 ou 1",IF(AND(H4794=1,LEN(TRIM(I4794))=0),"Preencher nome do indicante",IF(AND(H4794&lt;&gt;1,I4794&lt;&gt;""),"Nome sem indicação interna",IF(AND(G4794=1,F4794=""),"Fechamento sem conversa",IF(OR(AND(E4794&lt;&gt;"",E4794&lt;B4794),AND(F4794&lt;&gt;"",F4794&lt;B4794)),"Evento anterior à entrada",IF(AND(F4794&lt;&gt;"",E4794=""),"Conversa sem agendamento",IF(OR(E4794&gt;TODAY(),F4794&gt;TODAY()),"Verificar evento futuro","OK"))))))))))</f>
        <v/>
      </c>
    </row>
    <row r="4795" spans="12:15">
      <c r="L4795" s="5">
        <f>IF(OR(A4795="",B4795=""),"",B4795-WEEKDAY(B4795,2)+1)</f>
        <v/>
      </c>
      <c r="M4795" s="5">
        <f>IF(L4795="","",L4795+6)</f>
        <v/>
      </c>
      <c r="N4795" s="6">
        <f>IF(OR(A4795="",B4795=""),"",DATE(YEAR(B4795),MONTH(B4795),1))</f>
        <v/>
      </c>
      <c r="O4795" s="7">
        <f>IF(COUNTA(A4795:K4795)=0,"",IF(OR(A4795="",B4795=""),"Preencher CPF e entrada",IF(COUNTIFS($A$12:$A$5011,A4795,$B$12:$B$5011,B4795)&gt;1,"CPF + dia duplicado",IF(OR(AND(G4795&lt;&gt;"",G4795&lt;&gt;0,G4795&lt;&gt;1),AND(H4795&lt;&gt;"",H4795&lt;&gt;0,H4795&lt;&gt;1)),"Flags devem ser 0 ou 1",IF(AND(H4795=1,LEN(TRIM(I4795))=0),"Preencher nome do indicante",IF(AND(H4795&lt;&gt;1,I4795&lt;&gt;""),"Nome sem indicação interna",IF(AND(G4795=1,F4795=""),"Fechamento sem conversa",IF(OR(AND(E4795&lt;&gt;"",E4795&lt;B4795),AND(F4795&lt;&gt;"",F4795&lt;B4795)),"Evento anterior à entrada",IF(AND(F4795&lt;&gt;"",E4795=""),"Conversa sem agendamento",IF(OR(E4795&gt;TODAY(),F4795&gt;TODAY()),"Verificar evento futuro","OK"))))))))))</f>
        <v/>
      </c>
    </row>
    <row r="4796" spans="12:15">
      <c r="L4796" s="5">
        <f>IF(OR(A4796="",B4796=""),"",B4796-WEEKDAY(B4796,2)+1)</f>
        <v/>
      </c>
      <c r="M4796" s="5">
        <f>IF(L4796="","",L4796+6)</f>
        <v/>
      </c>
      <c r="N4796" s="6">
        <f>IF(OR(A4796="",B4796=""),"",DATE(YEAR(B4796),MONTH(B4796),1))</f>
        <v/>
      </c>
      <c r="O4796" s="7">
        <f>IF(COUNTA(A4796:K4796)=0,"",IF(OR(A4796="",B4796=""),"Preencher CPF e entrada",IF(COUNTIFS($A$12:$A$5011,A4796,$B$12:$B$5011,B4796)&gt;1,"CPF + dia duplicado",IF(OR(AND(G4796&lt;&gt;"",G4796&lt;&gt;0,G4796&lt;&gt;1),AND(H4796&lt;&gt;"",H4796&lt;&gt;0,H4796&lt;&gt;1)),"Flags devem ser 0 ou 1",IF(AND(H4796=1,LEN(TRIM(I4796))=0),"Preencher nome do indicante",IF(AND(H4796&lt;&gt;1,I4796&lt;&gt;""),"Nome sem indicação interna",IF(AND(G4796=1,F4796=""),"Fechamento sem conversa",IF(OR(AND(E4796&lt;&gt;"",E4796&lt;B4796),AND(F4796&lt;&gt;"",F4796&lt;B4796)),"Evento anterior à entrada",IF(AND(F4796&lt;&gt;"",E4796=""),"Conversa sem agendamento",IF(OR(E4796&gt;TODAY(),F4796&gt;TODAY()),"Verificar evento futuro","OK"))))))))))</f>
        <v/>
      </c>
    </row>
    <row r="4797" spans="12:15">
      <c r="L4797" s="5">
        <f>IF(OR(A4797="",B4797=""),"",B4797-WEEKDAY(B4797,2)+1)</f>
        <v/>
      </c>
      <c r="M4797" s="5">
        <f>IF(L4797="","",L4797+6)</f>
        <v/>
      </c>
      <c r="N4797" s="6">
        <f>IF(OR(A4797="",B4797=""),"",DATE(YEAR(B4797),MONTH(B4797),1))</f>
        <v/>
      </c>
      <c r="O4797" s="7">
        <f>IF(COUNTA(A4797:K4797)=0,"",IF(OR(A4797="",B4797=""),"Preencher CPF e entrada",IF(COUNTIFS($A$12:$A$5011,A4797,$B$12:$B$5011,B4797)&gt;1,"CPF + dia duplicado",IF(OR(AND(G4797&lt;&gt;"",G4797&lt;&gt;0,G4797&lt;&gt;1),AND(H4797&lt;&gt;"",H4797&lt;&gt;0,H4797&lt;&gt;1)),"Flags devem ser 0 ou 1",IF(AND(H4797=1,LEN(TRIM(I4797))=0),"Preencher nome do indicante",IF(AND(H4797&lt;&gt;1,I4797&lt;&gt;""),"Nome sem indicação interna",IF(AND(G4797=1,F4797=""),"Fechamento sem conversa",IF(OR(AND(E4797&lt;&gt;"",E4797&lt;B4797),AND(F4797&lt;&gt;"",F4797&lt;B4797)),"Evento anterior à entrada",IF(AND(F4797&lt;&gt;"",E4797=""),"Conversa sem agendamento",IF(OR(E4797&gt;TODAY(),F4797&gt;TODAY()),"Verificar evento futuro","OK"))))))))))</f>
        <v/>
      </c>
    </row>
    <row r="4798" spans="12:15">
      <c r="L4798" s="5">
        <f>IF(OR(A4798="",B4798=""),"",B4798-WEEKDAY(B4798,2)+1)</f>
        <v/>
      </c>
      <c r="M4798" s="5">
        <f>IF(L4798="","",L4798+6)</f>
        <v/>
      </c>
      <c r="N4798" s="6">
        <f>IF(OR(A4798="",B4798=""),"",DATE(YEAR(B4798),MONTH(B4798),1))</f>
        <v/>
      </c>
      <c r="O4798" s="7">
        <f>IF(COUNTA(A4798:K4798)=0,"",IF(OR(A4798="",B4798=""),"Preencher CPF e entrada",IF(COUNTIFS($A$12:$A$5011,A4798,$B$12:$B$5011,B4798)&gt;1,"CPF + dia duplicado",IF(OR(AND(G4798&lt;&gt;"",G4798&lt;&gt;0,G4798&lt;&gt;1),AND(H4798&lt;&gt;"",H4798&lt;&gt;0,H4798&lt;&gt;1)),"Flags devem ser 0 ou 1",IF(AND(H4798=1,LEN(TRIM(I4798))=0),"Preencher nome do indicante",IF(AND(H4798&lt;&gt;1,I4798&lt;&gt;""),"Nome sem indicação interna",IF(AND(G4798=1,F4798=""),"Fechamento sem conversa",IF(OR(AND(E4798&lt;&gt;"",E4798&lt;B4798),AND(F4798&lt;&gt;"",F4798&lt;B4798)),"Evento anterior à entrada",IF(AND(F4798&lt;&gt;"",E4798=""),"Conversa sem agendamento",IF(OR(E4798&gt;TODAY(),F4798&gt;TODAY()),"Verificar evento futuro","OK"))))))))))</f>
        <v/>
      </c>
    </row>
    <row r="4799" spans="12:15">
      <c r="L4799" s="5">
        <f>IF(OR(A4799="",B4799=""),"",B4799-WEEKDAY(B4799,2)+1)</f>
        <v/>
      </c>
      <c r="M4799" s="5">
        <f>IF(L4799="","",L4799+6)</f>
        <v/>
      </c>
      <c r="N4799" s="6">
        <f>IF(OR(A4799="",B4799=""),"",DATE(YEAR(B4799),MONTH(B4799),1))</f>
        <v/>
      </c>
      <c r="O4799" s="7">
        <f>IF(COUNTA(A4799:K4799)=0,"",IF(OR(A4799="",B4799=""),"Preencher CPF e entrada",IF(COUNTIFS($A$12:$A$5011,A4799,$B$12:$B$5011,B4799)&gt;1,"CPF + dia duplicado",IF(OR(AND(G4799&lt;&gt;"",G4799&lt;&gt;0,G4799&lt;&gt;1),AND(H4799&lt;&gt;"",H4799&lt;&gt;0,H4799&lt;&gt;1)),"Flags devem ser 0 ou 1",IF(AND(H4799=1,LEN(TRIM(I4799))=0),"Preencher nome do indicante",IF(AND(H4799&lt;&gt;1,I4799&lt;&gt;""),"Nome sem indicação interna",IF(AND(G4799=1,F4799=""),"Fechamento sem conversa",IF(OR(AND(E4799&lt;&gt;"",E4799&lt;B4799),AND(F4799&lt;&gt;"",F4799&lt;B4799)),"Evento anterior à entrada",IF(AND(F4799&lt;&gt;"",E4799=""),"Conversa sem agendamento",IF(OR(E4799&gt;TODAY(),F4799&gt;TODAY()),"Verificar evento futuro","OK"))))))))))</f>
        <v/>
      </c>
    </row>
    <row r="4800" spans="12:15">
      <c r="L4800" s="5">
        <f>IF(OR(A4800="",B4800=""),"",B4800-WEEKDAY(B4800,2)+1)</f>
        <v/>
      </c>
      <c r="M4800" s="5">
        <f>IF(L4800="","",L4800+6)</f>
        <v/>
      </c>
      <c r="N4800" s="6">
        <f>IF(OR(A4800="",B4800=""),"",DATE(YEAR(B4800),MONTH(B4800),1))</f>
        <v/>
      </c>
      <c r="O4800" s="7">
        <f>IF(COUNTA(A4800:K4800)=0,"",IF(OR(A4800="",B4800=""),"Preencher CPF e entrada",IF(COUNTIFS($A$12:$A$5011,A4800,$B$12:$B$5011,B4800)&gt;1,"CPF + dia duplicado",IF(OR(AND(G4800&lt;&gt;"",G4800&lt;&gt;0,G4800&lt;&gt;1),AND(H4800&lt;&gt;"",H4800&lt;&gt;0,H4800&lt;&gt;1)),"Flags devem ser 0 ou 1",IF(AND(H4800=1,LEN(TRIM(I4800))=0),"Preencher nome do indicante",IF(AND(H4800&lt;&gt;1,I4800&lt;&gt;""),"Nome sem indicação interna",IF(AND(G4800=1,F4800=""),"Fechamento sem conversa",IF(OR(AND(E4800&lt;&gt;"",E4800&lt;B4800),AND(F4800&lt;&gt;"",F4800&lt;B4800)),"Evento anterior à entrada",IF(AND(F4800&lt;&gt;"",E4800=""),"Conversa sem agendamento",IF(OR(E4800&gt;TODAY(),F4800&gt;TODAY()),"Verificar evento futuro","OK"))))))))))</f>
        <v/>
      </c>
    </row>
    <row r="4801" spans="12:15">
      <c r="L4801" s="5">
        <f>IF(OR(A4801="",B4801=""),"",B4801-WEEKDAY(B4801,2)+1)</f>
        <v/>
      </c>
      <c r="M4801" s="5">
        <f>IF(L4801="","",L4801+6)</f>
        <v/>
      </c>
      <c r="N4801" s="6">
        <f>IF(OR(A4801="",B4801=""),"",DATE(YEAR(B4801),MONTH(B4801),1))</f>
        <v/>
      </c>
      <c r="O4801" s="7">
        <f>IF(COUNTA(A4801:K4801)=0,"",IF(OR(A4801="",B4801=""),"Preencher CPF e entrada",IF(COUNTIFS($A$12:$A$5011,A4801,$B$12:$B$5011,B4801)&gt;1,"CPF + dia duplicado",IF(OR(AND(G4801&lt;&gt;"",G4801&lt;&gt;0,G4801&lt;&gt;1),AND(H4801&lt;&gt;"",H4801&lt;&gt;0,H4801&lt;&gt;1)),"Flags devem ser 0 ou 1",IF(AND(H4801=1,LEN(TRIM(I4801))=0),"Preencher nome do indicante",IF(AND(H4801&lt;&gt;1,I4801&lt;&gt;""),"Nome sem indicação interna",IF(AND(G4801=1,F4801=""),"Fechamento sem conversa",IF(OR(AND(E4801&lt;&gt;"",E4801&lt;B4801),AND(F4801&lt;&gt;"",F4801&lt;B4801)),"Evento anterior à entrada",IF(AND(F4801&lt;&gt;"",E4801=""),"Conversa sem agendamento",IF(OR(E4801&gt;TODAY(),F4801&gt;TODAY()),"Verificar evento futuro","OK"))))))))))</f>
        <v/>
      </c>
    </row>
    <row r="4802" spans="12:15">
      <c r="L4802" s="5">
        <f>IF(OR(A4802="",B4802=""),"",B4802-WEEKDAY(B4802,2)+1)</f>
        <v/>
      </c>
      <c r="M4802" s="5">
        <f>IF(L4802="","",L4802+6)</f>
        <v/>
      </c>
      <c r="N4802" s="6">
        <f>IF(OR(A4802="",B4802=""),"",DATE(YEAR(B4802),MONTH(B4802),1))</f>
        <v/>
      </c>
      <c r="O4802" s="7">
        <f>IF(COUNTA(A4802:K4802)=0,"",IF(OR(A4802="",B4802=""),"Preencher CPF e entrada",IF(COUNTIFS($A$12:$A$5011,A4802,$B$12:$B$5011,B4802)&gt;1,"CPF + dia duplicado",IF(OR(AND(G4802&lt;&gt;"",G4802&lt;&gt;0,G4802&lt;&gt;1),AND(H4802&lt;&gt;"",H4802&lt;&gt;0,H4802&lt;&gt;1)),"Flags devem ser 0 ou 1",IF(AND(H4802=1,LEN(TRIM(I4802))=0),"Preencher nome do indicante",IF(AND(H4802&lt;&gt;1,I4802&lt;&gt;""),"Nome sem indicação interna",IF(AND(G4802=1,F4802=""),"Fechamento sem conversa",IF(OR(AND(E4802&lt;&gt;"",E4802&lt;B4802),AND(F4802&lt;&gt;"",F4802&lt;B4802)),"Evento anterior à entrada",IF(AND(F4802&lt;&gt;"",E4802=""),"Conversa sem agendamento",IF(OR(E4802&gt;TODAY(),F4802&gt;TODAY()),"Verificar evento futuro","OK"))))))))))</f>
        <v/>
      </c>
    </row>
    <row r="4803" spans="12:15">
      <c r="L4803" s="5">
        <f>IF(OR(A4803="",B4803=""),"",B4803-WEEKDAY(B4803,2)+1)</f>
        <v/>
      </c>
      <c r="M4803" s="5">
        <f>IF(L4803="","",L4803+6)</f>
        <v/>
      </c>
      <c r="N4803" s="6">
        <f>IF(OR(A4803="",B4803=""),"",DATE(YEAR(B4803),MONTH(B4803),1))</f>
        <v/>
      </c>
      <c r="O4803" s="7">
        <f>IF(COUNTA(A4803:K4803)=0,"",IF(OR(A4803="",B4803=""),"Preencher CPF e entrada",IF(COUNTIFS($A$12:$A$5011,A4803,$B$12:$B$5011,B4803)&gt;1,"CPF + dia duplicado",IF(OR(AND(G4803&lt;&gt;"",G4803&lt;&gt;0,G4803&lt;&gt;1),AND(H4803&lt;&gt;"",H4803&lt;&gt;0,H4803&lt;&gt;1)),"Flags devem ser 0 ou 1",IF(AND(H4803=1,LEN(TRIM(I4803))=0),"Preencher nome do indicante",IF(AND(H4803&lt;&gt;1,I4803&lt;&gt;""),"Nome sem indicação interna",IF(AND(G4803=1,F4803=""),"Fechamento sem conversa",IF(OR(AND(E4803&lt;&gt;"",E4803&lt;B4803),AND(F4803&lt;&gt;"",F4803&lt;B4803)),"Evento anterior à entrada",IF(AND(F4803&lt;&gt;"",E4803=""),"Conversa sem agendamento",IF(OR(E4803&gt;TODAY(),F4803&gt;TODAY()),"Verificar evento futuro","OK"))))))))))</f>
        <v/>
      </c>
    </row>
    <row r="4804" spans="12:15">
      <c r="L4804" s="5">
        <f>IF(OR(A4804="",B4804=""),"",B4804-WEEKDAY(B4804,2)+1)</f>
        <v/>
      </c>
      <c r="M4804" s="5">
        <f>IF(L4804="","",L4804+6)</f>
        <v/>
      </c>
      <c r="N4804" s="6">
        <f>IF(OR(A4804="",B4804=""),"",DATE(YEAR(B4804),MONTH(B4804),1))</f>
        <v/>
      </c>
      <c r="O4804" s="7">
        <f>IF(COUNTA(A4804:K4804)=0,"",IF(OR(A4804="",B4804=""),"Preencher CPF e entrada",IF(COUNTIFS($A$12:$A$5011,A4804,$B$12:$B$5011,B4804)&gt;1,"CPF + dia duplicado",IF(OR(AND(G4804&lt;&gt;"",G4804&lt;&gt;0,G4804&lt;&gt;1),AND(H4804&lt;&gt;"",H4804&lt;&gt;0,H4804&lt;&gt;1)),"Flags devem ser 0 ou 1",IF(AND(H4804=1,LEN(TRIM(I4804))=0),"Preencher nome do indicante",IF(AND(H4804&lt;&gt;1,I4804&lt;&gt;""),"Nome sem indicação interna",IF(AND(G4804=1,F4804=""),"Fechamento sem conversa",IF(OR(AND(E4804&lt;&gt;"",E4804&lt;B4804),AND(F4804&lt;&gt;"",F4804&lt;B4804)),"Evento anterior à entrada",IF(AND(F4804&lt;&gt;"",E4804=""),"Conversa sem agendamento",IF(OR(E4804&gt;TODAY(),F4804&gt;TODAY()),"Verificar evento futuro","OK"))))))))))</f>
        <v/>
      </c>
    </row>
    <row r="4805" spans="12:15">
      <c r="L4805" s="5">
        <f>IF(OR(A4805="",B4805=""),"",B4805-WEEKDAY(B4805,2)+1)</f>
        <v/>
      </c>
      <c r="M4805" s="5">
        <f>IF(L4805="","",L4805+6)</f>
        <v/>
      </c>
      <c r="N4805" s="6">
        <f>IF(OR(A4805="",B4805=""),"",DATE(YEAR(B4805),MONTH(B4805),1))</f>
        <v/>
      </c>
      <c r="O4805" s="7">
        <f>IF(COUNTA(A4805:K4805)=0,"",IF(OR(A4805="",B4805=""),"Preencher CPF e entrada",IF(COUNTIFS($A$12:$A$5011,A4805,$B$12:$B$5011,B4805)&gt;1,"CPF + dia duplicado",IF(OR(AND(G4805&lt;&gt;"",G4805&lt;&gt;0,G4805&lt;&gt;1),AND(H4805&lt;&gt;"",H4805&lt;&gt;0,H4805&lt;&gt;1)),"Flags devem ser 0 ou 1",IF(AND(H4805=1,LEN(TRIM(I4805))=0),"Preencher nome do indicante",IF(AND(H4805&lt;&gt;1,I4805&lt;&gt;""),"Nome sem indicação interna",IF(AND(G4805=1,F4805=""),"Fechamento sem conversa",IF(OR(AND(E4805&lt;&gt;"",E4805&lt;B4805),AND(F4805&lt;&gt;"",F4805&lt;B4805)),"Evento anterior à entrada",IF(AND(F4805&lt;&gt;"",E4805=""),"Conversa sem agendamento",IF(OR(E4805&gt;TODAY(),F4805&gt;TODAY()),"Verificar evento futuro","OK"))))))))))</f>
        <v/>
      </c>
    </row>
    <row r="4806" spans="12:15">
      <c r="L4806" s="5">
        <f>IF(OR(A4806="",B4806=""),"",B4806-WEEKDAY(B4806,2)+1)</f>
        <v/>
      </c>
      <c r="M4806" s="5">
        <f>IF(L4806="","",L4806+6)</f>
        <v/>
      </c>
      <c r="N4806" s="6">
        <f>IF(OR(A4806="",B4806=""),"",DATE(YEAR(B4806),MONTH(B4806),1))</f>
        <v/>
      </c>
      <c r="O4806" s="7">
        <f>IF(COUNTA(A4806:K4806)=0,"",IF(OR(A4806="",B4806=""),"Preencher CPF e entrada",IF(COUNTIFS($A$12:$A$5011,A4806,$B$12:$B$5011,B4806)&gt;1,"CPF + dia duplicado",IF(OR(AND(G4806&lt;&gt;"",G4806&lt;&gt;0,G4806&lt;&gt;1),AND(H4806&lt;&gt;"",H4806&lt;&gt;0,H4806&lt;&gt;1)),"Flags devem ser 0 ou 1",IF(AND(H4806=1,LEN(TRIM(I4806))=0),"Preencher nome do indicante",IF(AND(H4806&lt;&gt;1,I4806&lt;&gt;""),"Nome sem indicação interna",IF(AND(G4806=1,F4806=""),"Fechamento sem conversa",IF(OR(AND(E4806&lt;&gt;"",E4806&lt;B4806),AND(F4806&lt;&gt;"",F4806&lt;B4806)),"Evento anterior à entrada",IF(AND(F4806&lt;&gt;"",E4806=""),"Conversa sem agendamento",IF(OR(E4806&gt;TODAY(),F4806&gt;TODAY()),"Verificar evento futuro","OK"))))))))))</f>
        <v/>
      </c>
    </row>
    <row r="4807" spans="12:15">
      <c r="L4807" s="5">
        <f>IF(OR(A4807="",B4807=""),"",B4807-WEEKDAY(B4807,2)+1)</f>
        <v/>
      </c>
      <c r="M4807" s="5">
        <f>IF(L4807="","",L4807+6)</f>
        <v/>
      </c>
      <c r="N4807" s="6">
        <f>IF(OR(A4807="",B4807=""),"",DATE(YEAR(B4807),MONTH(B4807),1))</f>
        <v/>
      </c>
      <c r="O4807" s="7">
        <f>IF(COUNTA(A4807:K4807)=0,"",IF(OR(A4807="",B4807=""),"Preencher CPF e entrada",IF(COUNTIFS($A$12:$A$5011,A4807,$B$12:$B$5011,B4807)&gt;1,"CPF + dia duplicado",IF(OR(AND(G4807&lt;&gt;"",G4807&lt;&gt;0,G4807&lt;&gt;1),AND(H4807&lt;&gt;"",H4807&lt;&gt;0,H4807&lt;&gt;1)),"Flags devem ser 0 ou 1",IF(AND(H4807=1,LEN(TRIM(I4807))=0),"Preencher nome do indicante",IF(AND(H4807&lt;&gt;1,I4807&lt;&gt;""),"Nome sem indicação interna",IF(AND(G4807=1,F4807=""),"Fechamento sem conversa",IF(OR(AND(E4807&lt;&gt;"",E4807&lt;B4807),AND(F4807&lt;&gt;"",F4807&lt;B4807)),"Evento anterior à entrada",IF(AND(F4807&lt;&gt;"",E4807=""),"Conversa sem agendamento",IF(OR(E4807&gt;TODAY(),F4807&gt;TODAY()),"Verificar evento futuro","OK"))))))))))</f>
        <v/>
      </c>
    </row>
    <row r="4808" spans="12:15">
      <c r="L4808" s="5">
        <f>IF(OR(A4808="",B4808=""),"",B4808-WEEKDAY(B4808,2)+1)</f>
        <v/>
      </c>
      <c r="M4808" s="5">
        <f>IF(L4808="","",L4808+6)</f>
        <v/>
      </c>
      <c r="N4808" s="6">
        <f>IF(OR(A4808="",B4808=""),"",DATE(YEAR(B4808),MONTH(B4808),1))</f>
        <v/>
      </c>
      <c r="O4808" s="7">
        <f>IF(COUNTA(A4808:K4808)=0,"",IF(OR(A4808="",B4808=""),"Preencher CPF e entrada",IF(COUNTIFS($A$12:$A$5011,A4808,$B$12:$B$5011,B4808)&gt;1,"CPF + dia duplicado",IF(OR(AND(G4808&lt;&gt;"",G4808&lt;&gt;0,G4808&lt;&gt;1),AND(H4808&lt;&gt;"",H4808&lt;&gt;0,H4808&lt;&gt;1)),"Flags devem ser 0 ou 1",IF(AND(H4808=1,LEN(TRIM(I4808))=0),"Preencher nome do indicante",IF(AND(H4808&lt;&gt;1,I4808&lt;&gt;""),"Nome sem indicação interna",IF(AND(G4808=1,F4808=""),"Fechamento sem conversa",IF(OR(AND(E4808&lt;&gt;"",E4808&lt;B4808),AND(F4808&lt;&gt;"",F4808&lt;B4808)),"Evento anterior à entrada",IF(AND(F4808&lt;&gt;"",E4808=""),"Conversa sem agendamento",IF(OR(E4808&gt;TODAY(),F4808&gt;TODAY()),"Verificar evento futuro","OK"))))))))))</f>
        <v/>
      </c>
    </row>
    <row r="4809" spans="12:15">
      <c r="L4809" s="5">
        <f>IF(OR(A4809="",B4809=""),"",B4809-WEEKDAY(B4809,2)+1)</f>
        <v/>
      </c>
      <c r="M4809" s="5">
        <f>IF(L4809="","",L4809+6)</f>
        <v/>
      </c>
      <c r="N4809" s="6">
        <f>IF(OR(A4809="",B4809=""),"",DATE(YEAR(B4809),MONTH(B4809),1))</f>
        <v/>
      </c>
      <c r="O4809" s="7">
        <f>IF(COUNTA(A4809:K4809)=0,"",IF(OR(A4809="",B4809=""),"Preencher CPF e entrada",IF(COUNTIFS($A$12:$A$5011,A4809,$B$12:$B$5011,B4809)&gt;1,"CPF + dia duplicado",IF(OR(AND(G4809&lt;&gt;"",G4809&lt;&gt;0,G4809&lt;&gt;1),AND(H4809&lt;&gt;"",H4809&lt;&gt;0,H4809&lt;&gt;1)),"Flags devem ser 0 ou 1",IF(AND(H4809=1,LEN(TRIM(I4809))=0),"Preencher nome do indicante",IF(AND(H4809&lt;&gt;1,I4809&lt;&gt;""),"Nome sem indicação interna",IF(AND(G4809=1,F4809=""),"Fechamento sem conversa",IF(OR(AND(E4809&lt;&gt;"",E4809&lt;B4809),AND(F4809&lt;&gt;"",F4809&lt;B4809)),"Evento anterior à entrada",IF(AND(F4809&lt;&gt;"",E4809=""),"Conversa sem agendamento",IF(OR(E4809&gt;TODAY(),F4809&gt;TODAY()),"Verificar evento futuro","OK"))))))))))</f>
        <v/>
      </c>
    </row>
    <row r="4810" spans="12:15">
      <c r="L4810" s="5">
        <f>IF(OR(A4810="",B4810=""),"",B4810-WEEKDAY(B4810,2)+1)</f>
        <v/>
      </c>
      <c r="M4810" s="5">
        <f>IF(L4810="","",L4810+6)</f>
        <v/>
      </c>
      <c r="N4810" s="6">
        <f>IF(OR(A4810="",B4810=""),"",DATE(YEAR(B4810),MONTH(B4810),1))</f>
        <v/>
      </c>
      <c r="O4810" s="7">
        <f>IF(COUNTA(A4810:K4810)=0,"",IF(OR(A4810="",B4810=""),"Preencher CPF e entrada",IF(COUNTIFS($A$12:$A$5011,A4810,$B$12:$B$5011,B4810)&gt;1,"CPF + dia duplicado",IF(OR(AND(G4810&lt;&gt;"",G4810&lt;&gt;0,G4810&lt;&gt;1),AND(H4810&lt;&gt;"",H4810&lt;&gt;0,H4810&lt;&gt;1)),"Flags devem ser 0 ou 1",IF(AND(H4810=1,LEN(TRIM(I4810))=0),"Preencher nome do indicante",IF(AND(H4810&lt;&gt;1,I4810&lt;&gt;""),"Nome sem indicação interna",IF(AND(G4810=1,F4810=""),"Fechamento sem conversa",IF(OR(AND(E4810&lt;&gt;"",E4810&lt;B4810),AND(F4810&lt;&gt;"",F4810&lt;B4810)),"Evento anterior à entrada",IF(AND(F4810&lt;&gt;"",E4810=""),"Conversa sem agendamento",IF(OR(E4810&gt;TODAY(),F4810&gt;TODAY()),"Verificar evento futuro","OK"))))))))))</f>
        <v/>
      </c>
    </row>
    <row r="4811" spans="12:15">
      <c r="L4811" s="5">
        <f>IF(OR(A4811="",B4811=""),"",B4811-WEEKDAY(B4811,2)+1)</f>
        <v/>
      </c>
      <c r="M4811" s="5">
        <f>IF(L4811="","",L4811+6)</f>
        <v/>
      </c>
      <c r="N4811" s="6">
        <f>IF(OR(A4811="",B4811=""),"",DATE(YEAR(B4811),MONTH(B4811),1))</f>
        <v/>
      </c>
      <c r="O4811" s="7">
        <f>IF(COUNTA(A4811:K4811)=0,"",IF(OR(A4811="",B4811=""),"Preencher CPF e entrada",IF(COUNTIFS($A$12:$A$5011,A4811,$B$12:$B$5011,B4811)&gt;1,"CPF + dia duplicado",IF(OR(AND(G4811&lt;&gt;"",G4811&lt;&gt;0,G4811&lt;&gt;1),AND(H4811&lt;&gt;"",H4811&lt;&gt;0,H4811&lt;&gt;1)),"Flags devem ser 0 ou 1",IF(AND(H4811=1,LEN(TRIM(I4811))=0),"Preencher nome do indicante",IF(AND(H4811&lt;&gt;1,I4811&lt;&gt;""),"Nome sem indicação interna",IF(AND(G4811=1,F4811=""),"Fechamento sem conversa",IF(OR(AND(E4811&lt;&gt;"",E4811&lt;B4811),AND(F4811&lt;&gt;"",F4811&lt;B4811)),"Evento anterior à entrada",IF(AND(F4811&lt;&gt;"",E4811=""),"Conversa sem agendamento",IF(OR(E4811&gt;TODAY(),F4811&gt;TODAY()),"Verificar evento futuro","OK"))))))))))</f>
        <v/>
      </c>
    </row>
    <row r="4812" spans="12:15">
      <c r="L4812" s="5">
        <f>IF(OR(A4812="",B4812=""),"",B4812-WEEKDAY(B4812,2)+1)</f>
        <v/>
      </c>
      <c r="M4812" s="5">
        <f>IF(L4812="","",L4812+6)</f>
        <v/>
      </c>
      <c r="N4812" s="6">
        <f>IF(OR(A4812="",B4812=""),"",DATE(YEAR(B4812),MONTH(B4812),1))</f>
        <v/>
      </c>
      <c r="O4812" s="7">
        <f>IF(COUNTA(A4812:K4812)=0,"",IF(OR(A4812="",B4812=""),"Preencher CPF e entrada",IF(COUNTIFS($A$12:$A$5011,A4812,$B$12:$B$5011,B4812)&gt;1,"CPF + dia duplicado",IF(OR(AND(G4812&lt;&gt;"",G4812&lt;&gt;0,G4812&lt;&gt;1),AND(H4812&lt;&gt;"",H4812&lt;&gt;0,H4812&lt;&gt;1)),"Flags devem ser 0 ou 1",IF(AND(H4812=1,LEN(TRIM(I4812))=0),"Preencher nome do indicante",IF(AND(H4812&lt;&gt;1,I4812&lt;&gt;""),"Nome sem indicação interna",IF(AND(G4812=1,F4812=""),"Fechamento sem conversa",IF(OR(AND(E4812&lt;&gt;"",E4812&lt;B4812),AND(F4812&lt;&gt;"",F4812&lt;B4812)),"Evento anterior à entrada",IF(AND(F4812&lt;&gt;"",E4812=""),"Conversa sem agendamento",IF(OR(E4812&gt;TODAY(),F4812&gt;TODAY()),"Verificar evento futuro","OK"))))))))))</f>
        <v/>
      </c>
    </row>
    <row r="4813" spans="12:15">
      <c r="L4813" s="5">
        <f>IF(OR(A4813="",B4813=""),"",B4813-WEEKDAY(B4813,2)+1)</f>
        <v/>
      </c>
      <c r="M4813" s="5">
        <f>IF(L4813="","",L4813+6)</f>
        <v/>
      </c>
      <c r="N4813" s="6">
        <f>IF(OR(A4813="",B4813=""),"",DATE(YEAR(B4813),MONTH(B4813),1))</f>
        <v/>
      </c>
      <c r="O4813" s="7">
        <f>IF(COUNTA(A4813:K4813)=0,"",IF(OR(A4813="",B4813=""),"Preencher CPF e entrada",IF(COUNTIFS($A$12:$A$5011,A4813,$B$12:$B$5011,B4813)&gt;1,"CPF + dia duplicado",IF(OR(AND(G4813&lt;&gt;"",G4813&lt;&gt;0,G4813&lt;&gt;1),AND(H4813&lt;&gt;"",H4813&lt;&gt;0,H4813&lt;&gt;1)),"Flags devem ser 0 ou 1",IF(AND(H4813=1,LEN(TRIM(I4813))=0),"Preencher nome do indicante",IF(AND(H4813&lt;&gt;1,I4813&lt;&gt;""),"Nome sem indicação interna",IF(AND(G4813=1,F4813=""),"Fechamento sem conversa",IF(OR(AND(E4813&lt;&gt;"",E4813&lt;B4813),AND(F4813&lt;&gt;"",F4813&lt;B4813)),"Evento anterior à entrada",IF(AND(F4813&lt;&gt;"",E4813=""),"Conversa sem agendamento",IF(OR(E4813&gt;TODAY(),F4813&gt;TODAY()),"Verificar evento futuro","OK"))))))))))</f>
        <v/>
      </c>
    </row>
    <row r="4814" spans="12:15">
      <c r="L4814" s="5">
        <f>IF(OR(A4814="",B4814=""),"",B4814-WEEKDAY(B4814,2)+1)</f>
        <v/>
      </c>
      <c r="M4814" s="5">
        <f>IF(L4814="","",L4814+6)</f>
        <v/>
      </c>
      <c r="N4814" s="6">
        <f>IF(OR(A4814="",B4814=""),"",DATE(YEAR(B4814),MONTH(B4814),1))</f>
        <v/>
      </c>
      <c r="O4814" s="7">
        <f>IF(COUNTA(A4814:K4814)=0,"",IF(OR(A4814="",B4814=""),"Preencher CPF e entrada",IF(COUNTIFS($A$12:$A$5011,A4814,$B$12:$B$5011,B4814)&gt;1,"CPF + dia duplicado",IF(OR(AND(G4814&lt;&gt;"",G4814&lt;&gt;0,G4814&lt;&gt;1),AND(H4814&lt;&gt;"",H4814&lt;&gt;0,H4814&lt;&gt;1)),"Flags devem ser 0 ou 1",IF(AND(H4814=1,LEN(TRIM(I4814))=0),"Preencher nome do indicante",IF(AND(H4814&lt;&gt;1,I4814&lt;&gt;""),"Nome sem indicação interna",IF(AND(G4814=1,F4814=""),"Fechamento sem conversa",IF(OR(AND(E4814&lt;&gt;"",E4814&lt;B4814),AND(F4814&lt;&gt;"",F4814&lt;B4814)),"Evento anterior à entrada",IF(AND(F4814&lt;&gt;"",E4814=""),"Conversa sem agendamento",IF(OR(E4814&gt;TODAY(),F4814&gt;TODAY()),"Verificar evento futuro","OK"))))))))))</f>
        <v/>
      </c>
    </row>
    <row r="4815" spans="12:15">
      <c r="L4815" s="5">
        <f>IF(OR(A4815="",B4815=""),"",B4815-WEEKDAY(B4815,2)+1)</f>
        <v/>
      </c>
      <c r="M4815" s="5">
        <f>IF(L4815="","",L4815+6)</f>
        <v/>
      </c>
      <c r="N4815" s="6">
        <f>IF(OR(A4815="",B4815=""),"",DATE(YEAR(B4815),MONTH(B4815),1))</f>
        <v/>
      </c>
      <c r="O4815" s="7">
        <f>IF(COUNTA(A4815:K4815)=0,"",IF(OR(A4815="",B4815=""),"Preencher CPF e entrada",IF(COUNTIFS($A$12:$A$5011,A4815,$B$12:$B$5011,B4815)&gt;1,"CPF + dia duplicado",IF(OR(AND(G4815&lt;&gt;"",G4815&lt;&gt;0,G4815&lt;&gt;1),AND(H4815&lt;&gt;"",H4815&lt;&gt;0,H4815&lt;&gt;1)),"Flags devem ser 0 ou 1",IF(AND(H4815=1,LEN(TRIM(I4815))=0),"Preencher nome do indicante",IF(AND(H4815&lt;&gt;1,I4815&lt;&gt;""),"Nome sem indicação interna",IF(AND(G4815=1,F4815=""),"Fechamento sem conversa",IF(OR(AND(E4815&lt;&gt;"",E4815&lt;B4815),AND(F4815&lt;&gt;"",F4815&lt;B4815)),"Evento anterior à entrada",IF(AND(F4815&lt;&gt;"",E4815=""),"Conversa sem agendamento",IF(OR(E4815&gt;TODAY(),F4815&gt;TODAY()),"Verificar evento futuro","OK"))))))))))</f>
        <v/>
      </c>
    </row>
    <row r="4816" spans="12:15">
      <c r="L4816" s="5">
        <f>IF(OR(A4816="",B4816=""),"",B4816-WEEKDAY(B4816,2)+1)</f>
        <v/>
      </c>
      <c r="M4816" s="5">
        <f>IF(L4816="","",L4816+6)</f>
        <v/>
      </c>
      <c r="N4816" s="6">
        <f>IF(OR(A4816="",B4816=""),"",DATE(YEAR(B4816),MONTH(B4816),1))</f>
        <v/>
      </c>
      <c r="O4816" s="7">
        <f>IF(COUNTA(A4816:K4816)=0,"",IF(OR(A4816="",B4816=""),"Preencher CPF e entrada",IF(COUNTIFS($A$12:$A$5011,A4816,$B$12:$B$5011,B4816)&gt;1,"CPF + dia duplicado",IF(OR(AND(G4816&lt;&gt;"",G4816&lt;&gt;0,G4816&lt;&gt;1),AND(H4816&lt;&gt;"",H4816&lt;&gt;0,H4816&lt;&gt;1)),"Flags devem ser 0 ou 1",IF(AND(H4816=1,LEN(TRIM(I4816))=0),"Preencher nome do indicante",IF(AND(H4816&lt;&gt;1,I4816&lt;&gt;""),"Nome sem indicação interna",IF(AND(G4816=1,F4816=""),"Fechamento sem conversa",IF(OR(AND(E4816&lt;&gt;"",E4816&lt;B4816),AND(F4816&lt;&gt;"",F4816&lt;B4816)),"Evento anterior à entrada",IF(AND(F4816&lt;&gt;"",E4816=""),"Conversa sem agendamento",IF(OR(E4816&gt;TODAY(),F4816&gt;TODAY()),"Verificar evento futuro","OK"))))))))))</f>
        <v/>
      </c>
    </row>
    <row r="4817" spans="12:15">
      <c r="L4817" s="5">
        <f>IF(OR(A4817="",B4817=""),"",B4817-WEEKDAY(B4817,2)+1)</f>
        <v/>
      </c>
      <c r="M4817" s="5">
        <f>IF(L4817="","",L4817+6)</f>
        <v/>
      </c>
      <c r="N4817" s="6">
        <f>IF(OR(A4817="",B4817=""),"",DATE(YEAR(B4817),MONTH(B4817),1))</f>
        <v/>
      </c>
      <c r="O4817" s="7">
        <f>IF(COUNTA(A4817:K4817)=0,"",IF(OR(A4817="",B4817=""),"Preencher CPF e entrada",IF(COUNTIFS($A$12:$A$5011,A4817,$B$12:$B$5011,B4817)&gt;1,"CPF + dia duplicado",IF(OR(AND(G4817&lt;&gt;"",G4817&lt;&gt;0,G4817&lt;&gt;1),AND(H4817&lt;&gt;"",H4817&lt;&gt;0,H4817&lt;&gt;1)),"Flags devem ser 0 ou 1",IF(AND(H4817=1,LEN(TRIM(I4817))=0),"Preencher nome do indicante",IF(AND(H4817&lt;&gt;1,I4817&lt;&gt;""),"Nome sem indicação interna",IF(AND(G4817=1,F4817=""),"Fechamento sem conversa",IF(OR(AND(E4817&lt;&gt;"",E4817&lt;B4817),AND(F4817&lt;&gt;"",F4817&lt;B4817)),"Evento anterior à entrada",IF(AND(F4817&lt;&gt;"",E4817=""),"Conversa sem agendamento",IF(OR(E4817&gt;TODAY(),F4817&gt;TODAY()),"Verificar evento futuro","OK"))))))))))</f>
        <v/>
      </c>
    </row>
    <row r="4818" spans="12:15">
      <c r="L4818" s="5">
        <f>IF(OR(A4818="",B4818=""),"",B4818-WEEKDAY(B4818,2)+1)</f>
        <v/>
      </c>
      <c r="M4818" s="5">
        <f>IF(L4818="","",L4818+6)</f>
        <v/>
      </c>
      <c r="N4818" s="6">
        <f>IF(OR(A4818="",B4818=""),"",DATE(YEAR(B4818),MONTH(B4818),1))</f>
        <v/>
      </c>
      <c r="O4818" s="7">
        <f>IF(COUNTA(A4818:K4818)=0,"",IF(OR(A4818="",B4818=""),"Preencher CPF e entrada",IF(COUNTIFS($A$12:$A$5011,A4818,$B$12:$B$5011,B4818)&gt;1,"CPF + dia duplicado",IF(OR(AND(G4818&lt;&gt;"",G4818&lt;&gt;0,G4818&lt;&gt;1),AND(H4818&lt;&gt;"",H4818&lt;&gt;0,H4818&lt;&gt;1)),"Flags devem ser 0 ou 1",IF(AND(H4818=1,LEN(TRIM(I4818))=0),"Preencher nome do indicante",IF(AND(H4818&lt;&gt;1,I4818&lt;&gt;""),"Nome sem indicação interna",IF(AND(G4818=1,F4818=""),"Fechamento sem conversa",IF(OR(AND(E4818&lt;&gt;"",E4818&lt;B4818),AND(F4818&lt;&gt;"",F4818&lt;B4818)),"Evento anterior à entrada",IF(AND(F4818&lt;&gt;"",E4818=""),"Conversa sem agendamento",IF(OR(E4818&gt;TODAY(),F4818&gt;TODAY()),"Verificar evento futuro","OK"))))))))))</f>
        <v/>
      </c>
    </row>
    <row r="4819" spans="12:15">
      <c r="L4819" s="5">
        <f>IF(OR(A4819="",B4819=""),"",B4819-WEEKDAY(B4819,2)+1)</f>
        <v/>
      </c>
      <c r="M4819" s="5">
        <f>IF(L4819="","",L4819+6)</f>
        <v/>
      </c>
      <c r="N4819" s="6">
        <f>IF(OR(A4819="",B4819=""),"",DATE(YEAR(B4819),MONTH(B4819),1))</f>
        <v/>
      </c>
      <c r="O4819" s="7">
        <f>IF(COUNTA(A4819:K4819)=0,"",IF(OR(A4819="",B4819=""),"Preencher CPF e entrada",IF(COUNTIFS($A$12:$A$5011,A4819,$B$12:$B$5011,B4819)&gt;1,"CPF + dia duplicado",IF(OR(AND(G4819&lt;&gt;"",G4819&lt;&gt;0,G4819&lt;&gt;1),AND(H4819&lt;&gt;"",H4819&lt;&gt;0,H4819&lt;&gt;1)),"Flags devem ser 0 ou 1",IF(AND(H4819=1,LEN(TRIM(I4819))=0),"Preencher nome do indicante",IF(AND(H4819&lt;&gt;1,I4819&lt;&gt;""),"Nome sem indicação interna",IF(AND(G4819=1,F4819=""),"Fechamento sem conversa",IF(OR(AND(E4819&lt;&gt;"",E4819&lt;B4819),AND(F4819&lt;&gt;"",F4819&lt;B4819)),"Evento anterior à entrada",IF(AND(F4819&lt;&gt;"",E4819=""),"Conversa sem agendamento",IF(OR(E4819&gt;TODAY(),F4819&gt;TODAY()),"Verificar evento futuro","OK"))))))))))</f>
        <v/>
      </c>
    </row>
    <row r="4820" spans="12:15">
      <c r="L4820" s="5">
        <f>IF(OR(A4820="",B4820=""),"",B4820-WEEKDAY(B4820,2)+1)</f>
        <v/>
      </c>
      <c r="M4820" s="5">
        <f>IF(L4820="","",L4820+6)</f>
        <v/>
      </c>
      <c r="N4820" s="6">
        <f>IF(OR(A4820="",B4820=""),"",DATE(YEAR(B4820),MONTH(B4820),1))</f>
        <v/>
      </c>
      <c r="O4820" s="7">
        <f>IF(COUNTA(A4820:K4820)=0,"",IF(OR(A4820="",B4820=""),"Preencher CPF e entrada",IF(COUNTIFS($A$12:$A$5011,A4820,$B$12:$B$5011,B4820)&gt;1,"CPF + dia duplicado",IF(OR(AND(G4820&lt;&gt;"",G4820&lt;&gt;0,G4820&lt;&gt;1),AND(H4820&lt;&gt;"",H4820&lt;&gt;0,H4820&lt;&gt;1)),"Flags devem ser 0 ou 1",IF(AND(H4820=1,LEN(TRIM(I4820))=0),"Preencher nome do indicante",IF(AND(H4820&lt;&gt;1,I4820&lt;&gt;""),"Nome sem indicação interna",IF(AND(G4820=1,F4820=""),"Fechamento sem conversa",IF(OR(AND(E4820&lt;&gt;"",E4820&lt;B4820),AND(F4820&lt;&gt;"",F4820&lt;B4820)),"Evento anterior à entrada",IF(AND(F4820&lt;&gt;"",E4820=""),"Conversa sem agendamento",IF(OR(E4820&gt;TODAY(),F4820&gt;TODAY()),"Verificar evento futuro","OK"))))))))))</f>
        <v/>
      </c>
    </row>
    <row r="4821" spans="12:15">
      <c r="L4821" s="5">
        <f>IF(OR(A4821="",B4821=""),"",B4821-WEEKDAY(B4821,2)+1)</f>
        <v/>
      </c>
      <c r="M4821" s="5">
        <f>IF(L4821="","",L4821+6)</f>
        <v/>
      </c>
      <c r="N4821" s="6">
        <f>IF(OR(A4821="",B4821=""),"",DATE(YEAR(B4821),MONTH(B4821),1))</f>
        <v/>
      </c>
      <c r="O4821" s="7">
        <f>IF(COUNTA(A4821:K4821)=0,"",IF(OR(A4821="",B4821=""),"Preencher CPF e entrada",IF(COUNTIFS($A$12:$A$5011,A4821,$B$12:$B$5011,B4821)&gt;1,"CPF + dia duplicado",IF(OR(AND(G4821&lt;&gt;"",G4821&lt;&gt;0,G4821&lt;&gt;1),AND(H4821&lt;&gt;"",H4821&lt;&gt;0,H4821&lt;&gt;1)),"Flags devem ser 0 ou 1",IF(AND(H4821=1,LEN(TRIM(I4821))=0),"Preencher nome do indicante",IF(AND(H4821&lt;&gt;1,I4821&lt;&gt;""),"Nome sem indicação interna",IF(AND(G4821=1,F4821=""),"Fechamento sem conversa",IF(OR(AND(E4821&lt;&gt;"",E4821&lt;B4821),AND(F4821&lt;&gt;"",F4821&lt;B4821)),"Evento anterior à entrada",IF(AND(F4821&lt;&gt;"",E4821=""),"Conversa sem agendamento",IF(OR(E4821&gt;TODAY(),F4821&gt;TODAY()),"Verificar evento futuro","OK"))))))))))</f>
        <v/>
      </c>
    </row>
    <row r="4822" spans="12:15">
      <c r="L4822" s="5">
        <f>IF(OR(A4822="",B4822=""),"",B4822-WEEKDAY(B4822,2)+1)</f>
        <v/>
      </c>
      <c r="M4822" s="5">
        <f>IF(L4822="","",L4822+6)</f>
        <v/>
      </c>
      <c r="N4822" s="6">
        <f>IF(OR(A4822="",B4822=""),"",DATE(YEAR(B4822),MONTH(B4822),1))</f>
        <v/>
      </c>
      <c r="O4822" s="7">
        <f>IF(COUNTA(A4822:K4822)=0,"",IF(OR(A4822="",B4822=""),"Preencher CPF e entrada",IF(COUNTIFS($A$12:$A$5011,A4822,$B$12:$B$5011,B4822)&gt;1,"CPF + dia duplicado",IF(OR(AND(G4822&lt;&gt;"",G4822&lt;&gt;0,G4822&lt;&gt;1),AND(H4822&lt;&gt;"",H4822&lt;&gt;0,H4822&lt;&gt;1)),"Flags devem ser 0 ou 1",IF(AND(H4822=1,LEN(TRIM(I4822))=0),"Preencher nome do indicante",IF(AND(H4822&lt;&gt;1,I4822&lt;&gt;""),"Nome sem indicação interna",IF(AND(G4822=1,F4822=""),"Fechamento sem conversa",IF(OR(AND(E4822&lt;&gt;"",E4822&lt;B4822),AND(F4822&lt;&gt;"",F4822&lt;B4822)),"Evento anterior à entrada",IF(AND(F4822&lt;&gt;"",E4822=""),"Conversa sem agendamento",IF(OR(E4822&gt;TODAY(),F4822&gt;TODAY()),"Verificar evento futuro","OK"))))))))))</f>
        <v/>
      </c>
    </row>
    <row r="4823" spans="12:15">
      <c r="L4823" s="5">
        <f>IF(OR(A4823="",B4823=""),"",B4823-WEEKDAY(B4823,2)+1)</f>
        <v/>
      </c>
      <c r="M4823" s="5">
        <f>IF(L4823="","",L4823+6)</f>
        <v/>
      </c>
      <c r="N4823" s="6">
        <f>IF(OR(A4823="",B4823=""),"",DATE(YEAR(B4823),MONTH(B4823),1))</f>
        <v/>
      </c>
      <c r="O4823" s="7">
        <f>IF(COUNTA(A4823:K4823)=0,"",IF(OR(A4823="",B4823=""),"Preencher CPF e entrada",IF(COUNTIFS($A$12:$A$5011,A4823,$B$12:$B$5011,B4823)&gt;1,"CPF + dia duplicado",IF(OR(AND(G4823&lt;&gt;"",G4823&lt;&gt;0,G4823&lt;&gt;1),AND(H4823&lt;&gt;"",H4823&lt;&gt;0,H4823&lt;&gt;1)),"Flags devem ser 0 ou 1",IF(AND(H4823=1,LEN(TRIM(I4823))=0),"Preencher nome do indicante",IF(AND(H4823&lt;&gt;1,I4823&lt;&gt;""),"Nome sem indicação interna",IF(AND(G4823=1,F4823=""),"Fechamento sem conversa",IF(OR(AND(E4823&lt;&gt;"",E4823&lt;B4823),AND(F4823&lt;&gt;"",F4823&lt;B4823)),"Evento anterior à entrada",IF(AND(F4823&lt;&gt;"",E4823=""),"Conversa sem agendamento",IF(OR(E4823&gt;TODAY(),F4823&gt;TODAY()),"Verificar evento futuro","OK"))))))))))</f>
        <v/>
      </c>
    </row>
    <row r="4824" spans="12:15">
      <c r="L4824" s="5">
        <f>IF(OR(A4824="",B4824=""),"",B4824-WEEKDAY(B4824,2)+1)</f>
        <v/>
      </c>
      <c r="M4824" s="5">
        <f>IF(L4824="","",L4824+6)</f>
        <v/>
      </c>
      <c r="N4824" s="6">
        <f>IF(OR(A4824="",B4824=""),"",DATE(YEAR(B4824),MONTH(B4824),1))</f>
        <v/>
      </c>
      <c r="O4824" s="7">
        <f>IF(COUNTA(A4824:K4824)=0,"",IF(OR(A4824="",B4824=""),"Preencher CPF e entrada",IF(COUNTIFS($A$12:$A$5011,A4824,$B$12:$B$5011,B4824)&gt;1,"CPF + dia duplicado",IF(OR(AND(G4824&lt;&gt;"",G4824&lt;&gt;0,G4824&lt;&gt;1),AND(H4824&lt;&gt;"",H4824&lt;&gt;0,H4824&lt;&gt;1)),"Flags devem ser 0 ou 1",IF(AND(H4824=1,LEN(TRIM(I4824))=0),"Preencher nome do indicante",IF(AND(H4824&lt;&gt;1,I4824&lt;&gt;""),"Nome sem indicação interna",IF(AND(G4824=1,F4824=""),"Fechamento sem conversa",IF(OR(AND(E4824&lt;&gt;"",E4824&lt;B4824),AND(F4824&lt;&gt;"",F4824&lt;B4824)),"Evento anterior à entrada",IF(AND(F4824&lt;&gt;"",E4824=""),"Conversa sem agendamento",IF(OR(E4824&gt;TODAY(),F4824&gt;TODAY()),"Verificar evento futuro","OK"))))))))))</f>
        <v/>
      </c>
    </row>
    <row r="4825" spans="12:15">
      <c r="L4825" s="5">
        <f>IF(OR(A4825="",B4825=""),"",B4825-WEEKDAY(B4825,2)+1)</f>
        <v/>
      </c>
      <c r="M4825" s="5">
        <f>IF(L4825="","",L4825+6)</f>
        <v/>
      </c>
      <c r="N4825" s="6">
        <f>IF(OR(A4825="",B4825=""),"",DATE(YEAR(B4825),MONTH(B4825),1))</f>
        <v/>
      </c>
      <c r="O4825" s="7">
        <f>IF(COUNTA(A4825:K4825)=0,"",IF(OR(A4825="",B4825=""),"Preencher CPF e entrada",IF(COUNTIFS($A$12:$A$5011,A4825,$B$12:$B$5011,B4825)&gt;1,"CPF + dia duplicado",IF(OR(AND(G4825&lt;&gt;"",G4825&lt;&gt;0,G4825&lt;&gt;1),AND(H4825&lt;&gt;"",H4825&lt;&gt;0,H4825&lt;&gt;1)),"Flags devem ser 0 ou 1",IF(AND(H4825=1,LEN(TRIM(I4825))=0),"Preencher nome do indicante",IF(AND(H4825&lt;&gt;1,I4825&lt;&gt;""),"Nome sem indicação interna",IF(AND(G4825=1,F4825=""),"Fechamento sem conversa",IF(OR(AND(E4825&lt;&gt;"",E4825&lt;B4825),AND(F4825&lt;&gt;"",F4825&lt;B4825)),"Evento anterior à entrada",IF(AND(F4825&lt;&gt;"",E4825=""),"Conversa sem agendamento",IF(OR(E4825&gt;TODAY(),F4825&gt;TODAY()),"Verificar evento futuro","OK"))))))))))</f>
        <v/>
      </c>
    </row>
    <row r="4826" spans="12:15">
      <c r="L4826" s="5">
        <f>IF(OR(A4826="",B4826=""),"",B4826-WEEKDAY(B4826,2)+1)</f>
        <v/>
      </c>
      <c r="M4826" s="5">
        <f>IF(L4826="","",L4826+6)</f>
        <v/>
      </c>
      <c r="N4826" s="6">
        <f>IF(OR(A4826="",B4826=""),"",DATE(YEAR(B4826),MONTH(B4826),1))</f>
        <v/>
      </c>
      <c r="O4826" s="7">
        <f>IF(COUNTA(A4826:K4826)=0,"",IF(OR(A4826="",B4826=""),"Preencher CPF e entrada",IF(COUNTIFS($A$12:$A$5011,A4826,$B$12:$B$5011,B4826)&gt;1,"CPF + dia duplicado",IF(OR(AND(G4826&lt;&gt;"",G4826&lt;&gt;0,G4826&lt;&gt;1),AND(H4826&lt;&gt;"",H4826&lt;&gt;0,H4826&lt;&gt;1)),"Flags devem ser 0 ou 1",IF(AND(H4826=1,LEN(TRIM(I4826))=0),"Preencher nome do indicante",IF(AND(H4826&lt;&gt;1,I4826&lt;&gt;""),"Nome sem indicação interna",IF(AND(G4826=1,F4826=""),"Fechamento sem conversa",IF(OR(AND(E4826&lt;&gt;"",E4826&lt;B4826),AND(F4826&lt;&gt;"",F4826&lt;B4826)),"Evento anterior à entrada",IF(AND(F4826&lt;&gt;"",E4826=""),"Conversa sem agendamento",IF(OR(E4826&gt;TODAY(),F4826&gt;TODAY()),"Verificar evento futuro","OK"))))))))))</f>
        <v/>
      </c>
    </row>
    <row r="4827" spans="12:15">
      <c r="L4827" s="5">
        <f>IF(OR(A4827="",B4827=""),"",B4827-WEEKDAY(B4827,2)+1)</f>
        <v/>
      </c>
      <c r="M4827" s="5">
        <f>IF(L4827="","",L4827+6)</f>
        <v/>
      </c>
      <c r="N4827" s="6">
        <f>IF(OR(A4827="",B4827=""),"",DATE(YEAR(B4827),MONTH(B4827),1))</f>
        <v/>
      </c>
      <c r="O4827" s="7">
        <f>IF(COUNTA(A4827:K4827)=0,"",IF(OR(A4827="",B4827=""),"Preencher CPF e entrada",IF(COUNTIFS($A$12:$A$5011,A4827,$B$12:$B$5011,B4827)&gt;1,"CPF + dia duplicado",IF(OR(AND(G4827&lt;&gt;"",G4827&lt;&gt;0,G4827&lt;&gt;1),AND(H4827&lt;&gt;"",H4827&lt;&gt;0,H4827&lt;&gt;1)),"Flags devem ser 0 ou 1",IF(AND(H4827=1,LEN(TRIM(I4827))=0),"Preencher nome do indicante",IF(AND(H4827&lt;&gt;1,I4827&lt;&gt;""),"Nome sem indicação interna",IF(AND(G4827=1,F4827=""),"Fechamento sem conversa",IF(OR(AND(E4827&lt;&gt;"",E4827&lt;B4827),AND(F4827&lt;&gt;"",F4827&lt;B4827)),"Evento anterior à entrada",IF(AND(F4827&lt;&gt;"",E4827=""),"Conversa sem agendamento",IF(OR(E4827&gt;TODAY(),F4827&gt;TODAY()),"Verificar evento futuro","OK"))))))))))</f>
        <v/>
      </c>
    </row>
    <row r="4828" spans="12:15">
      <c r="L4828" s="5">
        <f>IF(OR(A4828="",B4828=""),"",B4828-WEEKDAY(B4828,2)+1)</f>
        <v/>
      </c>
      <c r="M4828" s="5">
        <f>IF(L4828="","",L4828+6)</f>
        <v/>
      </c>
      <c r="N4828" s="6">
        <f>IF(OR(A4828="",B4828=""),"",DATE(YEAR(B4828),MONTH(B4828),1))</f>
        <v/>
      </c>
      <c r="O4828" s="7">
        <f>IF(COUNTA(A4828:K4828)=0,"",IF(OR(A4828="",B4828=""),"Preencher CPF e entrada",IF(COUNTIFS($A$12:$A$5011,A4828,$B$12:$B$5011,B4828)&gt;1,"CPF + dia duplicado",IF(OR(AND(G4828&lt;&gt;"",G4828&lt;&gt;0,G4828&lt;&gt;1),AND(H4828&lt;&gt;"",H4828&lt;&gt;0,H4828&lt;&gt;1)),"Flags devem ser 0 ou 1",IF(AND(H4828=1,LEN(TRIM(I4828))=0),"Preencher nome do indicante",IF(AND(H4828&lt;&gt;1,I4828&lt;&gt;""),"Nome sem indicação interna",IF(AND(G4828=1,F4828=""),"Fechamento sem conversa",IF(OR(AND(E4828&lt;&gt;"",E4828&lt;B4828),AND(F4828&lt;&gt;"",F4828&lt;B4828)),"Evento anterior à entrada",IF(AND(F4828&lt;&gt;"",E4828=""),"Conversa sem agendamento",IF(OR(E4828&gt;TODAY(),F4828&gt;TODAY()),"Verificar evento futuro","OK"))))))))))</f>
        <v/>
      </c>
    </row>
    <row r="4829" spans="12:15">
      <c r="L4829" s="5">
        <f>IF(OR(A4829="",B4829=""),"",B4829-WEEKDAY(B4829,2)+1)</f>
        <v/>
      </c>
      <c r="M4829" s="5">
        <f>IF(L4829="","",L4829+6)</f>
        <v/>
      </c>
      <c r="N4829" s="6">
        <f>IF(OR(A4829="",B4829=""),"",DATE(YEAR(B4829),MONTH(B4829),1))</f>
        <v/>
      </c>
      <c r="O4829" s="7">
        <f>IF(COUNTA(A4829:K4829)=0,"",IF(OR(A4829="",B4829=""),"Preencher CPF e entrada",IF(COUNTIFS($A$12:$A$5011,A4829,$B$12:$B$5011,B4829)&gt;1,"CPF + dia duplicado",IF(OR(AND(G4829&lt;&gt;"",G4829&lt;&gt;0,G4829&lt;&gt;1),AND(H4829&lt;&gt;"",H4829&lt;&gt;0,H4829&lt;&gt;1)),"Flags devem ser 0 ou 1",IF(AND(H4829=1,LEN(TRIM(I4829))=0),"Preencher nome do indicante",IF(AND(H4829&lt;&gt;1,I4829&lt;&gt;""),"Nome sem indicação interna",IF(AND(G4829=1,F4829=""),"Fechamento sem conversa",IF(OR(AND(E4829&lt;&gt;"",E4829&lt;B4829),AND(F4829&lt;&gt;"",F4829&lt;B4829)),"Evento anterior à entrada",IF(AND(F4829&lt;&gt;"",E4829=""),"Conversa sem agendamento",IF(OR(E4829&gt;TODAY(),F4829&gt;TODAY()),"Verificar evento futuro","OK"))))))))))</f>
        <v/>
      </c>
    </row>
    <row r="4830" spans="12:15">
      <c r="L4830" s="5">
        <f>IF(OR(A4830="",B4830=""),"",B4830-WEEKDAY(B4830,2)+1)</f>
        <v/>
      </c>
      <c r="M4830" s="5">
        <f>IF(L4830="","",L4830+6)</f>
        <v/>
      </c>
      <c r="N4830" s="6">
        <f>IF(OR(A4830="",B4830=""),"",DATE(YEAR(B4830),MONTH(B4830),1))</f>
        <v/>
      </c>
      <c r="O4830" s="7">
        <f>IF(COUNTA(A4830:K4830)=0,"",IF(OR(A4830="",B4830=""),"Preencher CPF e entrada",IF(COUNTIFS($A$12:$A$5011,A4830,$B$12:$B$5011,B4830)&gt;1,"CPF + dia duplicado",IF(OR(AND(G4830&lt;&gt;"",G4830&lt;&gt;0,G4830&lt;&gt;1),AND(H4830&lt;&gt;"",H4830&lt;&gt;0,H4830&lt;&gt;1)),"Flags devem ser 0 ou 1",IF(AND(H4830=1,LEN(TRIM(I4830))=0),"Preencher nome do indicante",IF(AND(H4830&lt;&gt;1,I4830&lt;&gt;""),"Nome sem indicação interna",IF(AND(G4830=1,F4830=""),"Fechamento sem conversa",IF(OR(AND(E4830&lt;&gt;"",E4830&lt;B4830),AND(F4830&lt;&gt;"",F4830&lt;B4830)),"Evento anterior à entrada",IF(AND(F4830&lt;&gt;"",E4830=""),"Conversa sem agendamento",IF(OR(E4830&gt;TODAY(),F4830&gt;TODAY()),"Verificar evento futuro","OK"))))))))))</f>
        <v/>
      </c>
    </row>
    <row r="4831" spans="12:15">
      <c r="L4831" s="5">
        <f>IF(OR(A4831="",B4831=""),"",B4831-WEEKDAY(B4831,2)+1)</f>
        <v/>
      </c>
      <c r="M4831" s="5">
        <f>IF(L4831="","",L4831+6)</f>
        <v/>
      </c>
      <c r="N4831" s="6">
        <f>IF(OR(A4831="",B4831=""),"",DATE(YEAR(B4831),MONTH(B4831),1))</f>
        <v/>
      </c>
      <c r="O4831" s="7">
        <f>IF(COUNTA(A4831:K4831)=0,"",IF(OR(A4831="",B4831=""),"Preencher CPF e entrada",IF(COUNTIFS($A$12:$A$5011,A4831,$B$12:$B$5011,B4831)&gt;1,"CPF + dia duplicado",IF(OR(AND(G4831&lt;&gt;"",G4831&lt;&gt;0,G4831&lt;&gt;1),AND(H4831&lt;&gt;"",H4831&lt;&gt;0,H4831&lt;&gt;1)),"Flags devem ser 0 ou 1",IF(AND(H4831=1,LEN(TRIM(I4831))=0),"Preencher nome do indicante",IF(AND(H4831&lt;&gt;1,I4831&lt;&gt;""),"Nome sem indicação interna",IF(AND(G4831=1,F4831=""),"Fechamento sem conversa",IF(OR(AND(E4831&lt;&gt;"",E4831&lt;B4831),AND(F4831&lt;&gt;"",F4831&lt;B4831)),"Evento anterior à entrada",IF(AND(F4831&lt;&gt;"",E4831=""),"Conversa sem agendamento",IF(OR(E4831&gt;TODAY(),F4831&gt;TODAY()),"Verificar evento futuro","OK"))))))))))</f>
        <v/>
      </c>
    </row>
    <row r="4832" spans="12:15">
      <c r="L4832" s="5">
        <f>IF(OR(A4832="",B4832=""),"",B4832-WEEKDAY(B4832,2)+1)</f>
        <v/>
      </c>
      <c r="M4832" s="5">
        <f>IF(L4832="","",L4832+6)</f>
        <v/>
      </c>
      <c r="N4832" s="6">
        <f>IF(OR(A4832="",B4832=""),"",DATE(YEAR(B4832),MONTH(B4832),1))</f>
        <v/>
      </c>
      <c r="O4832" s="7">
        <f>IF(COUNTA(A4832:K4832)=0,"",IF(OR(A4832="",B4832=""),"Preencher CPF e entrada",IF(COUNTIFS($A$12:$A$5011,A4832,$B$12:$B$5011,B4832)&gt;1,"CPF + dia duplicado",IF(OR(AND(G4832&lt;&gt;"",G4832&lt;&gt;0,G4832&lt;&gt;1),AND(H4832&lt;&gt;"",H4832&lt;&gt;0,H4832&lt;&gt;1)),"Flags devem ser 0 ou 1",IF(AND(H4832=1,LEN(TRIM(I4832))=0),"Preencher nome do indicante",IF(AND(H4832&lt;&gt;1,I4832&lt;&gt;""),"Nome sem indicação interna",IF(AND(G4832=1,F4832=""),"Fechamento sem conversa",IF(OR(AND(E4832&lt;&gt;"",E4832&lt;B4832),AND(F4832&lt;&gt;"",F4832&lt;B4832)),"Evento anterior à entrada",IF(AND(F4832&lt;&gt;"",E4832=""),"Conversa sem agendamento",IF(OR(E4832&gt;TODAY(),F4832&gt;TODAY()),"Verificar evento futuro","OK"))))))))))</f>
        <v/>
      </c>
    </row>
    <row r="4833" spans="12:15">
      <c r="L4833" s="5">
        <f>IF(OR(A4833="",B4833=""),"",B4833-WEEKDAY(B4833,2)+1)</f>
        <v/>
      </c>
      <c r="M4833" s="5">
        <f>IF(L4833="","",L4833+6)</f>
        <v/>
      </c>
      <c r="N4833" s="6">
        <f>IF(OR(A4833="",B4833=""),"",DATE(YEAR(B4833),MONTH(B4833),1))</f>
        <v/>
      </c>
      <c r="O4833" s="7">
        <f>IF(COUNTA(A4833:K4833)=0,"",IF(OR(A4833="",B4833=""),"Preencher CPF e entrada",IF(COUNTIFS($A$12:$A$5011,A4833,$B$12:$B$5011,B4833)&gt;1,"CPF + dia duplicado",IF(OR(AND(G4833&lt;&gt;"",G4833&lt;&gt;0,G4833&lt;&gt;1),AND(H4833&lt;&gt;"",H4833&lt;&gt;0,H4833&lt;&gt;1)),"Flags devem ser 0 ou 1",IF(AND(H4833=1,LEN(TRIM(I4833))=0),"Preencher nome do indicante",IF(AND(H4833&lt;&gt;1,I4833&lt;&gt;""),"Nome sem indicação interna",IF(AND(G4833=1,F4833=""),"Fechamento sem conversa",IF(OR(AND(E4833&lt;&gt;"",E4833&lt;B4833),AND(F4833&lt;&gt;"",F4833&lt;B4833)),"Evento anterior à entrada",IF(AND(F4833&lt;&gt;"",E4833=""),"Conversa sem agendamento",IF(OR(E4833&gt;TODAY(),F4833&gt;TODAY()),"Verificar evento futuro","OK"))))))))))</f>
        <v/>
      </c>
    </row>
    <row r="4834" spans="12:15">
      <c r="L4834" s="5">
        <f>IF(OR(A4834="",B4834=""),"",B4834-WEEKDAY(B4834,2)+1)</f>
        <v/>
      </c>
      <c r="M4834" s="5">
        <f>IF(L4834="","",L4834+6)</f>
        <v/>
      </c>
      <c r="N4834" s="6">
        <f>IF(OR(A4834="",B4834=""),"",DATE(YEAR(B4834),MONTH(B4834),1))</f>
        <v/>
      </c>
      <c r="O4834" s="7">
        <f>IF(COUNTA(A4834:K4834)=0,"",IF(OR(A4834="",B4834=""),"Preencher CPF e entrada",IF(COUNTIFS($A$12:$A$5011,A4834,$B$12:$B$5011,B4834)&gt;1,"CPF + dia duplicado",IF(OR(AND(G4834&lt;&gt;"",G4834&lt;&gt;0,G4834&lt;&gt;1),AND(H4834&lt;&gt;"",H4834&lt;&gt;0,H4834&lt;&gt;1)),"Flags devem ser 0 ou 1",IF(AND(H4834=1,LEN(TRIM(I4834))=0),"Preencher nome do indicante",IF(AND(H4834&lt;&gt;1,I4834&lt;&gt;""),"Nome sem indicação interna",IF(AND(G4834=1,F4834=""),"Fechamento sem conversa",IF(OR(AND(E4834&lt;&gt;"",E4834&lt;B4834),AND(F4834&lt;&gt;"",F4834&lt;B4834)),"Evento anterior à entrada",IF(AND(F4834&lt;&gt;"",E4834=""),"Conversa sem agendamento",IF(OR(E4834&gt;TODAY(),F4834&gt;TODAY()),"Verificar evento futuro","OK"))))))))))</f>
        <v/>
      </c>
    </row>
    <row r="4835" spans="12:15">
      <c r="L4835" s="5">
        <f>IF(OR(A4835="",B4835=""),"",B4835-WEEKDAY(B4835,2)+1)</f>
        <v/>
      </c>
      <c r="M4835" s="5">
        <f>IF(L4835="","",L4835+6)</f>
        <v/>
      </c>
      <c r="N4835" s="6">
        <f>IF(OR(A4835="",B4835=""),"",DATE(YEAR(B4835),MONTH(B4835),1))</f>
        <v/>
      </c>
      <c r="O4835" s="7">
        <f>IF(COUNTA(A4835:K4835)=0,"",IF(OR(A4835="",B4835=""),"Preencher CPF e entrada",IF(COUNTIFS($A$12:$A$5011,A4835,$B$12:$B$5011,B4835)&gt;1,"CPF + dia duplicado",IF(OR(AND(G4835&lt;&gt;"",G4835&lt;&gt;0,G4835&lt;&gt;1),AND(H4835&lt;&gt;"",H4835&lt;&gt;0,H4835&lt;&gt;1)),"Flags devem ser 0 ou 1",IF(AND(H4835=1,LEN(TRIM(I4835))=0),"Preencher nome do indicante",IF(AND(H4835&lt;&gt;1,I4835&lt;&gt;""),"Nome sem indicação interna",IF(AND(G4835=1,F4835=""),"Fechamento sem conversa",IF(OR(AND(E4835&lt;&gt;"",E4835&lt;B4835),AND(F4835&lt;&gt;"",F4835&lt;B4835)),"Evento anterior à entrada",IF(AND(F4835&lt;&gt;"",E4835=""),"Conversa sem agendamento",IF(OR(E4835&gt;TODAY(),F4835&gt;TODAY()),"Verificar evento futuro","OK"))))))))))</f>
        <v/>
      </c>
    </row>
    <row r="4836" spans="12:15">
      <c r="L4836" s="5">
        <f>IF(OR(A4836="",B4836=""),"",B4836-WEEKDAY(B4836,2)+1)</f>
        <v/>
      </c>
      <c r="M4836" s="5">
        <f>IF(L4836="","",L4836+6)</f>
        <v/>
      </c>
      <c r="N4836" s="6">
        <f>IF(OR(A4836="",B4836=""),"",DATE(YEAR(B4836),MONTH(B4836),1))</f>
        <v/>
      </c>
      <c r="O4836" s="7">
        <f>IF(COUNTA(A4836:K4836)=0,"",IF(OR(A4836="",B4836=""),"Preencher CPF e entrada",IF(COUNTIFS($A$12:$A$5011,A4836,$B$12:$B$5011,B4836)&gt;1,"CPF + dia duplicado",IF(OR(AND(G4836&lt;&gt;"",G4836&lt;&gt;0,G4836&lt;&gt;1),AND(H4836&lt;&gt;"",H4836&lt;&gt;0,H4836&lt;&gt;1)),"Flags devem ser 0 ou 1",IF(AND(H4836=1,LEN(TRIM(I4836))=0),"Preencher nome do indicante",IF(AND(H4836&lt;&gt;1,I4836&lt;&gt;""),"Nome sem indicação interna",IF(AND(G4836=1,F4836=""),"Fechamento sem conversa",IF(OR(AND(E4836&lt;&gt;"",E4836&lt;B4836),AND(F4836&lt;&gt;"",F4836&lt;B4836)),"Evento anterior à entrada",IF(AND(F4836&lt;&gt;"",E4836=""),"Conversa sem agendamento",IF(OR(E4836&gt;TODAY(),F4836&gt;TODAY()),"Verificar evento futuro","OK"))))))))))</f>
        <v/>
      </c>
    </row>
    <row r="4837" spans="12:15">
      <c r="L4837" s="5">
        <f>IF(OR(A4837="",B4837=""),"",B4837-WEEKDAY(B4837,2)+1)</f>
        <v/>
      </c>
      <c r="M4837" s="5">
        <f>IF(L4837="","",L4837+6)</f>
        <v/>
      </c>
      <c r="N4837" s="6">
        <f>IF(OR(A4837="",B4837=""),"",DATE(YEAR(B4837),MONTH(B4837),1))</f>
        <v/>
      </c>
      <c r="O4837" s="7">
        <f>IF(COUNTA(A4837:K4837)=0,"",IF(OR(A4837="",B4837=""),"Preencher CPF e entrada",IF(COUNTIFS($A$12:$A$5011,A4837,$B$12:$B$5011,B4837)&gt;1,"CPF + dia duplicado",IF(OR(AND(G4837&lt;&gt;"",G4837&lt;&gt;0,G4837&lt;&gt;1),AND(H4837&lt;&gt;"",H4837&lt;&gt;0,H4837&lt;&gt;1)),"Flags devem ser 0 ou 1",IF(AND(H4837=1,LEN(TRIM(I4837))=0),"Preencher nome do indicante",IF(AND(H4837&lt;&gt;1,I4837&lt;&gt;""),"Nome sem indicação interna",IF(AND(G4837=1,F4837=""),"Fechamento sem conversa",IF(OR(AND(E4837&lt;&gt;"",E4837&lt;B4837),AND(F4837&lt;&gt;"",F4837&lt;B4837)),"Evento anterior à entrada",IF(AND(F4837&lt;&gt;"",E4837=""),"Conversa sem agendamento",IF(OR(E4837&gt;TODAY(),F4837&gt;TODAY()),"Verificar evento futuro","OK"))))))))))</f>
        <v/>
      </c>
    </row>
    <row r="4838" spans="12:15">
      <c r="L4838" s="5">
        <f>IF(OR(A4838="",B4838=""),"",B4838-WEEKDAY(B4838,2)+1)</f>
        <v/>
      </c>
      <c r="M4838" s="5">
        <f>IF(L4838="","",L4838+6)</f>
        <v/>
      </c>
      <c r="N4838" s="6">
        <f>IF(OR(A4838="",B4838=""),"",DATE(YEAR(B4838),MONTH(B4838),1))</f>
        <v/>
      </c>
      <c r="O4838" s="7">
        <f>IF(COUNTA(A4838:K4838)=0,"",IF(OR(A4838="",B4838=""),"Preencher CPF e entrada",IF(COUNTIFS($A$12:$A$5011,A4838,$B$12:$B$5011,B4838)&gt;1,"CPF + dia duplicado",IF(OR(AND(G4838&lt;&gt;"",G4838&lt;&gt;0,G4838&lt;&gt;1),AND(H4838&lt;&gt;"",H4838&lt;&gt;0,H4838&lt;&gt;1)),"Flags devem ser 0 ou 1",IF(AND(H4838=1,LEN(TRIM(I4838))=0),"Preencher nome do indicante",IF(AND(H4838&lt;&gt;1,I4838&lt;&gt;""),"Nome sem indicação interna",IF(AND(G4838=1,F4838=""),"Fechamento sem conversa",IF(OR(AND(E4838&lt;&gt;"",E4838&lt;B4838),AND(F4838&lt;&gt;"",F4838&lt;B4838)),"Evento anterior à entrada",IF(AND(F4838&lt;&gt;"",E4838=""),"Conversa sem agendamento",IF(OR(E4838&gt;TODAY(),F4838&gt;TODAY()),"Verificar evento futuro","OK"))))))))))</f>
        <v/>
      </c>
    </row>
    <row r="4839" spans="12:15">
      <c r="L4839" s="5">
        <f>IF(OR(A4839="",B4839=""),"",B4839-WEEKDAY(B4839,2)+1)</f>
        <v/>
      </c>
      <c r="M4839" s="5">
        <f>IF(L4839="","",L4839+6)</f>
        <v/>
      </c>
      <c r="N4839" s="6">
        <f>IF(OR(A4839="",B4839=""),"",DATE(YEAR(B4839),MONTH(B4839),1))</f>
        <v/>
      </c>
      <c r="O4839" s="7">
        <f>IF(COUNTA(A4839:K4839)=0,"",IF(OR(A4839="",B4839=""),"Preencher CPF e entrada",IF(COUNTIFS($A$12:$A$5011,A4839,$B$12:$B$5011,B4839)&gt;1,"CPF + dia duplicado",IF(OR(AND(G4839&lt;&gt;"",G4839&lt;&gt;0,G4839&lt;&gt;1),AND(H4839&lt;&gt;"",H4839&lt;&gt;0,H4839&lt;&gt;1)),"Flags devem ser 0 ou 1",IF(AND(H4839=1,LEN(TRIM(I4839))=0),"Preencher nome do indicante",IF(AND(H4839&lt;&gt;1,I4839&lt;&gt;""),"Nome sem indicação interna",IF(AND(G4839=1,F4839=""),"Fechamento sem conversa",IF(OR(AND(E4839&lt;&gt;"",E4839&lt;B4839),AND(F4839&lt;&gt;"",F4839&lt;B4839)),"Evento anterior à entrada",IF(AND(F4839&lt;&gt;"",E4839=""),"Conversa sem agendamento",IF(OR(E4839&gt;TODAY(),F4839&gt;TODAY()),"Verificar evento futuro","OK"))))))))))</f>
        <v/>
      </c>
    </row>
    <row r="4840" spans="12:15">
      <c r="L4840" s="5">
        <f>IF(OR(A4840="",B4840=""),"",B4840-WEEKDAY(B4840,2)+1)</f>
        <v/>
      </c>
      <c r="M4840" s="5">
        <f>IF(L4840="","",L4840+6)</f>
        <v/>
      </c>
      <c r="N4840" s="6">
        <f>IF(OR(A4840="",B4840=""),"",DATE(YEAR(B4840),MONTH(B4840),1))</f>
        <v/>
      </c>
      <c r="O4840" s="7">
        <f>IF(COUNTA(A4840:K4840)=0,"",IF(OR(A4840="",B4840=""),"Preencher CPF e entrada",IF(COUNTIFS($A$12:$A$5011,A4840,$B$12:$B$5011,B4840)&gt;1,"CPF + dia duplicado",IF(OR(AND(G4840&lt;&gt;"",G4840&lt;&gt;0,G4840&lt;&gt;1),AND(H4840&lt;&gt;"",H4840&lt;&gt;0,H4840&lt;&gt;1)),"Flags devem ser 0 ou 1",IF(AND(H4840=1,LEN(TRIM(I4840))=0),"Preencher nome do indicante",IF(AND(H4840&lt;&gt;1,I4840&lt;&gt;""),"Nome sem indicação interna",IF(AND(G4840=1,F4840=""),"Fechamento sem conversa",IF(OR(AND(E4840&lt;&gt;"",E4840&lt;B4840),AND(F4840&lt;&gt;"",F4840&lt;B4840)),"Evento anterior à entrada",IF(AND(F4840&lt;&gt;"",E4840=""),"Conversa sem agendamento",IF(OR(E4840&gt;TODAY(),F4840&gt;TODAY()),"Verificar evento futuro","OK"))))))))))</f>
        <v/>
      </c>
    </row>
    <row r="4841" spans="12:15">
      <c r="L4841" s="5">
        <f>IF(OR(A4841="",B4841=""),"",B4841-WEEKDAY(B4841,2)+1)</f>
        <v/>
      </c>
      <c r="M4841" s="5">
        <f>IF(L4841="","",L4841+6)</f>
        <v/>
      </c>
      <c r="N4841" s="6">
        <f>IF(OR(A4841="",B4841=""),"",DATE(YEAR(B4841),MONTH(B4841),1))</f>
        <v/>
      </c>
      <c r="O4841" s="7">
        <f>IF(COUNTA(A4841:K4841)=0,"",IF(OR(A4841="",B4841=""),"Preencher CPF e entrada",IF(COUNTIFS($A$12:$A$5011,A4841,$B$12:$B$5011,B4841)&gt;1,"CPF + dia duplicado",IF(OR(AND(G4841&lt;&gt;"",G4841&lt;&gt;0,G4841&lt;&gt;1),AND(H4841&lt;&gt;"",H4841&lt;&gt;0,H4841&lt;&gt;1)),"Flags devem ser 0 ou 1",IF(AND(H4841=1,LEN(TRIM(I4841))=0),"Preencher nome do indicante",IF(AND(H4841&lt;&gt;1,I4841&lt;&gt;""),"Nome sem indicação interna",IF(AND(G4841=1,F4841=""),"Fechamento sem conversa",IF(OR(AND(E4841&lt;&gt;"",E4841&lt;B4841),AND(F4841&lt;&gt;"",F4841&lt;B4841)),"Evento anterior à entrada",IF(AND(F4841&lt;&gt;"",E4841=""),"Conversa sem agendamento",IF(OR(E4841&gt;TODAY(),F4841&gt;TODAY()),"Verificar evento futuro","OK"))))))))))</f>
        <v/>
      </c>
    </row>
    <row r="4842" spans="12:15">
      <c r="L4842" s="5">
        <f>IF(OR(A4842="",B4842=""),"",B4842-WEEKDAY(B4842,2)+1)</f>
        <v/>
      </c>
      <c r="M4842" s="5">
        <f>IF(L4842="","",L4842+6)</f>
        <v/>
      </c>
      <c r="N4842" s="6">
        <f>IF(OR(A4842="",B4842=""),"",DATE(YEAR(B4842),MONTH(B4842),1))</f>
        <v/>
      </c>
      <c r="O4842" s="7">
        <f>IF(COUNTA(A4842:K4842)=0,"",IF(OR(A4842="",B4842=""),"Preencher CPF e entrada",IF(COUNTIFS($A$12:$A$5011,A4842,$B$12:$B$5011,B4842)&gt;1,"CPF + dia duplicado",IF(OR(AND(G4842&lt;&gt;"",G4842&lt;&gt;0,G4842&lt;&gt;1),AND(H4842&lt;&gt;"",H4842&lt;&gt;0,H4842&lt;&gt;1)),"Flags devem ser 0 ou 1",IF(AND(H4842=1,LEN(TRIM(I4842))=0),"Preencher nome do indicante",IF(AND(H4842&lt;&gt;1,I4842&lt;&gt;""),"Nome sem indicação interna",IF(AND(G4842=1,F4842=""),"Fechamento sem conversa",IF(OR(AND(E4842&lt;&gt;"",E4842&lt;B4842),AND(F4842&lt;&gt;"",F4842&lt;B4842)),"Evento anterior à entrada",IF(AND(F4842&lt;&gt;"",E4842=""),"Conversa sem agendamento",IF(OR(E4842&gt;TODAY(),F4842&gt;TODAY()),"Verificar evento futuro","OK"))))))))))</f>
        <v/>
      </c>
    </row>
    <row r="4843" spans="12:15">
      <c r="L4843" s="5">
        <f>IF(OR(A4843="",B4843=""),"",B4843-WEEKDAY(B4843,2)+1)</f>
        <v/>
      </c>
      <c r="M4843" s="5">
        <f>IF(L4843="","",L4843+6)</f>
        <v/>
      </c>
      <c r="N4843" s="6">
        <f>IF(OR(A4843="",B4843=""),"",DATE(YEAR(B4843),MONTH(B4843),1))</f>
        <v/>
      </c>
      <c r="O4843" s="7">
        <f>IF(COUNTA(A4843:K4843)=0,"",IF(OR(A4843="",B4843=""),"Preencher CPF e entrada",IF(COUNTIFS($A$12:$A$5011,A4843,$B$12:$B$5011,B4843)&gt;1,"CPF + dia duplicado",IF(OR(AND(G4843&lt;&gt;"",G4843&lt;&gt;0,G4843&lt;&gt;1),AND(H4843&lt;&gt;"",H4843&lt;&gt;0,H4843&lt;&gt;1)),"Flags devem ser 0 ou 1",IF(AND(H4843=1,LEN(TRIM(I4843))=0),"Preencher nome do indicante",IF(AND(H4843&lt;&gt;1,I4843&lt;&gt;""),"Nome sem indicação interna",IF(AND(G4843=1,F4843=""),"Fechamento sem conversa",IF(OR(AND(E4843&lt;&gt;"",E4843&lt;B4843),AND(F4843&lt;&gt;"",F4843&lt;B4843)),"Evento anterior à entrada",IF(AND(F4843&lt;&gt;"",E4843=""),"Conversa sem agendamento",IF(OR(E4843&gt;TODAY(),F4843&gt;TODAY()),"Verificar evento futuro","OK"))))))))))</f>
        <v/>
      </c>
    </row>
    <row r="4844" spans="12:15">
      <c r="L4844" s="5">
        <f>IF(OR(A4844="",B4844=""),"",B4844-WEEKDAY(B4844,2)+1)</f>
        <v/>
      </c>
      <c r="M4844" s="5">
        <f>IF(L4844="","",L4844+6)</f>
        <v/>
      </c>
      <c r="N4844" s="6">
        <f>IF(OR(A4844="",B4844=""),"",DATE(YEAR(B4844),MONTH(B4844),1))</f>
        <v/>
      </c>
      <c r="O4844" s="7">
        <f>IF(COUNTA(A4844:K4844)=0,"",IF(OR(A4844="",B4844=""),"Preencher CPF e entrada",IF(COUNTIFS($A$12:$A$5011,A4844,$B$12:$B$5011,B4844)&gt;1,"CPF + dia duplicado",IF(OR(AND(G4844&lt;&gt;"",G4844&lt;&gt;0,G4844&lt;&gt;1),AND(H4844&lt;&gt;"",H4844&lt;&gt;0,H4844&lt;&gt;1)),"Flags devem ser 0 ou 1",IF(AND(H4844=1,LEN(TRIM(I4844))=0),"Preencher nome do indicante",IF(AND(H4844&lt;&gt;1,I4844&lt;&gt;""),"Nome sem indicação interna",IF(AND(G4844=1,F4844=""),"Fechamento sem conversa",IF(OR(AND(E4844&lt;&gt;"",E4844&lt;B4844),AND(F4844&lt;&gt;"",F4844&lt;B4844)),"Evento anterior à entrada",IF(AND(F4844&lt;&gt;"",E4844=""),"Conversa sem agendamento",IF(OR(E4844&gt;TODAY(),F4844&gt;TODAY()),"Verificar evento futuro","OK"))))))))))</f>
        <v/>
      </c>
    </row>
    <row r="4845" spans="12:15">
      <c r="L4845" s="5">
        <f>IF(OR(A4845="",B4845=""),"",B4845-WEEKDAY(B4845,2)+1)</f>
        <v/>
      </c>
      <c r="M4845" s="5">
        <f>IF(L4845="","",L4845+6)</f>
        <v/>
      </c>
      <c r="N4845" s="6">
        <f>IF(OR(A4845="",B4845=""),"",DATE(YEAR(B4845),MONTH(B4845),1))</f>
        <v/>
      </c>
      <c r="O4845" s="7">
        <f>IF(COUNTA(A4845:K4845)=0,"",IF(OR(A4845="",B4845=""),"Preencher CPF e entrada",IF(COUNTIFS($A$12:$A$5011,A4845,$B$12:$B$5011,B4845)&gt;1,"CPF + dia duplicado",IF(OR(AND(G4845&lt;&gt;"",G4845&lt;&gt;0,G4845&lt;&gt;1),AND(H4845&lt;&gt;"",H4845&lt;&gt;0,H4845&lt;&gt;1)),"Flags devem ser 0 ou 1",IF(AND(H4845=1,LEN(TRIM(I4845))=0),"Preencher nome do indicante",IF(AND(H4845&lt;&gt;1,I4845&lt;&gt;""),"Nome sem indicação interna",IF(AND(G4845=1,F4845=""),"Fechamento sem conversa",IF(OR(AND(E4845&lt;&gt;"",E4845&lt;B4845),AND(F4845&lt;&gt;"",F4845&lt;B4845)),"Evento anterior à entrada",IF(AND(F4845&lt;&gt;"",E4845=""),"Conversa sem agendamento",IF(OR(E4845&gt;TODAY(),F4845&gt;TODAY()),"Verificar evento futuro","OK"))))))))))</f>
        <v/>
      </c>
    </row>
    <row r="4846" spans="12:15">
      <c r="L4846" s="5">
        <f>IF(OR(A4846="",B4846=""),"",B4846-WEEKDAY(B4846,2)+1)</f>
        <v/>
      </c>
      <c r="M4846" s="5">
        <f>IF(L4846="","",L4846+6)</f>
        <v/>
      </c>
      <c r="N4846" s="6">
        <f>IF(OR(A4846="",B4846=""),"",DATE(YEAR(B4846),MONTH(B4846),1))</f>
        <v/>
      </c>
      <c r="O4846" s="7">
        <f>IF(COUNTA(A4846:K4846)=0,"",IF(OR(A4846="",B4846=""),"Preencher CPF e entrada",IF(COUNTIFS($A$12:$A$5011,A4846,$B$12:$B$5011,B4846)&gt;1,"CPF + dia duplicado",IF(OR(AND(G4846&lt;&gt;"",G4846&lt;&gt;0,G4846&lt;&gt;1),AND(H4846&lt;&gt;"",H4846&lt;&gt;0,H4846&lt;&gt;1)),"Flags devem ser 0 ou 1",IF(AND(H4846=1,LEN(TRIM(I4846))=0),"Preencher nome do indicante",IF(AND(H4846&lt;&gt;1,I4846&lt;&gt;""),"Nome sem indicação interna",IF(AND(G4846=1,F4846=""),"Fechamento sem conversa",IF(OR(AND(E4846&lt;&gt;"",E4846&lt;B4846),AND(F4846&lt;&gt;"",F4846&lt;B4846)),"Evento anterior à entrada",IF(AND(F4846&lt;&gt;"",E4846=""),"Conversa sem agendamento",IF(OR(E4846&gt;TODAY(),F4846&gt;TODAY()),"Verificar evento futuro","OK"))))))))))</f>
        <v/>
      </c>
    </row>
    <row r="4847" spans="12:15">
      <c r="L4847" s="5">
        <f>IF(OR(A4847="",B4847=""),"",B4847-WEEKDAY(B4847,2)+1)</f>
        <v/>
      </c>
      <c r="M4847" s="5">
        <f>IF(L4847="","",L4847+6)</f>
        <v/>
      </c>
      <c r="N4847" s="6">
        <f>IF(OR(A4847="",B4847=""),"",DATE(YEAR(B4847),MONTH(B4847),1))</f>
        <v/>
      </c>
      <c r="O4847" s="7">
        <f>IF(COUNTA(A4847:K4847)=0,"",IF(OR(A4847="",B4847=""),"Preencher CPF e entrada",IF(COUNTIFS($A$12:$A$5011,A4847,$B$12:$B$5011,B4847)&gt;1,"CPF + dia duplicado",IF(OR(AND(G4847&lt;&gt;"",G4847&lt;&gt;0,G4847&lt;&gt;1),AND(H4847&lt;&gt;"",H4847&lt;&gt;0,H4847&lt;&gt;1)),"Flags devem ser 0 ou 1",IF(AND(H4847=1,LEN(TRIM(I4847))=0),"Preencher nome do indicante",IF(AND(H4847&lt;&gt;1,I4847&lt;&gt;""),"Nome sem indicação interna",IF(AND(G4847=1,F4847=""),"Fechamento sem conversa",IF(OR(AND(E4847&lt;&gt;"",E4847&lt;B4847),AND(F4847&lt;&gt;"",F4847&lt;B4847)),"Evento anterior à entrada",IF(AND(F4847&lt;&gt;"",E4847=""),"Conversa sem agendamento",IF(OR(E4847&gt;TODAY(),F4847&gt;TODAY()),"Verificar evento futuro","OK"))))))))))</f>
        <v/>
      </c>
    </row>
    <row r="4848" spans="12:15">
      <c r="L4848" s="5">
        <f>IF(OR(A4848="",B4848=""),"",B4848-WEEKDAY(B4848,2)+1)</f>
        <v/>
      </c>
      <c r="M4848" s="5">
        <f>IF(L4848="","",L4848+6)</f>
        <v/>
      </c>
      <c r="N4848" s="6">
        <f>IF(OR(A4848="",B4848=""),"",DATE(YEAR(B4848),MONTH(B4848),1))</f>
        <v/>
      </c>
      <c r="O4848" s="7">
        <f>IF(COUNTA(A4848:K4848)=0,"",IF(OR(A4848="",B4848=""),"Preencher CPF e entrada",IF(COUNTIFS($A$12:$A$5011,A4848,$B$12:$B$5011,B4848)&gt;1,"CPF + dia duplicado",IF(OR(AND(G4848&lt;&gt;"",G4848&lt;&gt;0,G4848&lt;&gt;1),AND(H4848&lt;&gt;"",H4848&lt;&gt;0,H4848&lt;&gt;1)),"Flags devem ser 0 ou 1",IF(AND(H4848=1,LEN(TRIM(I4848))=0),"Preencher nome do indicante",IF(AND(H4848&lt;&gt;1,I4848&lt;&gt;""),"Nome sem indicação interna",IF(AND(G4848=1,F4848=""),"Fechamento sem conversa",IF(OR(AND(E4848&lt;&gt;"",E4848&lt;B4848),AND(F4848&lt;&gt;"",F4848&lt;B4848)),"Evento anterior à entrada",IF(AND(F4848&lt;&gt;"",E4848=""),"Conversa sem agendamento",IF(OR(E4848&gt;TODAY(),F4848&gt;TODAY()),"Verificar evento futuro","OK"))))))))))</f>
        <v/>
      </c>
    </row>
    <row r="4849" spans="12:15">
      <c r="L4849" s="5">
        <f>IF(OR(A4849="",B4849=""),"",B4849-WEEKDAY(B4849,2)+1)</f>
        <v/>
      </c>
      <c r="M4849" s="5">
        <f>IF(L4849="","",L4849+6)</f>
        <v/>
      </c>
      <c r="N4849" s="6">
        <f>IF(OR(A4849="",B4849=""),"",DATE(YEAR(B4849),MONTH(B4849),1))</f>
        <v/>
      </c>
      <c r="O4849" s="7">
        <f>IF(COUNTA(A4849:K4849)=0,"",IF(OR(A4849="",B4849=""),"Preencher CPF e entrada",IF(COUNTIFS($A$12:$A$5011,A4849,$B$12:$B$5011,B4849)&gt;1,"CPF + dia duplicado",IF(OR(AND(G4849&lt;&gt;"",G4849&lt;&gt;0,G4849&lt;&gt;1),AND(H4849&lt;&gt;"",H4849&lt;&gt;0,H4849&lt;&gt;1)),"Flags devem ser 0 ou 1",IF(AND(H4849=1,LEN(TRIM(I4849))=0),"Preencher nome do indicante",IF(AND(H4849&lt;&gt;1,I4849&lt;&gt;""),"Nome sem indicação interna",IF(AND(G4849=1,F4849=""),"Fechamento sem conversa",IF(OR(AND(E4849&lt;&gt;"",E4849&lt;B4849),AND(F4849&lt;&gt;"",F4849&lt;B4849)),"Evento anterior à entrada",IF(AND(F4849&lt;&gt;"",E4849=""),"Conversa sem agendamento",IF(OR(E4849&gt;TODAY(),F4849&gt;TODAY()),"Verificar evento futuro","OK"))))))))))</f>
        <v/>
      </c>
    </row>
    <row r="4850" spans="12:15">
      <c r="L4850" s="5">
        <f>IF(OR(A4850="",B4850=""),"",B4850-WEEKDAY(B4850,2)+1)</f>
        <v/>
      </c>
      <c r="M4850" s="5">
        <f>IF(L4850="","",L4850+6)</f>
        <v/>
      </c>
      <c r="N4850" s="6">
        <f>IF(OR(A4850="",B4850=""),"",DATE(YEAR(B4850),MONTH(B4850),1))</f>
        <v/>
      </c>
      <c r="O4850" s="7">
        <f>IF(COUNTA(A4850:K4850)=0,"",IF(OR(A4850="",B4850=""),"Preencher CPF e entrada",IF(COUNTIFS($A$12:$A$5011,A4850,$B$12:$B$5011,B4850)&gt;1,"CPF + dia duplicado",IF(OR(AND(G4850&lt;&gt;"",G4850&lt;&gt;0,G4850&lt;&gt;1),AND(H4850&lt;&gt;"",H4850&lt;&gt;0,H4850&lt;&gt;1)),"Flags devem ser 0 ou 1",IF(AND(H4850=1,LEN(TRIM(I4850))=0),"Preencher nome do indicante",IF(AND(H4850&lt;&gt;1,I4850&lt;&gt;""),"Nome sem indicação interna",IF(AND(G4850=1,F4850=""),"Fechamento sem conversa",IF(OR(AND(E4850&lt;&gt;"",E4850&lt;B4850),AND(F4850&lt;&gt;"",F4850&lt;B4850)),"Evento anterior à entrada",IF(AND(F4850&lt;&gt;"",E4850=""),"Conversa sem agendamento",IF(OR(E4850&gt;TODAY(),F4850&gt;TODAY()),"Verificar evento futuro","OK"))))))))))</f>
        <v/>
      </c>
    </row>
    <row r="4851" spans="12:15">
      <c r="L4851" s="5">
        <f>IF(OR(A4851="",B4851=""),"",B4851-WEEKDAY(B4851,2)+1)</f>
        <v/>
      </c>
      <c r="M4851" s="5">
        <f>IF(L4851="","",L4851+6)</f>
        <v/>
      </c>
      <c r="N4851" s="6">
        <f>IF(OR(A4851="",B4851=""),"",DATE(YEAR(B4851),MONTH(B4851),1))</f>
        <v/>
      </c>
      <c r="O4851" s="7">
        <f>IF(COUNTA(A4851:K4851)=0,"",IF(OR(A4851="",B4851=""),"Preencher CPF e entrada",IF(COUNTIFS($A$12:$A$5011,A4851,$B$12:$B$5011,B4851)&gt;1,"CPF + dia duplicado",IF(OR(AND(G4851&lt;&gt;"",G4851&lt;&gt;0,G4851&lt;&gt;1),AND(H4851&lt;&gt;"",H4851&lt;&gt;0,H4851&lt;&gt;1)),"Flags devem ser 0 ou 1",IF(AND(H4851=1,LEN(TRIM(I4851))=0),"Preencher nome do indicante",IF(AND(H4851&lt;&gt;1,I4851&lt;&gt;""),"Nome sem indicação interna",IF(AND(G4851=1,F4851=""),"Fechamento sem conversa",IF(OR(AND(E4851&lt;&gt;"",E4851&lt;B4851),AND(F4851&lt;&gt;"",F4851&lt;B4851)),"Evento anterior à entrada",IF(AND(F4851&lt;&gt;"",E4851=""),"Conversa sem agendamento",IF(OR(E4851&gt;TODAY(),F4851&gt;TODAY()),"Verificar evento futuro","OK"))))))))))</f>
        <v/>
      </c>
    </row>
    <row r="4852" spans="12:15">
      <c r="L4852" s="5">
        <f>IF(OR(A4852="",B4852=""),"",B4852-WEEKDAY(B4852,2)+1)</f>
        <v/>
      </c>
      <c r="M4852" s="5">
        <f>IF(L4852="","",L4852+6)</f>
        <v/>
      </c>
      <c r="N4852" s="6">
        <f>IF(OR(A4852="",B4852=""),"",DATE(YEAR(B4852),MONTH(B4852),1))</f>
        <v/>
      </c>
      <c r="O4852" s="7">
        <f>IF(COUNTA(A4852:K4852)=0,"",IF(OR(A4852="",B4852=""),"Preencher CPF e entrada",IF(COUNTIFS($A$12:$A$5011,A4852,$B$12:$B$5011,B4852)&gt;1,"CPF + dia duplicado",IF(OR(AND(G4852&lt;&gt;"",G4852&lt;&gt;0,G4852&lt;&gt;1),AND(H4852&lt;&gt;"",H4852&lt;&gt;0,H4852&lt;&gt;1)),"Flags devem ser 0 ou 1",IF(AND(H4852=1,LEN(TRIM(I4852))=0),"Preencher nome do indicante",IF(AND(H4852&lt;&gt;1,I4852&lt;&gt;""),"Nome sem indicação interna",IF(AND(G4852=1,F4852=""),"Fechamento sem conversa",IF(OR(AND(E4852&lt;&gt;"",E4852&lt;B4852),AND(F4852&lt;&gt;"",F4852&lt;B4852)),"Evento anterior à entrada",IF(AND(F4852&lt;&gt;"",E4852=""),"Conversa sem agendamento",IF(OR(E4852&gt;TODAY(),F4852&gt;TODAY()),"Verificar evento futuro","OK"))))))))))</f>
        <v/>
      </c>
    </row>
    <row r="4853" spans="12:15">
      <c r="L4853" s="5">
        <f>IF(OR(A4853="",B4853=""),"",B4853-WEEKDAY(B4853,2)+1)</f>
        <v/>
      </c>
      <c r="M4853" s="5">
        <f>IF(L4853="","",L4853+6)</f>
        <v/>
      </c>
      <c r="N4853" s="6">
        <f>IF(OR(A4853="",B4853=""),"",DATE(YEAR(B4853),MONTH(B4853),1))</f>
        <v/>
      </c>
      <c r="O4853" s="7">
        <f>IF(COUNTA(A4853:K4853)=0,"",IF(OR(A4853="",B4853=""),"Preencher CPF e entrada",IF(COUNTIFS($A$12:$A$5011,A4853,$B$12:$B$5011,B4853)&gt;1,"CPF + dia duplicado",IF(OR(AND(G4853&lt;&gt;"",G4853&lt;&gt;0,G4853&lt;&gt;1),AND(H4853&lt;&gt;"",H4853&lt;&gt;0,H4853&lt;&gt;1)),"Flags devem ser 0 ou 1",IF(AND(H4853=1,LEN(TRIM(I4853))=0),"Preencher nome do indicante",IF(AND(H4853&lt;&gt;1,I4853&lt;&gt;""),"Nome sem indicação interna",IF(AND(G4853=1,F4853=""),"Fechamento sem conversa",IF(OR(AND(E4853&lt;&gt;"",E4853&lt;B4853),AND(F4853&lt;&gt;"",F4853&lt;B4853)),"Evento anterior à entrada",IF(AND(F4853&lt;&gt;"",E4853=""),"Conversa sem agendamento",IF(OR(E4853&gt;TODAY(),F4853&gt;TODAY()),"Verificar evento futuro","OK"))))))))))</f>
        <v/>
      </c>
    </row>
    <row r="4854" spans="12:15">
      <c r="L4854" s="5">
        <f>IF(OR(A4854="",B4854=""),"",B4854-WEEKDAY(B4854,2)+1)</f>
        <v/>
      </c>
      <c r="M4854" s="5">
        <f>IF(L4854="","",L4854+6)</f>
        <v/>
      </c>
      <c r="N4854" s="6">
        <f>IF(OR(A4854="",B4854=""),"",DATE(YEAR(B4854),MONTH(B4854),1))</f>
        <v/>
      </c>
      <c r="O4854" s="7">
        <f>IF(COUNTA(A4854:K4854)=0,"",IF(OR(A4854="",B4854=""),"Preencher CPF e entrada",IF(COUNTIFS($A$12:$A$5011,A4854,$B$12:$B$5011,B4854)&gt;1,"CPF + dia duplicado",IF(OR(AND(G4854&lt;&gt;"",G4854&lt;&gt;0,G4854&lt;&gt;1),AND(H4854&lt;&gt;"",H4854&lt;&gt;0,H4854&lt;&gt;1)),"Flags devem ser 0 ou 1",IF(AND(H4854=1,LEN(TRIM(I4854))=0),"Preencher nome do indicante",IF(AND(H4854&lt;&gt;1,I4854&lt;&gt;""),"Nome sem indicação interna",IF(AND(G4854=1,F4854=""),"Fechamento sem conversa",IF(OR(AND(E4854&lt;&gt;"",E4854&lt;B4854),AND(F4854&lt;&gt;"",F4854&lt;B4854)),"Evento anterior à entrada",IF(AND(F4854&lt;&gt;"",E4854=""),"Conversa sem agendamento",IF(OR(E4854&gt;TODAY(),F4854&gt;TODAY()),"Verificar evento futuro","OK"))))))))))</f>
        <v/>
      </c>
    </row>
    <row r="4855" spans="12:15">
      <c r="L4855" s="5">
        <f>IF(OR(A4855="",B4855=""),"",B4855-WEEKDAY(B4855,2)+1)</f>
        <v/>
      </c>
      <c r="M4855" s="5">
        <f>IF(L4855="","",L4855+6)</f>
        <v/>
      </c>
      <c r="N4855" s="6">
        <f>IF(OR(A4855="",B4855=""),"",DATE(YEAR(B4855),MONTH(B4855),1))</f>
        <v/>
      </c>
      <c r="O4855" s="7">
        <f>IF(COUNTA(A4855:K4855)=0,"",IF(OR(A4855="",B4855=""),"Preencher CPF e entrada",IF(COUNTIFS($A$12:$A$5011,A4855,$B$12:$B$5011,B4855)&gt;1,"CPF + dia duplicado",IF(OR(AND(G4855&lt;&gt;"",G4855&lt;&gt;0,G4855&lt;&gt;1),AND(H4855&lt;&gt;"",H4855&lt;&gt;0,H4855&lt;&gt;1)),"Flags devem ser 0 ou 1",IF(AND(H4855=1,LEN(TRIM(I4855))=0),"Preencher nome do indicante",IF(AND(H4855&lt;&gt;1,I4855&lt;&gt;""),"Nome sem indicação interna",IF(AND(G4855=1,F4855=""),"Fechamento sem conversa",IF(OR(AND(E4855&lt;&gt;"",E4855&lt;B4855),AND(F4855&lt;&gt;"",F4855&lt;B4855)),"Evento anterior à entrada",IF(AND(F4855&lt;&gt;"",E4855=""),"Conversa sem agendamento",IF(OR(E4855&gt;TODAY(),F4855&gt;TODAY()),"Verificar evento futuro","OK"))))))))))</f>
        <v/>
      </c>
    </row>
    <row r="4856" spans="12:15">
      <c r="L4856" s="5">
        <f>IF(OR(A4856="",B4856=""),"",B4856-WEEKDAY(B4856,2)+1)</f>
        <v/>
      </c>
      <c r="M4856" s="5">
        <f>IF(L4856="","",L4856+6)</f>
        <v/>
      </c>
      <c r="N4856" s="6">
        <f>IF(OR(A4856="",B4856=""),"",DATE(YEAR(B4856),MONTH(B4856),1))</f>
        <v/>
      </c>
      <c r="O4856" s="7">
        <f>IF(COUNTA(A4856:K4856)=0,"",IF(OR(A4856="",B4856=""),"Preencher CPF e entrada",IF(COUNTIFS($A$12:$A$5011,A4856,$B$12:$B$5011,B4856)&gt;1,"CPF + dia duplicado",IF(OR(AND(G4856&lt;&gt;"",G4856&lt;&gt;0,G4856&lt;&gt;1),AND(H4856&lt;&gt;"",H4856&lt;&gt;0,H4856&lt;&gt;1)),"Flags devem ser 0 ou 1",IF(AND(H4856=1,LEN(TRIM(I4856))=0),"Preencher nome do indicante",IF(AND(H4856&lt;&gt;1,I4856&lt;&gt;""),"Nome sem indicação interna",IF(AND(G4856=1,F4856=""),"Fechamento sem conversa",IF(OR(AND(E4856&lt;&gt;"",E4856&lt;B4856),AND(F4856&lt;&gt;"",F4856&lt;B4856)),"Evento anterior à entrada",IF(AND(F4856&lt;&gt;"",E4856=""),"Conversa sem agendamento",IF(OR(E4856&gt;TODAY(),F4856&gt;TODAY()),"Verificar evento futuro","OK"))))))))))</f>
        <v/>
      </c>
    </row>
    <row r="4857" spans="12:15">
      <c r="L4857" s="5">
        <f>IF(OR(A4857="",B4857=""),"",B4857-WEEKDAY(B4857,2)+1)</f>
        <v/>
      </c>
      <c r="M4857" s="5">
        <f>IF(L4857="","",L4857+6)</f>
        <v/>
      </c>
      <c r="N4857" s="6">
        <f>IF(OR(A4857="",B4857=""),"",DATE(YEAR(B4857),MONTH(B4857),1))</f>
        <v/>
      </c>
      <c r="O4857" s="7">
        <f>IF(COUNTA(A4857:K4857)=0,"",IF(OR(A4857="",B4857=""),"Preencher CPF e entrada",IF(COUNTIFS($A$12:$A$5011,A4857,$B$12:$B$5011,B4857)&gt;1,"CPF + dia duplicado",IF(OR(AND(G4857&lt;&gt;"",G4857&lt;&gt;0,G4857&lt;&gt;1),AND(H4857&lt;&gt;"",H4857&lt;&gt;0,H4857&lt;&gt;1)),"Flags devem ser 0 ou 1",IF(AND(H4857=1,LEN(TRIM(I4857))=0),"Preencher nome do indicante",IF(AND(H4857&lt;&gt;1,I4857&lt;&gt;""),"Nome sem indicação interna",IF(AND(G4857=1,F4857=""),"Fechamento sem conversa",IF(OR(AND(E4857&lt;&gt;"",E4857&lt;B4857),AND(F4857&lt;&gt;"",F4857&lt;B4857)),"Evento anterior à entrada",IF(AND(F4857&lt;&gt;"",E4857=""),"Conversa sem agendamento",IF(OR(E4857&gt;TODAY(),F4857&gt;TODAY()),"Verificar evento futuro","OK"))))))))))</f>
        <v/>
      </c>
    </row>
    <row r="4858" spans="12:15">
      <c r="L4858" s="5">
        <f>IF(OR(A4858="",B4858=""),"",B4858-WEEKDAY(B4858,2)+1)</f>
        <v/>
      </c>
      <c r="M4858" s="5">
        <f>IF(L4858="","",L4858+6)</f>
        <v/>
      </c>
      <c r="N4858" s="6">
        <f>IF(OR(A4858="",B4858=""),"",DATE(YEAR(B4858),MONTH(B4858),1))</f>
        <v/>
      </c>
      <c r="O4858" s="7">
        <f>IF(COUNTA(A4858:K4858)=0,"",IF(OR(A4858="",B4858=""),"Preencher CPF e entrada",IF(COUNTIFS($A$12:$A$5011,A4858,$B$12:$B$5011,B4858)&gt;1,"CPF + dia duplicado",IF(OR(AND(G4858&lt;&gt;"",G4858&lt;&gt;0,G4858&lt;&gt;1),AND(H4858&lt;&gt;"",H4858&lt;&gt;0,H4858&lt;&gt;1)),"Flags devem ser 0 ou 1",IF(AND(H4858=1,LEN(TRIM(I4858))=0),"Preencher nome do indicante",IF(AND(H4858&lt;&gt;1,I4858&lt;&gt;""),"Nome sem indicação interna",IF(AND(G4858=1,F4858=""),"Fechamento sem conversa",IF(OR(AND(E4858&lt;&gt;"",E4858&lt;B4858),AND(F4858&lt;&gt;"",F4858&lt;B4858)),"Evento anterior à entrada",IF(AND(F4858&lt;&gt;"",E4858=""),"Conversa sem agendamento",IF(OR(E4858&gt;TODAY(),F4858&gt;TODAY()),"Verificar evento futuro","OK"))))))))))</f>
        <v/>
      </c>
    </row>
    <row r="4859" spans="12:15">
      <c r="L4859" s="5">
        <f>IF(OR(A4859="",B4859=""),"",B4859-WEEKDAY(B4859,2)+1)</f>
        <v/>
      </c>
      <c r="M4859" s="5">
        <f>IF(L4859="","",L4859+6)</f>
        <v/>
      </c>
      <c r="N4859" s="6">
        <f>IF(OR(A4859="",B4859=""),"",DATE(YEAR(B4859),MONTH(B4859),1))</f>
        <v/>
      </c>
      <c r="O4859" s="7">
        <f>IF(COUNTA(A4859:K4859)=0,"",IF(OR(A4859="",B4859=""),"Preencher CPF e entrada",IF(COUNTIFS($A$12:$A$5011,A4859,$B$12:$B$5011,B4859)&gt;1,"CPF + dia duplicado",IF(OR(AND(G4859&lt;&gt;"",G4859&lt;&gt;0,G4859&lt;&gt;1),AND(H4859&lt;&gt;"",H4859&lt;&gt;0,H4859&lt;&gt;1)),"Flags devem ser 0 ou 1",IF(AND(H4859=1,LEN(TRIM(I4859))=0),"Preencher nome do indicante",IF(AND(H4859&lt;&gt;1,I4859&lt;&gt;""),"Nome sem indicação interna",IF(AND(G4859=1,F4859=""),"Fechamento sem conversa",IF(OR(AND(E4859&lt;&gt;"",E4859&lt;B4859),AND(F4859&lt;&gt;"",F4859&lt;B4859)),"Evento anterior à entrada",IF(AND(F4859&lt;&gt;"",E4859=""),"Conversa sem agendamento",IF(OR(E4859&gt;TODAY(),F4859&gt;TODAY()),"Verificar evento futuro","OK"))))))))))</f>
        <v/>
      </c>
    </row>
    <row r="4860" spans="12:15">
      <c r="L4860" s="5">
        <f>IF(OR(A4860="",B4860=""),"",B4860-WEEKDAY(B4860,2)+1)</f>
        <v/>
      </c>
      <c r="M4860" s="5">
        <f>IF(L4860="","",L4860+6)</f>
        <v/>
      </c>
      <c r="N4860" s="6">
        <f>IF(OR(A4860="",B4860=""),"",DATE(YEAR(B4860),MONTH(B4860),1))</f>
        <v/>
      </c>
      <c r="O4860" s="7">
        <f>IF(COUNTA(A4860:K4860)=0,"",IF(OR(A4860="",B4860=""),"Preencher CPF e entrada",IF(COUNTIFS($A$12:$A$5011,A4860,$B$12:$B$5011,B4860)&gt;1,"CPF + dia duplicado",IF(OR(AND(G4860&lt;&gt;"",G4860&lt;&gt;0,G4860&lt;&gt;1),AND(H4860&lt;&gt;"",H4860&lt;&gt;0,H4860&lt;&gt;1)),"Flags devem ser 0 ou 1",IF(AND(H4860=1,LEN(TRIM(I4860))=0),"Preencher nome do indicante",IF(AND(H4860&lt;&gt;1,I4860&lt;&gt;""),"Nome sem indicação interna",IF(AND(G4860=1,F4860=""),"Fechamento sem conversa",IF(OR(AND(E4860&lt;&gt;"",E4860&lt;B4860),AND(F4860&lt;&gt;"",F4860&lt;B4860)),"Evento anterior à entrada",IF(AND(F4860&lt;&gt;"",E4860=""),"Conversa sem agendamento",IF(OR(E4860&gt;TODAY(),F4860&gt;TODAY()),"Verificar evento futuro","OK"))))))))))</f>
        <v/>
      </c>
    </row>
    <row r="4861" spans="12:15">
      <c r="L4861" s="5">
        <f>IF(OR(A4861="",B4861=""),"",B4861-WEEKDAY(B4861,2)+1)</f>
        <v/>
      </c>
      <c r="M4861" s="5">
        <f>IF(L4861="","",L4861+6)</f>
        <v/>
      </c>
      <c r="N4861" s="6">
        <f>IF(OR(A4861="",B4861=""),"",DATE(YEAR(B4861),MONTH(B4861),1))</f>
        <v/>
      </c>
      <c r="O4861" s="7">
        <f>IF(COUNTA(A4861:K4861)=0,"",IF(OR(A4861="",B4861=""),"Preencher CPF e entrada",IF(COUNTIFS($A$12:$A$5011,A4861,$B$12:$B$5011,B4861)&gt;1,"CPF + dia duplicado",IF(OR(AND(G4861&lt;&gt;"",G4861&lt;&gt;0,G4861&lt;&gt;1),AND(H4861&lt;&gt;"",H4861&lt;&gt;0,H4861&lt;&gt;1)),"Flags devem ser 0 ou 1",IF(AND(H4861=1,LEN(TRIM(I4861))=0),"Preencher nome do indicante",IF(AND(H4861&lt;&gt;1,I4861&lt;&gt;""),"Nome sem indicação interna",IF(AND(G4861=1,F4861=""),"Fechamento sem conversa",IF(OR(AND(E4861&lt;&gt;"",E4861&lt;B4861),AND(F4861&lt;&gt;"",F4861&lt;B4861)),"Evento anterior à entrada",IF(AND(F4861&lt;&gt;"",E4861=""),"Conversa sem agendamento",IF(OR(E4861&gt;TODAY(),F4861&gt;TODAY()),"Verificar evento futuro","OK"))))))))))</f>
        <v/>
      </c>
    </row>
    <row r="4862" spans="12:15">
      <c r="L4862" s="5">
        <f>IF(OR(A4862="",B4862=""),"",B4862-WEEKDAY(B4862,2)+1)</f>
        <v/>
      </c>
      <c r="M4862" s="5">
        <f>IF(L4862="","",L4862+6)</f>
        <v/>
      </c>
      <c r="N4862" s="6">
        <f>IF(OR(A4862="",B4862=""),"",DATE(YEAR(B4862),MONTH(B4862),1))</f>
        <v/>
      </c>
      <c r="O4862" s="7">
        <f>IF(COUNTA(A4862:K4862)=0,"",IF(OR(A4862="",B4862=""),"Preencher CPF e entrada",IF(COUNTIFS($A$12:$A$5011,A4862,$B$12:$B$5011,B4862)&gt;1,"CPF + dia duplicado",IF(OR(AND(G4862&lt;&gt;"",G4862&lt;&gt;0,G4862&lt;&gt;1),AND(H4862&lt;&gt;"",H4862&lt;&gt;0,H4862&lt;&gt;1)),"Flags devem ser 0 ou 1",IF(AND(H4862=1,LEN(TRIM(I4862))=0),"Preencher nome do indicante",IF(AND(H4862&lt;&gt;1,I4862&lt;&gt;""),"Nome sem indicação interna",IF(AND(G4862=1,F4862=""),"Fechamento sem conversa",IF(OR(AND(E4862&lt;&gt;"",E4862&lt;B4862),AND(F4862&lt;&gt;"",F4862&lt;B4862)),"Evento anterior à entrada",IF(AND(F4862&lt;&gt;"",E4862=""),"Conversa sem agendamento",IF(OR(E4862&gt;TODAY(),F4862&gt;TODAY()),"Verificar evento futuro","OK"))))))))))</f>
        <v/>
      </c>
    </row>
    <row r="4863" spans="12:15">
      <c r="L4863" s="5">
        <f>IF(OR(A4863="",B4863=""),"",B4863-WEEKDAY(B4863,2)+1)</f>
        <v/>
      </c>
      <c r="M4863" s="5">
        <f>IF(L4863="","",L4863+6)</f>
        <v/>
      </c>
      <c r="N4863" s="6">
        <f>IF(OR(A4863="",B4863=""),"",DATE(YEAR(B4863),MONTH(B4863),1))</f>
        <v/>
      </c>
      <c r="O4863" s="7">
        <f>IF(COUNTA(A4863:K4863)=0,"",IF(OR(A4863="",B4863=""),"Preencher CPF e entrada",IF(COUNTIFS($A$12:$A$5011,A4863,$B$12:$B$5011,B4863)&gt;1,"CPF + dia duplicado",IF(OR(AND(G4863&lt;&gt;"",G4863&lt;&gt;0,G4863&lt;&gt;1),AND(H4863&lt;&gt;"",H4863&lt;&gt;0,H4863&lt;&gt;1)),"Flags devem ser 0 ou 1",IF(AND(H4863=1,LEN(TRIM(I4863))=0),"Preencher nome do indicante",IF(AND(H4863&lt;&gt;1,I4863&lt;&gt;""),"Nome sem indicação interna",IF(AND(G4863=1,F4863=""),"Fechamento sem conversa",IF(OR(AND(E4863&lt;&gt;"",E4863&lt;B4863),AND(F4863&lt;&gt;"",F4863&lt;B4863)),"Evento anterior à entrada",IF(AND(F4863&lt;&gt;"",E4863=""),"Conversa sem agendamento",IF(OR(E4863&gt;TODAY(),F4863&gt;TODAY()),"Verificar evento futuro","OK"))))))))))</f>
        <v/>
      </c>
    </row>
    <row r="4864" spans="12:15">
      <c r="L4864" s="5">
        <f>IF(OR(A4864="",B4864=""),"",B4864-WEEKDAY(B4864,2)+1)</f>
        <v/>
      </c>
      <c r="M4864" s="5">
        <f>IF(L4864="","",L4864+6)</f>
        <v/>
      </c>
      <c r="N4864" s="6">
        <f>IF(OR(A4864="",B4864=""),"",DATE(YEAR(B4864),MONTH(B4864),1))</f>
        <v/>
      </c>
      <c r="O4864" s="7">
        <f>IF(COUNTA(A4864:K4864)=0,"",IF(OR(A4864="",B4864=""),"Preencher CPF e entrada",IF(COUNTIFS($A$12:$A$5011,A4864,$B$12:$B$5011,B4864)&gt;1,"CPF + dia duplicado",IF(OR(AND(G4864&lt;&gt;"",G4864&lt;&gt;0,G4864&lt;&gt;1),AND(H4864&lt;&gt;"",H4864&lt;&gt;0,H4864&lt;&gt;1)),"Flags devem ser 0 ou 1",IF(AND(H4864=1,LEN(TRIM(I4864))=0),"Preencher nome do indicante",IF(AND(H4864&lt;&gt;1,I4864&lt;&gt;""),"Nome sem indicação interna",IF(AND(G4864=1,F4864=""),"Fechamento sem conversa",IF(OR(AND(E4864&lt;&gt;"",E4864&lt;B4864),AND(F4864&lt;&gt;"",F4864&lt;B4864)),"Evento anterior à entrada",IF(AND(F4864&lt;&gt;"",E4864=""),"Conversa sem agendamento",IF(OR(E4864&gt;TODAY(),F4864&gt;TODAY()),"Verificar evento futuro","OK"))))))))))</f>
        <v/>
      </c>
    </row>
    <row r="4865" spans="12:15">
      <c r="L4865" s="5">
        <f>IF(OR(A4865="",B4865=""),"",B4865-WEEKDAY(B4865,2)+1)</f>
        <v/>
      </c>
      <c r="M4865" s="5">
        <f>IF(L4865="","",L4865+6)</f>
        <v/>
      </c>
      <c r="N4865" s="6">
        <f>IF(OR(A4865="",B4865=""),"",DATE(YEAR(B4865),MONTH(B4865),1))</f>
        <v/>
      </c>
      <c r="O4865" s="7">
        <f>IF(COUNTA(A4865:K4865)=0,"",IF(OR(A4865="",B4865=""),"Preencher CPF e entrada",IF(COUNTIFS($A$12:$A$5011,A4865,$B$12:$B$5011,B4865)&gt;1,"CPF + dia duplicado",IF(OR(AND(G4865&lt;&gt;"",G4865&lt;&gt;0,G4865&lt;&gt;1),AND(H4865&lt;&gt;"",H4865&lt;&gt;0,H4865&lt;&gt;1)),"Flags devem ser 0 ou 1",IF(AND(H4865=1,LEN(TRIM(I4865))=0),"Preencher nome do indicante",IF(AND(H4865&lt;&gt;1,I4865&lt;&gt;""),"Nome sem indicação interna",IF(AND(G4865=1,F4865=""),"Fechamento sem conversa",IF(OR(AND(E4865&lt;&gt;"",E4865&lt;B4865),AND(F4865&lt;&gt;"",F4865&lt;B4865)),"Evento anterior à entrada",IF(AND(F4865&lt;&gt;"",E4865=""),"Conversa sem agendamento",IF(OR(E4865&gt;TODAY(),F4865&gt;TODAY()),"Verificar evento futuro","OK"))))))))))</f>
        <v/>
      </c>
    </row>
    <row r="4866" spans="12:15">
      <c r="L4866" s="5">
        <f>IF(OR(A4866="",B4866=""),"",B4866-WEEKDAY(B4866,2)+1)</f>
        <v/>
      </c>
      <c r="M4866" s="5">
        <f>IF(L4866="","",L4866+6)</f>
        <v/>
      </c>
      <c r="N4866" s="6">
        <f>IF(OR(A4866="",B4866=""),"",DATE(YEAR(B4866),MONTH(B4866),1))</f>
        <v/>
      </c>
      <c r="O4866" s="7">
        <f>IF(COUNTA(A4866:K4866)=0,"",IF(OR(A4866="",B4866=""),"Preencher CPF e entrada",IF(COUNTIFS($A$12:$A$5011,A4866,$B$12:$B$5011,B4866)&gt;1,"CPF + dia duplicado",IF(OR(AND(G4866&lt;&gt;"",G4866&lt;&gt;0,G4866&lt;&gt;1),AND(H4866&lt;&gt;"",H4866&lt;&gt;0,H4866&lt;&gt;1)),"Flags devem ser 0 ou 1",IF(AND(H4866=1,LEN(TRIM(I4866))=0),"Preencher nome do indicante",IF(AND(H4866&lt;&gt;1,I4866&lt;&gt;""),"Nome sem indicação interna",IF(AND(G4866=1,F4866=""),"Fechamento sem conversa",IF(OR(AND(E4866&lt;&gt;"",E4866&lt;B4866),AND(F4866&lt;&gt;"",F4866&lt;B4866)),"Evento anterior à entrada",IF(AND(F4866&lt;&gt;"",E4866=""),"Conversa sem agendamento",IF(OR(E4866&gt;TODAY(),F4866&gt;TODAY()),"Verificar evento futuro","OK"))))))))))</f>
        <v/>
      </c>
    </row>
    <row r="4867" spans="12:15">
      <c r="L4867" s="5">
        <f>IF(OR(A4867="",B4867=""),"",B4867-WEEKDAY(B4867,2)+1)</f>
        <v/>
      </c>
      <c r="M4867" s="5">
        <f>IF(L4867="","",L4867+6)</f>
        <v/>
      </c>
      <c r="N4867" s="6">
        <f>IF(OR(A4867="",B4867=""),"",DATE(YEAR(B4867),MONTH(B4867),1))</f>
        <v/>
      </c>
      <c r="O4867" s="7">
        <f>IF(COUNTA(A4867:K4867)=0,"",IF(OR(A4867="",B4867=""),"Preencher CPF e entrada",IF(COUNTIFS($A$12:$A$5011,A4867,$B$12:$B$5011,B4867)&gt;1,"CPF + dia duplicado",IF(OR(AND(G4867&lt;&gt;"",G4867&lt;&gt;0,G4867&lt;&gt;1),AND(H4867&lt;&gt;"",H4867&lt;&gt;0,H4867&lt;&gt;1)),"Flags devem ser 0 ou 1",IF(AND(H4867=1,LEN(TRIM(I4867))=0),"Preencher nome do indicante",IF(AND(H4867&lt;&gt;1,I4867&lt;&gt;""),"Nome sem indicação interna",IF(AND(G4867=1,F4867=""),"Fechamento sem conversa",IF(OR(AND(E4867&lt;&gt;"",E4867&lt;B4867),AND(F4867&lt;&gt;"",F4867&lt;B4867)),"Evento anterior à entrada",IF(AND(F4867&lt;&gt;"",E4867=""),"Conversa sem agendamento",IF(OR(E4867&gt;TODAY(),F4867&gt;TODAY()),"Verificar evento futuro","OK"))))))))))</f>
        <v/>
      </c>
    </row>
    <row r="4868" spans="12:15">
      <c r="L4868" s="5">
        <f>IF(OR(A4868="",B4868=""),"",B4868-WEEKDAY(B4868,2)+1)</f>
        <v/>
      </c>
      <c r="M4868" s="5">
        <f>IF(L4868="","",L4868+6)</f>
        <v/>
      </c>
      <c r="N4868" s="6">
        <f>IF(OR(A4868="",B4868=""),"",DATE(YEAR(B4868),MONTH(B4868),1))</f>
        <v/>
      </c>
      <c r="O4868" s="7">
        <f>IF(COUNTA(A4868:K4868)=0,"",IF(OR(A4868="",B4868=""),"Preencher CPF e entrada",IF(COUNTIFS($A$12:$A$5011,A4868,$B$12:$B$5011,B4868)&gt;1,"CPF + dia duplicado",IF(OR(AND(G4868&lt;&gt;"",G4868&lt;&gt;0,G4868&lt;&gt;1),AND(H4868&lt;&gt;"",H4868&lt;&gt;0,H4868&lt;&gt;1)),"Flags devem ser 0 ou 1",IF(AND(H4868=1,LEN(TRIM(I4868))=0),"Preencher nome do indicante",IF(AND(H4868&lt;&gt;1,I4868&lt;&gt;""),"Nome sem indicação interna",IF(AND(G4868=1,F4868=""),"Fechamento sem conversa",IF(OR(AND(E4868&lt;&gt;"",E4868&lt;B4868),AND(F4868&lt;&gt;"",F4868&lt;B4868)),"Evento anterior à entrada",IF(AND(F4868&lt;&gt;"",E4868=""),"Conversa sem agendamento",IF(OR(E4868&gt;TODAY(),F4868&gt;TODAY()),"Verificar evento futuro","OK"))))))))))</f>
        <v/>
      </c>
    </row>
    <row r="4869" spans="12:15">
      <c r="L4869" s="5">
        <f>IF(OR(A4869="",B4869=""),"",B4869-WEEKDAY(B4869,2)+1)</f>
        <v/>
      </c>
      <c r="M4869" s="5">
        <f>IF(L4869="","",L4869+6)</f>
        <v/>
      </c>
      <c r="N4869" s="6">
        <f>IF(OR(A4869="",B4869=""),"",DATE(YEAR(B4869),MONTH(B4869),1))</f>
        <v/>
      </c>
      <c r="O4869" s="7">
        <f>IF(COUNTA(A4869:K4869)=0,"",IF(OR(A4869="",B4869=""),"Preencher CPF e entrada",IF(COUNTIFS($A$12:$A$5011,A4869,$B$12:$B$5011,B4869)&gt;1,"CPF + dia duplicado",IF(OR(AND(G4869&lt;&gt;"",G4869&lt;&gt;0,G4869&lt;&gt;1),AND(H4869&lt;&gt;"",H4869&lt;&gt;0,H4869&lt;&gt;1)),"Flags devem ser 0 ou 1",IF(AND(H4869=1,LEN(TRIM(I4869))=0),"Preencher nome do indicante",IF(AND(H4869&lt;&gt;1,I4869&lt;&gt;""),"Nome sem indicação interna",IF(AND(G4869=1,F4869=""),"Fechamento sem conversa",IF(OR(AND(E4869&lt;&gt;"",E4869&lt;B4869),AND(F4869&lt;&gt;"",F4869&lt;B4869)),"Evento anterior à entrada",IF(AND(F4869&lt;&gt;"",E4869=""),"Conversa sem agendamento",IF(OR(E4869&gt;TODAY(),F4869&gt;TODAY()),"Verificar evento futuro","OK"))))))))))</f>
        <v/>
      </c>
    </row>
    <row r="4870" spans="12:15">
      <c r="L4870" s="5">
        <f>IF(OR(A4870="",B4870=""),"",B4870-WEEKDAY(B4870,2)+1)</f>
        <v/>
      </c>
      <c r="M4870" s="5">
        <f>IF(L4870="","",L4870+6)</f>
        <v/>
      </c>
      <c r="N4870" s="6">
        <f>IF(OR(A4870="",B4870=""),"",DATE(YEAR(B4870),MONTH(B4870),1))</f>
        <v/>
      </c>
      <c r="O4870" s="7">
        <f>IF(COUNTA(A4870:K4870)=0,"",IF(OR(A4870="",B4870=""),"Preencher CPF e entrada",IF(COUNTIFS($A$12:$A$5011,A4870,$B$12:$B$5011,B4870)&gt;1,"CPF + dia duplicado",IF(OR(AND(G4870&lt;&gt;"",G4870&lt;&gt;0,G4870&lt;&gt;1),AND(H4870&lt;&gt;"",H4870&lt;&gt;0,H4870&lt;&gt;1)),"Flags devem ser 0 ou 1",IF(AND(H4870=1,LEN(TRIM(I4870))=0),"Preencher nome do indicante",IF(AND(H4870&lt;&gt;1,I4870&lt;&gt;""),"Nome sem indicação interna",IF(AND(G4870=1,F4870=""),"Fechamento sem conversa",IF(OR(AND(E4870&lt;&gt;"",E4870&lt;B4870),AND(F4870&lt;&gt;"",F4870&lt;B4870)),"Evento anterior à entrada",IF(AND(F4870&lt;&gt;"",E4870=""),"Conversa sem agendamento",IF(OR(E4870&gt;TODAY(),F4870&gt;TODAY()),"Verificar evento futuro","OK"))))))))))</f>
        <v/>
      </c>
    </row>
    <row r="4871" spans="12:15">
      <c r="L4871" s="5">
        <f>IF(OR(A4871="",B4871=""),"",B4871-WEEKDAY(B4871,2)+1)</f>
        <v/>
      </c>
      <c r="M4871" s="5">
        <f>IF(L4871="","",L4871+6)</f>
        <v/>
      </c>
      <c r="N4871" s="6">
        <f>IF(OR(A4871="",B4871=""),"",DATE(YEAR(B4871),MONTH(B4871),1))</f>
        <v/>
      </c>
      <c r="O4871" s="7">
        <f>IF(COUNTA(A4871:K4871)=0,"",IF(OR(A4871="",B4871=""),"Preencher CPF e entrada",IF(COUNTIFS($A$12:$A$5011,A4871,$B$12:$B$5011,B4871)&gt;1,"CPF + dia duplicado",IF(OR(AND(G4871&lt;&gt;"",G4871&lt;&gt;0,G4871&lt;&gt;1),AND(H4871&lt;&gt;"",H4871&lt;&gt;0,H4871&lt;&gt;1)),"Flags devem ser 0 ou 1",IF(AND(H4871=1,LEN(TRIM(I4871))=0),"Preencher nome do indicante",IF(AND(H4871&lt;&gt;1,I4871&lt;&gt;""),"Nome sem indicação interna",IF(AND(G4871=1,F4871=""),"Fechamento sem conversa",IF(OR(AND(E4871&lt;&gt;"",E4871&lt;B4871),AND(F4871&lt;&gt;"",F4871&lt;B4871)),"Evento anterior à entrada",IF(AND(F4871&lt;&gt;"",E4871=""),"Conversa sem agendamento",IF(OR(E4871&gt;TODAY(),F4871&gt;TODAY()),"Verificar evento futuro","OK"))))))))))</f>
        <v/>
      </c>
    </row>
    <row r="4872" spans="12:15">
      <c r="L4872" s="5">
        <f>IF(OR(A4872="",B4872=""),"",B4872-WEEKDAY(B4872,2)+1)</f>
        <v/>
      </c>
      <c r="M4872" s="5">
        <f>IF(L4872="","",L4872+6)</f>
        <v/>
      </c>
      <c r="N4872" s="6">
        <f>IF(OR(A4872="",B4872=""),"",DATE(YEAR(B4872),MONTH(B4872),1))</f>
        <v/>
      </c>
      <c r="O4872" s="7">
        <f>IF(COUNTA(A4872:K4872)=0,"",IF(OR(A4872="",B4872=""),"Preencher CPF e entrada",IF(COUNTIFS($A$12:$A$5011,A4872,$B$12:$B$5011,B4872)&gt;1,"CPF + dia duplicado",IF(OR(AND(G4872&lt;&gt;"",G4872&lt;&gt;0,G4872&lt;&gt;1),AND(H4872&lt;&gt;"",H4872&lt;&gt;0,H4872&lt;&gt;1)),"Flags devem ser 0 ou 1",IF(AND(H4872=1,LEN(TRIM(I4872))=0),"Preencher nome do indicante",IF(AND(H4872&lt;&gt;1,I4872&lt;&gt;""),"Nome sem indicação interna",IF(AND(G4872=1,F4872=""),"Fechamento sem conversa",IF(OR(AND(E4872&lt;&gt;"",E4872&lt;B4872),AND(F4872&lt;&gt;"",F4872&lt;B4872)),"Evento anterior à entrada",IF(AND(F4872&lt;&gt;"",E4872=""),"Conversa sem agendamento",IF(OR(E4872&gt;TODAY(),F4872&gt;TODAY()),"Verificar evento futuro","OK"))))))))))</f>
        <v/>
      </c>
    </row>
    <row r="4873" spans="12:15">
      <c r="L4873" s="5">
        <f>IF(OR(A4873="",B4873=""),"",B4873-WEEKDAY(B4873,2)+1)</f>
        <v/>
      </c>
      <c r="M4873" s="5">
        <f>IF(L4873="","",L4873+6)</f>
        <v/>
      </c>
      <c r="N4873" s="6">
        <f>IF(OR(A4873="",B4873=""),"",DATE(YEAR(B4873),MONTH(B4873),1))</f>
        <v/>
      </c>
      <c r="O4873" s="7">
        <f>IF(COUNTA(A4873:K4873)=0,"",IF(OR(A4873="",B4873=""),"Preencher CPF e entrada",IF(COUNTIFS($A$12:$A$5011,A4873,$B$12:$B$5011,B4873)&gt;1,"CPF + dia duplicado",IF(OR(AND(G4873&lt;&gt;"",G4873&lt;&gt;0,G4873&lt;&gt;1),AND(H4873&lt;&gt;"",H4873&lt;&gt;0,H4873&lt;&gt;1)),"Flags devem ser 0 ou 1",IF(AND(H4873=1,LEN(TRIM(I4873))=0),"Preencher nome do indicante",IF(AND(H4873&lt;&gt;1,I4873&lt;&gt;""),"Nome sem indicação interna",IF(AND(G4873=1,F4873=""),"Fechamento sem conversa",IF(OR(AND(E4873&lt;&gt;"",E4873&lt;B4873),AND(F4873&lt;&gt;"",F4873&lt;B4873)),"Evento anterior à entrada",IF(AND(F4873&lt;&gt;"",E4873=""),"Conversa sem agendamento",IF(OR(E4873&gt;TODAY(),F4873&gt;TODAY()),"Verificar evento futuro","OK"))))))))))</f>
        <v/>
      </c>
    </row>
    <row r="4874" spans="12:15">
      <c r="L4874" s="5">
        <f>IF(OR(A4874="",B4874=""),"",B4874-WEEKDAY(B4874,2)+1)</f>
        <v/>
      </c>
      <c r="M4874" s="5">
        <f>IF(L4874="","",L4874+6)</f>
        <v/>
      </c>
      <c r="N4874" s="6">
        <f>IF(OR(A4874="",B4874=""),"",DATE(YEAR(B4874),MONTH(B4874),1))</f>
        <v/>
      </c>
      <c r="O4874" s="7">
        <f>IF(COUNTA(A4874:K4874)=0,"",IF(OR(A4874="",B4874=""),"Preencher CPF e entrada",IF(COUNTIFS($A$12:$A$5011,A4874,$B$12:$B$5011,B4874)&gt;1,"CPF + dia duplicado",IF(OR(AND(G4874&lt;&gt;"",G4874&lt;&gt;0,G4874&lt;&gt;1),AND(H4874&lt;&gt;"",H4874&lt;&gt;0,H4874&lt;&gt;1)),"Flags devem ser 0 ou 1",IF(AND(H4874=1,LEN(TRIM(I4874))=0),"Preencher nome do indicante",IF(AND(H4874&lt;&gt;1,I4874&lt;&gt;""),"Nome sem indicação interna",IF(AND(G4874=1,F4874=""),"Fechamento sem conversa",IF(OR(AND(E4874&lt;&gt;"",E4874&lt;B4874),AND(F4874&lt;&gt;"",F4874&lt;B4874)),"Evento anterior à entrada",IF(AND(F4874&lt;&gt;"",E4874=""),"Conversa sem agendamento",IF(OR(E4874&gt;TODAY(),F4874&gt;TODAY()),"Verificar evento futuro","OK"))))))))))</f>
        <v/>
      </c>
    </row>
    <row r="4875" spans="12:15">
      <c r="L4875" s="5">
        <f>IF(OR(A4875="",B4875=""),"",B4875-WEEKDAY(B4875,2)+1)</f>
        <v/>
      </c>
      <c r="M4875" s="5">
        <f>IF(L4875="","",L4875+6)</f>
        <v/>
      </c>
      <c r="N4875" s="6">
        <f>IF(OR(A4875="",B4875=""),"",DATE(YEAR(B4875),MONTH(B4875),1))</f>
        <v/>
      </c>
      <c r="O4875" s="7">
        <f>IF(COUNTA(A4875:K4875)=0,"",IF(OR(A4875="",B4875=""),"Preencher CPF e entrada",IF(COUNTIFS($A$12:$A$5011,A4875,$B$12:$B$5011,B4875)&gt;1,"CPF + dia duplicado",IF(OR(AND(G4875&lt;&gt;"",G4875&lt;&gt;0,G4875&lt;&gt;1),AND(H4875&lt;&gt;"",H4875&lt;&gt;0,H4875&lt;&gt;1)),"Flags devem ser 0 ou 1",IF(AND(H4875=1,LEN(TRIM(I4875))=0),"Preencher nome do indicante",IF(AND(H4875&lt;&gt;1,I4875&lt;&gt;""),"Nome sem indicação interna",IF(AND(G4875=1,F4875=""),"Fechamento sem conversa",IF(OR(AND(E4875&lt;&gt;"",E4875&lt;B4875),AND(F4875&lt;&gt;"",F4875&lt;B4875)),"Evento anterior à entrada",IF(AND(F4875&lt;&gt;"",E4875=""),"Conversa sem agendamento",IF(OR(E4875&gt;TODAY(),F4875&gt;TODAY()),"Verificar evento futuro","OK"))))))))))</f>
        <v/>
      </c>
    </row>
    <row r="4876" spans="12:15">
      <c r="L4876" s="5">
        <f>IF(OR(A4876="",B4876=""),"",B4876-WEEKDAY(B4876,2)+1)</f>
        <v/>
      </c>
      <c r="M4876" s="5">
        <f>IF(L4876="","",L4876+6)</f>
        <v/>
      </c>
      <c r="N4876" s="6">
        <f>IF(OR(A4876="",B4876=""),"",DATE(YEAR(B4876),MONTH(B4876),1))</f>
        <v/>
      </c>
      <c r="O4876" s="7">
        <f>IF(COUNTA(A4876:K4876)=0,"",IF(OR(A4876="",B4876=""),"Preencher CPF e entrada",IF(COUNTIFS($A$12:$A$5011,A4876,$B$12:$B$5011,B4876)&gt;1,"CPF + dia duplicado",IF(OR(AND(G4876&lt;&gt;"",G4876&lt;&gt;0,G4876&lt;&gt;1),AND(H4876&lt;&gt;"",H4876&lt;&gt;0,H4876&lt;&gt;1)),"Flags devem ser 0 ou 1",IF(AND(H4876=1,LEN(TRIM(I4876))=0),"Preencher nome do indicante",IF(AND(H4876&lt;&gt;1,I4876&lt;&gt;""),"Nome sem indicação interna",IF(AND(G4876=1,F4876=""),"Fechamento sem conversa",IF(OR(AND(E4876&lt;&gt;"",E4876&lt;B4876),AND(F4876&lt;&gt;"",F4876&lt;B4876)),"Evento anterior à entrada",IF(AND(F4876&lt;&gt;"",E4876=""),"Conversa sem agendamento",IF(OR(E4876&gt;TODAY(),F4876&gt;TODAY()),"Verificar evento futuro","OK"))))))))))</f>
        <v/>
      </c>
    </row>
    <row r="4877" spans="12:15">
      <c r="L4877" s="5">
        <f>IF(OR(A4877="",B4877=""),"",B4877-WEEKDAY(B4877,2)+1)</f>
        <v/>
      </c>
      <c r="M4877" s="5">
        <f>IF(L4877="","",L4877+6)</f>
        <v/>
      </c>
      <c r="N4877" s="6">
        <f>IF(OR(A4877="",B4877=""),"",DATE(YEAR(B4877),MONTH(B4877),1))</f>
        <v/>
      </c>
      <c r="O4877" s="7">
        <f>IF(COUNTA(A4877:K4877)=0,"",IF(OR(A4877="",B4877=""),"Preencher CPF e entrada",IF(COUNTIFS($A$12:$A$5011,A4877,$B$12:$B$5011,B4877)&gt;1,"CPF + dia duplicado",IF(OR(AND(G4877&lt;&gt;"",G4877&lt;&gt;0,G4877&lt;&gt;1),AND(H4877&lt;&gt;"",H4877&lt;&gt;0,H4877&lt;&gt;1)),"Flags devem ser 0 ou 1",IF(AND(H4877=1,LEN(TRIM(I4877))=0),"Preencher nome do indicante",IF(AND(H4877&lt;&gt;1,I4877&lt;&gt;""),"Nome sem indicação interna",IF(AND(G4877=1,F4877=""),"Fechamento sem conversa",IF(OR(AND(E4877&lt;&gt;"",E4877&lt;B4877),AND(F4877&lt;&gt;"",F4877&lt;B4877)),"Evento anterior à entrada",IF(AND(F4877&lt;&gt;"",E4877=""),"Conversa sem agendamento",IF(OR(E4877&gt;TODAY(),F4877&gt;TODAY()),"Verificar evento futuro","OK"))))))))))</f>
        <v/>
      </c>
    </row>
    <row r="4878" spans="12:15">
      <c r="L4878" s="5">
        <f>IF(OR(A4878="",B4878=""),"",B4878-WEEKDAY(B4878,2)+1)</f>
        <v/>
      </c>
      <c r="M4878" s="5">
        <f>IF(L4878="","",L4878+6)</f>
        <v/>
      </c>
      <c r="N4878" s="6">
        <f>IF(OR(A4878="",B4878=""),"",DATE(YEAR(B4878),MONTH(B4878),1))</f>
        <v/>
      </c>
      <c r="O4878" s="7">
        <f>IF(COUNTA(A4878:K4878)=0,"",IF(OR(A4878="",B4878=""),"Preencher CPF e entrada",IF(COUNTIFS($A$12:$A$5011,A4878,$B$12:$B$5011,B4878)&gt;1,"CPF + dia duplicado",IF(OR(AND(G4878&lt;&gt;"",G4878&lt;&gt;0,G4878&lt;&gt;1),AND(H4878&lt;&gt;"",H4878&lt;&gt;0,H4878&lt;&gt;1)),"Flags devem ser 0 ou 1",IF(AND(H4878=1,LEN(TRIM(I4878))=0),"Preencher nome do indicante",IF(AND(H4878&lt;&gt;1,I4878&lt;&gt;""),"Nome sem indicação interna",IF(AND(G4878=1,F4878=""),"Fechamento sem conversa",IF(OR(AND(E4878&lt;&gt;"",E4878&lt;B4878),AND(F4878&lt;&gt;"",F4878&lt;B4878)),"Evento anterior à entrada",IF(AND(F4878&lt;&gt;"",E4878=""),"Conversa sem agendamento",IF(OR(E4878&gt;TODAY(),F4878&gt;TODAY()),"Verificar evento futuro","OK"))))))))))</f>
        <v/>
      </c>
    </row>
    <row r="4879" spans="12:15">
      <c r="L4879" s="5">
        <f>IF(OR(A4879="",B4879=""),"",B4879-WEEKDAY(B4879,2)+1)</f>
        <v/>
      </c>
      <c r="M4879" s="5">
        <f>IF(L4879="","",L4879+6)</f>
        <v/>
      </c>
      <c r="N4879" s="6">
        <f>IF(OR(A4879="",B4879=""),"",DATE(YEAR(B4879),MONTH(B4879),1))</f>
        <v/>
      </c>
      <c r="O4879" s="7">
        <f>IF(COUNTA(A4879:K4879)=0,"",IF(OR(A4879="",B4879=""),"Preencher CPF e entrada",IF(COUNTIFS($A$12:$A$5011,A4879,$B$12:$B$5011,B4879)&gt;1,"CPF + dia duplicado",IF(OR(AND(G4879&lt;&gt;"",G4879&lt;&gt;0,G4879&lt;&gt;1),AND(H4879&lt;&gt;"",H4879&lt;&gt;0,H4879&lt;&gt;1)),"Flags devem ser 0 ou 1",IF(AND(H4879=1,LEN(TRIM(I4879))=0),"Preencher nome do indicante",IF(AND(H4879&lt;&gt;1,I4879&lt;&gt;""),"Nome sem indicação interna",IF(AND(G4879=1,F4879=""),"Fechamento sem conversa",IF(OR(AND(E4879&lt;&gt;"",E4879&lt;B4879),AND(F4879&lt;&gt;"",F4879&lt;B4879)),"Evento anterior à entrada",IF(AND(F4879&lt;&gt;"",E4879=""),"Conversa sem agendamento",IF(OR(E4879&gt;TODAY(),F4879&gt;TODAY()),"Verificar evento futuro","OK"))))))))))</f>
        <v/>
      </c>
    </row>
    <row r="4880" spans="12:15">
      <c r="L4880" s="5">
        <f>IF(OR(A4880="",B4880=""),"",B4880-WEEKDAY(B4880,2)+1)</f>
        <v/>
      </c>
      <c r="M4880" s="5">
        <f>IF(L4880="","",L4880+6)</f>
        <v/>
      </c>
      <c r="N4880" s="6">
        <f>IF(OR(A4880="",B4880=""),"",DATE(YEAR(B4880),MONTH(B4880),1))</f>
        <v/>
      </c>
      <c r="O4880" s="7">
        <f>IF(COUNTA(A4880:K4880)=0,"",IF(OR(A4880="",B4880=""),"Preencher CPF e entrada",IF(COUNTIFS($A$12:$A$5011,A4880,$B$12:$B$5011,B4880)&gt;1,"CPF + dia duplicado",IF(OR(AND(G4880&lt;&gt;"",G4880&lt;&gt;0,G4880&lt;&gt;1),AND(H4880&lt;&gt;"",H4880&lt;&gt;0,H4880&lt;&gt;1)),"Flags devem ser 0 ou 1",IF(AND(H4880=1,LEN(TRIM(I4880))=0),"Preencher nome do indicante",IF(AND(H4880&lt;&gt;1,I4880&lt;&gt;""),"Nome sem indicação interna",IF(AND(G4880=1,F4880=""),"Fechamento sem conversa",IF(OR(AND(E4880&lt;&gt;"",E4880&lt;B4880),AND(F4880&lt;&gt;"",F4880&lt;B4880)),"Evento anterior à entrada",IF(AND(F4880&lt;&gt;"",E4880=""),"Conversa sem agendamento",IF(OR(E4880&gt;TODAY(),F4880&gt;TODAY()),"Verificar evento futuro","OK"))))))))))</f>
        <v/>
      </c>
    </row>
    <row r="4881" spans="12:15">
      <c r="L4881" s="5">
        <f>IF(OR(A4881="",B4881=""),"",B4881-WEEKDAY(B4881,2)+1)</f>
        <v/>
      </c>
      <c r="M4881" s="5">
        <f>IF(L4881="","",L4881+6)</f>
        <v/>
      </c>
      <c r="N4881" s="6">
        <f>IF(OR(A4881="",B4881=""),"",DATE(YEAR(B4881),MONTH(B4881),1))</f>
        <v/>
      </c>
      <c r="O4881" s="7">
        <f>IF(COUNTA(A4881:K4881)=0,"",IF(OR(A4881="",B4881=""),"Preencher CPF e entrada",IF(COUNTIFS($A$12:$A$5011,A4881,$B$12:$B$5011,B4881)&gt;1,"CPF + dia duplicado",IF(OR(AND(G4881&lt;&gt;"",G4881&lt;&gt;0,G4881&lt;&gt;1),AND(H4881&lt;&gt;"",H4881&lt;&gt;0,H4881&lt;&gt;1)),"Flags devem ser 0 ou 1",IF(AND(H4881=1,LEN(TRIM(I4881))=0),"Preencher nome do indicante",IF(AND(H4881&lt;&gt;1,I4881&lt;&gt;""),"Nome sem indicação interna",IF(AND(G4881=1,F4881=""),"Fechamento sem conversa",IF(OR(AND(E4881&lt;&gt;"",E4881&lt;B4881),AND(F4881&lt;&gt;"",F4881&lt;B4881)),"Evento anterior à entrada",IF(AND(F4881&lt;&gt;"",E4881=""),"Conversa sem agendamento",IF(OR(E4881&gt;TODAY(),F4881&gt;TODAY()),"Verificar evento futuro","OK"))))))))))</f>
        <v/>
      </c>
    </row>
    <row r="4882" spans="12:15">
      <c r="L4882" s="5">
        <f>IF(OR(A4882="",B4882=""),"",B4882-WEEKDAY(B4882,2)+1)</f>
        <v/>
      </c>
      <c r="M4882" s="5">
        <f>IF(L4882="","",L4882+6)</f>
        <v/>
      </c>
      <c r="N4882" s="6">
        <f>IF(OR(A4882="",B4882=""),"",DATE(YEAR(B4882),MONTH(B4882),1))</f>
        <v/>
      </c>
      <c r="O4882" s="7">
        <f>IF(COUNTA(A4882:K4882)=0,"",IF(OR(A4882="",B4882=""),"Preencher CPF e entrada",IF(COUNTIFS($A$12:$A$5011,A4882,$B$12:$B$5011,B4882)&gt;1,"CPF + dia duplicado",IF(OR(AND(G4882&lt;&gt;"",G4882&lt;&gt;0,G4882&lt;&gt;1),AND(H4882&lt;&gt;"",H4882&lt;&gt;0,H4882&lt;&gt;1)),"Flags devem ser 0 ou 1",IF(AND(H4882=1,LEN(TRIM(I4882))=0),"Preencher nome do indicante",IF(AND(H4882&lt;&gt;1,I4882&lt;&gt;""),"Nome sem indicação interna",IF(AND(G4882=1,F4882=""),"Fechamento sem conversa",IF(OR(AND(E4882&lt;&gt;"",E4882&lt;B4882),AND(F4882&lt;&gt;"",F4882&lt;B4882)),"Evento anterior à entrada",IF(AND(F4882&lt;&gt;"",E4882=""),"Conversa sem agendamento",IF(OR(E4882&gt;TODAY(),F4882&gt;TODAY()),"Verificar evento futuro","OK"))))))))))</f>
        <v/>
      </c>
    </row>
    <row r="4883" spans="12:15">
      <c r="L4883" s="5">
        <f>IF(OR(A4883="",B4883=""),"",B4883-WEEKDAY(B4883,2)+1)</f>
        <v/>
      </c>
      <c r="M4883" s="5">
        <f>IF(L4883="","",L4883+6)</f>
        <v/>
      </c>
      <c r="N4883" s="6">
        <f>IF(OR(A4883="",B4883=""),"",DATE(YEAR(B4883),MONTH(B4883),1))</f>
        <v/>
      </c>
      <c r="O4883" s="7">
        <f>IF(COUNTA(A4883:K4883)=0,"",IF(OR(A4883="",B4883=""),"Preencher CPF e entrada",IF(COUNTIFS($A$12:$A$5011,A4883,$B$12:$B$5011,B4883)&gt;1,"CPF + dia duplicado",IF(OR(AND(G4883&lt;&gt;"",G4883&lt;&gt;0,G4883&lt;&gt;1),AND(H4883&lt;&gt;"",H4883&lt;&gt;0,H4883&lt;&gt;1)),"Flags devem ser 0 ou 1",IF(AND(H4883=1,LEN(TRIM(I4883))=0),"Preencher nome do indicante",IF(AND(H4883&lt;&gt;1,I4883&lt;&gt;""),"Nome sem indicação interna",IF(AND(G4883=1,F4883=""),"Fechamento sem conversa",IF(OR(AND(E4883&lt;&gt;"",E4883&lt;B4883),AND(F4883&lt;&gt;"",F4883&lt;B4883)),"Evento anterior à entrada",IF(AND(F4883&lt;&gt;"",E4883=""),"Conversa sem agendamento",IF(OR(E4883&gt;TODAY(),F4883&gt;TODAY()),"Verificar evento futuro","OK"))))))))))</f>
        <v/>
      </c>
    </row>
    <row r="4884" spans="12:15">
      <c r="L4884" s="5">
        <f>IF(OR(A4884="",B4884=""),"",B4884-WEEKDAY(B4884,2)+1)</f>
        <v/>
      </c>
      <c r="M4884" s="5">
        <f>IF(L4884="","",L4884+6)</f>
        <v/>
      </c>
      <c r="N4884" s="6">
        <f>IF(OR(A4884="",B4884=""),"",DATE(YEAR(B4884),MONTH(B4884),1))</f>
        <v/>
      </c>
      <c r="O4884" s="7">
        <f>IF(COUNTA(A4884:K4884)=0,"",IF(OR(A4884="",B4884=""),"Preencher CPF e entrada",IF(COUNTIFS($A$12:$A$5011,A4884,$B$12:$B$5011,B4884)&gt;1,"CPF + dia duplicado",IF(OR(AND(G4884&lt;&gt;"",G4884&lt;&gt;0,G4884&lt;&gt;1),AND(H4884&lt;&gt;"",H4884&lt;&gt;0,H4884&lt;&gt;1)),"Flags devem ser 0 ou 1",IF(AND(H4884=1,LEN(TRIM(I4884))=0),"Preencher nome do indicante",IF(AND(H4884&lt;&gt;1,I4884&lt;&gt;""),"Nome sem indicação interna",IF(AND(G4884=1,F4884=""),"Fechamento sem conversa",IF(OR(AND(E4884&lt;&gt;"",E4884&lt;B4884),AND(F4884&lt;&gt;"",F4884&lt;B4884)),"Evento anterior à entrada",IF(AND(F4884&lt;&gt;"",E4884=""),"Conversa sem agendamento",IF(OR(E4884&gt;TODAY(),F4884&gt;TODAY()),"Verificar evento futuro","OK"))))))))))</f>
        <v/>
      </c>
    </row>
    <row r="4885" spans="12:15">
      <c r="L4885" s="5">
        <f>IF(OR(A4885="",B4885=""),"",B4885-WEEKDAY(B4885,2)+1)</f>
        <v/>
      </c>
      <c r="M4885" s="5">
        <f>IF(L4885="","",L4885+6)</f>
        <v/>
      </c>
      <c r="N4885" s="6">
        <f>IF(OR(A4885="",B4885=""),"",DATE(YEAR(B4885),MONTH(B4885),1))</f>
        <v/>
      </c>
      <c r="O4885" s="7">
        <f>IF(COUNTA(A4885:K4885)=0,"",IF(OR(A4885="",B4885=""),"Preencher CPF e entrada",IF(COUNTIFS($A$12:$A$5011,A4885,$B$12:$B$5011,B4885)&gt;1,"CPF + dia duplicado",IF(OR(AND(G4885&lt;&gt;"",G4885&lt;&gt;0,G4885&lt;&gt;1),AND(H4885&lt;&gt;"",H4885&lt;&gt;0,H4885&lt;&gt;1)),"Flags devem ser 0 ou 1",IF(AND(H4885=1,LEN(TRIM(I4885))=0),"Preencher nome do indicante",IF(AND(H4885&lt;&gt;1,I4885&lt;&gt;""),"Nome sem indicação interna",IF(AND(G4885=1,F4885=""),"Fechamento sem conversa",IF(OR(AND(E4885&lt;&gt;"",E4885&lt;B4885),AND(F4885&lt;&gt;"",F4885&lt;B4885)),"Evento anterior à entrada",IF(AND(F4885&lt;&gt;"",E4885=""),"Conversa sem agendamento",IF(OR(E4885&gt;TODAY(),F4885&gt;TODAY()),"Verificar evento futuro","OK"))))))))))</f>
        <v/>
      </c>
    </row>
    <row r="4886" spans="12:15">
      <c r="L4886" s="5">
        <f>IF(OR(A4886="",B4886=""),"",B4886-WEEKDAY(B4886,2)+1)</f>
        <v/>
      </c>
      <c r="M4886" s="5">
        <f>IF(L4886="","",L4886+6)</f>
        <v/>
      </c>
      <c r="N4886" s="6">
        <f>IF(OR(A4886="",B4886=""),"",DATE(YEAR(B4886),MONTH(B4886),1))</f>
        <v/>
      </c>
      <c r="O4886" s="7">
        <f>IF(COUNTA(A4886:K4886)=0,"",IF(OR(A4886="",B4886=""),"Preencher CPF e entrada",IF(COUNTIFS($A$12:$A$5011,A4886,$B$12:$B$5011,B4886)&gt;1,"CPF + dia duplicado",IF(OR(AND(G4886&lt;&gt;"",G4886&lt;&gt;0,G4886&lt;&gt;1),AND(H4886&lt;&gt;"",H4886&lt;&gt;0,H4886&lt;&gt;1)),"Flags devem ser 0 ou 1",IF(AND(H4886=1,LEN(TRIM(I4886))=0),"Preencher nome do indicante",IF(AND(H4886&lt;&gt;1,I4886&lt;&gt;""),"Nome sem indicação interna",IF(AND(G4886=1,F4886=""),"Fechamento sem conversa",IF(OR(AND(E4886&lt;&gt;"",E4886&lt;B4886),AND(F4886&lt;&gt;"",F4886&lt;B4886)),"Evento anterior à entrada",IF(AND(F4886&lt;&gt;"",E4886=""),"Conversa sem agendamento",IF(OR(E4886&gt;TODAY(),F4886&gt;TODAY()),"Verificar evento futuro","OK"))))))))))</f>
        <v/>
      </c>
    </row>
    <row r="4887" spans="12:15">
      <c r="L4887" s="5">
        <f>IF(OR(A4887="",B4887=""),"",B4887-WEEKDAY(B4887,2)+1)</f>
        <v/>
      </c>
      <c r="M4887" s="5">
        <f>IF(L4887="","",L4887+6)</f>
        <v/>
      </c>
      <c r="N4887" s="6">
        <f>IF(OR(A4887="",B4887=""),"",DATE(YEAR(B4887),MONTH(B4887),1))</f>
        <v/>
      </c>
      <c r="O4887" s="7">
        <f>IF(COUNTA(A4887:K4887)=0,"",IF(OR(A4887="",B4887=""),"Preencher CPF e entrada",IF(COUNTIFS($A$12:$A$5011,A4887,$B$12:$B$5011,B4887)&gt;1,"CPF + dia duplicado",IF(OR(AND(G4887&lt;&gt;"",G4887&lt;&gt;0,G4887&lt;&gt;1),AND(H4887&lt;&gt;"",H4887&lt;&gt;0,H4887&lt;&gt;1)),"Flags devem ser 0 ou 1",IF(AND(H4887=1,LEN(TRIM(I4887))=0),"Preencher nome do indicante",IF(AND(H4887&lt;&gt;1,I4887&lt;&gt;""),"Nome sem indicação interna",IF(AND(G4887=1,F4887=""),"Fechamento sem conversa",IF(OR(AND(E4887&lt;&gt;"",E4887&lt;B4887),AND(F4887&lt;&gt;"",F4887&lt;B4887)),"Evento anterior à entrada",IF(AND(F4887&lt;&gt;"",E4887=""),"Conversa sem agendamento",IF(OR(E4887&gt;TODAY(),F4887&gt;TODAY()),"Verificar evento futuro","OK"))))))))))</f>
        <v/>
      </c>
    </row>
    <row r="4888" spans="12:15">
      <c r="L4888" s="5">
        <f>IF(OR(A4888="",B4888=""),"",B4888-WEEKDAY(B4888,2)+1)</f>
        <v/>
      </c>
      <c r="M4888" s="5">
        <f>IF(L4888="","",L4888+6)</f>
        <v/>
      </c>
      <c r="N4888" s="6">
        <f>IF(OR(A4888="",B4888=""),"",DATE(YEAR(B4888),MONTH(B4888),1))</f>
        <v/>
      </c>
      <c r="O4888" s="7">
        <f>IF(COUNTA(A4888:K4888)=0,"",IF(OR(A4888="",B4888=""),"Preencher CPF e entrada",IF(COUNTIFS($A$12:$A$5011,A4888,$B$12:$B$5011,B4888)&gt;1,"CPF + dia duplicado",IF(OR(AND(G4888&lt;&gt;"",G4888&lt;&gt;0,G4888&lt;&gt;1),AND(H4888&lt;&gt;"",H4888&lt;&gt;0,H4888&lt;&gt;1)),"Flags devem ser 0 ou 1",IF(AND(H4888=1,LEN(TRIM(I4888))=0),"Preencher nome do indicante",IF(AND(H4888&lt;&gt;1,I4888&lt;&gt;""),"Nome sem indicação interna",IF(AND(G4888=1,F4888=""),"Fechamento sem conversa",IF(OR(AND(E4888&lt;&gt;"",E4888&lt;B4888),AND(F4888&lt;&gt;"",F4888&lt;B4888)),"Evento anterior à entrada",IF(AND(F4888&lt;&gt;"",E4888=""),"Conversa sem agendamento",IF(OR(E4888&gt;TODAY(),F4888&gt;TODAY()),"Verificar evento futuro","OK"))))))))))</f>
        <v/>
      </c>
    </row>
    <row r="4889" spans="12:15">
      <c r="L4889" s="5">
        <f>IF(OR(A4889="",B4889=""),"",B4889-WEEKDAY(B4889,2)+1)</f>
        <v/>
      </c>
      <c r="M4889" s="5">
        <f>IF(L4889="","",L4889+6)</f>
        <v/>
      </c>
      <c r="N4889" s="6">
        <f>IF(OR(A4889="",B4889=""),"",DATE(YEAR(B4889),MONTH(B4889),1))</f>
        <v/>
      </c>
      <c r="O4889" s="7">
        <f>IF(COUNTA(A4889:K4889)=0,"",IF(OR(A4889="",B4889=""),"Preencher CPF e entrada",IF(COUNTIFS($A$12:$A$5011,A4889,$B$12:$B$5011,B4889)&gt;1,"CPF + dia duplicado",IF(OR(AND(G4889&lt;&gt;"",G4889&lt;&gt;0,G4889&lt;&gt;1),AND(H4889&lt;&gt;"",H4889&lt;&gt;0,H4889&lt;&gt;1)),"Flags devem ser 0 ou 1",IF(AND(H4889=1,LEN(TRIM(I4889))=0),"Preencher nome do indicante",IF(AND(H4889&lt;&gt;1,I4889&lt;&gt;""),"Nome sem indicação interna",IF(AND(G4889=1,F4889=""),"Fechamento sem conversa",IF(OR(AND(E4889&lt;&gt;"",E4889&lt;B4889),AND(F4889&lt;&gt;"",F4889&lt;B4889)),"Evento anterior à entrada",IF(AND(F4889&lt;&gt;"",E4889=""),"Conversa sem agendamento",IF(OR(E4889&gt;TODAY(),F4889&gt;TODAY()),"Verificar evento futuro","OK"))))))))))</f>
        <v/>
      </c>
    </row>
    <row r="4890" spans="12:15">
      <c r="L4890" s="5">
        <f>IF(OR(A4890="",B4890=""),"",B4890-WEEKDAY(B4890,2)+1)</f>
        <v/>
      </c>
      <c r="M4890" s="5">
        <f>IF(L4890="","",L4890+6)</f>
        <v/>
      </c>
      <c r="N4890" s="6">
        <f>IF(OR(A4890="",B4890=""),"",DATE(YEAR(B4890),MONTH(B4890),1))</f>
        <v/>
      </c>
      <c r="O4890" s="7">
        <f>IF(COUNTA(A4890:K4890)=0,"",IF(OR(A4890="",B4890=""),"Preencher CPF e entrada",IF(COUNTIFS($A$12:$A$5011,A4890,$B$12:$B$5011,B4890)&gt;1,"CPF + dia duplicado",IF(OR(AND(G4890&lt;&gt;"",G4890&lt;&gt;0,G4890&lt;&gt;1),AND(H4890&lt;&gt;"",H4890&lt;&gt;0,H4890&lt;&gt;1)),"Flags devem ser 0 ou 1",IF(AND(H4890=1,LEN(TRIM(I4890))=0),"Preencher nome do indicante",IF(AND(H4890&lt;&gt;1,I4890&lt;&gt;""),"Nome sem indicação interna",IF(AND(G4890=1,F4890=""),"Fechamento sem conversa",IF(OR(AND(E4890&lt;&gt;"",E4890&lt;B4890),AND(F4890&lt;&gt;"",F4890&lt;B4890)),"Evento anterior à entrada",IF(AND(F4890&lt;&gt;"",E4890=""),"Conversa sem agendamento",IF(OR(E4890&gt;TODAY(),F4890&gt;TODAY()),"Verificar evento futuro","OK"))))))))))</f>
        <v/>
      </c>
    </row>
    <row r="4891" spans="12:15">
      <c r="L4891" s="5">
        <f>IF(OR(A4891="",B4891=""),"",B4891-WEEKDAY(B4891,2)+1)</f>
        <v/>
      </c>
      <c r="M4891" s="5">
        <f>IF(L4891="","",L4891+6)</f>
        <v/>
      </c>
      <c r="N4891" s="6">
        <f>IF(OR(A4891="",B4891=""),"",DATE(YEAR(B4891),MONTH(B4891),1))</f>
        <v/>
      </c>
      <c r="O4891" s="7">
        <f>IF(COUNTA(A4891:K4891)=0,"",IF(OR(A4891="",B4891=""),"Preencher CPF e entrada",IF(COUNTIFS($A$12:$A$5011,A4891,$B$12:$B$5011,B4891)&gt;1,"CPF + dia duplicado",IF(OR(AND(G4891&lt;&gt;"",G4891&lt;&gt;0,G4891&lt;&gt;1),AND(H4891&lt;&gt;"",H4891&lt;&gt;0,H4891&lt;&gt;1)),"Flags devem ser 0 ou 1",IF(AND(H4891=1,LEN(TRIM(I4891))=0),"Preencher nome do indicante",IF(AND(H4891&lt;&gt;1,I4891&lt;&gt;""),"Nome sem indicação interna",IF(AND(G4891=1,F4891=""),"Fechamento sem conversa",IF(OR(AND(E4891&lt;&gt;"",E4891&lt;B4891),AND(F4891&lt;&gt;"",F4891&lt;B4891)),"Evento anterior à entrada",IF(AND(F4891&lt;&gt;"",E4891=""),"Conversa sem agendamento",IF(OR(E4891&gt;TODAY(),F4891&gt;TODAY()),"Verificar evento futuro","OK"))))))))))</f>
        <v/>
      </c>
    </row>
    <row r="4892" spans="12:15">
      <c r="L4892" s="5">
        <f>IF(OR(A4892="",B4892=""),"",B4892-WEEKDAY(B4892,2)+1)</f>
        <v/>
      </c>
      <c r="M4892" s="5">
        <f>IF(L4892="","",L4892+6)</f>
        <v/>
      </c>
      <c r="N4892" s="6">
        <f>IF(OR(A4892="",B4892=""),"",DATE(YEAR(B4892),MONTH(B4892),1))</f>
        <v/>
      </c>
      <c r="O4892" s="7">
        <f>IF(COUNTA(A4892:K4892)=0,"",IF(OR(A4892="",B4892=""),"Preencher CPF e entrada",IF(COUNTIFS($A$12:$A$5011,A4892,$B$12:$B$5011,B4892)&gt;1,"CPF + dia duplicado",IF(OR(AND(G4892&lt;&gt;"",G4892&lt;&gt;0,G4892&lt;&gt;1),AND(H4892&lt;&gt;"",H4892&lt;&gt;0,H4892&lt;&gt;1)),"Flags devem ser 0 ou 1",IF(AND(H4892=1,LEN(TRIM(I4892))=0),"Preencher nome do indicante",IF(AND(H4892&lt;&gt;1,I4892&lt;&gt;""),"Nome sem indicação interna",IF(AND(G4892=1,F4892=""),"Fechamento sem conversa",IF(OR(AND(E4892&lt;&gt;"",E4892&lt;B4892),AND(F4892&lt;&gt;"",F4892&lt;B4892)),"Evento anterior à entrada",IF(AND(F4892&lt;&gt;"",E4892=""),"Conversa sem agendamento",IF(OR(E4892&gt;TODAY(),F4892&gt;TODAY()),"Verificar evento futuro","OK"))))))))))</f>
        <v/>
      </c>
    </row>
    <row r="4893" spans="12:15">
      <c r="L4893" s="5">
        <f>IF(OR(A4893="",B4893=""),"",B4893-WEEKDAY(B4893,2)+1)</f>
        <v/>
      </c>
      <c r="M4893" s="5">
        <f>IF(L4893="","",L4893+6)</f>
        <v/>
      </c>
      <c r="N4893" s="6">
        <f>IF(OR(A4893="",B4893=""),"",DATE(YEAR(B4893),MONTH(B4893),1))</f>
        <v/>
      </c>
      <c r="O4893" s="7">
        <f>IF(COUNTA(A4893:K4893)=0,"",IF(OR(A4893="",B4893=""),"Preencher CPF e entrada",IF(COUNTIFS($A$12:$A$5011,A4893,$B$12:$B$5011,B4893)&gt;1,"CPF + dia duplicado",IF(OR(AND(G4893&lt;&gt;"",G4893&lt;&gt;0,G4893&lt;&gt;1),AND(H4893&lt;&gt;"",H4893&lt;&gt;0,H4893&lt;&gt;1)),"Flags devem ser 0 ou 1",IF(AND(H4893=1,LEN(TRIM(I4893))=0),"Preencher nome do indicante",IF(AND(H4893&lt;&gt;1,I4893&lt;&gt;""),"Nome sem indicação interna",IF(AND(G4893=1,F4893=""),"Fechamento sem conversa",IF(OR(AND(E4893&lt;&gt;"",E4893&lt;B4893),AND(F4893&lt;&gt;"",F4893&lt;B4893)),"Evento anterior à entrada",IF(AND(F4893&lt;&gt;"",E4893=""),"Conversa sem agendamento",IF(OR(E4893&gt;TODAY(),F4893&gt;TODAY()),"Verificar evento futuro","OK"))))))))))</f>
        <v/>
      </c>
    </row>
    <row r="4894" spans="12:15">
      <c r="L4894" s="5">
        <f>IF(OR(A4894="",B4894=""),"",B4894-WEEKDAY(B4894,2)+1)</f>
        <v/>
      </c>
      <c r="M4894" s="5">
        <f>IF(L4894="","",L4894+6)</f>
        <v/>
      </c>
      <c r="N4894" s="6">
        <f>IF(OR(A4894="",B4894=""),"",DATE(YEAR(B4894),MONTH(B4894),1))</f>
        <v/>
      </c>
      <c r="O4894" s="7">
        <f>IF(COUNTA(A4894:K4894)=0,"",IF(OR(A4894="",B4894=""),"Preencher CPF e entrada",IF(COUNTIFS($A$12:$A$5011,A4894,$B$12:$B$5011,B4894)&gt;1,"CPF + dia duplicado",IF(OR(AND(G4894&lt;&gt;"",G4894&lt;&gt;0,G4894&lt;&gt;1),AND(H4894&lt;&gt;"",H4894&lt;&gt;0,H4894&lt;&gt;1)),"Flags devem ser 0 ou 1",IF(AND(H4894=1,LEN(TRIM(I4894))=0),"Preencher nome do indicante",IF(AND(H4894&lt;&gt;1,I4894&lt;&gt;""),"Nome sem indicação interna",IF(AND(G4894=1,F4894=""),"Fechamento sem conversa",IF(OR(AND(E4894&lt;&gt;"",E4894&lt;B4894),AND(F4894&lt;&gt;"",F4894&lt;B4894)),"Evento anterior à entrada",IF(AND(F4894&lt;&gt;"",E4894=""),"Conversa sem agendamento",IF(OR(E4894&gt;TODAY(),F4894&gt;TODAY()),"Verificar evento futuro","OK"))))))))))</f>
        <v/>
      </c>
    </row>
    <row r="4895" spans="12:15">
      <c r="L4895" s="5">
        <f>IF(OR(A4895="",B4895=""),"",B4895-WEEKDAY(B4895,2)+1)</f>
        <v/>
      </c>
      <c r="M4895" s="5">
        <f>IF(L4895="","",L4895+6)</f>
        <v/>
      </c>
      <c r="N4895" s="6">
        <f>IF(OR(A4895="",B4895=""),"",DATE(YEAR(B4895),MONTH(B4895),1))</f>
        <v/>
      </c>
      <c r="O4895" s="7">
        <f>IF(COUNTA(A4895:K4895)=0,"",IF(OR(A4895="",B4895=""),"Preencher CPF e entrada",IF(COUNTIFS($A$12:$A$5011,A4895,$B$12:$B$5011,B4895)&gt;1,"CPF + dia duplicado",IF(OR(AND(G4895&lt;&gt;"",G4895&lt;&gt;0,G4895&lt;&gt;1),AND(H4895&lt;&gt;"",H4895&lt;&gt;0,H4895&lt;&gt;1)),"Flags devem ser 0 ou 1",IF(AND(H4895=1,LEN(TRIM(I4895))=0),"Preencher nome do indicante",IF(AND(H4895&lt;&gt;1,I4895&lt;&gt;""),"Nome sem indicação interna",IF(AND(G4895=1,F4895=""),"Fechamento sem conversa",IF(OR(AND(E4895&lt;&gt;"",E4895&lt;B4895),AND(F4895&lt;&gt;"",F4895&lt;B4895)),"Evento anterior à entrada",IF(AND(F4895&lt;&gt;"",E4895=""),"Conversa sem agendamento",IF(OR(E4895&gt;TODAY(),F4895&gt;TODAY()),"Verificar evento futuro","OK"))))))))))</f>
        <v/>
      </c>
    </row>
    <row r="4896" spans="12:15">
      <c r="L4896" s="5">
        <f>IF(OR(A4896="",B4896=""),"",B4896-WEEKDAY(B4896,2)+1)</f>
        <v/>
      </c>
      <c r="M4896" s="5">
        <f>IF(L4896="","",L4896+6)</f>
        <v/>
      </c>
      <c r="N4896" s="6">
        <f>IF(OR(A4896="",B4896=""),"",DATE(YEAR(B4896),MONTH(B4896),1))</f>
        <v/>
      </c>
      <c r="O4896" s="7">
        <f>IF(COUNTA(A4896:K4896)=0,"",IF(OR(A4896="",B4896=""),"Preencher CPF e entrada",IF(COUNTIFS($A$12:$A$5011,A4896,$B$12:$B$5011,B4896)&gt;1,"CPF + dia duplicado",IF(OR(AND(G4896&lt;&gt;"",G4896&lt;&gt;0,G4896&lt;&gt;1),AND(H4896&lt;&gt;"",H4896&lt;&gt;0,H4896&lt;&gt;1)),"Flags devem ser 0 ou 1",IF(AND(H4896=1,LEN(TRIM(I4896))=0),"Preencher nome do indicante",IF(AND(H4896&lt;&gt;1,I4896&lt;&gt;""),"Nome sem indicação interna",IF(AND(G4896=1,F4896=""),"Fechamento sem conversa",IF(OR(AND(E4896&lt;&gt;"",E4896&lt;B4896),AND(F4896&lt;&gt;"",F4896&lt;B4896)),"Evento anterior à entrada",IF(AND(F4896&lt;&gt;"",E4896=""),"Conversa sem agendamento",IF(OR(E4896&gt;TODAY(),F4896&gt;TODAY()),"Verificar evento futuro","OK"))))))))))</f>
        <v/>
      </c>
    </row>
    <row r="4897" spans="12:15">
      <c r="L4897" s="5">
        <f>IF(OR(A4897="",B4897=""),"",B4897-WEEKDAY(B4897,2)+1)</f>
        <v/>
      </c>
      <c r="M4897" s="5">
        <f>IF(L4897="","",L4897+6)</f>
        <v/>
      </c>
      <c r="N4897" s="6">
        <f>IF(OR(A4897="",B4897=""),"",DATE(YEAR(B4897),MONTH(B4897),1))</f>
        <v/>
      </c>
      <c r="O4897" s="7">
        <f>IF(COUNTA(A4897:K4897)=0,"",IF(OR(A4897="",B4897=""),"Preencher CPF e entrada",IF(COUNTIFS($A$12:$A$5011,A4897,$B$12:$B$5011,B4897)&gt;1,"CPF + dia duplicado",IF(OR(AND(G4897&lt;&gt;"",G4897&lt;&gt;0,G4897&lt;&gt;1),AND(H4897&lt;&gt;"",H4897&lt;&gt;0,H4897&lt;&gt;1)),"Flags devem ser 0 ou 1",IF(AND(H4897=1,LEN(TRIM(I4897))=0),"Preencher nome do indicante",IF(AND(H4897&lt;&gt;1,I4897&lt;&gt;""),"Nome sem indicação interna",IF(AND(G4897=1,F4897=""),"Fechamento sem conversa",IF(OR(AND(E4897&lt;&gt;"",E4897&lt;B4897),AND(F4897&lt;&gt;"",F4897&lt;B4897)),"Evento anterior à entrada",IF(AND(F4897&lt;&gt;"",E4897=""),"Conversa sem agendamento",IF(OR(E4897&gt;TODAY(),F4897&gt;TODAY()),"Verificar evento futuro","OK"))))))))))</f>
        <v/>
      </c>
    </row>
    <row r="4898" spans="12:15">
      <c r="L4898" s="5">
        <f>IF(OR(A4898="",B4898=""),"",B4898-WEEKDAY(B4898,2)+1)</f>
        <v/>
      </c>
      <c r="M4898" s="5">
        <f>IF(L4898="","",L4898+6)</f>
        <v/>
      </c>
      <c r="N4898" s="6">
        <f>IF(OR(A4898="",B4898=""),"",DATE(YEAR(B4898),MONTH(B4898),1))</f>
        <v/>
      </c>
      <c r="O4898" s="7">
        <f>IF(COUNTA(A4898:K4898)=0,"",IF(OR(A4898="",B4898=""),"Preencher CPF e entrada",IF(COUNTIFS($A$12:$A$5011,A4898,$B$12:$B$5011,B4898)&gt;1,"CPF + dia duplicado",IF(OR(AND(G4898&lt;&gt;"",G4898&lt;&gt;0,G4898&lt;&gt;1),AND(H4898&lt;&gt;"",H4898&lt;&gt;0,H4898&lt;&gt;1)),"Flags devem ser 0 ou 1",IF(AND(H4898=1,LEN(TRIM(I4898))=0),"Preencher nome do indicante",IF(AND(H4898&lt;&gt;1,I4898&lt;&gt;""),"Nome sem indicação interna",IF(AND(G4898=1,F4898=""),"Fechamento sem conversa",IF(OR(AND(E4898&lt;&gt;"",E4898&lt;B4898),AND(F4898&lt;&gt;"",F4898&lt;B4898)),"Evento anterior à entrada",IF(AND(F4898&lt;&gt;"",E4898=""),"Conversa sem agendamento",IF(OR(E4898&gt;TODAY(),F4898&gt;TODAY()),"Verificar evento futuro","OK"))))))))))</f>
        <v/>
      </c>
    </row>
    <row r="4899" spans="12:15">
      <c r="L4899" s="5">
        <f>IF(OR(A4899="",B4899=""),"",B4899-WEEKDAY(B4899,2)+1)</f>
        <v/>
      </c>
      <c r="M4899" s="5">
        <f>IF(L4899="","",L4899+6)</f>
        <v/>
      </c>
      <c r="N4899" s="6">
        <f>IF(OR(A4899="",B4899=""),"",DATE(YEAR(B4899),MONTH(B4899),1))</f>
        <v/>
      </c>
      <c r="O4899" s="7">
        <f>IF(COUNTA(A4899:K4899)=0,"",IF(OR(A4899="",B4899=""),"Preencher CPF e entrada",IF(COUNTIFS($A$12:$A$5011,A4899,$B$12:$B$5011,B4899)&gt;1,"CPF + dia duplicado",IF(OR(AND(G4899&lt;&gt;"",G4899&lt;&gt;0,G4899&lt;&gt;1),AND(H4899&lt;&gt;"",H4899&lt;&gt;0,H4899&lt;&gt;1)),"Flags devem ser 0 ou 1",IF(AND(H4899=1,LEN(TRIM(I4899))=0),"Preencher nome do indicante",IF(AND(H4899&lt;&gt;1,I4899&lt;&gt;""),"Nome sem indicação interna",IF(AND(G4899=1,F4899=""),"Fechamento sem conversa",IF(OR(AND(E4899&lt;&gt;"",E4899&lt;B4899),AND(F4899&lt;&gt;"",F4899&lt;B4899)),"Evento anterior à entrada",IF(AND(F4899&lt;&gt;"",E4899=""),"Conversa sem agendamento",IF(OR(E4899&gt;TODAY(),F4899&gt;TODAY()),"Verificar evento futuro","OK"))))))))))</f>
        <v/>
      </c>
    </row>
    <row r="4900" spans="12:15">
      <c r="L4900" s="5">
        <f>IF(OR(A4900="",B4900=""),"",B4900-WEEKDAY(B4900,2)+1)</f>
        <v/>
      </c>
      <c r="M4900" s="5">
        <f>IF(L4900="","",L4900+6)</f>
        <v/>
      </c>
      <c r="N4900" s="6">
        <f>IF(OR(A4900="",B4900=""),"",DATE(YEAR(B4900),MONTH(B4900),1))</f>
        <v/>
      </c>
      <c r="O4900" s="7">
        <f>IF(COUNTA(A4900:K4900)=0,"",IF(OR(A4900="",B4900=""),"Preencher CPF e entrada",IF(COUNTIFS($A$12:$A$5011,A4900,$B$12:$B$5011,B4900)&gt;1,"CPF + dia duplicado",IF(OR(AND(G4900&lt;&gt;"",G4900&lt;&gt;0,G4900&lt;&gt;1),AND(H4900&lt;&gt;"",H4900&lt;&gt;0,H4900&lt;&gt;1)),"Flags devem ser 0 ou 1",IF(AND(H4900=1,LEN(TRIM(I4900))=0),"Preencher nome do indicante",IF(AND(H4900&lt;&gt;1,I4900&lt;&gt;""),"Nome sem indicação interna",IF(AND(G4900=1,F4900=""),"Fechamento sem conversa",IF(OR(AND(E4900&lt;&gt;"",E4900&lt;B4900),AND(F4900&lt;&gt;"",F4900&lt;B4900)),"Evento anterior à entrada",IF(AND(F4900&lt;&gt;"",E4900=""),"Conversa sem agendamento",IF(OR(E4900&gt;TODAY(),F4900&gt;TODAY()),"Verificar evento futuro","OK"))))))))))</f>
        <v/>
      </c>
    </row>
    <row r="4901" spans="12:15">
      <c r="L4901" s="5">
        <f>IF(OR(A4901="",B4901=""),"",B4901-WEEKDAY(B4901,2)+1)</f>
        <v/>
      </c>
      <c r="M4901" s="5">
        <f>IF(L4901="","",L4901+6)</f>
        <v/>
      </c>
      <c r="N4901" s="6">
        <f>IF(OR(A4901="",B4901=""),"",DATE(YEAR(B4901),MONTH(B4901),1))</f>
        <v/>
      </c>
      <c r="O4901" s="7">
        <f>IF(COUNTA(A4901:K4901)=0,"",IF(OR(A4901="",B4901=""),"Preencher CPF e entrada",IF(COUNTIFS($A$12:$A$5011,A4901,$B$12:$B$5011,B4901)&gt;1,"CPF + dia duplicado",IF(OR(AND(G4901&lt;&gt;"",G4901&lt;&gt;0,G4901&lt;&gt;1),AND(H4901&lt;&gt;"",H4901&lt;&gt;0,H4901&lt;&gt;1)),"Flags devem ser 0 ou 1",IF(AND(H4901=1,LEN(TRIM(I4901))=0),"Preencher nome do indicante",IF(AND(H4901&lt;&gt;1,I4901&lt;&gt;""),"Nome sem indicação interna",IF(AND(G4901=1,F4901=""),"Fechamento sem conversa",IF(OR(AND(E4901&lt;&gt;"",E4901&lt;B4901),AND(F4901&lt;&gt;"",F4901&lt;B4901)),"Evento anterior à entrada",IF(AND(F4901&lt;&gt;"",E4901=""),"Conversa sem agendamento",IF(OR(E4901&gt;TODAY(),F4901&gt;TODAY()),"Verificar evento futuro","OK"))))))))))</f>
        <v/>
      </c>
    </row>
    <row r="4902" spans="12:15">
      <c r="L4902" s="5">
        <f>IF(OR(A4902="",B4902=""),"",B4902-WEEKDAY(B4902,2)+1)</f>
        <v/>
      </c>
      <c r="M4902" s="5">
        <f>IF(L4902="","",L4902+6)</f>
        <v/>
      </c>
      <c r="N4902" s="6">
        <f>IF(OR(A4902="",B4902=""),"",DATE(YEAR(B4902),MONTH(B4902),1))</f>
        <v/>
      </c>
      <c r="O4902" s="7">
        <f>IF(COUNTA(A4902:K4902)=0,"",IF(OR(A4902="",B4902=""),"Preencher CPF e entrada",IF(COUNTIFS($A$12:$A$5011,A4902,$B$12:$B$5011,B4902)&gt;1,"CPF + dia duplicado",IF(OR(AND(G4902&lt;&gt;"",G4902&lt;&gt;0,G4902&lt;&gt;1),AND(H4902&lt;&gt;"",H4902&lt;&gt;0,H4902&lt;&gt;1)),"Flags devem ser 0 ou 1",IF(AND(H4902=1,LEN(TRIM(I4902))=0),"Preencher nome do indicante",IF(AND(H4902&lt;&gt;1,I4902&lt;&gt;""),"Nome sem indicação interna",IF(AND(G4902=1,F4902=""),"Fechamento sem conversa",IF(OR(AND(E4902&lt;&gt;"",E4902&lt;B4902),AND(F4902&lt;&gt;"",F4902&lt;B4902)),"Evento anterior à entrada",IF(AND(F4902&lt;&gt;"",E4902=""),"Conversa sem agendamento",IF(OR(E4902&gt;TODAY(),F4902&gt;TODAY()),"Verificar evento futuro","OK"))))))))))</f>
        <v/>
      </c>
    </row>
    <row r="4903" spans="12:15">
      <c r="L4903" s="5">
        <f>IF(OR(A4903="",B4903=""),"",B4903-WEEKDAY(B4903,2)+1)</f>
        <v/>
      </c>
      <c r="M4903" s="5">
        <f>IF(L4903="","",L4903+6)</f>
        <v/>
      </c>
      <c r="N4903" s="6">
        <f>IF(OR(A4903="",B4903=""),"",DATE(YEAR(B4903),MONTH(B4903),1))</f>
        <v/>
      </c>
      <c r="O4903" s="7">
        <f>IF(COUNTA(A4903:K4903)=0,"",IF(OR(A4903="",B4903=""),"Preencher CPF e entrada",IF(COUNTIFS($A$12:$A$5011,A4903,$B$12:$B$5011,B4903)&gt;1,"CPF + dia duplicado",IF(OR(AND(G4903&lt;&gt;"",G4903&lt;&gt;0,G4903&lt;&gt;1),AND(H4903&lt;&gt;"",H4903&lt;&gt;0,H4903&lt;&gt;1)),"Flags devem ser 0 ou 1",IF(AND(H4903=1,LEN(TRIM(I4903))=0),"Preencher nome do indicante",IF(AND(H4903&lt;&gt;1,I4903&lt;&gt;""),"Nome sem indicação interna",IF(AND(G4903=1,F4903=""),"Fechamento sem conversa",IF(OR(AND(E4903&lt;&gt;"",E4903&lt;B4903),AND(F4903&lt;&gt;"",F4903&lt;B4903)),"Evento anterior à entrada",IF(AND(F4903&lt;&gt;"",E4903=""),"Conversa sem agendamento",IF(OR(E4903&gt;TODAY(),F4903&gt;TODAY()),"Verificar evento futuro","OK"))))))))))</f>
        <v/>
      </c>
    </row>
    <row r="4904" spans="12:15">
      <c r="L4904" s="5">
        <f>IF(OR(A4904="",B4904=""),"",B4904-WEEKDAY(B4904,2)+1)</f>
        <v/>
      </c>
      <c r="M4904" s="5">
        <f>IF(L4904="","",L4904+6)</f>
        <v/>
      </c>
      <c r="N4904" s="6">
        <f>IF(OR(A4904="",B4904=""),"",DATE(YEAR(B4904),MONTH(B4904),1))</f>
        <v/>
      </c>
      <c r="O4904" s="7">
        <f>IF(COUNTA(A4904:K4904)=0,"",IF(OR(A4904="",B4904=""),"Preencher CPF e entrada",IF(COUNTIFS($A$12:$A$5011,A4904,$B$12:$B$5011,B4904)&gt;1,"CPF + dia duplicado",IF(OR(AND(G4904&lt;&gt;"",G4904&lt;&gt;0,G4904&lt;&gt;1),AND(H4904&lt;&gt;"",H4904&lt;&gt;0,H4904&lt;&gt;1)),"Flags devem ser 0 ou 1",IF(AND(H4904=1,LEN(TRIM(I4904))=0),"Preencher nome do indicante",IF(AND(H4904&lt;&gt;1,I4904&lt;&gt;""),"Nome sem indicação interna",IF(AND(G4904=1,F4904=""),"Fechamento sem conversa",IF(OR(AND(E4904&lt;&gt;"",E4904&lt;B4904),AND(F4904&lt;&gt;"",F4904&lt;B4904)),"Evento anterior à entrada",IF(AND(F4904&lt;&gt;"",E4904=""),"Conversa sem agendamento",IF(OR(E4904&gt;TODAY(),F4904&gt;TODAY()),"Verificar evento futuro","OK"))))))))))</f>
        <v/>
      </c>
    </row>
    <row r="4905" spans="12:15">
      <c r="L4905" s="5">
        <f>IF(OR(A4905="",B4905=""),"",B4905-WEEKDAY(B4905,2)+1)</f>
        <v/>
      </c>
      <c r="M4905" s="5">
        <f>IF(L4905="","",L4905+6)</f>
        <v/>
      </c>
      <c r="N4905" s="6">
        <f>IF(OR(A4905="",B4905=""),"",DATE(YEAR(B4905),MONTH(B4905),1))</f>
        <v/>
      </c>
      <c r="O4905" s="7">
        <f>IF(COUNTA(A4905:K4905)=0,"",IF(OR(A4905="",B4905=""),"Preencher CPF e entrada",IF(COUNTIFS($A$12:$A$5011,A4905,$B$12:$B$5011,B4905)&gt;1,"CPF + dia duplicado",IF(OR(AND(G4905&lt;&gt;"",G4905&lt;&gt;0,G4905&lt;&gt;1),AND(H4905&lt;&gt;"",H4905&lt;&gt;0,H4905&lt;&gt;1)),"Flags devem ser 0 ou 1",IF(AND(H4905=1,LEN(TRIM(I4905))=0),"Preencher nome do indicante",IF(AND(H4905&lt;&gt;1,I4905&lt;&gt;""),"Nome sem indicação interna",IF(AND(G4905=1,F4905=""),"Fechamento sem conversa",IF(OR(AND(E4905&lt;&gt;"",E4905&lt;B4905),AND(F4905&lt;&gt;"",F4905&lt;B4905)),"Evento anterior à entrada",IF(AND(F4905&lt;&gt;"",E4905=""),"Conversa sem agendamento",IF(OR(E4905&gt;TODAY(),F4905&gt;TODAY()),"Verificar evento futuro","OK"))))))))))</f>
        <v/>
      </c>
    </row>
    <row r="4906" spans="12:15">
      <c r="L4906" s="5">
        <f>IF(OR(A4906="",B4906=""),"",B4906-WEEKDAY(B4906,2)+1)</f>
        <v/>
      </c>
      <c r="M4906" s="5">
        <f>IF(L4906="","",L4906+6)</f>
        <v/>
      </c>
      <c r="N4906" s="6">
        <f>IF(OR(A4906="",B4906=""),"",DATE(YEAR(B4906),MONTH(B4906),1))</f>
        <v/>
      </c>
      <c r="O4906" s="7">
        <f>IF(COUNTA(A4906:K4906)=0,"",IF(OR(A4906="",B4906=""),"Preencher CPF e entrada",IF(COUNTIFS($A$12:$A$5011,A4906,$B$12:$B$5011,B4906)&gt;1,"CPF + dia duplicado",IF(OR(AND(G4906&lt;&gt;"",G4906&lt;&gt;0,G4906&lt;&gt;1),AND(H4906&lt;&gt;"",H4906&lt;&gt;0,H4906&lt;&gt;1)),"Flags devem ser 0 ou 1",IF(AND(H4906=1,LEN(TRIM(I4906))=0),"Preencher nome do indicante",IF(AND(H4906&lt;&gt;1,I4906&lt;&gt;""),"Nome sem indicação interna",IF(AND(G4906=1,F4906=""),"Fechamento sem conversa",IF(OR(AND(E4906&lt;&gt;"",E4906&lt;B4906),AND(F4906&lt;&gt;"",F4906&lt;B4906)),"Evento anterior à entrada",IF(AND(F4906&lt;&gt;"",E4906=""),"Conversa sem agendamento",IF(OR(E4906&gt;TODAY(),F4906&gt;TODAY()),"Verificar evento futuro","OK"))))))))))</f>
        <v/>
      </c>
    </row>
    <row r="4907" spans="12:15">
      <c r="L4907" s="5">
        <f>IF(OR(A4907="",B4907=""),"",B4907-WEEKDAY(B4907,2)+1)</f>
        <v/>
      </c>
      <c r="M4907" s="5">
        <f>IF(L4907="","",L4907+6)</f>
        <v/>
      </c>
      <c r="N4907" s="6">
        <f>IF(OR(A4907="",B4907=""),"",DATE(YEAR(B4907),MONTH(B4907),1))</f>
        <v/>
      </c>
      <c r="O4907" s="7">
        <f>IF(COUNTA(A4907:K4907)=0,"",IF(OR(A4907="",B4907=""),"Preencher CPF e entrada",IF(COUNTIFS($A$12:$A$5011,A4907,$B$12:$B$5011,B4907)&gt;1,"CPF + dia duplicado",IF(OR(AND(G4907&lt;&gt;"",G4907&lt;&gt;0,G4907&lt;&gt;1),AND(H4907&lt;&gt;"",H4907&lt;&gt;0,H4907&lt;&gt;1)),"Flags devem ser 0 ou 1",IF(AND(H4907=1,LEN(TRIM(I4907))=0),"Preencher nome do indicante",IF(AND(H4907&lt;&gt;1,I4907&lt;&gt;""),"Nome sem indicação interna",IF(AND(G4907=1,F4907=""),"Fechamento sem conversa",IF(OR(AND(E4907&lt;&gt;"",E4907&lt;B4907),AND(F4907&lt;&gt;"",F4907&lt;B4907)),"Evento anterior à entrada",IF(AND(F4907&lt;&gt;"",E4907=""),"Conversa sem agendamento",IF(OR(E4907&gt;TODAY(),F4907&gt;TODAY()),"Verificar evento futuro","OK"))))))))))</f>
        <v/>
      </c>
    </row>
    <row r="4908" spans="12:15">
      <c r="L4908" s="5">
        <f>IF(OR(A4908="",B4908=""),"",B4908-WEEKDAY(B4908,2)+1)</f>
        <v/>
      </c>
      <c r="M4908" s="5">
        <f>IF(L4908="","",L4908+6)</f>
        <v/>
      </c>
      <c r="N4908" s="6">
        <f>IF(OR(A4908="",B4908=""),"",DATE(YEAR(B4908),MONTH(B4908),1))</f>
        <v/>
      </c>
      <c r="O4908" s="7">
        <f>IF(COUNTA(A4908:K4908)=0,"",IF(OR(A4908="",B4908=""),"Preencher CPF e entrada",IF(COUNTIFS($A$12:$A$5011,A4908,$B$12:$B$5011,B4908)&gt;1,"CPF + dia duplicado",IF(OR(AND(G4908&lt;&gt;"",G4908&lt;&gt;0,G4908&lt;&gt;1),AND(H4908&lt;&gt;"",H4908&lt;&gt;0,H4908&lt;&gt;1)),"Flags devem ser 0 ou 1",IF(AND(H4908=1,LEN(TRIM(I4908))=0),"Preencher nome do indicante",IF(AND(H4908&lt;&gt;1,I4908&lt;&gt;""),"Nome sem indicação interna",IF(AND(G4908=1,F4908=""),"Fechamento sem conversa",IF(OR(AND(E4908&lt;&gt;"",E4908&lt;B4908),AND(F4908&lt;&gt;"",F4908&lt;B4908)),"Evento anterior à entrada",IF(AND(F4908&lt;&gt;"",E4908=""),"Conversa sem agendamento",IF(OR(E4908&gt;TODAY(),F4908&gt;TODAY()),"Verificar evento futuro","OK"))))))))))</f>
        <v/>
      </c>
    </row>
    <row r="4909" spans="12:15">
      <c r="L4909" s="5">
        <f>IF(OR(A4909="",B4909=""),"",B4909-WEEKDAY(B4909,2)+1)</f>
        <v/>
      </c>
      <c r="M4909" s="5">
        <f>IF(L4909="","",L4909+6)</f>
        <v/>
      </c>
      <c r="N4909" s="6">
        <f>IF(OR(A4909="",B4909=""),"",DATE(YEAR(B4909),MONTH(B4909),1))</f>
        <v/>
      </c>
      <c r="O4909" s="7">
        <f>IF(COUNTA(A4909:K4909)=0,"",IF(OR(A4909="",B4909=""),"Preencher CPF e entrada",IF(COUNTIFS($A$12:$A$5011,A4909,$B$12:$B$5011,B4909)&gt;1,"CPF + dia duplicado",IF(OR(AND(G4909&lt;&gt;"",G4909&lt;&gt;0,G4909&lt;&gt;1),AND(H4909&lt;&gt;"",H4909&lt;&gt;0,H4909&lt;&gt;1)),"Flags devem ser 0 ou 1",IF(AND(H4909=1,LEN(TRIM(I4909))=0),"Preencher nome do indicante",IF(AND(H4909&lt;&gt;1,I4909&lt;&gt;""),"Nome sem indicação interna",IF(AND(G4909=1,F4909=""),"Fechamento sem conversa",IF(OR(AND(E4909&lt;&gt;"",E4909&lt;B4909),AND(F4909&lt;&gt;"",F4909&lt;B4909)),"Evento anterior à entrada",IF(AND(F4909&lt;&gt;"",E4909=""),"Conversa sem agendamento",IF(OR(E4909&gt;TODAY(),F4909&gt;TODAY()),"Verificar evento futuro","OK"))))))))))</f>
        <v/>
      </c>
    </row>
    <row r="4910" spans="12:15">
      <c r="L4910" s="5">
        <f>IF(OR(A4910="",B4910=""),"",B4910-WEEKDAY(B4910,2)+1)</f>
        <v/>
      </c>
      <c r="M4910" s="5">
        <f>IF(L4910="","",L4910+6)</f>
        <v/>
      </c>
      <c r="N4910" s="6">
        <f>IF(OR(A4910="",B4910=""),"",DATE(YEAR(B4910),MONTH(B4910),1))</f>
        <v/>
      </c>
      <c r="O4910" s="7">
        <f>IF(COUNTA(A4910:K4910)=0,"",IF(OR(A4910="",B4910=""),"Preencher CPF e entrada",IF(COUNTIFS($A$12:$A$5011,A4910,$B$12:$B$5011,B4910)&gt;1,"CPF + dia duplicado",IF(OR(AND(G4910&lt;&gt;"",G4910&lt;&gt;0,G4910&lt;&gt;1),AND(H4910&lt;&gt;"",H4910&lt;&gt;0,H4910&lt;&gt;1)),"Flags devem ser 0 ou 1",IF(AND(H4910=1,LEN(TRIM(I4910))=0),"Preencher nome do indicante",IF(AND(H4910&lt;&gt;1,I4910&lt;&gt;""),"Nome sem indicação interna",IF(AND(G4910=1,F4910=""),"Fechamento sem conversa",IF(OR(AND(E4910&lt;&gt;"",E4910&lt;B4910),AND(F4910&lt;&gt;"",F4910&lt;B4910)),"Evento anterior à entrada",IF(AND(F4910&lt;&gt;"",E4910=""),"Conversa sem agendamento",IF(OR(E4910&gt;TODAY(),F4910&gt;TODAY()),"Verificar evento futuro","OK"))))))))))</f>
        <v/>
      </c>
    </row>
    <row r="4911" spans="12:15">
      <c r="L4911" s="5">
        <f>IF(OR(A4911="",B4911=""),"",B4911-WEEKDAY(B4911,2)+1)</f>
        <v/>
      </c>
      <c r="M4911" s="5">
        <f>IF(L4911="","",L4911+6)</f>
        <v/>
      </c>
      <c r="N4911" s="6">
        <f>IF(OR(A4911="",B4911=""),"",DATE(YEAR(B4911),MONTH(B4911),1))</f>
        <v/>
      </c>
      <c r="O4911" s="7">
        <f>IF(COUNTA(A4911:K4911)=0,"",IF(OR(A4911="",B4911=""),"Preencher CPF e entrada",IF(COUNTIFS($A$12:$A$5011,A4911,$B$12:$B$5011,B4911)&gt;1,"CPF + dia duplicado",IF(OR(AND(G4911&lt;&gt;"",G4911&lt;&gt;0,G4911&lt;&gt;1),AND(H4911&lt;&gt;"",H4911&lt;&gt;0,H4911&lt;&gt;1)),"Flags devem ser 0 ou 1",IF(AND(H4911=1,LEN(TRIM(I4911))=0),"Preencher nome do indicante",IF(AND(H4911&lt;&gt;1,I4911&lt;&gt;""),"Nome sem indicação interna",IF(AND(G4911=1,F4911=""),"Fechamento sem conversa",IF(OR(AND(E4911&lt;&gt;"",E4911&lt;B4911),AND(F4911&lt;&gt;"",F4911&lt;B4911)),"Evento anterior à entrada",IF(AND(F4911&lt;&gt;"",E4911=""),"Conversa sem agendamento",IF(OR(E4911&gt;TODAY(),F4911&gt;TODAY()),"Verificar evento futuro","OK"))))))))))</f>
        <v/>
      </c>
    </row>
    <row r="4912" spans="12:15">
      <c r="L4912" s="5">
        <f>IF(OR(A4912="",B4912=""),"",B4912-WEEKDAY(B4912,2)+1)</f>
        <v/>
      </c>
      <c r="M4912" s="5">
        <f>IF(L4912="","",L4912+6)</f>
        <v/>
      </c>
      <c r="N4912" s="6">
        <f>IF(OR(A4912="",B4912=""),"",DATE(YEAR(B4912),MONTH(B4912),1))</f>
        <v/>
      </c>
      <c r="O4912" s="7">
        <f>IF(COUNTA(A4912:K4912)=0,"",IF(OR(A4912="",B4912=""),"Preencher CPF e entrada",IF(COUNTIFS($A$12:$A$5011,A4912,$B$12:$B$5011,B4912)&gt;1,"CPF + dia duplicado",IF(OR(AND(G4912&lt;&gt;"",G4912&lt;&gt;0,G4912&lt;&gt;1),AND(H4912&lt;&gt;"",H4912&lt;&gt;0,H4912&lt;&gt;1)),"Flags devem ser 0 ou 1",IF(AND(H4912=1,LEN(TRIM(I4912))=0),"Preencher nome do indicante",IF(AND(H4912&lt;&gt;1,I4912&lt;&gt;""),"Nome sem indicação interna",IF(AND(G4912=1,F4912=""),"Fechamento sem conversa",IF(OR(AND(E4912&lt;&gt;"",E4912&lt;B4912),AND(F4912&lt;&gt;"",F4912&lt;B4912)),"Evento anterior à entrada",IF(AND(F4912&lt;&gt;"",E4912=""),"Conversa sem agendamento",IF(OR(E4912&gt;TODAY(),F4912&gt;TODAY()),"Verificar evento futuro","OK"))))))))))</f>
        <v/>
      </c>
    </row>
    <row r="4913" spans="12:15">
      <c r="L4913" s="5">
        <f>IF(OR(A4913="",B4913=""),"",B4913-WEEKDAY(B4913,2)+1)</f>
        <v/>
      </c>
      <c r="M4913" s="5">
        <f>IF(L4913="","",L4913+6)</f>
        <v/>
      </c>
      <c r="N4913" s="6">
        <f>IF(OR(A4913="",B4913=""),"",DATE(YEAR(B4913),MONTH(B4913),1))</f>
        <v/>
      </c>
      <c r="O4913" s="7">
        <f>IF(COUNTA(A4913:K4913)=0,"",IF(OR(A4913="",B4913=""),"Preencher CPF e entrada",IF(COUNTIFS($A$12:$A$5011,A4913,$B$12:$B$5011,B4913)&gt;1,"CPF + dia duplicado",IF(OR(AND(G4913&lt;&gt;"",G4913&lt;&gt;0,G4913&lt;&gt;1),AND(H4913&lt;&gt;"",H4913&lt;&gt;0,H4913&lt;&gt;1)),"Flags devem ser 0 ou 1",IF(AND(H4913=1,LEN(TRIM(I4913))=0),"Preencher nome do indicante",IF(AND(H4913&lt;&gt;1,I4913&lt;&gt;""),"Nome sem indicação interna",IF(AND(G4913=1,F4913=""),"Fechamento sem conversa",IF(OR(AND(E4913&lt;&gt;"",E4913&lt;B4913),AND(F4913&lt;&gt;"",F4913&lt;B4913)),"Evento anterior à entrada",IF(AND(F4913&lt;&gt;"",E4913=""),"Conversa sem agendamento",IF(OR(E4913&gt;TODAY(),F4913&gt;TODAY()),"Verificar evento futuro","OK"))))))))))</f>
        <v/>
      </c>
    </row>
    <row r="4914" spans="12:15">
      <c r="L4914" s="5">
        <f>IF(OR(A4914="",B4914=""),"",B4914-WEEKDAY(B4914,2)+1)</f>
        <v/>
      </c>
      <c r="M4914" s="5">
        <f>IF(L4914="","",L4914+6)</f>
        <v/>
      </c>
      <c r="N4914" s="6">
        <f>IF(OR(A4914="",B4914=""),"",DATE(YEAR(B4914),MONTH(B4914),1))</f>
        <v/>
      </c>
      <c r="O4914" s="7">
        <f>IF(COUNTA(A4914:K4914)=0,"",IF(OR(A4914="",B4914=""),"Preencher CPF e entrada",IF(COUNTIFS($A$12:$A$5011,A4914,$B$12:$B$5011,B4914)&gt;1,"CPF + dia duplicado",IF(OR(AND(G4914&lt;&gt;"",G4914&lt;&gt;0,G4914&lt;&gt;1),AND(H4914&lt;&gt;"",H4914&lt;&gt;0,H4914&lt;&gt;1)),"Flags devem ser 0 ou 1",IF(AND(H4914=1,LEN(TRIM(I4914))=0),"Preencher nome do indicante",IF(AND(H4914&lt;&gt;1,I4914&lt;&gt;""),"Nome sem indicação interna",IF(AND(G4914=1,F4914=""),"Fechamento sem conversa",IF(OR(AND(E4914&lt;&gt;"",E4914&lt;B4914),AND(F4914&lt;&gt;"",F4914&lt;B4914)),"Evento anterior à entrada",IF(AND(F4914&lt;&gt;"",E4914=""),"Conversa sem agendamento",IF(OR(E4914&gt;TODAY(),F4914&gt;TODAY()),"Verificar evento futuro","OK"))))))))))</f>
        <v/>
      </c>
    </row>
    <row r="4915" spans="12:15">
      <c r="L4915" s="5">
        <f>IF(OR(A4915="",B4915=""),"",B4915-WEEKDAY(B4915,2)+1)</f>
        <v/>
      </c>
      <c r="M4915" s="5">
        <f>IF(L4915="","",L4915+6)</f>
        <v/>
      </c>
      <c r="N4915" s="6">
        <f>IF(OR(A4915="",B4915=""),"",DATE(YEAR(B4915),MONTH(B4915),1))</f>
        <v/>
      </c>
      <c r="O4915" s="7">
        <f>IF(COUNTA(A4915:K4915)=0,"",IF(OR(A4915="",B4915=""),"Preencher CPF e entrada",IF(COUNTIFS($A$12:$A$5011,A4915,$B$12:$B$5011,B4915)&gt;1,"CPF + dia duplicado",IF(OR(AND(G4915&lt;&gt;"",G4915&lt;&gt;0,G4915&lt;&gt;1),AND(H4915&lt;&gt;"",H4915&lt;&gt;0,H4915&lt;&gt;1)),"Flags devem ser 0 ou 1",IF(AND(H4915=1,LEN(TRIM(I4915))=0),"Preencher nome do indicante",IF(AND(H4915&lt;&gt;1,I4915&lt;&gt;""),"Nome sem indicação interna",IF(AND(G4915=1,F4915=""),"Fechamento sem conversa",IF(OR(AND(E4915&lt;&gt;"",E4915&lt;B4915),AND(F4915&lt;&gt;"",F4915&lt;B4915)),"Evento anterior à entrada",IF(AND(F4915&lt;&gt;"",E4915=""),"Conversa sem agendamento",IF(OR(E4915&gt;TODAY(),F4915&gt;TODAY()),"Verificar evento futuro","OK"))))))))))</f>
        <v/>
      </c>
    </row>
    <row r="4916" spans="12:15">
      <c r="L4916" s="5">
        <f>IF(OR(A4916="",B4916=""),"",B4916-WEEKDAY(B4916,2)+1)</f>
        <v/>
      </c>
      <c r="M4916" s="5">
        <f>IF(L4916="","",L4916+6)</f>
        <v/>
      </c>
      <c r="N4916" s="6">
        <f>IF(OR(A4916="",B4916=""),"",DATE(YEAR(B4916),MONTH(B4916),1))</f>
        <v/>
      </c>
      <c r="O4916" s="7">
        <f>IF(COUNTA(A4916:K4916)=0,"",IF(OR(A4916="",B4916=""),"Preencher CPF e entrada",IF(COUNTIFS($A$12:$A$5011,A4916,$B$12:$B$5011,B4916)&gt;1,"CPF + dia duplicado",IF(OR(AND(G4916&lt;&gt;"",G4916&lt;&gt;0,G4916&lt;&gt;1),AND(H4916&lt;&gt;"",H4916&lt;&gt;0,H4916&lt;&gt;1)),"Flags devem ser 0 ou 1",IF(AND(H4916=1,LEN(TRIM(I4916))=0),"Preencher nome do indicante",IF(AND(H4916&lt;&gt;1,I4916&lt;&gt;""),"Nome sem indicação interna",IF(AND(G4916=1,F4916=""),"Fechamento sem conversa",IF(OR(AND(E4916&lt;&gt;"",E4916&lt;B4916),AND(F4916&lt;&gt;"",F4916&lt;B4916)),"Evento anterior à entrada",IF(AND(F4916&lt;&gt;"",E4916=""),"Conversa sem agendamento",IF(OR(E4916&gt;TODAY(),F4916&gt;TODAY()),"Verificar evento futuro","OK"))))))))))</f>
        <v/>
      </c>
    </row>
    <row r="4917" spans="12:15">
      <c r="L4917" s="5">
        <f>IF(OR(A4917="",B4917=""),"",B4917-WEEKDAY(B4917,2)+1)</f>
        <v/>
      </c>
      <c r="M4917" s="5">
        <f>IF(L4917="","",L4917+6)</f>
        <v/>
      </c>
      <c r="N4917" s="6">
        <f>IF(OR(A4917="",B4917=""),"",DATE(YEAR(B4917),MONTH(B4917),1))</f>
        <v/>
      </c>
      <c r="O4917" s="7">
        <f>IF(COUNTA(A4917:K4917)=0,"",IF(OR(A4917="",B4917=""),"Preencher CPF e entrada",IF(COUNTIFS($A$12:$A$5011,A4917,$B$12:$B$5011,B4917)&gt;1,"CPF + dia duplicado",IF(OR(AND(G4917&lt;&gt;"",G4917&lt;&gt;0,G4917&lt;&gt;1),AND(H4917&lt;&gt;"",H4917&lt;&gt;0,H4917&lt;&gt;1)),"Flags devem ser 0 ou 1",IF(AND(H4917=1,LEN(TRIM(I4917))=0),"Preencher nome do indicante",IF(AND(H4917&lt;&gt;1,I4917&lt;&gt;""),"Nome sem indicação interna",IF(AND(G4917=1,F4917=""),"Fechamento sem conversa",IF(OR(AND(E4917&lt;&gt;"",E4917&lt;B4917),AND(F4917&lt;&gt;"",F4917&lt;B4917)),"Evento anterior à entrada",IF(AND(F4917&lt;&gt;"",E4917=""),"Conversa sem agendamento",IF(OR(E4917&gt;TODAY(),F4917&gt;TODAY()),"Verificar evento futuro","OK"))))))))))</f>
        <v/>
      </c>
    </row>
    <row r="4918" spans="12:15">
      <c r="L4918" s="5">
        <f>IF(OR(A4918="",B4918=""),"",B4918-WEEKDAY(B4918,2)+1)</f>
        <v/>
      </c>
      <c r="M4918" s="5">
        <f>IF(L4918="","",L4918+6)</f>
        <v/>
      </c>
      <c r="N4918" s="6">
        <f>IF(OR(A4918="",B4918=""),"",DATE(YEAR(B4918),MONTH(B4918),1))</f>
        <v/>
      </c>
      <c r="O4918" s="7">
        <f>IF(COUNTA(A4918:K4918)=0,"",IF(OR(A4918="",B4918=""),"Preencher CPF e entrada",IF(COUNTIFS($A$12:$A$5011,A4918,$B$12:$B$5011,B4918)&gt;1,"CPF + dia duplicado",IF(OR(AND(G4918&lt;&gt;"",G4918&lt;&gt;0,G4918&lt;&gt;1),AND(H4918&lt;&gt;"",H4918&lt;&gt;0,H4918&lt;&gt;1)),"Flags devem ser 0 ou 1",IF(AND(H4918=1,LEN(TRIM(I4918))=0),"Preencher nome do indicante",IF(AND(H4918&lt;&gt;1,I4918&lt;&gt;""),"Nome sem indicação interna",IF(AND(G4918=1,F4918=""),"Fechamento sem conversa",IF(OR(AND(E4918&lt;&gt;"",E4918&lt;B4918),AND(F4918&lt;&gt;"",F4918&lt;B4918)),"Evento anterior à entrada",IF(AND(F4918&lt;&gt;"",E4918=""),"Conversa sem agendamento",IF(OR(E4918&gt;TODAY(),F4918&gt;TODAY()),"Verificar evento futuro","OK"))))))))))</f>
        <v/>
      </c>
    </row>
    <row r="4919" spans="12:15">
      <c r="L4919" s="5">
        <f>IF(OR(A4919="",B4919=""),"",B4919-WEEKDAY(B4919,2)+1)</f>
        <v/>
      </c>
      <c r="M4919" s="5">
        <f>IF(L4919="","",L4919+6)</f>
        <v/>
      </c>
      <c r="N4919" s="6">
        <f>IF(OR(A4919="",B4919=""),"",DATE(YEAR(B4919),MONTH(B4919),1))</f>
        <v/>
      </c>
      <c r="O4919" s="7">
        <f>IF(COUNTA(A4919:K4919)=0,"",IF(OR(A4919="",B4919=""),"Preencher CPF e entrada",IF(COUNTIFS($A$12:$A$5011,A4919,$B$12:$B$5011,B4919)&gt;1,"CPF + dia duplicado",IF(OR(AND(G4919&lt;&gt;"",G4919&lt;&gt;0,G4919&lt;&gt;1),AND(H4919&lt;&gt;"",H4919&lt;&gt;0,H4919&lt;&gt;1)),"Flags devem ser 0 ou 1",IF(AND(H4919=1,LEN(TRIM(I4919))=0),"Preencher nome do indicante",IF(AND(H4919&lt;&gt;1,I4919&lt;&gt;""),"Nome sem indicação interna",IF(AND(G4919=1,F4919=""),"Fechamento sem conversa",IF(OR(AND(E4919&lt;&gt;"",E4919&lt;B4919),AND(F4919&lt;&gt;"",F4919&lt;B4919)),"Evento anterior à entrada",IF(AND(F4919&lt;&gt;"",E4919=""),"Conversa sem agendamento",IF(OR(E4919&gt;TODAY(),F4919&gt;TODAY()),"Verificar evento futuro","OK"))))))))))</f>
        <v/>
      </c>
    </row>
    <row r="4920" spans="12:15">
      <c r="L4920" s="5">
        <f>IF(OR(A4920="",B4920=""),"",B4920-WEEKDAY(B4920,2)+1)</f>
        <v/>
      </c>
      <c r="M4920" s="5">
        <f>IF(L4920="","",L4920+6)</f>
        <v/>
      </c>
      <c r="N4920" s="6">
        <f>IF(OR(A4920="",B4920=""),"",DATE(YEAR(B4920),MONTH(B4920),1))</f>
        <v/>
      </c>
      <c r="O4920" s="7">
        <f>IF(COUNTA(A4920:K4920)=0,"",IF(OR(A4920="",B4920=""),"Preencher CPF e entrada",IF(COUNTIFS($A$12:$A$5011,A4920,$B$12:$B$5011,B4920)&gt;1,"CPF + dia duplicado",IF(OR(AND(G4920&lt;&gt;"",G4920&lt;&gt;0,G4920&lt;&gt;1),AND(H4920&lt;&gt;"",H4920&lt;&gt;0,H4920&lt;&gt;1)),"Flags devem ser 0 ou 1",IF(AND(H4920=1,LEN(TRIM(I4920))=0),"Preencher nome do indicante",IF(AND(H4920&lt;&gt;1,I4920&lt;&gt;""),"Nome sem indicação interna",IF(AND(G4920=1,F4920=""),"Fechamento sem conversa",IF(OR(AND(E4920&lt;&gt;"",E4920&lt;B4920),AND(F4920&lt;&gt;"",F4920&lt;B4920)),"Evento anterior à entrada",IF(AND(F4920&lt;&gt;"",E4920=""),"Conversa sem agendamento",IF(OR(E4920&gt;TODAY(),F4920&gt;TODAY()),"Verificar evento futuro","OK"))))))))))</f>
        <v/>
      </c>
    </row>
    <row r="4921" spans="12:15">
      <c r="L4921" s="5">
        <f>IF(OR(A4921="",B4921=""),"",B4921-WEEKDAY(B4921,2)+1)</f>
        <v/>
      </c>
      <c r="M4921" s="5">
        <f>IF(L4921="","",L4921+6)</f>
        <v/>
      </c>
      <c r="N4921" s="6">
        <f>IF(OR(A4921="",B4921=""),"",DATE(YEAR(B4921),MONTH(B4921),1))</f>
        <v/>
      </c>
      <c r="O4921" s="7">
        <f>IF(COUNTA(A4921:K4921)=0,"",IF(OR(A4921="",B4921=""),"Preencher CPF e entrada",IF(COUNTIFS($A$12:$A$5011,A4921,$B$12:$B$5011,B4921)&gt;1,"CPF + dia duplicado",IF(OR(AND(G4921&lt;&gt;"",G4921&lt;&gt;0,G4921&lt;&gt;1),AND(H4921&lt;&gt;"",H4921&lt;&gt;0,H4921&lt;&gt;1)),"Flags devem ser 0 ou 1",IF(AND(H4921=1,LEN(TRIM(I4921))=0),"Preencher nome do indicante",IF(AND(H4921&lt;&gt;1,I4921&lt;&gt;""),"Nome sem indicação interna",IF(AND(G4921=1,F4921=""),"Fechamento sem conversa",IF(OR(AND(E4921&lt;&gt;"",E4921&lt;B4921),AND(F4921&lt;&gt;"",F4921&lt;B4921)),"Evento anterior à entrada",IF(AND(F4921&lt;&gt;"",E4921=""),"Conversa sem agendamento",IF(OR(E4921&gt;TODAY(),F4921&gt;TODAY()),"Verificar evento futuro","OK"))))))))))</f>
        <v/>
      </c>
    </row>
    <row r="4922" spans="12:15">
      <c r="L4922" s="5">
        <f>IF(OR(A4922="",B4922=""),"",B4922-WEEKDAY(B4922,2)+1)</f>
        <v/>
      </c>
      <c r="M4922" s="5">
        <f>IF(L4922="","",L4922+6)</f>
        <v/>
      </c>
      <c r="N4922" s="6">
        <f>IF(OR(A4922="",B4922=""),"",DATE(YEAR(B4922),MONTH(B4922),1))</f>
        <v/>
      </c>
      <c r="O4922" s="7">
        <f>IF(COUNTA(A4922:K4922)=0,"",IF(OR(A4922="",B4922=""),"Preencher CPF e entrada",IF(COUNTIFS($A$12:$A$5011,A4922,$B$12:$B$5011,B4922)&gt;1,"CPF + dia duplicado",IF(OR(AND(G4922&lt;&gt;"",G4922&lt;&gt;0,G4922&lt;&gt;1),AND(H4922&lt;&gt;"",H4922&lt;&gt;0,H4922&lt;&gt;1)),"Flags devem ser 0 ou 1",IF(AND(H4922=1,LEN(TRIM(I4922))=0),"Preencher nome do indicante",IF(AND(H4922&lt;&gt;1,I4922&lt;&gt;""),"Nome sem indicação interna",IF(AND(G4922=1,F4922=""),"Fechamento sem conversa",IF(OR(AND(E4922&lt;&gt;"",E4922&lt;B4922),AND(F4922&lt;&gt;"",F4922&lt;B4922)),"Evento anterior à entrada",IF(AND(F4922&lt;&gt;"",E4922=""),"Conversa sem agendamento",IF(OR(E4922&gt;TODAY(),F4922&gt;TODAY()),"Verificar evento futuro","OK"))))))))))</f>
        <v/>
      </c>
    </row>
    <row r="4923" spans="12:15">
      <c r="L4923" s="5">
        <f>IF(OR(A4923="",B4923=""),"",B4923-WEEKDAY(B4923,2)+1)</f>
        <v/>
      </c>
      <c r="M4923" s="5">
        <f>IF(L4923="","",L4923+6)</f>
        <v/>
      </c>
      <c r="N4923" s="6">
        <f>IF(OR(A4923="",B4923=""),"",DATE(YEAR(B4923),MONTH(B4923),1))</f>
        <v/>
      </c>
      <c r="O4923" s="7">
        <f>IF(COUNTA(A4923:K4923)=0,"",IF(OR(A4923="",B4923=""),"Preencher CPF e entrada",IF(COUNTIFS($A$12:$A$5011,A4923,$B$12:$B$5011,B4923)&gt;1,"CPF + dia duplicado",IF(OR(AND(G4923&lt;&gt;"",G4923&lt;&gt;0,G4923&lt;&gt;1),AND(H4923&lt;&gt;"",H4923&lt;&gt;0,H4923&lt;&gt;1)),"Flags devem ser 0 ou 1",IF(AND(H4923=1,LEN(TRIM(I4923))=0),"Preencher nome do indicante",IF(AND(H4923&lt;&gt;1,I4923&lt;&gt;""),"Nome sem indicação interna",IF(AND(G4923=1,F4923=""),"Fechamento sem conversa",IF(OR(AND(E4923&lt;&gt;"",E4923&lt;B4923),AND(F4923&lt;&gt;"",F4923&lt;B4923)),"Evento anterior à entrada",IF(AND(F4923&lt;&gt;"",E4923=""),"Conversa sem agendamento",IF(OR(E4923&gt;TODAY(),F4923&gt;TODAY()),"Verificar evento futuro","OK"))))))))))</f>
        <v/>
      </c>
    </row>
    <row r="4924" spans="12:15">
      <c r="L4924" s="5">
        <f>IF(OR(A4924="",B4924=""),"",B4924-WEEKDAY(B4924,2)+1)</f>
        <v/>
      </c>
      <c r="M4924" s="5">
        <f>IF(L4924="","",L4924+6)</f>
        <v/>
      </c>
      <c r="N4924" s="6">
        <f>IF(OR(A4924="",B4924=""),"",DATE(YEAR(B4924),MONTH(B4924),1))</f>
        <v/>
      </c>
      <c r="O4924" s="7">
        <f>IF(COUNTA(A4924:K4924)=0,"",IF(OR(A4924="",B4924=""),"Preencher CPF e entrada",IF(COUNTIFS($A$12:$A$5011,A4924,$B$12:$B$5011,B4924)&gt;1,"CPF + dia duplicado",IF(OR(AND(G4924&lt;&gt;"",G4924&lt;&gt;0,G4924&lt;&gt;1),AND(H4924&lt;&gt;"",H4924&lt;&gt;0,H4924&lt;&gt;1)),"Flags devem ser 0 ou 1",IF(AND(H4924=1,LEN(TRIM(I4924))=0),"Preencher nome do indicante",IF(AND(H4924&lt;&gt;1,I4924&lt;&gt;""),"Nome sem indicação interna",IF(AND(G4924=1,F4924=""),"Fechamento sem conversa",IF(OR(AND(E4924&lt;&gt;"",E4924&lt;B4924),AND(F4924&lt;&gt;"",F4924&lt;B4924)),"Evento anterior à entrada",IF(AND(F4924&lt;&gt;"",E4924=""),"Conversa sem agendamento",IF(OR(E4924&gt;TODAY(),F4924&gt;TODAY()),"Verificar evento futuro","OK"))))))))))</f>
        <v/>
      </c>
    </row>
    <row r="4925" spans="12:15">
      <c r="L4925" s="5">
        <f>IF(OR(A4925="",B4925=""),"",B4925-WEEKDAY(B4925,2)+1)</f>
        <v/>
      </c>
      <c r="M4925" s="5">
        <f>IF(L4925="","",L4925+6)</f>
        <v/>
      </c>
      <c r="N4925" s="6">
        <f>IF(OR(A4925="",B4925=""),"",DATE(YEAR(B4925),MONTH(B4925),1))</f>
        <v/>
      </c>
      <c r="O4925" s="7">
        <f>IF(COUNTA(A4925:K4925)=0,"",IF(OR(A4925="",B4925=""),"Preencher CPF e entrada",IF(COUNTIFS($A$12:$A$5011,A4925,$B$12:$B$5011,B4925)&gt;1,"CPF + dia duplicado",IF(OR(AND(G4925&lt;&gt;"",G4925&lt;&gt;0,G4925&lt;&gt;1),AND(H4925&lt;&gt;"",H4925&lt;&gt;0,H4925&lt;&gt;1)),"Flags devem ser 0 ou 1",IF(AND(H4925=1,LEN(TRIM(I4925))=0),"Preencher nome do indicante",IF(AND(H4925&lt;&gt;1,I4925&lt;&gt;""),"Nome sem indicação interna",IF(AND(G4925=1,F4925=""),"Fechamento sem conversa",IF(OR(AND(E4925&lt;&gt;"",E4925&lt;B4925),AND(F4925&lt;&gt;"",F4925&lt;B4925)),"Evento anterior à entrada",IF(AND(F4925&lt;&gt;"",E4925=""),"Conversa sem agendamento",IF(OR(E4925&gt;TODAY(),F4925&gt;TODAY()),"Verificar evento futuro","OK"))))))))))</f>
        <v/>
      </c>
    </row>
    <row r="4926" spans="12:15">
      <c r="L4926" s="5">
        <f>IF(OR(A4926="",B4926=""),"",B4926-WEEKDAY(B4926,2)+1)</f>
        <v/>
      </c>
      <c r="M4926" s="5">
        <f>IF(L4926="","",L4926+6)</f>
        <v/>
      </c>
      <c r="N4926" s="6">
        <f>IF(OR(A4926="",B4926=""),"",DATE(YEAR(B4926),MONTH(B4926),1))</f>
        <v/>
      </c>
      <c r="O4926" s="7">
        <f>IF(COUNTA(A4926:K4926)=0,"",IF(OR(A4926="",B4926=""),"Preencher CPF e entrada",IF(COUNTIFS($A$12:$A$5011,A4926,$B$12:$B$5011,B4926)&gt;1,"CPF + dia duplicado",IF(OR(AND(G4926&lt;&gt;"",G4926&lt;&gt;0,G4926&lt;&gt;1),AND(H4926&lt;&gt;"",H4926&lt;&gt;0,H4926&lt;&gt;1)),"Flags devem ser 0 ou 1",IF(AND(H4926=1,LEN(TRIM(I4926))=0),"Preencher nome do indicante",IF(AND(H4926&lt;&gt;1,I4926&lt;&gt;""),"Nome sem indicação interna",IF(AND(G4926=1,F4926=""),"Fechamento sem conversa",IF(OR(AND(E4926&lt;&gt;"",E4926&lt;B4926),AND(F4926&lt;&gt;"",F4926&lt;B4926)),"Evento anterior à entrada",IF(AND(F4926&lt;&gt;"",E4926=""),"Conversa sem agendamento",IF(OR(E4926&gt;TODAY(),F4926&gt;TODAY()),"Verificar evento futuro","OK"))))))))))</f>
        <v/>
      </c>
    </row>
    <row r="4927" spans="12:15">
      <c r="L4927" s="5">
        <f>IF(OR(A4927="",B4927=""),"",B4927-WEEKDAY(B4927,2)+1)</f>
        <v/>
      </c>
      <c r="M4927" s="5">
        <f>IF(L4927="","",L4927+6)</f>
        <v/>
      </c>
      <c r="N4927" s="6">
        <f>IF(OR(A4927="",B4927=""),"",DATE(YEAR(B4927),MONTH(B4927),1))</f>
        <v/>
      </c>
      <c r="O4927" s="7">
        <f>IF(COUNTA(A4927:K4927)=0,"",IF(OR(A4927="",B4927=""),"Preencher CPF e entrada",IF(COUNTIFS($A$12:$A$5011,A4927,$B$12:$B$5011,B4927)&gt;1,"CPF + dia duplicado",IF(OR(AND(G4927&lt;&gt;"",G4927&lt;&gt;0,G4927&lt;&gt;1),AND(H4927&lt;&gt;"",H4927&lt;&gt;0,H4927&lt;&gt;1)),"Flags devem ser 0 ou 1",IF(AND(H4927=1,LEN(TRIM(I4927))=0),"Preencher nome do indicante",IF(AND(H4927&lt;&gt;1,I4927&lt;&gt;""),"Nome sem indicação interna",IF(AND(G4927=1,F4927=""),"Fechamento sem conversa",IF(OR(AND(E4927&lt;&gt;"",E4927&lt;B4927),AND(F4927&lt;&gt;"",F4927&lt;B4927)),"Evento anterior à entrada",IF(AND(F4927&lt;&gt;"",E4927=""),"Conversa sem agendamento",IF(OR(E4927&gt;TODAY(),F4927&gt;TODAY()),"Verificar evento futuro","OK"))))))))))</f>
        <v/>
      </c>
    </row>
    <row r="4928" spans="12:15">
      <c r="L4928" s="5">
        <f>IF(OR(A4928="",B4928=""),"",B4928-WEEKDAY(B4928,2)+1)</f>
        <v/>
      </c>
      <c r="M4928" s="5">
        <f>IF(L4928="","",L4928+6)</f>
        <v/>
      </c>
      <c r="N4928" s="6">
        <f>IF(OR(A4928="",B4928=""),"",DATE(YEAR(B4928),MONTH(B4928),1))</f>
        <v/>
      </c>
      <c r="O4928" s="7">
        <f>IF(COUNTA(A4928:K4928)=0,"",IF(OR(A4928="",B4928=""),"Preencher CPF e entrada",IF(COUNTIFS($A$12:$A$5011,A4928,$B$12:$B$5011,B4928)&gt;1,"CPF + dia duplicado",IF(OR(AND(G4928&lt;&gt;"",G4928&lt;&gt;0,G4928&lt;&gt;1),AND(H4928&lt;&gt;"",H4928&lt;&gt;0,H4928&lt;&gt;1)),"Flags devem ser 0 ou 1",IF(AND(H4928=1,LEN(TRIM(I4928))=0),"Preencher nome do indicante",IF(AND(H4928&lt;&gt;1,I4928&lt;&gt;""),"Nome sem indicação interna",IF(AND(G4928=1,F4928=""),"Fechamento sem conversa",IF(OR(AND(E4928&lt;&gt;"",E4928&lt;B4928),AND(F4928&lt;&gt;"",F4928&lt;B4928)),"Evento anterior à entrada",IF(AND(F4928&lt;&gt;"",E4928=""),"Conversa sem agendamento",IF(OR(E4928&gt;TODAY(),F4928&gt;TODAY()),"Verificar evento futuro","OK"))))))))))</f>
        <v/>
      </c>
    </row>
    <row r="4929" spans="12:15">
      <c r="L4929" s="5">
        <f>IF(OR(A4929="",B4929=""),"",B4929-WEEKDAY(B4929,2)+1)</f>
        <v/>
      </c>
      <c r="M4929" s="5">
        <f>IF(L4929="","",L4929+6)</f>
        <v/>
      </c>
      <c r="N4929" s="6">
        <f>IF(OR(A4929="",B4929=""),"",DATE(YEAR(B4929),MONTH(B4929),1))</f>
        <v/>
      </c>
      <c r="O4929" s="7">
        <f>IF(COUNTA(A4929:K4929)=0,"",IF(OR(A4929="",B4929=""),"Preencher CPF e entrada",IF(COUNTIFS($A$12:$A$5011,A4929,$B$12:$B$5011,B4929)&gt;1,"CPF + dia duplicado",IF(OR(AND(G4929&lt;&gt;"",G4929&lt;&gt;0,G4929&lt;&gt;1),AND(H4929&lt;&gt;"",H4929&lt;&gt;0,H4929&lt;&gt;1)),"Flags devem ser 0 ou 1",IF(AND(H4929=1,LEN(TRIM(I4929))=0),"Preencher nome do indicante",IF(AND(H4929&lt;&gt;1,I4929&lt;&gt;""),"Nome sem indicação interna",IF(AND(G4929=1,F4929=""),"Fechamento sem conversa",IF(OR(AND(E4929&lt;&gt;"",E4929&lt;B4929),AND(F4929&lt;&gt;"",F4929&lt;B4929)),"Evento anterior à entrada",IF(AND(F4929&lt;&gt;"",E4929=""),"Conversa sem agendamento",IF(OR(E4929&gt;TODAY(),F4929&gt;TODAY()),"Verificar evento futuro","OK"))))))))))</f>
        <v/>
      </c>
    </row>
    <row r="4930" spans="12:15">
      <c r="L4930" s="5">
        <f>IF(OR(A4930="",B4930=""),"",B4930-WEEKDAY(B4930,2)+1)</f>
        <v/>
      </c>
      <c r="M4930" s="5">
        <f>IF(L4930="","",L4930+6)</f>
        <v/>
      </c>
      <c r="N4930" s="6">
        <f>IF(OR(A4930="",B4930=""),"",DATE(YEAR(B4930),MONTH(B4930),1))</f>
        <v/>
      </c>
      <c r="O4930" s="7">
        <f>IF(COUNTA(A4930:K4930)=0,"",IF(OR(A4930="",B4930=""),"Preencher CPF e entrada",IF(COUNTIFS($A$12:$A$5011,A4930,$B$12:$B$5011,B4930)&gt;1,"CPF + dia duplicado",IF(OR(AND(G4930&lt;&gt;"",G4930&lt;&gt;0,G4930&lt;&gt;1),AND(H4930&lt;&gt;"",H4930&lt;&gt;0,H4930&lt;&gt;1)),"Flags devem ser 0 ou 1",IF(AND(H4930=1,LEN(TRIM(I4930))=0),"Preencher nome do indicante",IF(AND(H4930&lt;&gt;1,I4930&lt;&gt;""),"Nome sem indicação interna",IF(AND(G4930=1,F4930=""),"Fechamento sem conversa",IF(OR(AND(E4930&lt;&gt;"",E4930&lt;B4930),AND(F4930&lt;&gt;"",F4930&lt;B4930)),"Evento anterior à entrada",IF(AND(F4930&lt;&gt;"",E4930=""),"Conversa sem agendamento",IF(OR(E4930&gt;TODAY(),F4930&gt;TODAY()),"Verificar evento futuro","OK"))))))))))</f>
        <v/>
      </c>
    </row>
    <row r="4931" spans="12:15">
      <c r="L4931" s="5">
        <f>IF(OR(A4931="",B4931=""),"",B4931-WEEKDAY(B4931,2)+1)</f>
        <v/>
      </c>
      <c r="M4931" s="5">
        <f>IF(L4931="","",L4931+6)</f>
        <v/>
      </c>
      <c r="N4931" s="6">
        <f>IF(OR(A4931="",B4931=""),"",DATE(YEAR(B4931),MONTH(B4931),1))</f>
        <v/>
      </c>
      <c r="O4931" s="7">
        <f>IF(COUNTA(A4931:K4931)=0,"",IF(OR(A4931="",B4931=""),"Preencher CPF e entrada",IF(COUNTIFS($A$12:$A$5011,A4931,$B$12:$B$5011,B4931)&gt;1,"CPF + dia duplicado",IF(OR(AND(G4931&lt;&gt;"",G4931&lt;&gt;0,G4931&lt;&gt;1),AND(H4931&lt;&gt;"",H4931&lt;&gt;0,H4931&lt;&gt;1)),"Flags devem ser 0 ou 1",IF(AND(H4931=1,LEN(TRIM(I4931))=0),"Preencher nome do indicante",IF(AND(H4931&lt;&gt;1,I4931&lt;&gt;""),"Nome sem indicação interna",IF(AND(G4931=1,F4931=""),"Fechamento sem conversa",IF(OR(AND(E4931&lt;&gt;"",E4931&lt;B4931),AND(F4931&lt;&gt;"",F4931&lt;B4931)),"Evento anterior à entrada",IF(AND(F4931&lt;&gt;"",E4931=""),"Conversa sem agendamento",IF(OR(E4931&gt;TODAY(),F4931&gt;TODAY()),"Verificar evento futuro","OK"))))))))))</f>
        <v/>
      </c>
    </row>
    <row r="4932" spans="12:15">
      <c r="L4932" s="5">
        <f>IF(OR(A4932="",B4932=""),"",B4932-WEEKDAY(B4932,2)+1)</f>
        <v/>
      </c>
      <c r="M4932" s="5">
        <f>IF(L4932="","",L4932+6)</f>
        <v/>
      </c>
      <c r="N4932" s="6">
        <f>IF(OR(A4932="",B4932=""),"",DATE(YEAR(B4932),MONTH(B4932),1))</f>
        <v/>
      </c>
      <c r="O4932" s="7">
        <f>IF(COUNTA(A4932:K4932)=0,"",IF(OR(A4932="",B4932=""),"Preencher CPF e entrada",IF(COUNTIFS($A$12:$A$5011,A4932,$B$12:$B$5011,B4932)&gt;1,"CPF + dia duplicado",IF(OR(AND(G4932&lt;&gt;"",G4932&lt;&gt;0,G4932&lt;&gt;1),AND(H4932&lt;&gt;"",H4932&lt;&gt;0,H4932&lt;&gt;1)),"Flags devem ser 0 ou 1",IF(AND(H4932=1,LEN(TRIM(I4932))=0),"Preencher nome do indicante",IF(AND(H4932&lt;&gt;1,I4932&lt;&gt;""),"Nome sem indicação interna",IF(AND(G4932=1,F4932=""),"Fechamento sem conversa",IF(OR(AND(E4932&lt;&gt;"",E4932&lt;B4932),AND(F4932&lt;&gt;"",F4932&lt;B4932)),"Evento anterior à entrada",IF(AND(F4932&lt;&gt;"",E4932=""),"Conversa sem agendamento",IF(OR(E4932&gt;TODAY(),F4932&gt;TODAY()),"Verificar evento futuro","OK"))))))))))</f>
        <v/>
      </c>
    </row>
    <row r="4933" spans="12:15">
      <c r="L4933" s="5">
        <f>IF(OR(A4933="",B4933=""),"",B4933-WEEKDAY(B4933,2)+1)</f>
        <v/>
      </c>
      <c r="M4933" s="5">
        <f>IF(L4933="","",L4933+6)</f>
        <v/>
      </c>
      <c r="N4933" s="6">
        <f>IF(OR(A4933="",B4933=""),"",DATE(YEAR(B4933),MONTH(B4933),1))</f>
        <v/>
      </c>
      <c r="O4933" s="7">
        <f>IF(COUNTA(A4933:K4933)=0,"",IF(OR(A4933="",B4933=""),"Preencher CPF e entrada",IF(COUNTIFS($A$12:$A$5011,A4933,$B$12:$B$5011,B4933)&gt;1,"CPF + dia duplicado",IF(OR(AND(G4933&lt;&gt;"",G4933&lt;&gt;0,G4933&lt;&gt;1),AND(H4933&lt;&gt;"",H4933&lt;&gt;0,H4933&lt;&gt;1)),"Flags devem ser 0 ou 1",IF(AND(H4933=1,LEN(TRIM(I4933))=0),"Preencher nome do indicante",IF(AND(H4933&lt;&gt;1,I4933&lt;&gt;""),"Nome sem indicação interna",IF(AND(G4933=1,F4933=""),"Fechamento sem conversa",IF(OR(AND(E4933&lt;&gt;"",E4933&lt;B4933),AND(F4933&lt;&gt;"",F4933&lt;B4933)),"Evento anterior à entrada",IF(AND(F4933&lt;&gt;"",E4933=""),"Conversa sem agendamento",IF(OR(E4933&gt;TODAY(),F4933&gt;TODAY()),"Verificar evento futuro","OK"))))))))))</f>
        <v/>
      </c>
    </row>
    <row r="4934" spans="12:15">
      <c r="L4934" s="5">
        <f>IF(OR(A4934="",B4934=""),"",B4934-WEEKDAY(B4934,2)+1)</f>
        <v/>
      </c>
      <c r="M4934" s="5">
        <f>IF(L4934="","",L4934+6)</f>
        <v/>
      </c>
      <c r="N4934" s="6">
        <f>IF(OR(A4934="",B4934=""),"",DATE(YEAR(B4934),MONTH(B4934),1))</f>
        <v/>
      </c>
      <c r="O4934" s="7">
        <f>IF(COUNTA(A4934:K4934)=0,"",IF(OR(A4934="",B4934=""),"Preencher CPF e entrada",IF(COUNTIFS($A$12:$A$5011,A4934,$B$12:$B$5011,B4934)&gt;1,"CPF + dia duplicado",IF(OR(AND(G4934&lt;&gt;"",G4934&lt;&gt;0,G4934&lt;&gt;1),AND(H4934&lt;&gt;"",H4934&lt;&gt;0,H4934&lt;&gt;1)),"Flags devem ser 0 ou 1",IF(AND(H4934=1,LEN(TRIM(I4934))=0),"Preencher nome do indicante",IF(AND(H4934&lt;&gt;1,I4934&lt;&gt;""),"Nome sem indicação interna",IF(AND(G4934=1,F4934=""),"Fechamento sem conversa",IF(OR(AND(E4934&lt;&gt;"",E4934&lt;B4934),AND(F4934&lt;&gt;"",F4934&lt;B4934)),"Evento anterior à entrada",IF(AND(F4934&lt;&gt;"",E4934=""),"Conversa sem agendamento",IF(OR(E4934&gt;TODAY(),F4934&gt;TODAY()),"Verificar evento futuro","OK"))))))))))</f>
        <v/>
      </c>
    </row>
    <row r="4935" spans="12:15">
      <c r="L4935" s="5">
        <f>IF(OR(A4935="",B4935=""),"",B4935-WEEKDAY(B4935,2)+1)</f>
        <v/>
      </c>
      <c r="M4935" s="5">
        <f>IF(L4935="","",L4935+6)</f>
        <v/>
      </c>
      <c r="N4935" s="6">
        <f>IF(OR(A4935="",B4935=""),"",DATE(YEAR(B4935),MONTH(B4935),1))</f>
        <v/>
      </c>
      <c r="O4935" s="7">
        <f>IF(COUNTA(A4935:K4935)=0,"",IF(OR(A4935="",B4935=""),"Preencher CPF e entrada",IF(COUNTIFS($A$12:$A$5011,A4935,$B$12:$B$5011,B4935)&gt;1,"CPF + dia duplicado",IF(OR(AND(G4935&lt;&gt;"",G4935&lt;&gt;0,G4935&lt;&gt;1),AND(H4935&lt;&gt;"",H4935&lt;&gt;0,H4935&lt;&gt;1)),"Flags devem ser 0 ou 1",IF(AND(H4935=1,LEN(TRIM(I4935))=0),"Preencher nome do indicante",IF(AND(H4935&lt;&gt;1,I4935&lt;&gt;""),"Nome sem indicação interna",IF(AND(G4935=1,F4935=""),"Fechamento sem conversa",IF(OR(AND(E4935&lt;&gt;"",E4935&lt;B4935),AND(F4935&lt;&gt;"",F4935&lt;B4935)),"Evento anterior à entrada",IF(AND(F4935&lt;&gt;"",E4935=""),"Conversa sem agendamento",IF(OR(E4935&gt;TODAY(),F4935&gt;TODAY()),"Verificar evento futuro","OK"))))))))))</f>
        <v/>
      </c>
    </row>
    <row r="4936" spans="12:15">
      <c r="L4936" s="5">
        <f>IF(OR(A4936="",B4936=""),"",B4936-WEEKDAY(B4936,2)+1)</f>
        <v/>
      </c>
      <c r="M4936" s="5">
        <f>IF(L4936="","",L4936+6)</f>
        <v/>
      </c>
      <c r="N4936" s="6">
        <f>IF(OR(A4936="",B4936=""),"",DATE(YEAR(B4936),MONTH(B4936),1))</f>
        <v/>
      </c>
      <c r="O4936" s="7">
        <f>IF(COUNTA(A4936:K4936)=0,"",IF(OR(A4936="",B4936=""),"Preencher CPF e entrada",IF(COUNTIFS($A$12:$A$5011,A4936,$B$12:$B$5011,B4936)&gt;1,"CPF + dia duplicado",IF(OR(AND(G4936&lt;&gt;"",G4936&lt;&gt;0,G4936&lt;&gt;1),AND(H4936&lt;&gt;"",H4936&lt;&gt;0,H4936&lt;&gt;1)),"Flags devem ser 0 ou 1",IF(AND(H4936=1,LEN(TRIM(I4936))=0),"Preencher nome do indicante",IF(AND(H4936&lt;&gt;1,I4936&lt;&gt;""),"Nome sem indicação interna",IF(AND(G4936=1,F4936=""),"Fechamento sem conversa",IF(OR(AND(E4936&lt;&gt;"",E4936&lt;B4936),AND(F4936&lt;&gt;"",F4936&lt;B4936)),"Evento anterior à entrada",IF(AND(F4936&lt;&gt;"",E4936=""),"Conversa sem agendamento",IF(OR(E4936&gt;TODAY(),F4936&gt;TODAY()),"Verificar evento futuro","OK"))))))))))</f>
        <v/>
      </c>
    </row>
    <row r="4937" spans="12:15">
      <c r="L4937" s="5">
        <f>IF(OR(A4937="",B4937=""),"",B4937-WEEKDAY(B4937,2)+1)</f>
        <v/>
      </c>
      <c r="M4937" s="5">
        <f>IF(L4937="","",L4937+6)</f>
        <v/>
      </c>
      <c r="N4937" s="6">
        <f>IF(OR(A4937="",B4937=""),"",DATE(YEAR(B4937),MONTH(B4937),1))</f>
        <v/>
      </c>
      <c r="O4937" s="7">
        <f>IF(COUNTA(A4937:K4937)=0,"",IF(OR(A4937="",B4937=""),"Preencher CPF e entrada",IF(COUNTIFS($A$12:$A$5011,A4937,$B$12:$B$5011,B4937)&gt;1,"CPF + dia duplicado",IF(OR(AND(G4937&lt;&gt;"",G4937&lt;&gt;0,G4937&lt;&gt;1),AND(H4937&lt;&gt;"",H4937&lt;&gt;0,H4937&lt;&gt;1)),"Flags devem ser 0 ou 1",IF(AND(H4937=1,LEN(TRIM(I4937))=0),"Preencher nome do indicante",IF(AND(H4937&lt;&gt;1,I4937&lt;&gt;""),"Nome sem indicação interna",IF(AND(G4937=1,F4937=""),"Fechamento sem conversa",IF(OR(AND(E4937&lt;&gt;"",E4937&lt;B4937),AND(F4937&lt;&gt;"",F4937&lt;B4937)),"Evento anterior à entrada",IF(AND(F4937&lt;&gt;"",E4937=""),"Conversa sem agendamento",IF(OR(E4937&gt;TODAY(),F4937&gt;TODAY()),"Verificar evento futuro","OK"))))))))))</f>
        <v/>
      </c>
    </row>
    <row r="4938" spans="12:15">
      <c r="L4938" s="5">
        <f>IF(OR(A4938="",B4938=""),"",B4938-WEEKDAY(B4938,2)+1)</f>
        <v/>
      </c>
      <c r="M4938" s="5">
        <f>IF(L4938="","",L4938+6)</f>
        <v/>
      </c>
      <c r="N4938" s="6">
        <f>IF(OR(A4938="",B4938=""),"",DATE(YEAR(B4938),MONTH(B4938),1))</f>
        <v/>
      </c>
      <c r="O4938" s="7">
        <f>IF(COUNTA(A4938:K4938)=0,"",IF(OR(A4938="",B4938=""),"Preencher CPF e entrada",IF(COUNTIFS($A$12:$A$5011,A4938,$B$12:$B$5011,B4938)&gt;1,"CPF + dia duplicado",IF(OR(AND(G4938&lt;&gt;"",G4938&lt;&gt;0,G4938&lt;&gt;1),AND(H4938&lt;&gt;"",H4938&lt;&gt;0,H4938&lt;&gt;1)),"Flags devem ser 0 ou 1",IF(AND(H4938=1,LEN(TRIM(I4938))=0),"Preencher nome do indicante",IF(AND(H4938&lt;&gt;1,I4938&lt;&gt;""),"Nome sem indicação interna",IF(AND(G4938=1,F4938=""),"Fechamento sem conversa",IF(OR(AND(E4938&lt;&gt;"",E4938&lt;B4938),AND(F4938&lt;&gt;"",F4938&lt;B4938)),"Evento anterior à entrada",IF(AND(F4938&lt;&gt;"",E4938=""),"Conversa sem agendamento",IF(OR(E4938&gt;TODAY(),F4938&gt;TODAY()),"Verificar evento futuro","OK"))))))))))</f>
        <v/>
      </c>
    </row>
    <row r="4939" spans="12:15">
      <c r="L4939" s="5">
        <f>IF(OR(A4939="",B4939=""),"",B4939-WEEKDAY(B4939,2)+1)</f>
        <v/>
      </c>
      <c r="M4939" s="5">
        <f>IF(L4939="","",L4939+6)</f>
        <v/>
      </c>
      <c r="N4939" s="6">
        <f>IF(OR(A4939="",B4939=""),"",DATE(YEAR(B4939),MONTH(B4939),1))</f>
        <v/>
      </c>
      <c r="O4939" s="7">
        <f>IF(COUNTA(A4939:K4939)=0,"",IF(OR(A4939="",B4939=""),"Preencher CPF e entrada",IF(COUNTIFS($A$12:$A$5011,A4939,$B$12:$B$5011,B4939)&gt;1,"CPF + dia duplicado",IF(OR(AND(G4939&lt;&gt;"",G4939&lt;&gt;0,G4939&lt;&gt;1),AND(H4939&lt;&gt;"",H4939&lt;&gt;0,H4939&lt;&gt;1)),"Flags devem ser 0 ou 1",IF(AND(H4939=1,LEN(TRIM(I4939))=0),"Preencher nome do indicante",IF(AND(H4939&lt;&gt;1,I4939&lt;&gt;""),"Nome sem indicação interna",IF(AND(G4939=1,F4939=""),"Fechamento sem conversa",IF(OR(AND(E4939&lt;&gt;"",E4939&lt;B4939),AND(F4939&lt;&gt;"",F4939&lt;B4939)),"Evento anterior à entrada",IF(AND(F4939&lt;&gt;"",E4939=""),"Conversa sem agendamento",IF(OR(E4939&gt;TODAY(),F4939&gt;TODAY()),"Verificar evento futuro","OK"))))))))))</f>
        <v/>
      </c>
    </row>
    <row r="4940" spans="12:15">
      <c r="L4940" s="5">
        <f>IF(OR(A4940="",B4940=""),"",B4940-WEEKDAY(B4940,2)+1)</f>
        <v/>
      </c>
      <c r="M4940" s="5">
        <f>IF(L4940="","",L4940+6)</f>
        <v/>
      </c>
      <c r="N4940" s="6">
        <f>IF(OR(A4940="",B4940=""),"",DATE(YEAR(B4940),MONTH(B4940),1))</f>
        <v/>
      </c>
      <c r="O4940" s="7">
        <f>IF(COUNTA(A4940:K4940)=0,"",IF(OR(A4940="",B4940=""),"Preencher CPF e entrada",IF(COUNTIFS($A$12:$A$5011,A4940,$B$12:$B$5011,B4940)&gt;1,"CPF + dia duplicado",IF(OR(AND(G4940&lt;&gt;"",G4940&lt;&gt;0,G4940&lt;&gt;1),AND(H4940&lt;&gt;"",H4940&lt;&gt;0,H4940&lt;&gt;1)),"Flags devem ser 0 ou 1",IF(AND(H4940=1,LEN(TRIM(I4940))=0),"Preencher nome do indicante",IF(AND(H4940&lt;&gt;1,I4940&lt;&gt;""),"Nome sem indicação interna",IF(AND(G4940=1,F4940=""),"Fechamento sem conversa",IF(OR(AND(E4940&lt;&gt;"",E4940&lt;B4940),AND(F4940&lt;&gt;"",F4940&lt;B4940)),"Evento anterior à entrada",IF(AND(F4940&lt;&gt;"",E4940=""),"Conversa sem agendamento",IF(OR(E4940&gt;TODAY(),F4940&gt;TODAY()),"Verificar evento futuro","OK"))))))))))</f>
        <v/>
      </c>
    </row>
    <row r="4941" spans="12:15">
      <c r="L4941" s="5">
        <f>IF(OR(A4941="",B4941=""),"",B4941-WEEKDAY(B4941,2)+1)</f>
        <v/>
      </c>
      <c r="M4941" s="5">
        <f>IF(L4941="","",L4941+6)</f>
        <v/>
      </c>
      <c r="N4941" s="6">
        <f>IF(OR(A4941="",B4941=""),"",DATE(YEAR(B4941),MONTH(B4941),1))</f>
        <v/>
      </c>
      <c r="O4941" s="7">
        <f>IF(COUNTA(A4941:K4941)=0,"",IF(OR(A4941="",B4941=""),"Preencher CPF e entrada",IF(COUNTIFS($A$12:$A$5011,A4941,$B$12:$B$5011,B4941)&gt;1,"CPF + dia duplicado",IF(OR(AND(G4941&lt;&gt;"",G4941&lt;&gt;0,G4941&lt;&gt;1),AND(H4941&lt;&gt;"",H4941&lt;&gt;0,H4941&lt;&gt;1)),"Flags devem ser 0 ou 1",IF(AND(H4941=1,LEN(TRIM(I4941))=0),"Preencher nome do indicante",IF(AND(H4941&lt;&gt;1,I4941&lt;&gt;""),"Nome sem indicação interna",IF(AND(G4941=1,F4941=""),"Fechamento sem conversa",IF(OR(AND(E4941&lt;&gt;"",E4941&lt;B4941),AND(F4941&lt;&gt;"",F4941&lt;B4941)),"Evento anterior à entrada",IF(AND(F4941&lt;&gt;"",E4941=""),"Conversa sem agendamento",IF(OR(E4941&gt;TODAY(),F4941&gt;TODAY()),"Verificar evento futuro","OK"))))))))))</f>
        <v/>
      </c>
    </row>
    <row r="4942" spans="12:15">
      <c r="L4942" s="5">
        <f>IF(OR(A4942="",B4942=""),"",B4942-WEEKDAY(B4942,2)+1)</f>
        <v/>
      </c>
      <c r="M4942" s="5">
        <f>IF(L4942="","",L4942+6)</f>
        <v/>
      </c>
      <c r="N4942" s="6">
        <f>IF(OR(A4942="",B4942=""),"",DATE(YEAR(B4942),MONTH(B4942),1))</f>
        <v/>
      </c>
      <c r="O4942" s="7">
        <f>IF(COUNTA(A4942:K4942)=0,"",IF(OR(A4942="",B4942=""),"Preencher CPF e entrada",IF(COUNTIFS($A$12:$A$5011,A4942,$B$12:$B$5011,B4942)&gt;1,"CPF + dia duplicado",IF(OR(AND(G4942&lt;&gt;"",G4942&lt;&gt;0,G4942&lt;&gt;1),AND(H4942&lt;&gt;"",H4942&lt;&gt;0,H4942&lt;&gt;1)),"Flags devem ser 0 ou 1",IF(AND(H4942=1,LEN(TRIM(I4942))=0),"Preencher nome do indicante",IF(AND(H4942&lt;&gt;1,I4942&lt;&gt;""),"Nome sem indicação interna",IF(AND(G4942=1,F4942=""),"Fechamento sem conversa",IF(OR(AND(E4942&lt;&gt;"",E4942&lt;B4942),AND(F4942&lt;&gt;"",F4942&lt;B4942)),"Evento anterior à entrada",IF(AND(F4942&lt;&gt;"",E4942=""),"Conversa sem agendamento",IF(OR(E4942&gt;TODAY(),F4942&gt;TODAY()),"Verificar evento futuro","OK"))))))))))</f>
        <v/>
      </c>
    </row>
    <row r="4943" spans="12:15">
      <c r="L4943" s="5">
        <f>IF(OR(A4943="",B4943=""),"",B4943-WEEKDAY(B4943,2)+1)</f>
        <v/>
      </c>
      <c r="M4943" s="5">
        <f>IF(L4943="","",L4943+6)</f>
        <v/>
      </c>
      <c r="N4943" s="6">
        <f>IF(OR(A4943="",B4943=""),"",DATE(YEAR(B4943),MONTH(B4943),1))</f>
        <v/>
      </c>
      <c r="O4943" s="7">
        <f>IF(COUNTA(A4943:K4943)=0,"",IF(OR(A4943="",B4943=""),"Preencher CPF e entrada",IF(COUNTIFS($A$12:$A$5011,A4943,$B$12:$B$5011,B4943)&gt;1,"CPF + dia duplicado",IF(OR(AND(G4943&lt;&gt;"",G4943&lt;&gt;0,G4943&lt;&gt;1),AND(H4943&lt;&gt;"",H4943&lt;&gt;0,H4943&lt;&gt;1)),"Flags devem ser 0 ou 1",IF(AND(H4943=1,LEN(TRIM(I4943))=0),"Preencher nome do indicante",IF(AND(H4943&lt;&gt;1,I4943&lt;&gt;""),"Nome sem indicação interna",IF(AND(G4943=1,F4943=""),"Fechamento sem conversa",IF(OR(AND(E4943&lt;&gt;"",E4943&lt;B4943),AND(F4943&lt;&gt;"",F4943&lt;B4943)),"Evento anterior à entrada",IF(AND(F4943&lt;&gt;"",E4943=""),"Conversa sem agendamento",IF(OR(E4943&gt;TODAY(),F4943&gt;TODAY()),"Verificar evento futuro","OK"))))))))))</f>
        <v/>
      </c>
    </row>
    <row r="4944" spans="12:15">
      <c r="L4944" s="5">
        <f>IF(OR(A4944="",B4944=""),"",B4944-WEEKDAY(B4944,2)+1)</f>
        <v/>
      </c>
      <c r="M4944" s="5">
        <f>IF(L4944="","",L4944+6)</f>
        <v/>
      </c>
      <c r="N4944" s="6">
        <f>IF(OR(A4944="",B4944=""),"",DATE(YEAR(B4944),MONTH(B4944),1))</f>
        <v/>
      </c>
      <c r="O4944" s="7">
        <f>IF(COUNTA(A4944:K4944)=0,"",IF(OR(A4944="",B4944=""),"Preencher CPF e entrada",IF(COUNTIFS($A$12:$A$5011,A4944,$B$12:$B$5011,B4944)&gt;1,"CPF + dia duplicado",IF(OR(AND(G4944&lt;&gt;"",G4944&lt;&gt;0,G4944&lt;&gt;1),AND(H4944&lt;&gt;"",H4944&lt;&gt;0,H4944&lt;&gt;1)),"Flags devem ser 0 ou 1",IF(AND(H4944=1,LEN(TRIM(I4944))=0),"Preencher nome do indicante",IF(AND(H4944&lt;&gt;1,I4944&lt;&gt;""),"Nome sem indicação interna",IF(AND(G4944=1,F4944=""),"Fechamento sem conversa",IF(OR(AND(E4944&lt;&gt;"",E4944&lt;B4944),AND(F4944&lt;&gt;"",F4944&lt;B4944)),"Evento anterior à entrada",IF(AND(F4944&lt;&gt;"",E4944=""),"Conversa sem agendamento",IF(OR(E4944&gt;TODAY(),F4944&gt;TODAY()),"Verificar evento futuro","OK"))))))))))</f>
        <v/>
      </c>
    </row>
    <row r="4945" spans="12:15">
      <c r="L4945" s="5">
        <f>IF(OR(A4945="",B4945=""),"",B4945-WEEKDAY(B4945,2)+1)</f>
        <v/>
      </c>
      <c r="M4945" s="5">
        <f>IF(L4945="","",L4945+6)</f>
        <v/>
      </c>
      <c r="N4945" s="6">
        <f>IF(OR(A4945="",B4945=""),"",DATE(YEAR(B4945),MONTH(B4945),1))</f>
        <v/>
      </c>
      <c r="O4945" s="7">
        <f>IF(COUNTA(A4945:K4945)=0,"",IF(OR(A4945="",B4945=""),"Preencher CPF e entrada",IF(COUNTIFS($A$12:$A$5011,A4945,$B$12:$B$5011,B4945)&gt;1,"CPF + dia duplicado",IF(OR(AND(G4945&lt;&gt;"",G4945&lt;&gt;0,G4945&lt;&gt;1),AND(H4945&lt;&gt;"",H4945&lt;&gt;0,H4945&lt;&gt;1)),"Flags devem ser 0 ou 1",IF(AND(H4945=1,LEN(TRIM(I4945))=0),"Preencher nome do indicante",IF(AND(H4945&lt;&gt;1,I4945&lt;&gt;""),"Nome sem indicação interna",IF(AND(G4945=1,F4945=""),"Fechamento sem conversa",IF(OR(AND(E4945&lt;&gt;"",E4945&lt;B4945),AND(F4945&lt;&gt;"",F4945&lt;B4945)),"Evento anterior à entrada",IF(AND(F4945&lt;&gt;"",E4945=""),"Conversa sem agendamento",IF(OR(E4945&gt;TODAY(),F4945&gt;TODAY()),"Verificar evento futuro","OK"))))))))))</f>
        <v/>
      </c>
    </row>
    <row r="4946" spans="12:15">
      <c r="L4946" s="5">
        <f>IF(OR(A4946="",B4946=""),"",B4946-WEEKDAY(B4946,2)+1)</f>
        <v/>
      </c>
      <c r="M4946" s="5">
        <f>IF(L4946="","",L4946+6)</f>
        <v/>
      </c>
      <c r="N4946" s="6">
        <f>IF(OR(A4946="",B4946=""),"",DATE(YEAR(B4946),MONTH(B4946),1))</f>
        <v/>
      </c>
      <c r="O4946" s="7">
        <f>IF(COUNTA(A4946:K4946)=0,"",IF(OR(A4946="",B4946=""),"Preencher CPF e entrada",IF(COUNTIFS($A$12:$A$5011,A4946,$B$12:$B$5011,B4946)&gt;1,"CPF + dia duplicado",IF(OR(AND(G4946&lt;&gt;"",G4946&lt;&gt;0,G4946&lt;&gt;1),AND(H4946&lt;&gt;"",H4946&lt;&gt;0,H4946&lt;&gt;1)),"Flags devem ser 0 ou 1",IF(AND(H4946=1,LEN(TRIM(I4946))=0),"Preencher nome do indicante",IF(AND(H4946&lt;&gt;1,I4946&lt;&gt;""),"Nome sem indicação interna",IF(AND(G4946=1,F4946=""),"Fechamento sem conversa",IF(OR(AND(E4946&lt;&gt;"",E4946&lt;B4946),AND(F4946&lt;&gt;"",F4946&lt;B4946)),"Evento anterior à entrada",IF(AND(F4946&lt;&gt;"",E4946=""),"Conversa sem agendamento",IF(OR(E4946&gt;TODAY(),F4946&gt;TODAY()),"Verificar evento futuro","OK"))))))))))</f>
        <v/>
      </c>
    </row>
    <row r="4947" spans="12:15">
      <c r="L4947" s="5">
        <f>IF(OR(A4947="",B4947=""),"",B4947-WEEKDAY(B4947,2)+1)</f>
        <v/>
      </c>
      <c r="M4947" s="5">
        <f>IF(L4947="","",L4947+6)</f>
        <v/>
      </c>
      <c r="N4947" s="6">
        <f>IF(OR(A4947="",B4947=""),"",DATE(YEAR(B4947),MONTH(B4947),1))</f>
        <v/>
      </c>
      <c r="O4947" s="7">
        <f>IF(COUNTA(A4947:K4947)=0,"",IF(OR(A4947="",B4947=""),"Preencher CPF e entrada",IF(COUNTIFS($A$12:$A$5011,A4947,$B$12:$B$5011,B4947)&gt;1,"CPF + dia duplicado",IF(OR(AND(G4947&lt;&gt;"",G4947&lt;&gt;0,G4947&lt;&gt;1),AND(H4947&lt;&gt;"",H4947&lt;&gt;0,H4947&lt;&gt;1)),"Flags devem ser 0 ou 1",IF(AND(H4947=1,LEN(TRIM(I4947))=0),"Preencher nome do indicante",IF(AND(H4947&lt;&gt;1,I4947&lt;&gt;""),"Nome sem indicação interna",IF(AND(G4947=1,F4947=""),"Fechamento sem conversa",IF(OR(AND(E4947&lt;&gt;"",E4947&lt;B4947),AND(F4947&lt;&gt;"",F4947&lt;B4947)),"Evento anterior à entrada",IF(AND(F4947&lt;&gt;"",E4947=""),"Conversa sem agendamento",IF(OR(E4947&gt;TODAY(),F4947&gt;TODAY()),"Verificar evento futuro","OK"))))))))))</f>
        <v/>
      </c>
    </row>
    <row r="4948" spans="12:15">
      <c r="L4948" s="5">
        <f>IF(OR(A4948="",B4948=""),"",B4948-WEEKDAY(B4948,2)+1)</f>
        <v/>
      </c>
      <c r="M4948" s="5">
        <f>IF(L4948="","",L4948+6)</f>
        <v/>
      </c>
      <c r="N4948" s="6">
        <f>IF(OR(A4948="",B4948=""),"",DATE(YEAR(B4948),MONTH(B4948),1))</f>
        <v/>
      </c>
      <c r="O4948" s="7">
        <f>IF(COUNTA(A4948:K4948)=0,"",IF(OR(A4948="",B4948=""),"Preencher CPF e entrada",IF(COUNTIFS($A$12:$A$5011,A4948,$B$12:$B$5011,B4948)&gt;1,"CPF + dia duplicado",IF(OR(AND(G4948&lt;&gt;"",G4948&lt;&gt;0,G4948&lt;&gt;1),AND(H4948&lt;&gt;"",H4948&lt;&gt;0,H4948&lt;&gt;1)),"Flags devem ser 0 ou 1",IF(AND(H4948=1,LEN(TRIM(I4948))=0),"Preencher nome do indicante",IF(AND(H4948&lt;&gt;1,I4948&lt;&gt;""),"Nome sem indicação interna",IF(AND(G4948=1,F4948=""),"Fechamento sem conversa",IF(OR(AND(E4948&lt;&gt;"",E4948&lt;B4948),AND(F4948&lt;&gt;"",F4948&lt;B4948)),"Evento anterior à entrada",IF(AND(F4948&lt;&gt;"",E4948=""),"Conversa sem agendamento",IF(OR(E4948&gt;TODAY(),F4948&gt;TODAY()),"Verificar evento futuro","OK"))))))))))</f>
        <v/>
      </c>
    </row>
    <row r="4949" spans="12:15">
      <c r="L4949" s="5">
        <f>IF(OR(A4949="",B4949=""),"",B4949-WEEKDAY(B4949,2)+1)</f>
        <v/>
      </c>
      <c r="M4949" s="5">
        <f>IF(L4949="","",L4949+6)</f>
        <v/>
      </c>
      <c r="N4949" s="6">
        <f>IF(OR(A4949="",B4949=""),"",DATE(YEAR(B4949),MONTH(B4949),1))</f>
        <v/>
      </c>
      <c r="O4949" s="7">
        <f>IF(COUNTA(A4949:K4949)=0,"",IF(OR(A4949="",B4949=""),"Preencher CPF e entrada",IF(COUNTIFS($A$12:$A$5011,A4949,$B$12:$B$5011,B4949)&gt;1,"CPF + dia duplicado",IF(OR(AND(G4949&lt;&gt;"",G4949&lt;&gt;0,G4949&lt;&gt;1),AND(H4949&lt;&gt;"",H4949&lt;&gt;0,H4949&lt;&gt;1)),"Flags devem ser 0 ou 1",IF(AND(H4949=1,LEN(TRIM(I4949))=0),"Preencher nome do indicante",IF(AND(H4949&lt;&gt;1,I4949&lt;&gt;""),"Nome sem indicação interna",IF(AND(G4949=1,F4949=""),"Fechamento sem conversa",IF(OR(AND(E4949&lt;&gt;"",E4949&lt;B4949),AND(F4949&lt;&gt;"",F4949&lt;B4949)),"Evento anterior à entrada",IF(AND(F4949&lt;&gt;"",E4949=""),"Conversa sem agendamento",IF(OR(E4949&gt;TODAY(),F4949&gt;TODAY()),"Verificar evento futuro","OK"))))))))))</f>
        <v/>
      </c>
    </row>
    <row r="4950" spans="12:15">
      <c r="L4950" s="5">
        <f>IF(OR(A4950="",B4950=""),"",B4950-WEEKDAY(B4950,2)+1)</f>
        <v/>
      </c>
      <c r="M4950" s="5">
        <f>IF(L4950="","",L4950+6)</f>
        <v/>
      </c>
      <c r="N4950" s="6">
        <f>IF(OR(A4950="",B4950=""),"",DATE(YEAR(B4950),MONTH(B4950),1))</f>
        <v/>
      </c>
      <c r="O4950" s="7">
        <f>IF(COUNTA(A4950:K4950)=0,"",IF(OR(A4950="",B4950=""),"Preencher CPF e entrada",IF(COUNTIFS($A$12:$A$5011,A4950,$B$12:$B$5011,B4950)&gt;1,"CPF + dia duplicado",IF(OR(AND(G4950&lt;&gt;"",G4950&lt;&gt;0,G4950&lt;&gt;1),AND(H4950&lt;&gt;"",H4950&lt;&gt;0,H4950&lt;&gt;1)),"Flags devem ser 0 ou 1",IF(AND(H4950=1,LEN(TRIM(I4950))=0),"Preencher nome do indicante",IF(AND(H4950&lt;&gt;1,I4950&lt;&gt;""),"Nome sem indicação interna",IF(AND(G4950=1,F4950=""),"Fechamento sem conversa",IF(OR(AND(E4950&lt;&gt;"",E4950&lt;B4950),AND(F4950&lt;&gt;"",F4950&lt;B4950)),"Evento anterior à entrada",IF(AND(F4950&lt;&gt;"",E4950=""),"Conversa sem agendamento",IF(OR(E4950&gt;TODAY(),F4950&gt;TODAY()),"Verificar evento futuro","OK"))))))))))</f>
        <v/>
      </c>
    </row>
    <row r="4951" spans="12:15">
      <c r="L4951" s="5">
        <f>IF(OR(A4951="",B4951=""),"",B4951-WEEKDAY(B4951,2)+1)</f>
        <v/>
      </c>
      <c r="M4951" s="5">
        <f>IF(L4951="","",L4951+6)</f>
        <v/>
      </c>
      <c r="N4951" s="6">
        <f>IF(OR(A4951="",B4951=""),"",DATE(YEAR(B4951),MONTH(B4951),1))</f>
        <v/>
      </c>
      <c r="O4951" s="7">
        <f>IF(COUNTA(A4951:K4951)=0,"",IF(OR(A4951="",B4951=""),"Preencher CPF e entrada",IF(COUNTIFS($A$12:$A$5011,A4951,$B$12:$B$5011,B4951)&gt;1,"CPF + dia duplicado",IF(OR(AND(G4951&lt;&gt;"",G4951&lt;&gt;0,G4951&lt;&gt;1),AND(H4951&lt;&gt;"",H4951&lt;&gt;0,H4951&lt;&gt;1)),"Flags devem ser 0 ou 1",IF(AND(H4951=1,LEN(TRIM(I4951))=0),"Preencher nome do indicante",IF(AND(H4951&lt;&gt;1,I4951&lt;&gt;""),"Nome sem indicação interna",IF(AND(G4951=1,F4951=""),"Fechamento sem conversa",IF(OR(AND(E4951&lt;&gt;"",E4951&lt;B4951),AND(F4951&lt;&gt;"",F4951&lt;B4951)),"Evento anterior à entrada",IF(AND(F4951&lt;&gt;"",E4951=""),"Conversa sem agendamento",IF(OR(E4951&gt;TODAY(),F4951&gt;TODAY()),"Verificar evento futuro","OK"))))))))))</f>
        <v/>
      </c>
    </row>
    <row r="4952" spans="12:15">
      <c r="L4952" s="5">
        <f>IF(OR(A4952="",B4952=""),"",B4952-WEEKDAY(B4952,2)+1)</f>
        <v/>
      </c>
      <c r="M4952" s="5">
        <f>IF(L4952="","",L4952+6)</f>
        <v/>
      </c>
      <c r="N4952" s="6">
        <f>IF(OR(A4952="",B4952=""),"",DATE(YEAR(B4952),MONTH(B4952),1))</f>
        <v/>
      </c>
      <c r="O4952" s="7">
        <f>IF(COUNTA(A4952:K4952)=0,"",IF(OR(A4952="",B4952=""),"Preencher CPF e entrada",IF(COUNTIFS($A$12:$A$5011,A4952,$B$12:$B$5011,B4952)&gt;1,"CPF + dia duplicado",IF(OR(AND(G4952&lt;&gt;"",G4952&lt;&gt;0,G4952&lt;&gt;1),AND(H4952&lt;&gt;"",H4952&lt;&gt;0,H4952&lt;&gt;1)),"Flags devem ser 0 ou 1",IF(AND(H4952=1,LEN(TRIM(I4952))=0),"Preencher nome do indicante",IF(AND(H4952&lt;&gt;1,I4952&lt;&gt;""),"Nome sem indicação interna",IF(AND(G4952=1,F4952=""),"Fechamento sem conversa",IF(OR(AND(E4952&lt;&gt;"",E4952&lt;B4952),AND(F4952&lt;&gt;"",F4952&lt;B4952)),"Evento anterior à entrada",IF(AND(F4952&lt;&gt;"",E4952=""),"Conversa sem agendamento",IF(OR(E4952&gt;TODAY(),F4952&gt;TODAY()),"Verificar evento futuro","OK"))))))))))</f>
        <v/>
      </c>
    </row>
    <row r="4953" spans="12:15">
      <c r="L4953" s="5">
        <f>IF(OR(A4953="",B4953=""),"",B4953-WEEKDAY(B4953,2)+1)</f>
        <v/>
      </c>
      <c r="M4953" s="5">
        <f>IF(L4953="","",L4953+6)</f>
        <v/>
      </c>
      <c r="N4953" s="6">
        <f>IF(OR(A4953="",B4953=""),"",DATE(YEAR(B4953),MONTH(B4953),1))</f>
        <v/>
      </c>
      <c r="O4953" s="7">
        <f>IF(COUNTA(A4953:K4953)=0,"",IF(OR(A4953="",B4953=""),"Preencher CPF e entrada",IF(COUNTIFS($A$12:$A$5011,A4953,$B$12:$B$5011,B4953)&gt;1,"CPF + dia duplicado",IF(OR(AND(G4953&lt;&gt;"",G4953&lt;&gt;0,G4953&lt;&gt;1),AND(H4953&lt;&gt;"",H4953&lt;&gt;0,H4953&lt;&gt;1)),"Flags devem ser 0 ou 1",IF(AND(H4953=1,LEN(TRIM(I4953))=0),"Preencher nome do indicante",IF(AND(H4953&lt;&gt;1,I4953&lt;&gt;""),"Nome sem indicação interna",IF(AND(G4953=1,F4953=""),"Fechamento sem conversa",IF(OR(AND(E4953&lt;&gt;"",E4953&lt;B4953),AND(F4953&lt;&gt;"",F4953&lt;B4953)),"Evento anterior à entrada",IF(AND(F4953&lt;&gt;"",E4953=""),"Conversa sem agendamento",IF(OR(E4953&gt;TODAY(),F4953&gt;TODAY()),"Verificar evento futuro","OK"))))))))))</f>
        <v/>
      </c>
    </row>
    <row r="4954" spans="12:15">
      <c r="L4954" s="5">
        <f>IF(OR(A4954="",B4954=""),"",B4954-WEEKDAY(B4954,2)+1)</f>
        <v/>
      </c>
      <c r="M4954" s="5">
        <f>IF(L4954="","",L4954+6)</f>
        <v/>
      </c>
      <c r="N4954" s="6">
        <f>IF(OR(A4954="",B4954=""),"",DATE(YEAR(B4954),MONTH(B4954),1))</f>
        <v/>
      </c>
      <c r="O4954" s="7">
        <f>IF(COUNTA(A4954:K4954)=0,"",IF(OR(A4954="",B4954=""),"Preencher CPF e entrada",IF(COUNTIFS($A$12:$A$5011,A4954,$B$12:$B$5011,B4954)&gt;1,"CPF + dia duplicado",IF(OR(AND(G4954&lt;&gt;"",G4954&lt;&gt;0,G4954&lt;&gt;1),AND(H4954&lt;&gt;"",H4954&lt;&gt;0,H4954&lt;&gt;1)),"Flags devem ser 0 ou 1",IF(AND(H4954=1,LEN(TRIM(I4954))=0),"Preencher nome do indicante",IF(AND(H4954&lt;&gt;1,I4954&lt;&gt;""),"Nome sem indicação interna",IF(AND(G4954=1,F4954=""),"Fechamento sem conversa",IF(OR(AND(E4954&lt;&gt;"",E4954&lt;B4954),AND(F4954&lt;&gt;"",F4954&lt;B4954)),"Evento anterior à entrada",IF(AND(F4954&lt;&gt;"",E4954=""),"Conversa sem agendamento",IF(OR(E4954&gt;TODAY(),F4954&gt;TODAY()),"Verificar evento futuro","OK"))))))))))</f>
        <v/>
      </c>
    </row>
    <row r="4955" spans="12:15">
      <c r="L4955" s="5">
        <f>IF(OR(A4955="",B4955=""),"",B4955-WEEKDAY(B4955,2)+1)</f>
        <v/>
      </c>
      <c r="M4955" s="5">
        <f>IF(L4955="","",L4955+6)</f>
        <v/>
      </c>
      <c r="N4955" s="6">
        <f>IF(OR(A4955="",B4955=""),"",DATE(YEAR(B4955),MONTH(B4955),1))</f>
        <v/>
      </c>
      <c r="O4955" s="7">
        <f>IF(COUNTA(A4955:K4955)=0,"",IF(OR(A4955="",B4955=""),"Preencher CPF e entrada",IF(COUNTIFS($A$12:$A$5011,A4955,$B$12:$B$5011,B4955)&gt;1,"CPF + dia duplicado",IF(OR(AND(G4955&lt;&gt;"",G4955&lt;&gt;0,G4955&lt;&gt;1),AND(H4955&lt;&gt;"",H4955&lt;&gt;0,H4955&lt;&gt;1)),"Flags devem ser 0 ou 1",IF(AND(H4955=1,LEN(TRIM(I4955))=0),"Preencher nome do indicante",IF(AND(H4955&lt;&gt;1,I4955&lt;&gt;""),"Nome sem indicação interna",IF(AND(G4955=1,F4955=""),"Fechamento sem conversa",IF(OR(AND(E4955&lt;&gt;"",E4955&lt;B4955),AND(F4955&lt;&gt;"",F4955&lt;B4955)),"Evento anterior à entrada",IF(AND(F4955&lt;&gt;"",E4955=""),"Conversa sem agendamento",IF(OR(E4955&gt;TODAY(),F4955&gt;TODAY()),"Verificar evento futuro","OK"))))))))))</f>
        <v/>
      </c>
    </row>
    <row r="4956" spans="12:15">
      <c r="L4956" s="5">
        <f>IF(OR(A4956="",B4956=""),"",B4956-WEEKDAY(B4956,2)+1)</f>
        <v/>
      </c>
      <c r="M4956" s="5">
        <f>IF(L4956="","",L4956+6)</f>
        <v/>
      </c>
      <c r="N4956" s="6">
        <f>IF(OR(A4956="",B4956=""),"",DATE(YEAR(B4956),MONTH(B4956),1))</f>
        <v/>
      </c>
      <c r="O4956" s="7">
        <f>IF(COUNTA(A4956:K4956)=0,"",IF(OR(A4956="",B4956=""),"Preencher CPF e entrada",IF(COUNTIFS($A$12:$A$5011,A4956,$B$12:$B$5011,B4956)&gt;1,"CPF + dia duplicado",IF(OR(AND(G4956&lt;&gt;"",G4956&lt;&gt;0,G4956&lt;&gt;1),AND(H4956&lt;&gt;"",H4956&lt;&gt;0,H4956&lt;&gt;1)),"Flags devem ser 0 ou 1",IF(AND(H4956=1,LEN(TRIM(I4956))=0),"Preencher nome do indicante",IF(AND(H4956&lt;&gt;1,I4956&lt;&gt;""),"Nome sem indicação interna",IF(AND(G4956=1,F4956=""),"Fechamento sem conversa",IF(OR(AND(E4956&lt;&gt;"",E4956&lt;B4956),AND(F4956&lt;&gt;"",F4956&lt;B4956)),"Evento anterior à entrada",IF(AND(F4956&lt;&gt;"",E4956=""),"Conversa sem agendamento",IF(OR(E4956&gt;TODAY(),F4956&gt;TODAY()),"Verificar evento futuro","OK"))))))))))</f>
        <v/>
      </c>
    </row>
    <row r="4957" spans="12:15">
      <c r="L4957" s="5">
        <f>IF(OR(A4957="",B4957=""),"",B4957-WEEKDAY(B4957,2)+1)</f>
        <v/>
      </c>
      <c r="M4957" s="5">
        <f>IF(L4957="","",L4957+6)</f>
        <v/>
      </c>
      <c r="N4957" s="6">
        <f>IF(OR(A4957="",B4957=""),"",DATE(YEAR(B4957),MONTH(B4957),1))</f>
        <v/>
      </c>
      <c r="O4957" s="7">
        <f>IF(COUNTA(A4957:K4957)=0,"",IF(OR(A4957="",B4957=""),"Preencher CPF e entrada",IF(COUNTIFS($A$12:$A$5011,A4957,$B$12:$B$5011,B4957)&gt;1,"CPF + dia duplicado",IF(OR(AND(G4957&lt;&gt;"",G4957&lt;&gt;0,G4957&lt;&gt;1),AND(H4957&lt;&gt;"",H4957&lt;&gt;0,H4957&lt;&gt;1)),"Flags devem ser 0 ou 1",IF(AND(H4957=1,LEN(TRIM(I4957))=0),"Preencher nome do indicante",IF(AND(H4957&lt;&gt;1,I4957&lt;&gt;""),"Nome sem indicação interna",IF(AND(G4957=1,F4957=""),"Fechamento sem conversa",IF(OR(AND(E4957&lt;&gt;"",E4957&lt;B4957),AND(F4957&lt;&gt;"",F4957&lt;B4957)),"Evento anterior à entrada",IF(AND(F4957&lt;&gt;"",E4957=""),"Conversa sem agendamento",IF(OR(E4957&gt;TODAY(),F4957&gt;TODAY()),"Verificar evento futuro","OK"))))))))))</f>
        <v/>
      </c>
    </row>
    <row r="4958" spans="12:15">
      <c r="L4958" s="5">
        <f>IF(OR(A4958="",B4958=""),"",B4958-WEEKDAY(B4958,2)+1)</f>
        <v/>
      </c>
      <c r="M4958" s="5">
        <f>IF(L4958="","",L4958+6)</f>
        <v/>
      </c>
      <c r="N4958" s="6">
        <f>IF(OR(A4958="",B4958=""),"",DATE(YEAR(B4958),MONTH(B4958),1))</f>
        <v/>
      </c>
      <c r="O4958" s="7">
        <f>IF(COUNTA(A4958:K4958)=0,"",IF(OR(A4958="",B4958=""),"Preencher CPF e entrada",IF(COUNTIFS($A$12:$A$5011,A4958,$B$12:$B$5011,B4958)&gt;1,"CPF + dia duplicado",IF(OR(AND(G4958&lt;&gt;"",G4958&lt;&gt;0,G4958&lt;&gt;1),AND(H4958&lt;&gt;"",H4958&lt;&gt;0,H4958&lt;&gt;1)),"Flags devem ser 0 ou 1",IF(AND(H4958=1,LEN(TRIM(I4958))=0),"Preencher nome do indicante",IF(AND(H4958&lt;&gt;1,I4958&lt;&gt;""),"Nome sem indicação interna",IF(AND(G4958=1,F4958=""),"Fechamento sem conversa",IF(OR(AND(E4958&lt;&gt;"",E4958&lt;B4958),AND(F4958&lt;&gt;"",F4958&lt;B4958)),"Evento anterior à entrada",IF(AND(F4958&lt;&gt;"",E4958=""),"Conversa sem agendamento",IF(OR(E4958&gt;TODAY(),F4958&gt;TODAY()),"Verificar evento futuro","OK"))))))))))</f>
        <v/>
      </c>
    </row>
    <row r="4959" spans="12:15">
      <c r="L4959" s="5">
        <f>IF(OR(A4959="",B4959=""),"",B4959-WEEKDAY(B4959,2)+1)</f>
        <v/>
      </c>
      <c r="M4959" s="5">
        <f>IF(L4959="","",L4959+6)</f>
        <v/>
      </c>
      <c r="N4959" s="6">
        <f>IF(OR(A4959="",B4959=""),"",DATE(YEAR(B4959),MONTH(B4959),1))</f>
        <v/>
      </c>
      <c r="O4959" s="7">
        <f>IF(COUNTA(A4959:K4959)=0,"",IF(OR(A4959="",B4959=""),"Preencher CPF e entrada",IF(COUNTIFS($A$12:$A$5011,A4959,$B$12:$B$5011,B4959)&gt;1,"CPF + dia duplicado",IF(OR(AND(G4959&lt;&gt;"",G4959&lt;&gt;0,G4959&lt;&gt;1),AND(H4959&lt;&gt;"",H4959&lt;&gt;0,H4959&lt;&gt;1)),"Flags devem ser 0 ou 1",IF(AND(H4959=1,LEN(TRIM(I4959))=0),"Preencher nome do indicante",IF(AND(H4959&lt;&gt;1,I4959&lt;&gt;""),"Nome sem indicação interna",IF(AND(G4959=1,F4959=""),"Fechamento sem conversa",IF(OR(AND(E4959&lt;&gt;"",E4959&lt;B4959),AND(F4959&lt;&gt;"",F4959&lt;B4959)),"Evento anterior à entrada",IF(AND(F4959&lt;&gt;"",E4959=""),"Conversa sem agendamento",IF(OR(E4959&gt;TODAY(),F4959&gt;TODAY()),"Verificar evento futuro","OK"))))))))))</f>
        <v/>
      </c>
    </row>
    <row r="4960" spans="12:15">
      <c r="L4960" s="5">
        <f>IF(OR(A4960="",B4960=""),"",B4960-WEEKDAY(B4960,2)+1)</f>
        <v/>
      </c>
      <c r="M4960" s="5">
        <f>IF(L4960="","",L4960+6)</f>
        <v/>
      </c>
      <c r="N4960" s="6">
        <f>IF(OR(A4960="",B4960=""),"",DATE(YEAR(B4960),MONTH(B4960),1))</f>
        <v/>
      </c>
      <c r="O4960" s="7">
        <f>IF(COUNTA(A4960:K4960)=0,"",IF(OR(A4960="",B4960=""),"Preencher CPF e entrada",IF(COUNTIFS($A$12:$A$5011,A4960,$B$12:$B$5011,B4960)&gt;1,"CPF + dia duplicado",IF(OR(AND(G4960&lt;&gt;"",G4960&lt;&gt;0,G4960&lt;&gt;1),AND(H4960&lt;&gt;"",H4960&lt;&gt;0,H4960&lt;&gt;1)),"Flags devem ser 0 ou 1",IF(AND(H4960=1,LEN(TRIM(I4960))=0),"Preencher nome do indicante",IF(AND(H4960&lt;&gt;1,I4960&lt;&gt;""),"Nome sem indicação interna",IF(AND(G4960=1,F4960=""),"Fechamento sem conversa",IF(OR(AND(E4960&lt;&gt;"",E4960&lt;B4960),AND(F4960&lt;&gt;"",F4960&lt;B4960)),"Evento anterior à entrada",IF(AND(F4960&lt;&gt;"",E4960=""),"Conversa sem agendamento",IF(OR(E4960&gt;TODAY(),F4960&gt;TODAY()),"Verificar evento futuro","OK"))))))))))</f>
        <v/>
      </c>
    </row>
    <row r="4961" spans="12:15">
      <c r="L4961" s="5">
        <f>IF(OR(A4961="",B4961=""),"",B4961-WEEKDAY(B4961,2)+1)</f>
        <v/>
      </c>
      <c r="M4961" s="5">
        <f>IF(L4961="","",L4961+6)</f>
        <v/>
      </c>
      <c r="N4961" s="6">
        <f>IF(OR(A4961="",B4961=""),"",DATE(YEAR(B4961),MONTH(B4961),1))</f>
        <v/>
      </c>
      <c r="O4961" s="7">
        <f>IF(COUNTA(A4961:K4961)=0,"",IF(OR(A4961="",B4961=""),"Preencher CPF e entrada",IF(COUNTIFS($A$12:$A$5011,A4961,$B$12:$B$5011,B4961)&gt;1,"CPF + dia duplicado",IF(OR(AND(G4961&lt;&gt;"",G4961&lt;&gt;0,G4961&lt;&gt;1),AND(H4961&lt;&gt;"",H4961&lt;&gt;0,H4961&lt;&gt;1)),"Flags devem ser 0 ou 1",IF(AND(H4961=1,LEN(TRIM(I4961))=0),"Preencher nome do indicante",IF(AND(H4961&lt;&gt;1,I4961&lt;&gt;""),"Nome sem indicação interna",IF(AND(G4961=1,F4961=""),"Fechamento sem conversa",IF(OR(AND(E4961&lt;&gt;"",E4961&lt;B4961),AND(F4961&lt;&gt;"",F4961&lt;B4961)),"Evento anterior à entrada",IF(AND(F4961&lt;&gt;"",E4961=""),"Conversa sem agendamento",IF(OR(E4961&gt;TODAY(),F4961&gt;TODAY()),"Verificar evento futuro","OK"))))))))))</f>
        <v/>
      </c>
    </row>
    <row r="4962" spans="12:15">
      <c r="L4962" s="5">
        <f>IF(OR(A4962="",B4962=""),"",B4962-WEEKDAY(B4962,2)+1)</f>
        <v/>
      </c>
      <c r="M4962" s="5">
        <f>IF(L4962="","",L4962+6)</f>
        <v/>
      </c>
      <c r="N4962" s="6">
        <f>IF(OR(A4962="",B4962=""),"",DATE(YEAR(B4962),MONTH(B4962),1))</f>
        <v/>
      </c>
      <c r="O4962" s="7">
        <f>IF(COUNTA(A4962:K4962)=0,"",IF(OR(A4962="",B4962=""),"Preencher CPF e entrada",IF(COUNTIFS($A$12:$A$5011,A4962,$B$12:$B$5011,B4962)&gt;1,"CPF + dia duplicado",IF(OR(AND(G4962&lt;&gt;"",G4962&lt;&gt;0,G4962&lt;&gt;1),AND(H4962&lt;&gt;"",H4962&lt;&gt;0,H4962&lt;&gt;1)),"Flags devem ser 0 ou 1",IF(AND(H4962=1,LEN(TRIM(I4962))=0),"Preencher nome do indicante",IF(AND(H4962&lt;&gt;1,I4962&lt;&gt;""),"Nome sem indicação interna",IF(AND(G4962=1,F4962=""),"Fechamento sem conversa",IF(OR(AND(E4962&lt;&gt;"",E4962&lt;B4962),AND(F4962&lt;&gt;"",F4962&lt;B4962)),"Evento anterior à entrada",IF(AND(F4962&lt;&gt;"",E4962=""),"Conversa sem agendamento",IF(OR(E4962&gt;TODAY(),F4962&gt;TODAY()),"Verificar evento futuro","OK"))))))))))</f>
        <v/>
      </c>
    </row>
    <row r="4963" spans="12:15">
      <c r="L4963" s="5">
        <f>IF(OR(A4963="",B4963=""),"",B4963-WEEKDAY(B4963,2)+1)</f>
        <v/>
      </c>
      <c r="M4963" s="5">
        <f>IF(L4963="","",L4963+6)</f>
        <v/>
      </c>
      <c r="N4963" s="6">
        <f>IF(OR(A4963="",B4963=""),"",DATE(YEAR(B4963),MONTH(B4963),1))</f>
        <v/>
      </c>
      <c r="O4963" s="7">
        <f>IF(COUNTA(A4963:K4963)=0,"",IF(OR(A4963="",B4963=""),"Preencher CPF e entrada",IF(COUNTIFS($A$12:$A$5011,A4963,$B$12:$B$5011,B4963)&gt;1,"CPF + dia duplicado",IF(OR(AND(G4963&lt;&gt;"",G4963&lt;&gt;0,G4963&lt;&gt;1),AND(H4963&lt;&gt;"",H4963&lt;&gt;0,H4963&lt;&gt;1)),"Flags devem ser 0 ou 1",IF(AND(H4963=1,LEN(TRIM(I4963))=0),"Preencher nome do indicante",IF(AND(H4963&lt;&gt;1,I4963&lt;&gt;""),"Nome sem indicação interna",IF(AND(G4963=1,F4963=""),"Fechamento sem conversa",IF(OR(AND(E4963&lt;&gt;"",E4963&lt;B4963),AND(F4963&lt;&gt;"",F4963&lt;B4963)),"Evento anterior à entrada",IF(AND(F4963&lt;&gt;"",E4963=""),"Conversa sem agendamento",IF(OR(E4963&gt;TODAY(),F4963&gt;TODAY()),"Verificar evento futuro","OK"))))))))))</f>
        <v/>
      </c>
    </row>
    <row r="4964" spans="12:15">
      <c r="L4964" s="5">
        <f>IF(OR(A4964="",B4964=""),"",B4964-WEEKDAY(B4964,2)+1)</f>
        <v/>
      </c>
      <c r="M4964" s="5">
        <f>IF(L4964="","",L4964+6)</f>
        <v/>
      </c>
      <c r="N4964" s="6">
        <f>IF(OR(A4964="",B4964=""),"",DATE(YEAR(B4964),MONTH(B4964),1))</f>
        <v/>
      </c>
      <c r="O4964" s="7">
        <f>IF(COUNTA(A4964:K4964)=0,"",IF(OR(A4964="",B4964=""),"Preencher CPF e entrada",IF(COUNTIFS($A$12:$A$5011,A4964,$B$12:$B$5011,B4964)&gt;1,"CPF + dia duplicado",IF(OR(AND(G4964&lt;&gt;"",G4964&lt;&gt;0,G4964&lt;&gt;1),AND(H4964&lt;&gt;"",H4964&lt;&gt;0,H4964&lt;&gt;1)),"Flags devem ser 0 ou 1",IF(AND(H4964=1,LEN(TRIM(I4964))=0),"Preencher nome do indicante",IF(AND(H4964&lt;&gt;1,I4964&lt;&gt;""),"Nome sem indicação interna",IF(AND(G4964=1,F4964=""),"Fechamento sem conversa",IF(OR(AND(E4964&lt;&gt;"",E4964&lt;B4964),AND(F4964&lt;&gt;"",F4964&lt;B4964)),"Evento anterior à entrada",IF(AND(F4964&lt;&gt;"",E4964=""),"Conversa sem agendamento",IF(OR(E4964&gt;TODAY(),F4964&gt;TODAY()),"Verificar evento futuro","OK"))))))))))</f>
        <v/>
      </c>
    </row>
    <row r="4965" spans="12:15">
      <c r="L4965" s="5">
        <f>IF(OR(A4965="",B4965=""),"",B4965-WEEKDAY(B4965,2)+1)</f>
        <v/>
      </c>
      <c r="M4965" s="5">
        <f>IF(L4965="","",L4965+6)</f>
        <v/>
      </c>
      <c r="N4965" s="6">
        <f>IF(OR(A4965="",B4965=""),"",DATE(YEAR(B4965),MONTH(B4965),1))</f>
        <v/>
      </c>
      <c r="O4965" s="7">
        <f>IF(COUNTA(A4965:K4965)=0,"",IF(OR(A4965="",B4965=""),"Preencher CPF e entrada",IF(COUNTIFS($A$12:$A$5011,A4965,$B$12:$B$5011,B4965)&gt;1,"CPF + dia duplicado",IF(OR(AND(G4965&lt;&gt;"",G4965&lt;&gt;0,G4965&lt;&gt;1),AND(H4965&lt;&gt;"",H4965&lt;&gt;0,H4965&lt;&gt;1)),"Flags devem ser 0 ou 1",IF(AND(H4965=1,LEN(TRIM(I4965))=0),"Preencher nome do indicante",IF(AND(H4965&lt;&gt;1,I4965&lt;&gt;""),"Nome sem indicação interna",IF(AND(G4965=1,F4965=""),"Fechamento sem conversa",IF(OR(AND(E4965&lt;&gt;"",E4965&lt;B4965),AND(F4965&lt;&gt;"",F4965&lt;B4965)),"Evento anterior à entrada",IF(AND(F4965&lt;&gt;"",E4965=""),"Conversa sem agendamento",IF(OR(E4965&gt;TODAY(),F4965&gt;TODAY()),"Verificar evento futuro","OK"))))))))))</f>
        <v/>
      </c>
    </row>
    <row r="4966" spans="12:15">
      <c r="L4966" s="5">
        <f>IF(OR(A4966="",B4966=""),"",B4966-WEEKDAY(B4966,2)+1)</f>
        <v/>
      </c>
      <c r="M4966" s="5">
        <f>IF(L4966="","",L4966+6)</f>
        <v/>
      </c>
      <c r="N4966" s="6">
        <f>IF(OR(A4966="",B4966=""),"",DATE(YEAR(B4966),MONTH(B4966),1))</f>
        <v/>
      </c>
      <c r="O4966" s="7">
        <f>IF(COUNTA(A4966:K4966)=0,"",IF(OR(A4966="",B4966=""),"Preencher CPF e entrada",IF(COUNTIFS($A$12:$A$5011,A4966,$B$12:$B$5011,B4966)&gt;1,"CPF + dia duplicado",IF(OR(AND(G4966&lt;&gt;"",G4966&lt;&gt;0,G4966&lt;&gt;1),AND(H4966&lt;&gt;"",H4966&lt;&gt;0,H4966&lt;&gt;1)),"Flags devem ser 0 ou 1",IF(AND(H4966=1,LEN(TRIM(I4966))=0),"Preencher nome do indicante",IF(AND(H4966&lt;&gt;1,I4966&lt;&gt;""),"Nome sem indicação interna",IF(AND(G4966=1,F4966=""),"Fechamento sem conversa",IF(OR(AND(E4966&lt;&gt;"",E4966&lt;B4966),AND(F4966&lt;&gt;"",F4966&lt;B4966)),"Evento anterior à entrada",IF(AND(F4966&lt;&gt;"",E4966=""),"Conversa sem agendamento",IF(OR(E4966&gt;TODAY(),F4966&gt;TODAY()),"Verificar evento futuro","OK"))))))))))</f>
        <v/>
      </c>
    </row>
    <row r="4967" spans="12:15">
      <c r="L4967" s="5">
        <f>IF(OR(A4967="",B4967=""),"",B4967-WEEKDAY(B4967,2)+1)</f>
        <v/>
      </c>
      <c r="M4967" s="5">
        <f>IF(L4967="","",L4967+6)</f>
        <v/>
      </c>
      <c r="N4967" s="6">
        <f>IF(OR(A4967="",B4967=""),"",DATE(YEAR(B4967),MONTH(B4967),1))</f>
        <v/>
      </c>
      <c r="O4967" s="7">
        <f>IF(COUNTA(A4967:K4967)=0,"",IF(OR(A4967="",B4967=""),"Preencher CPF e entrada",IF(COUNTIFS($A$12:$A$5011,A4967,$B$12:$B$5011,B4967)&gt;1,"CPF + dia duplicado",IF(OR(AND(G4967&lt;&gt;"",G4967&lt;&gt;0,G4967&lt;&gt;1),AND(H4967&lt;&gt;"",H4967&lt;&gt;0,H4967&lt;&gt;1)),"Flags devem ser 0 ou 1",IF(AND(H4967=1,LEN(TRIM(I4967))=0),"Preencher nome do indicante",IF(AND(H4967&lt;&gt;1,I4967&lt;&gt;""),"Nome sem indicação interna",IF(AND(G4967=1,F4967=""),"Fechamento sem conversa",IF(OR(AND(E4967&lt;&gt;"",E4967&lt;B4967),AND(F4967&lt;&gt;"",F4967&lt;B4967)),"Evento anterior à entrada",IF(AND(F4967&lt;&gt;"",E4967=""),"Conversa sem agendamento",IF(OR(E4967&gt;TODAY(),F4967&gt;TODAY()),"Verificar evento futuro","OK"))))))))))</f>
        <v/>
      </c>
    </row>
    <row r="4968" spans="12:15">
      <c r="L4968" s="5">
        <f>IF(OR(A4968="",B4968=""),"",B4968-WEEKDAY(B4968,2)+1)</f>
        <v/>
      </c>
      <c r="M4968" s="5">
        <f>IF(L4968="","",L4968+6)</f>
        <v/>
      </c>
      <c r="N4968" s="6">
        <f>IF(OR(A4968="",B4968=""),"",DATE(YEAR(B4968),MONTH(B4968),1))</f>
        <v/>
      </c>
      <c r="O4968" s="7">
        <f>IF(COUNTA(A4968:K4968)=0,"",IF(OR(A4968="",B4968=""),"Preencher CPF e entrada",IF(COUNTIFS($A$12:$A$5011,A4968,$B$12:$B$5011,B4968)&gt;1,"CPF + dia duplicado",IF(OR(AND(G4968&lt;&gt;"",G4968&lt;&gt;0,G4968&lt;&gt;1),AND(H4968&lt;&gt;"",H4968&lt;&gt;0,H4968&lt;&gt;1)),"Flags devem ser 0 ou 1",IF(AND(H4968=1,LEN(TRIM(I4968))=0),"Preencher nome do indicante",IF(AND(H4968&lt;&gt;1,I4968&lt;&gt;""),"Nome sem indicação interna",IF(AND(G4968=1,F4968=""),"Fechamento sem conversa",IF(OR(AND(E4968&lt;&gt;"",E4968&lt;B4968),AND(F4968&lt;&gt;"",F4968&lt;B4968)),"Evento anterior à entrada",IF(AND(F4968&lt;&gt;"",E4968=""),"Conversa sem agendamento",IF(OR(E4968&gt;TODAY(),F4968&gt;TODAY()),"Verificar evento futuro","OK"))))))))))</f>
        <v/>
      </c>
    </row>
    <row r="4969" spans="12:15">
      <c r="L4969" s="5">
        <f>IF(OR(A4969="",B4969=""),"",B4969-WEEKDAY(B4969,2)+1)</f>
        <v/>
      </c>
      <c r="M4969" s="5">
        <f>IF(L4969="","",L4969+6)</f>
        <v/>
      </c>
      <c r="N4969" s="6">
        <f>IF(OR(A4969="",B4969=""),"",DATE(YEAR(B4969),MONTH(B4969),1))</f>
        <v/>
      </c>
      <c r="O4969" s="7">
        <f>IF(COUNTA(A4969:K4969)=0,"",IF(OR(A4969="",B4969=""),"Preencher CPF e entrada",IF(COUNTIFS($A$12:$A$5011,A4969,$B$12:$B$5011,B4969)&gt;1,"CPF + dia duplicado",IF(OR(AND(G4969&lt;&gt;"",G4969&lt;&gt;0,G4969&lt;&gt;1),AND(H4969&lt;&gt;"",H4969&lt;&gt;0,H4969&lt;&gt;1)),"Flags devem ser 0 ou 1",IF(AND(H4969=1,LEN(TRIM(I4969))=0),"Preencher nome do indicante",IF(AND(H4969&lt;&gt;1,I4969&lt;&gt;""),"Nome sem indicação interna",IF(AND(G4969=1,F4969=""),"Fechamento sem conversa",IF(OR(AND(E4969&lt;&gt;"",E4969&lt;B4969),AND(F4969&lt;&gt;"",F4969&lt;B4969)),"Evento anterior à entrada",IF(AND(F4969&lt;&gt;"",E4969=""),"Conversa sem agendamento",IF(OR(E4969&gt;TODAY(),F4969&gt;TODAY()),"Verificar evento futuro","OK"))))))))))</f>
        <v/>
      </c>
    </row>
    <row r="4970" spans="12:15">
      <c r="L4970" s="5">
        <f>IF(OR(A4970="",B4970=""),"",B4970-WEEKDAY(B4970,2)+1)</f>
        <v/>
      </c>
      <c r="M4970" s="5">
        <f>IF(L4970="","",L4970+6)</f>
        <v/>
      </c>
      <c r="N4970" s="6">
        <f>IF(OR(A4970="",B4970=""),"",DATE(YEAR(B4970),MONTH(B4970),1))</f>
        <v/>
      </c>
      <c r="O4970" s="7">
        <f>IF(COUNTA(A4970:K4970)=0,"",IF(OR(A4970="",B4970=""),"Preencher CPF e entrada",IF(COUNTIFS($A$12:$A$5011,A4970,$B$12:$B$5011,B4970)&gt;1,"CPF + dia duplicado",IF(OR(AND(G4970&lt;&gt;"",G4970&lt;&gt;0,G4970&lt;&gt;1),AND(H4970&lt;&gt;"",H4970&lt;&gt;0,H4970&lt;&gt;1)),"Flags devem ser 0 ou 1",IF(AND(H4970=1,LEN(TRIM(I4970))=0),"Preencher nome do indicante",IF(AND(H4970&lt;&gt;1,I4970&lt;&gt;""),"Nome sem indicação interna",IF(AND(G4970=1,F4970=""),"Fechamento sem conversa",IF(OR(AND(E4970&lt;&gt;"",E4970&lt;B4970),AND(F4970&lt;&gt;"",F4970&lt;B4970)),"Evento anterior à entrada",IF(AND(F4970&lt;&gt;"",E4970=""),"Conversa sem agendamento",IF(OR(E4970&gt;TODAY(),F4970&gt;TODAY()),"Verificar evento futuro","OK"))))))))))</f>
        <v/>
      </c>
    </row>
    <row r="4971" spans="12:15">
      <c r="L4971" s="5">
        <f>IF(OR(A4971="",B4971=""),"",B4971-WEEKDAY(B4971,2)+1)</f>
        <v/>
      </c>
      <c r="M4971" s="5">
        <f>IF(L4971="","",L4971+6)</f>
        <v/>
      </c>
      <c r="N4971" s="6">
        <f>IF(OR(A4971="",B4971=""),"",DATE(YEAR(B4971),MONTH(B4971),1))</f>
        <v/>
      </c>
      <c r="O4971" s="7">
        <f>IF(COUNTA(A4971:K4971)=0,"",IF(OR(A4971="",B4971=""),"Preencher CPF e entrada",IF(COUNTIFS($A$12:$A$5011,A4971,$B$12:$B$5011,B4971)&gt;1,"CPF + dia duplicado",IF(OR(AND(G4971&lt;&gt;"",G4971&lt;&gt;0,G4971&lt;&gt;1),AND(H4971&lt;&gt;"",H4971&lt;&gt;0,H4971&lt;&gt;1)),"Flags devem ser 0 ou 1",IF(AND(H4971=1,LEN(TRIM(I4971))=0),"Preencher nome do indicante",IF(AND(H4971&lt;&gt;1,I4971&lt;&gt;""),"Nome sem indicação interna",IF(AND(G4971=1,F4971=""),"Fechamento sem conversa",IF(OR(AND(E4971&lt;&gt;"",E4971&lt;B4971),AND(F4971&lt;&gt;"",F4971&lt;B4971)),"Evento anterior à entrada",IF(AND(F4971&lt;&gt;"",E4971=""),"Conversa sem agendamento",IF(OR(E4971&gt;TODAY(),F4971&gt;TODAY()),"Verificar evento futuro","OK"))))))))))</f>
        <v/>
      </c>
    </row>
    <row r="4972" spans="12:15">
      <c r="L4972" s="5">
        <f>IF(OR(A4972="",B4972=""),"",B4972-WEEKDAY(B4972,2)+1)</f>
        <v/>
      </c>
      <c r="M4972" s="5">
        <f>IF(L4972="","",L4972+6)</f>
        <v/>
      </c>
      <c r="N4972" s="6">
        <f>IF(OR(A4972="",B4972=""),"",DATE(YEAR(B4972),MONTH(B4972),1))</f>
        <v/>
      </c>
      <c r="O4972" s="7">
        <f>IF(COUNTA(A4972:K4972)=0,"",IF(OR(A4972="",B4972=""),"Preencher CPF e entrada",IF(COUNTIFS($A$12:$A$5011,A4972,$B$12:$B$5011,B4972)&gt;1,"CPF + dia duplicado",IF(OR(AND(G4972&lt;&gt;"",G4972&lt;&gt;0,G4972&lt;&gt;1),AND(H4972&lt;&gt;"",H4972&lt;&gt;0,H4972&lt;&gt;1)),"Flags devem ser 0 ou 1",IF(AND(H4972=1,LEN(TRIM(I4972))=0),"Preencher nome do indicante",IF(AND(H4972&lt;&gt;1,I4972&lt;&gt;""),"Nome sem indicação interna",IF(AND(G4972=1,F4972=""),"Fechamento sem conversa",IF(OR(AND(E4972&lt;&gt;"",E4972&lt;B4972),AND(F4972&lt;&gt;"",F4972&lt;B4972)),"Evento anterior à entrada",IF(AND(F4972&lt;&gt;"",E4972=""),"Conversa sem agendamento",IF(OR(E4972&gt;TODAY(),F4972&gt;TODAY()),"Verificar evento futuro","OK"))))))))))</f>
        <v/>
      </c>
    </row>
    <row r="4973" spans="12:15">
      <c r="L4973" s="5">
        <f>IF(OR(A4973="",B4973=""),"",B4973-WEEKDAY(B4973,2)+1)</f>
        <v/>
      </c>
      <c r="M4973" s="5">
        <f>IF(L4973="","",L4973+6)</f>
        <v/>
      </c>
      <c r="N4973" s="6">
        <f>IF(OR(A4973="",B4973=""),"",DATE(YEAR(B4973),MONTH(B4973),1))</f>
        <v/>
      </c>
      <c r="O4973" s="7">
        <f>IF(COUNTA(A4973:K4973)=0,"",IF(OR(A4973="",B4973=""),"Preencher CPF e entrada",IF(COUNTIFS($A$12:$A$5011,A4973,$B$12:$B$5011,B4973)&gt;1,"CPF + dia duplicado",IF(OR(AND(G4973&lt;&gt;"",G4973&lt;&gt;0,G4973&lt;&gt;1),AND(H4973&lt;&gt;"",H4973&lt;&gt;0,H4973&lt;&gt;1)),"Flags devem ser 0 ou 1",IF(AND(H4973=1,LEN(TRIM(I4973))=0),"Preencher nome do indicante",IF(AND(H4973&lt;&gt;1,I4973&lt;&gt;""),"Nome sem indicação interna",IF(AND(G4973=1,F4973=""),"Fechamento sem conversa",IF(OR(AND(E4973&lt;&gt;"",E4973&lt;B4973),AND(F4973&lt;&gt;"",F4973&lt;B4973)),"Evento anterior à entrada",IF(AND(F4973&lt;&gt;"",E4973=""),"Conversa sem agendamento",IF(OR(E4973&gt;TODAY(),F4973&gt;TODAY()),"Verificar evento futuro","OK"))))))))))</f>
        <v/>
      </c>
    </row>
    <row r="4974" spans="12:15">
      <c r="L4974" s="5">
        <f>IF(OR(A4974="",B4974=""),"",B4974-WEEKDAY(B4974,2)+1)</f>
        <v/>
      </c>
      <c r="M4974" s="5">
        <f>IF(L4974="","",L4974+6)</f>
        <v/>
      </c>
      <c r="N4974" s="6">
        <f>IF(OR(A4974="",B4974=""),"",DATE(YEAR(B4974),MONTH(B4974),1))</f>
        <v/>
      </c>
      <c r="O4974" s="7">
        <f>IF(COUNTA(A4974:K4974)=0,"",IF(OR(A4974="",B4974=""),"Preencher CPF e entrada",IF(COUNTIFS($A$12:$A$5011,A4974,$B$12:$B$5011,B4974)&gt;1,"CPF + dia duplicado",IF(OR(AND(G4974&lt;&gt;"",G4974&lt;&gt;0,G4974&lt;&gt;1),AND(H4974&lt;&gt;"",H4974&lt;&gt;0,H4974&lt;&gt;1)),"Flags devem ser 0 ou 1",IF(AND(H4974=1,LEN(TRIM(I4974))=0),"Preencher nome do indicante",IF(AND(H4974&lt;&gt;1,I4974&lt;&gt;""),"Nome sem indicação interna",IF(AND(G4974=1,F4974=""),"Fechamento sem conversa",IF(OR(AND(E4974&lt;&gt;"",E4974&lt;B4974),AND(F4974&lt;&gt;"",F4974&lt;B4974)),"Evento anterior à entrada",IF(AND(F4974&lt;&gt;"",E4974=""),"Conversa sem agendamento",IF(OR(E4974&gt;TODAY(),F4974&gt;TODAY()),"Verificar evento futuro","OK"))))))))))</f>
        <v/>
      </c>
    </row>
    <row r="4975" spans="12:15">
      <c r="L4975" s="5">
        <f>IF(OR(A4975="",B4975=""),"",B4975-WEEKDAY(B4975,2)+1)</f>
        <v/>
      </c>
      <c r="M4975" s="5">
        <f>IF(L4975="","",L4975+6)</f>
        <v/>
      </c>
      <c r="N4975" s="6">
        <f>IF(OR(A4975="",B4975=""),"",DATE(YEAR(B4975),MONTH(B4975),1))</f>
        <v/>
      </c>
      <c r="O4975" s="7">
        <f>IF(COUNTA(A4975:K4975)=0,"",IF(OR(A4975="",B4975=""),"Preencher CPF e entrada",IF(COUNTIFS($A$12:$A$5011,A4975,$B$12:$B$5011,B4975)&gt;1,"CPF + dia duplicado",IF(OR(AND(G4975&lt;&gt;"",G4975&lt;&gt;0,G4975&lt;&gt;1),AND(H4975&lt;&gt;"",H4975&lt;&gt;0,H4975&lt;&gt;1)),"Flags devem ser 0 ou 1",IF(AND(H4975=1,LEN(TRIM(I4975))=0),"Preencher nome do indicante",IF(AND(H4975&lt;&gt;1,I4975&lt;&gt;""),"Nome sem indicação interna",IF(AND(G4975=1,F4975=""),"Fechamento sem conversa",IF(OR(AND(E4975&lt;&gt;"",E4975&lt;B4975),AND(F4975&lt;&gt;"",F4975&lt;B4975)),"Evento anterior à entrada",IF(AND(F4975&lt;&gt;"",E4975=""),"Conversa sem agendamento",IF(OR(E4975&gt;TODAY(),F4975&gt;TODAY()),"Verificar evento futuro","OK"))))))))))</f>
        <v/>
      </c>
    </row>
    <row r="4976" spans="12:15">
      <c r="L4976" s="5">
        <f>IF(OR(A4976="",B4976=""),"",B4976-WEEKDAY(B4976,2)+1)</f>
        <v/>
      </c>
      <c r="M4976" s="5">
        <f>IF(L4976="","",L4976+6)</f>
        <v/>
      </c>
      <c r="N4976" s="6">
        <f>IF(OR(A4976="",B4976=""),"",DATE(YEAR(B4976),MONTH(B4976),1))</f>
        <v/>
      </c>
      <c r="O4976" s="7">
        <f>IF(COUNTA(A4976:K4976)=0,"",IF(OR(A4976="",B4976=""),"Preencher CPF e entrada",IF(COUNTIFS($A$12:$A$5011,A4976,$B$12:$B$5011,B4976)&gt;1,"CPF + dia duplicado",IF(OR(AND(G4976&lt;&gt;"",G4976&lt;&gt;0,G4976&lt;&gt;1),AND(H4976&lt;&gt;"",H4976&lt;&gt;0,H4976&lt;&gt;1)),"Flags devem ser 0 ou 1",IF(AND(H4976=1,LEN(TRIM(I4976))=0),"Preencher nome do indicante",IF(AND(H4976&lt;&gt;1,I4976&lt;&gt;""),"Nome sem indicação interna",IF(AND(G4976=1,F4976=""),"Fechamento sem conversa",IF(OR(AND(E4976&lt;&gt;"",E4976&lt;B4976),AND(F4976&lt;&gt;"",F4976&lt;B4976)),"Evento anterior à entrada",IF(AND(F4976&lt;&gt;"",E4976=""),"Conversa sem agendamento",IF(OR(E4976&gt;TODAY(),F4976&gt;TODAY()),"Verificar evento futuro","OK"))))))))))</f>
        <v/>
      </c>
    </row>
    <row r="4977" spans="12:15">
      <c r="L4977" s="5">
        <f>IF(OR(A4977="",B4977=""),"",B4977-WEEKDAY(B4977,2)+1)</f>
        <v/>
      </c>
      <c r="M4977" s="5">
        <f>IF(L4977="","",L4977+6)</f>
        <v/>
      </c>
      <c r="N4977" s="6">
        <f>IF(OR(A4977="",B4977=""),"",DATE(YEAR(B4977),MONTH(B4977),1))</f>
        <v/>
      </c>
      <c r="O4977" s="7">
        <f>IF(COUNTA(A4977:K4977)=0,"",IF(OR(A4977="",B4977=""),"Preencher CPF e entrada",IF(COUNTIFS($A$12:$A$5011,A4977,$B$12:$B$5011,B4977)&gt;1,"CPF + dia duplicado",IF(OR(AND(G4977&lt;&gt;"",G4977&lt;&gt;0,G4977&lt;&gt;1),AND(H4977&lt;&gt;"",H4977&lt;&gt;0,H4977&lt;&gt;1)),"Flags devem ser 0 ou 1",IF(AND(H4977=1,LEN(TRIM(I4977))=0),"Preencher nome do indicante",IF(AND(H4977&lt;&gt;1,I4977&lt;&gt;""),"Nome sem indicação interna",IF(AND(G4977=1,F4977=""),"Fechamento sem conversa",IF(OR(AND(E4977&lt;&gt;"",E4977&lt;B4977),AND(F4977&lt;&gt;"",F4977&lt;B4977)),"Evento anterior à entrada",IF(AND(F4977&lt;&gt;"",E4977=""),"Conversa sem agendamento",IF(OR(E4977&gt;TODAY(),F4977&gt;TODAY()),"Verificar evento futuro","OK"))))))))))</f>
        <v/>
      </c>
    </row>
    <row r="4978" spans="12:15">
      <c r="L4978" s="5">
        <f>IF(OR(A4978="",B4978=""),"",B4978-WEEKDAY(B4978,2)+1)</f>
        <v/>
      </c>
      <c r="M4978" s="5">
        <f>IF(L4978="","",L4978+6)</f>
        <v/>
      </c>
      <c r="N4978" s="6">
        <f>IF(OR(A4978="",B4978=""),"",DATE(YEAR(B4978),MONTH(B4978),1))</f>
        <v/>
      </c>
      <c r="O4978" s="7">
        <f>IF(COUNTA(A4978:K4978)=0,"",IF(OR(A4978="",B4978=""),"Preencher CPF e entrada",IF(COUNTIFS($A$12:$A$5011,A4978,$B$12:$B$5011,B4978)&gt;1,"CPF + dia duplicado",IF(OR(AND(G4978&lt;&gt;"",G4978&lt;&gt;0,G4978&lt;&gt;1),AND(H4978&lt;&gt;"",H4978&lt;&gt;0,H4978&lt;&gt;1)),"Flags devem ser 0 ou 1",IF(AND(H4978=1,LEN(TRIM(I4978))=0),"Preencher nome do indicante",IF(AND(H4978&lt;&gt;1,I4978&lt;&gt;""),"Nome sem indicação interna",IF(AND(G4978=1,F4978=""),"Fechamento sem conversa",IF(OR(AND(E4978&lt;&gt;"",E4978&lt;B4978),AND(F4978&lt;&gt;"",F4978&lt;B4978)),"Evento anterior à entrada",IF(AND(F4978&lt;&gt;"",E4978=""),"Conversa sem agendamento",IF(OR(E4978&gt;TODAY(),F4978&gt;TODAY()),"Verificar evento futuro","OK"))))))))))</f>
        <v/>
      </c>
    </row>
    <row r="4979" spans="12:15">
      <c r="L4979" s="5">
        <f>IF(OR(A4979="",B4979=""),"",B4979-WEEKDAY(B4979,2)+1)</f>
        <v/>
      </c>
      <c r="M4979" s="5">
        <f>IF(L4979="","",L4979+6)</f>
        <v/>
      </c>
      <c r="N4979" s="6">
        <f>IF(OR(A4979="",B4979=""),"",DATE(YEAR(B4979),MONTH(B4979),1))</f>
        <v/>
      </c>
      <c r="O4979" s="7">
        <f>IF(COUNTA(A4979:K4979)=0,"",IF(OR(A4979="",B4979=""),"Preencher CPF e entrada",IF(COUNTIFS($A$12:$A$5011,A4979,$B$12:$B$5011,B4979)&gt;1,"CPF + dia duplicado",IF(OR(AND(G4979&lt;&gt;"",G4979&lt;&gt;0,G4979&lt;&gt;1),AND(H4979&lt;&gt;"",H4979&lt;&gt;0,H4979&lt;&gt;1)),"Flags devem ser 0 ou 1",IF(AND(H4979=1,LEN(TRIM(I4979))=0),"Preencher nome do indicante",IF(AND(H4979&lt;&gt;1,I4979&lt;&gt;""),"Nome sem indicação interna",IF(AND(G4979=1,F4979=""),"Fechamento sem conversa",IF(OR(AND(E4979&lt;&gt;"",E4979&lt;B4979),AND(F4979&lt;&gt;"",F4979&lt;B4979)),"Evento anterior à entrada",IF(AND(F4979&lt;&gt;"",E4979=""),"Conversa sem agendamento",IF(OR(E4979&gt;TODAY(),F4979&gt;TODAY()),"Verificar evento futuro","OK"))))))))))</f>
        <v/>
      </c>
    </row>
    <row r="4980" spans="12:15">
      <c r="L4980" s="5">
        <f>IF(OR(A4980="",B4980=""),"",B4980-WEEKDAY(B4980,2)+1)</f>
        <v/>
      </c>
      <c r="M4980" s="5">
        <f>IF(L4980="","",L4980+6)</f>
        <v/>
      </c>
      <c r="N4980" s="6">
        <f>IF(OR(A4980="",B4980=""),"",DATE(YEAR(B4980),MONTH(B4980),1))</f>
        <v/>
      </c>
      <c r="O4980" s="7">
        <f>IF(COUNTA(A4980:K4980)=0,"",IF(OR(A4980="",B4980=""),"Preencher CPF e entrada",IF(COUNTIFS($A$12:$A$5011,A4980,$B$12:$B$5011,B4980)&gt;1,"CPF + dia duplicado",IF(OR(AND(G4980&lt;&gt;"",G4980&lt;&gt;0,G4980&lt;&gt;1),AND(H4980&lt;&gt;"",H4980&lt;&gt;0,H4980&lt;&gt;1)),"Flags devem ser 0 ou 1",IF(AND(H4980=1,LEN(TRIM(I4980))=0),"Preencher nome do indicante",IF(AND(H4980&lt;&gt;1,I4980&lt;&gt;""),"Nome sem indicação interna",IF(AND(G4980=1,F4980=""),"Fechamento sem conversa",IF(OR(AND(E4980&lt;&gt;"",E4980&lt;B4980),AND(F4980&lt;&gt;"",F4980&lt;B4980)),"Evento anterior à entrada",IF(AND(F4980&lt;&gt;"",E4980=""),"Conversa sem agendamento",IF(OR(E4980&gt;TODAY(),F4980&gt;TODAY()),"Verificar evento futuro","OK"))))))))))</f>
        <v/>
      </c>
    </row>
    <row r="4981" spans="12:15">
      <c r="L4981" s="5">
        <f>IF(OR(A4981="",B4981=""),"",B4981-WEEKDAY(B4981,2)+1)</f>
        <v/>
      </c>
      <c r="M4981" s="5">
        <f>IF(L4981="","",L4981+6)</f>
        <v/>
      </c>
      <c r="N4981" s="6">
        <f>IF(OR(A4981="",B4981=""),"",DATE(YEAR(B4981),MONTH(B4981),1))</f>
        <v/>
      </c>
      <c r="O4981" s="7">
        <f>IF(COUNTA(A4981:K4981)=0,"",IF(OR(A4981="",B4981=""),"Preencher CPF e entrada",IF(COUNTIFS($A$12:$A$5011,A4981,$B$12:$B$5011,B4981)&gt;1,"CPF + dia duplicado",IF(OR(AND(G4981&lt;&gt;"",G4981&lt;&gt;0,G4981&lt;&gt;1),AND(H4981&lt;&gt;"",H4981&lt;&gt;0,H4981&lt;&gt;1)),"Flags devem ser 0 ou 1",IF(AND(H4981=1,LEN(TRIM(I4981))=0),"Preencher nome do indicante",IF(AND(H4981&lt;&gt;1,I4981&lt;&gt;""),"Nome sem indicação interna",IF(AND(G4981=1,F4981=""),"Fechamento sem conversa",IF(OR(AND(E4981&lt;&gt;"",E4981&lt;B4981),AND(F4981&lt;&gt;"",F4981&lt;B4981)),"Evento anterior à entrada",IF(AND(F4981&lt;&gt;"",E4981=""),"Conversa sem agendamento",IF(OR(E4981&gt;TODAY(),F4981&gt;TODAY()),"Verificar evento futuro","OK"))))))))))</f>
        <v/>
      </c>
    </row>
    <row r="4982" spans="12:15">
      <c r="L4982" s="5">
        <f>IF(OR(A4982="",B4982=""),"",B4982-WEEKDAY(B4982,2)+1)</f>
        <v/>
      </c>
      <c r="M4982" s="5">
        <f>IF(L4982="","",L4982+6)</f>
        <v/>
      </c>
      <c r="N4982" s="6">
        <f>IF(OR(A4982="",B4982=""),"",DATE(YEAR(B4982),MONTH(B4982),1))</f>
        <v/>
      </c>
      <c r="O4982" s="7">
        <f>IF(COUNTA(A4982:K4982)=0,"",IF(OR(A4982="",B4982=""),"Preencher CPF e entrada",IF(COUNTIFS($A$12:$A$5011,A4982,$B$12:$B$5011,B4982)&gt;1,"CPF + dia duplicado",IF(OR(AND(G4982&lt;&gt;"",G4982&lt;&gt;0,G4982&lt;&gt;1),AND(H4982&lt;&gt;"",H4982&lt;&gt;0,H4982&lt;&gt;1)),"Flags devem ser 0 ou 1",IF(AND(H4982=1,LEN(TRIM(I4982))=0),"Preencher nome do indicante",IF(AND(H4982&lt;&gt;1,I4982&lt;&gt;""),"Nome sem indicação interna",IF(AND(G4982=1,F4982=""),"Fechamento sem conversa",IF(OR(AND(E4982&lt;&gt;"",E4982&lt;B4982),AND(F4982&lt;&gt;"",F4982&lt;B4982)),"Evento anterior à entrada",IF(AND(F4982&lt;&gt;"",E4982=""),"Conversa sem agendamento",IF(OR(E4982&gt;TODAY(),F4982&gt;TODAY()),"Verificar evento futuro","OK"))))))))))</f>
        <v/>
      </c>
    </row>
    <row r="4983" spans="12:15">
      <c r="L4983" s="5">
        <f>IF(OR(A4983="",B4983=""),"",B4983-WEEKDAY(B4983,2)+1)</f>
        <v/>
      </c>
      <c r="M4983" s="5">
        <f>IF(L4983="","",L4983+6)</f>
        <v/>
      </c>
      <c r="N4983" s="6">
        <f>IF(OR(A4983="",B4983=""),"",DATE(YEAR(B4983),MONTH(B4983),1))</f>
        <v/>
      </c>
      <c r="O4983" s="7">
        <f>IF(COUNTA(A4983:K4983)=0,"",IF(OR(A4983="",B4983=""),"Preencher CPF e entrada",IF(COUNTIFS($A$12:$A$5011,A4983,$B$12:$B$5011,B4983)&gt;1,"CPF + dia duplicado",IF(OR(AND(G4983&lt;&gt;"",G4983&lt;&gt;0,G4983&lt;&gt;1),AND(H4983&lt;&gt;"",H4983&lt;&gt;0,H4983&lt;&gt;1)),"Flags devem ser 0 ou 1",IF(AND(H4983=1,LEN(TRIM(I4983))=0),"Preencher nome do indicante",IF(AND(H4983&lt;&gt;1,I4983&lt;&gt;""),"Nome sem indicação interna",IF(AND(G4983=1,F4983=""),"Fechamento sem conversa",IF(OR(AND(E4983&lt;&gt;"",E4983&lt;B4983),AND(F4983&lt;&gt;"",F4983&lt;B4983)),"Evento anterior à entrada",IF(AND(F4983&lt;&gt;"",E4983=""),"Conversa sem agendamento",IF(OR(E4983&gt;TODAY(),F4983&gt;TODAY()),"Verificar evento futuro","OK"))))))))))</f>
        <v/>
      </c>
    </row>
    <row r="4984" spans="12:15">
      <c r="L4984" s="5">
        <f>IF(OR(A4984="",B4984=""),"",B4984-WEEKDAY(B4984,2)+1)</f>
        <v/>
      </c>
      <c r="M4984" s="5">
        <f>IF(L4984="","",L4984+6)</f>
        <v/>
      </c>
      <c r="N4984" s="6">
        <f>IF(OR(A4984="",B4984=""),"",DATE(YEAR(B4984),MONTH(B4984),1))</f>
        <v/>
      </c>
      <c r="O4984" s="7">
        <f>IF(COUNTA(A4984:K4984)=0,"",IF(OR(A4984="",B4984=""),"Preencher CPF e entrada",IF(COUNTIFS($A$12:$A$5011,A4984,$B$12:$B$5011,B4984)&gt;1,"CPF + dia duplicado",IF(OR(AND(G4984&lt;&gt;"",G4984&lt;&gt;0,G4984&lt;&gt;1),AND(H4984&lt;&gt;"",H4984&lt;&gt;0,H4984&lt;&gt;1)),"Flags devem ser 0 ou 1",IF(AND(H4984=1,LEN(TRIM(I4984))=0),"Preencher nome do indicante",IF(AND(H4984&lt;&gt;1,I4984&lt;&gt;""),"Nome sem indicação interna",IF(AND(G4984=1,F4984=""),"Fechamento sem conversa",IF(OR(AND(E4984&lt;&gt;"",E4984&lt;B4984),AND(F4984&lt;&gt;"",F4984&lt;B4984)),"Evento anterior à entrada",IF(AND(F4984&lt;&gt;"",E4984=""),"Conversa sem agendamento",IF(OR(E4984&gt;TODAY(),F4984&gt;TODAY()),"Verificar evento futuro","OK"))))))))))</f>
        <v/>
      </c>
    </row>
    <row r="4985" spans="12:15">
      <c r="L4985" s="5">
        <f>IF(OR(A4985="",B4985=""),"",B4985-WEEKDAY(B4985,2)+1)</f>
        <v/>
      </c>
      <c r="M4985" s="5">
        <f>IF(L4985="","",L4985+6)</f>
        <v/>
      </c>
      <c r="N4985" s="6">
        <f>IF(OR(A4985="",B4985=""),"",DATE(YEAR(B4985),MONTH(B4985),1))</f>
        <v/>
      </c>
      <c r="O4985" s="7">
        <f>IF(COUNTA(A4985:K4985)=0,"",IF(OR(A4985="",B4985=""),"Preencher CPF e entrada",IF(COUNTIFS($A$12:$A$5011,A4985,$B$12:$B$5011,B4985)&gt;1,"CPF + dia duplicado",IF(OR(AND(G4985&lt;&gt;"",G4985&lt;&gt;0,G4985&lt;&gt;1),AND(H4985&lt;&gt;"",H4985&lt;&gt;0,H4985&lt;&gt;1)),"Flags devem ser 0 ou 1",IF(AND(H4985=1,LEN(TRIM(I4985))=0),"Preencher nome do indicante",IF(AND(H4985&lt;&gt;1,I4985&lt;&gt;""),"Nome sem indicação interna",IF(AND(G4985=1,F4985=""),"Fechamento sem conversa",IF(OR(AND(E4985&lt;&gt;"",E4985&lt;B4985),AND(F4985&lt;&gt;"",F4985&lt;B4985)),"Evento anterior à entrada",IF(AND(F4985&lt;&gt;"",E4985=""),"Conversa sem agendamento",IF(OR(E4985&gt;TODAY(),F4985&gt;TODAY()),"Verificar evento futuro","OK"))))))))))</f>
        <v/>
      </c>
    </row>
    <row r="4986" spans="12:15">
      <c r="L4986" s="5">
        <f>IF(OR(A4986="",B4986=""),"",B4986-WEEKDAY(B4986,2)+1)</f>
        <v/>
      </c>
      <c r="M4986" s="5">
        <f>IF(L4986="","",L4986+6)</f>
        <v/>
      </c>
      <c r="N4986" s="6">
        <f>IF(OR(A4986="",B4986=""),"",DATE(YEAR(B4986),MONTH(B4986),1))</f>
        <v/>
      </c>
      <c r="O4986" s="7">
        <f>IF(COUNTA(A4986:K4986)=0,"",IF(OR(A4986="",B4986=""),"Preencher CPF e entrada",IF(COUNTIFS($A$12:$A$5011,A4986,$B$12:$B$5011,B4986)&gt;1,"CPF + dia duplicado",IF(OR(AND(G4986&lt;&gt;"",G4986&lt;&gt;0,G4986&lt;&gt;1),AND(H4986&lt;&gt;"",H4986&lt;&gt;0,H4986&lt;&gt;1)),"Flags devem ser 0 ou 1",IF(AND(H4986=1,LEN(TRIM(I4986))=0),"Preencher nome do indicante",IF(AND(H4986&lt;&gt;1,I4986&lt;&gt;""),"Nome sem indicação interna",IF(AND(G4986=1,F4986=""),"Fechamento sem conversa",IF(OR(AND(E4986&lt;&gt;"",E4986&lt;B4986),AND(F4986&lt;&gt;"",F4986&lt;B4986)),"Evento anterior à entrada",IF(AND(F4986&lt;&gt;"",E4986=""),"Conversa sem agendamento",IF(OR(E4986&gt;TODAY(),F4986&gt;TODAY()),"Verificar evento futuro","OK"))))))))))</f>
        <v/>
      </c>
    </row>
    <row r="4987" spans="12:15">
      <c r="L4987" s="5">
        <f>IF(OR(A4987="",B4987=""),"",B4987-WEEKDAY(B4987,2)+1)</f>
        <v/>
      </c>
      <c r="M4987" s="5">
        <f>IF(L4987="","",L4987+6)</f>
        <v/>
      </c>
      <c r="N4987" s="6">
        <f>IF(OR(A4987="",B4987=""),"",DATE(YEAR(B4987),MONTH(B4987),1))</f>
        <v/>
      </c>
      <c r="O4987" s="7">
        <f>IF(COUNTA(A4987:K4987)=0,"",IF(OR(A4987="",B4987=""),"Preencher CPF e entrada",IF(COUNTIFS($A$12:$A$5011,A4987,$B$12:$B$5011,B4987)&gt;1,"CPF + dia duplicado",IF(OR(AND(G4987&lt;&gt;"",G4987&lt;&gt;0,G4987&lt;&gt;1),AND(H4987&lt;&gt;"",H4987&lt;&gt;0,H4987&lt;&gt;1)),"Flags devem ser 0 ou 1",IF(AND(H4987=1,LEN(TRIM(I4987))=0),"Preencher nome do indicante",IF(AND(H4987&lt;&gt;1,I4987&lt;&gt;""),"Nome sem indicação interna",IF(AND(G4987=1,F4987=""),"Fechamento sem conversa",IF(OR(AND(E4987&lt;&gt;"",E4987&lt;B4987),AND(F4987&lt;&gt;"",F4987&lt;B4987)),"Evento anterior à entrada",IF(AND(F4987&lt;&gt;"",E4987=""),"Conversa sem agendamento",IF(OR(E4987&gt;TODAY(),F4987&gt;TODAY()),"Verificar evento futuro","OK"))))))))))</f>
        <v/>
      </c>
    </row>
    <row r="4988" spans="12:15">
      <c r="L4988" s="5">
        <f>IF(OR(A4988="",B4988=""),"",B4988-WEEKDAY(B4988,2)+1)</f>
        <v/>
      </c>
      <c r="M4988" s="5">
        <f>IF(L4988="","",L4988+6)</f>
        <v/>
      </c>
      <c r="N4988" s="6">
        <f>IF(OR(A4988="",B4988=""),"",DATE(YEAR(B4988),MONTH(B4988),1))</f>
        <v/>
      </c>
      <c r="O4988" s="7">
        <f>IF(COUNTA(A4988:K4988)=0,"",IF(OR(A4988="",B4988=""),"Preencher CPF e entrada",IF(COUNTIFS($A$12:$A$5011,A4988,$B$12:$B$5011,B4988)&gt;1,"CPF + dia duplicado",IF(OR(AND(G4988&lt;&gt;"",G4988&lt;&gt;0,G4988&lt;&gt;1),AND(H4988&lt;&gt;"",H4988&lt;&gt;0,H4988&lt;&gt;1)),"Flags devem ser 0 ou 1",IF(AND(H4988=1,LEN(TRIM(I4988))=0),"Preencher nome do indicante",IF(AND(H4988&lt;&gt;1,I4988&lt;&gt;""),"Nome sem indicação interna",IF(AND(G4988=1,F4988=""),"Fechamento sem conversa",IF(OR(AND(E4988&lt;&gt;"",E4988&lt;B4988),AND(F4988&lt;&gt;"",F4988&lt;B4988)),"Evento anterior à entrada",IF(AND(F4988&lt;&gt;"",E4988=""),"Conversa sem agendamento",IF(OR(E4988&gt;TODAY(),F4988&gt;TODAY()),"Verificar evento futuro","OK"))))))))))</f>
        <v/>
      </c>
    </row>
    <row r="4989" spans="12:15">
      <c r="L4989" s="5">
        <f>IF(OR(A4989="",B4989=""),"",B4989-WEEKDAY(B4989,2)+1)</f>
        <v/>
      </c>
      <c r="M4989" s="5">
        <f>IF(L4989="","",L4989+6)</f>
        <v/>
      </c>
      <c r="N4989" s="6">
        <f>IF(OR(A4989="",B4989=""),"",DATE(YEAR(B4989),MONTH(B4989),1))</f>
        <v/>
      </c>
      <c r="O4989" s="7">
        <f>IF(COUNTA(A4989:K4989)=0,"",IF(OR(A4989="",B4989=""),"Preencher CPF e entrada",IF(COUNTIFS($A$12:$A$5011,A4989,$B$12:$B$5011,B4989)&gt;1,"CPF + dia duplicado",IF(OR(AND(G4989&lt;&gt;"",G4989&lt;&gt;0,G4989&lt;&gt;1),AND(H4989&lt;&gt;"",H4989&lt;&gt;0,H4989&lt;&gt;1)),"Flags devem ser 0 ou 1",IF(AND(H4989=1,LEN(TRIM(I4989))=0),"Preencher nome do indicante",IF(AND(H4989&lt;&gt;1,I4989&lt;&gt;""),"Nome sem indicação interna",IF(AND(G4989=1,F4989=""),"Fechamento sem conversa",IF(OR(AND(E4989&lt;&gt;"",E4989&lt;B4989),AND(F4989&lt;&gt;"",F4989&lt;B4989)),"Evento anterior à entrada",IF(AND(F4989&lt;&gt;"",E4989=""),"Conversa sem agendamento",IF(OR(E4989&gt;TODAY(),F4989&gt;TODAY()),"Verificar evento futuro","OK"))))))))))</f>
        <v/>
      </c>
    </row>
    <row r="4990" spans="12:15">
      <c r="L4990" s="5">
        <f>IF(OR(A4990="",B4990=""),"",B4990-WEEKDAY(B4990,2)+1)</f>
        <v/>
      </c>
      <c r="M4990" s="5">
        <f>IF(L4990="","",L4990+6)</f>
        <v/>
      </c>
      <c r="N4990" s="6">
        <f>IF(OR(A4990="",B4990=""),"",DATE(YEAR(B4990),MONTH(B4990),1))</f>
        <v/>
      </c>
      <c r="O4990" s="7">
        <f>IF(COUNTA(A4990:K4990)=0,"",IF(OR(A4990="",B4990=""),"Preencher CPF e entrada",IF(COUNTIFS($A$12:$A$5011,A4990,$B$12:$B$5011,B4990)&gt;1,"CPF + dia duplicado",IF(OR(AND(G4990&lt;&gt;"",G4990&lt;&gt;0,G4990&lt;&gt;1),AND(H4990&lt;&gt;"",H4990&lt;&gt;0,H4990&lt;&gt;1)),"Flags devem ser 0 ou 1",IF(AND(H4990=1,LEN(TRIM(I4990))=0),"Preencher nome do indicante",IF(AND(H4990&lt;&gt;1,I4990&lt;&gt;""),"Nome sem indicação interna",IF(AND(G4990=1,F4990=""),"Fechamento sem conversa",IF(OR(AND(E4990&lt;&gt;"",E4990&lt;B4990),AND(F4990&lt;&gt;"",F4990&lt;B4990)),"Evento anterior à entrada",IF(AND(F4990&lt;&gt;"",E4990=""),"Conversa sem agendamento",IF(OR(E4990&gt;TODAY(),F4990&gt;TODAY()),"Verificar evento futuro","OK"))))))))))</f>
        <v/>
      </c>
    </row>
    <row r="4991" spans="12:15">
      <c r="L4991" s="5">
        <f>IF(OR(A4991="",B4991=""),"",B4991-WEEKDAY(B4991,2)+1)</f>
        <v/>
      </c>
      <c r="M4991" s="5">
        <f>IF(L4991="","",L4991+6)</f>
        <v/>
      </c>
      <c r="N4991" s="6">
        <f>IF(OR(A4991="",B4991=""),"",DATE(YEAR(B4991),MONTH(B4991),1))</f>
        <v/>
      </c>
      <c r="O4991" s="7">
        <f>IF(COUNTA(A4991:K4991)=0,"",IF(OR(A4991="",B4991=""),"Preencher CPF e entrada",IF(COUNTIFS($A$12:$A$5011,A4991,$B$12:$B$5011,B4991)&gt;1,"CPF + dia duplicado",IF(OR(AND(G4991&lt;&gt;"",G4991&lt;&gt;0,G4991&lt;&gt;1),AND(H4991&lt;&gt;"",H4991&lt;&gt;0,H4991&lt;&gt;1)),"Flags devem ser 0 ou 1",IF(AND(H4991=1,LEN(TRIM(I4991))=0),"Preencher nome do indicante",IF(AND(H4991&lt;&gt;1,I4991&lt;&gt;""),"Nome sem indicação interna",IF(AND(G4991=1,F4991=""),"Fechamento sem conversa",IF(OR(AND(E4991&lt;&gt;"",E4991&lt;B4991),AND(F4991&lt;&gt;"",F4991&lt;B4991)),"Evento anterior à entrada",IF(AND(F4991&lt;&gt;"",E4991=""),"Conversa sem agendamento",IF(OR(E4991&gt;TODAY(),F4991&gt;TODAY()),"Verificar evento futuro","OK"))))))))))</f>
        <v/>
      </c>
    </row>
    <row r="4992" spans="12:15">
      <c r="L4992" s="5">
        <f>IF(OR(A4992="",B4992=""),"",B4992-WEEKDAY(B4992,2)+1)</f>
        <v/>
      </c>
      <c r="M4992" s="5">
        <f>IF(L4992="","",L4992+6)</f>
        <v/>
      </c>
      <c r="N4992" s="6">
        <f>IF(OR(A4992="",B4992=""),"",DATE(YEAR(B4992),MONTH(B4992),1))</f>
        <v/>
      </c>
      <c r="O4992" s="7">
        <f>IF(COUNTA(A4992:K4992)=0,"",IF(OR(A4992="",B4992=""),"Preencher CPF e entrada",IF(COUNTIFS($A$12:$A$5011,A4992,$B$12:$B$5011,B4992)&gt;1,"CPF + dia duplicado",IF(OR(AND(G4992&lt;&gt;"",G4992&lt;&gt;0,G4992&lt;&gt;1),AND(H4992&lt;&gt;"",H4992&lt;&gt;0,H4992&lt;&gt;1)),"Flags devem ser 0 ou 1",IF(AND(H4992=1,LEN(TRIM(I4992))=0),"Preencher nome do indicante",IF(AND(H4992&lt;&gt;1,I4992&lt;&gt;""),"Nome sem indicação interna",IF(AND(G4992=1,F4992=""),"Fechamento sem conversa",IF(OR(AND(E4992&lt;&gt;"",E4992&lt;B4992),AND(F4992&lt;&gt;"",F4992&lt;B4992)),"Evento anterior à entrada",IF(AND(F4992&lt;&gt;"",E4992=""),"Conversa sem agendamento",IF(OR(E4992&gt;TODAY(),F4992&gt;TODAY()),"Verificar evento futuro","OK"))))))))))</f>
        <v/>
      </c>
    </row>
    <row r="4993" spans="12:15">
      <c r="L4993" s="5">
        <f>IF(OR(A4993="",B4993=""),"",B4993-WEEKDAY(B4993,2)+1)</f>
        <v/>
      </c>
      <c r="M4993" s="5">
        <f>IF(L4993="","",L4993+6)</f>
        <v/>
      </c>
      <c r="N4993" s="6">
        <f>IF(OR(A4993="",B4993=""),"",DATE(YEAR(B4993),MONTH(B4993),1))</f>
        <v/>
      </c>
      <c r="O4993" s="7">
        <f>IF(COUNTA(A4993:K4993)=0,"",IF(OR(A4993="",B4993=""),"Preencher CPF e entrada",IF(COUNTIFS($A$12:$A$5011,A4993,$B$12:$B$5011,B4993)&gt;1,"CPF + dia duplicado",IF(OR(AND(G4993&lt;&gt;"",G4993&lt;&gt;0,G4993&lt;&gt;1),AND(H4993&lt;&gt;"",H4993&lt;&gt;0,H4993&lt;&gt;1)),"Flags devem ser 0 ou 1",IF(AND(H4993=1,LEN(TRIM(I4993))=0),"Preencher nome do indicante",IF(AND(H4993&lt;&gt;1,I4993&lt;&gt;""),"Nome sem indicação interna",IF(AND(G4993=1,F4993=""),"Fechamento sem conversa",IF(OR(AND(E4993&lt;&gt;"",E4993&lt;B4993),AND(F4993&lt;&gt;"",F4993&lt;B4993)),"Evento anterior à entrada",IF(AND(F4993&lt;&gt;"",E4993=""),"Conversa sem agendamento",IF(OR(E4993&gt;TODAY(),F4993&gt;TODAY()),"Verificar evento futuro","OK"))))))))))</f>
        <v/>
      </c>
    </row>
    <row r="4994" spans="12:15">
      <c r="L4994" s="5">
        <f>IF(OR(A4994="",B4994=""),"",B4994-WEEKDAY(B4994,2)+1)</f>
        <v/>
      </c>
      <c r="M4994" s="5">
        <f>IF(L4994="","",L4994+6)</f>
        <v/>
      </c>
      <c r="N4994" s="6">
        <f>IF(OR(A4994="",B4994=""),"",DATE(YEAR(B4994),MONTH(B4994),1))</f>
        <v/>
      </c>
      <c r="O4994" s="7">
        <f>IF(COUNTA(A4994:K4994)=0,"",IF(OR(A4994="",B4994=""),"Preencher CPF e entrada",IF(COUNTIFS($A$12:$A$5011,A4994,$B$12:$B$5011,B4994)&gt;1,"CPF + dia duplicado",IF(OR(AND(G4994&lt;&gt;"",G4994&lt;&gt;0,G4994&lt;&gt;1),AND(H4994&lt;&gt;"",H4994&lt;&gt;0,H4994&lt;&gt;1)),"Flags devem ser 0 ou 1",IF(AND(H4994=1,LEN(TRIM(I4994))=0),"Preencher nome do indicante",IF(AND(H4994&lt;&gt;1,I4994&lt;&gt;""),"Nome sem indicação interna",IF(AND(G4994=1,F4994=""),"Fechamento sem conversa",IF(OR(AND(E4994&lt;&gt;"",E4994&lt;B4994),AND(F4994&lt;&gt;"",F4994&lt;B4994)),"Evento anterior à entrada",IF(AND(F4994&lt;&gt;"",E4994=""),"Conversa sem agendamento",IF(OR(E4994&gt;TODAY(),F4994&gt;TODAY()),"Verificar evento futuro","OK"))))))))))</f>
        <v/>
      </c>
    </row>
    <row r="4995" spans="12:15">
      <c r="L4995" s="5">
        <f>IF(OR(A4995="",B4995=""),"",B4995-WEEKDAY(B4995,2)+1)</f>
        <v/>
      </c>
      <c r="M4995" s="5">
        <f>IF(L4995="","",L4995+6)</f>
        <v/>
      </c>
      <c r="N4995" s="6">
        <f>IF(OR(A4995="",B4995=""),"",DATE(YEAR(B4995),MONTH(B4995),1))</f>
        <v/>
      </c>
      <c r="O4995" s="7">
        <f>IF(COUNTA(A4995:K4995)=0,"",IF(OR(A4995="",B4995=""),"Preencher CPF e entrada",IF(COUNTIFS($A$12:$A$5011,A4995,$B$12:$B$5011,B4995)&gt;1,"CPF + dia duplicado",IF(OR(AND(G4995&lt;&gt;"",G4995&lt;&gt;0,G4995&lt;&gt;1),AND(H4995&lt;&gt;"",H4995&lt;&gt;0,H4995&lt;&gt;1)),"Flags devem ser 0 ou 1",IF(AND(H4995=1,LEN(TRIM(I4995))=0),"Preencher nome do indicante",IF(AND(H4995&lt;&gt;1,I4995&lt;&gt;""),"Nome sem indicação interna",IF(AND(G4995=1,F4995=""),"Fechamento sem conversa",IF(OR(AND(E4995&lt;&gt;"",E4995&lt;B4995),AND(F4995&lt;&gt;"",F4995&lt;B4995)),"Evento anterior à entrada",IF(AND(F4995&lt;&gt;"",E4995=""),"Conversa sem agendamento",IF(OR(E4995&gt;TODAY(),F4995&gt;TODAY()),"Verificar evento futuro","OK"))))))))))</f>
        <v/>
      </c>
    </row>
    <row r="4996" spans="12:15">
      <c r="L4996" s="5">
        <f>IF(OR(A4996="",B4996=""),"",B4996-WEEKDAY(B4996,2)+1)</f>
        <v/>
      </c>
      <c r="M4996" s="5">
        <f>IF(L4996="","",L4996+6)</f>
        <v/>
      </c>
      <c r="N4996" s="6">
        <f>IF(OR(A4996="",B4996=""),"",DATE(YEAR(B4996),MONTH(B4996),1))</f>
        <v/>
      </c>
      <c r="O4996" s="7">
        <f>IF(COUNTA(A4996:K4996)=0,"",IF(OR(A4996="",B4996=""),"Preencher CPF e entrada",IF(COUNTIFS($A$12:$A$5011,A4996,$B$12:$B$5011,B4996)&gt;1,"CPF + dia duplicado",IF(OR(AND(G4996&lt;&gt;"",G4996&lt;&gt;0,G4996&lt;&gt;1),AND(H4996&lt;&gt;"",H4996&lt;&gt;0,H4996&lt;&gt;1)),"Flags devem ser 0 ou 1",IF(AND(H4996=1,LEN(TRIM(I4996))=0),"Preencher nome do indicante",IF(AND(H4996&lt;&gt;1,I4996&lt;&gt;""),"Nome sem indicação interna",IF(AND(G4996=1,F4996=""),"Fechamento sem conversa",IF(OR(AND(E4996&lt;&gt;"",E4996&lt;B4996),AND(F4996&lt;&gt;"",F4996&lt;B4996)),"Evento anterior à entrada",IF(AND(F4996&lt;&gt;"",E4996=""),"Conversa sem agendamento",IF(OR(E4996&gt;TODAY(),F4996&gt;TODAY()),"Verificar evento futuro","OK"))))))))))</f>
        <v/>
      </c>
    </row>
    <row r="4997" spans="12:15">
      <c r="L4997" s="5">
        <f>IF(OR(A4997="",B4997=""),"",B4997-WEEKDAY(B4997,2)+1)</f>
        <v/>
      </c>
      <c r="M4997" s="5">
        <f>IF(L4997="","",L4997+6)</f>
        <v/>
      </c>
      <c r="N4997" s="6">
        <f>IF(OR(A4997="",B4997=""),"",DATE(YEAR(B4997),MONTH(B4997),1))</f>
        <v/>
      </c>
      <c r="O4997" s="7">
        <f>IF(COUNTA(A4997:K4997)=0,"",IF(OR(A4997="",B4997=""),"Preencher CPF e entrada",IF(COUNTIFS($A$12:$A$5011,A4997,$B$12:$B$5011,B4997)&gt;1,"CPF + dia duplicado",IF(OR(AND(G4997&lt;&gt;"",G4997&lt;&gt;0,G4997&lt;&gt;1),AND(H4997&lt;&gt;"",H4997&lt;&gt;0,H4997&lt;&gt;1)),"Flags devem ser 0 ou 1",IF(AND(H4997=1,LEN(TRIM(I4997))=0),"Preencher nome do indicante",IF(AND(H4997&lt;&gt;1,I4997&lt;&gt;""),"Nome sem indicação interna",IF(AND(G4997=1,F4997=""),"Fechamento sem conversa",IF(OR(AND(E4997&lt;&gt;"",E4997&lt;B4997),AND(F4997&lt;&gt;"",F4997&lt;B4997)),"Evento anterior à entrada",IF(AND(F4997&lt;&gt;"",E4997=""),"Conversa sem agendamento",IF(OR(E4997&gt;TODAY(),F4997&gt;TODAY()),"Verificar evento futuro","OK"))))))))))</f>
        <v/>
      </c>
    </row>
    <row r="4998" spans="12:15">
      <c r="L4998" s="5">
        <f>IF(OR(A4998="",B4998=""),"",B4998-WEEKDAY(B4998,2)+1)</f>
        <v/>
      </c>
      <c r="M4998" s="5">
        <f>IF(L4998="","",L4998+6)</f>
        <v/>
      </c>
      <c r="N4998" s="6">
        <f>IF(OR(A4998="",B4998=""),"",DATE(YEAR(B4998),MONTH(B4998),1))</f>
        <v/>
      </c>
      <c r="O4998" s="7">
        <f>IF(COUNTA(A4998:K4998)=0,"",IF(OR(A4998="",B4998=""),"Preencher CPF e entrada",IF(COUNTIFS($A$12:$A$5011,A4998,$B$12:$B$5011,B4998)&gt;1,"CPF + dia duplicado",IF(OR(AND(G4998&lt;&gt;"",G4998&lt;&gt;0,G4998&lt;&gt;1),AND(H4998&lt;&gt;"",H4998&lt;&gt;0,H4998&lt;&gt;1)),"Flags devem ser 0 ou 1",IF(AND(H4998=1,LEN(TRIM(I4998))=0),"Preencher nome do indicante",IF(AND(H4998&lt;&gt;1,I4998&lt;&gt;""),"Nome sem indicação interna",IF(AND(G4998=1,F4998=""),"Fechamento sem conversa",IF(OR(AND(E4998&lt;&gt;"",E4998&lt;B4998),AND(F4998&lt;&gt;"",F4998&lt;B4998)),"Evento anterior à entrada",IF(AND(F4998&lt;&gt;"",E4998=""),"Conversa sem agendamento",IF(OR(E4998&gt;TODAY(),F4998&gt;TODAY()),"Verificar evento futuro","OK"))))))))))</f>
        <v/>
      </c>
    </row>
    <row r="4999" spans="12:15">
      <c r="L4999" s="5">
        <f>IF(OR(A4999="",B4999=""),"",B4999-WEEKDAY(B4999,2)+1)</f>
        <v/>
      </c>
      <c r="M4999" s="5">
        <f>IF(L4999="","",L4999+6)</f>
        <v/>
      </c>
      <c r="N4999" s="6">
        <f>IF(OR(A4999="",B4999=""),"",DATE(YEAR(B4999),MONTH(B4999),1))</f>
        <v/>
      </c>
      <c r="O4999" s="7">
        <f>IF(COUNTA(A4999:K4999)=0,"",IF(OR(A4999="",B4999=""),"Preencher CPF e entrada",IF(COUNTIFS($A$12:$A$5011,A4999,$B$12:$B$5011,B4999)&gt;1,"CPF + dia duplicado",IF(OR(AND(G4999&lt;&gt;"",G4999&lt;&gt;0,G4999&lt;&gt;1),AND(H4999&lt;&gt;"",H4999&lt;&gt;0,H4999&lt;&gt;1)),"Flags devem ser 0 ou 1",IF(AND(H4999=1,LEN(TRIM(I4999))=0),"Preencher nome do indicante",IF(AND(H4999&lt;&gt;1,I4999&lt;&gt;""),"Nome sem indicação interna",IF(AND(G4999=1,F4999=""),"Fechamento sem conversa",IF(OR(AND(E4999&lt;&gt;"",E4999&lt;B4999),AND(F4999&lt;&gt;"",F4999&lt;B4999)),"Evento anterior à entrada",IF(AND(F4999&lt;&gt;"",E4999=""),"Conversa sem agendamento",IF(OR(E4999&gt;TODAY(),F4999&gt;TODAY()),"Verificar evento futuro","OK"))))))))))</f>
        <v/>
      </c>
    </row>
    <row r="5000" spans="12:15">
      <c r="L5000" s="5">
        <f>IF(OR(A5000="",B5000=""),"",B5000-WEEKDAY(B5000,2)+1)</f>
        <v/>
      </c>
      <c r="M5000" s="5">
        <f>IF(L5000="","",L5000+6)</f>
        <v/>
      </c>
      <c r="N5000" s="6">
        <f>IF(OR(A5000="",B5000=""),"",DATE(YEAR(B5000),MONTH(B5000),1))</f>
        <v/>
      </c>
      <c r="O5000" s="7">
        <f>IF(COUNTA(A5000:K5000)=0,"",IF(OR(A5000="",B5000=""),"Preencher CPF e entrada",IF(COUNTIFS($A$12:$A$5011,A5000,$B$12:$B$5011,B5000)&gt;1,"CPF + dia duplicado",IF(OR(AND(G5000&lt;&gt;"",G5000&lt;&gt;0,G5000&lt;&gt;1),AND(H5000&lt;&gt;"",H5000&lt;&gt;0,H5000&lt;&gt;1)),"Flags devem ser 0 ou 1",IF(AND(H5000=1,LEN(TRIM(I5000))=0),"Preencher nome do indicante",IF(AND(H5000&lt;&gt;1,I5000&lt;&gt;""),"Nome sem indicação interna",IF(AND(G5000=1,F5000=""),"Fechamento sem conversa",IF(OR(AND(E5000&lt;&gt;"",E5000&lt;B5000),AND(F5000&lt;&gt;"",F5000&lt;B5000)),"Evento anterior à entrada",IF(AND(F5000&lt;&gt;"",E5000=""),"Conversa sem agendamento",IF(OR(E5000&gt;TODAY(),F5000&gt;TODAY()),"Verificar evento futuro","OK"))))))))))</f>
        <v/>
      </c>
    </row>
    <row r="5001" spans="12:15">
      <c r="L5001" s="5">
        <f>IF(OR(A5001="",B5001=""),"",B5001-WEEKDAY(B5001,2)+1)</f>
        <v/>
      </c>
      <c r="M5001" s="5">
        <f>IF(L5001="","",L5001+6)</f>
        <v/>
      </c>
      <c r="N5001" s="6">
        <f>IF(OR(A5001="",B5001=""),"",DATE(YEAR(B5001),MONTH(B5001),1))</f>
        <v/>
      </c>
      <c r="O5001" s="7">
        <f>IF(COUNTA(A5001:K5001)=0,"",IF(OR(A5001="",B5001=""),"Preencher CPF e entrada",IF(COUNTIFS($A$12:$A$5011,A5001,$B$12:$B$5011,B5001)&gt;1,"CPF + dia duplicado",IF(OR(AND(G5001&lt;&gt;"",G5001&lt;&gt;0,G5001&lt;&gt;1),AND(H5001&lt;&gt;"",H5001&lt;&gt;0,H5001&lt;&gt;1)),"Flags devem ser 0 ou 1",IF(AND(H5001=1,LEN(TRIM(I5001))=0),"Preencher nome do indicante",IF(AND(H5001&lt;&gt;1,I5001&lt;&gt;""),"Nome sem indicação interna",IF(AND(G5001=1,F5001=""),"Fechamento sem conversa",IF(OR(AND(E5001&lt;&gt;"",E5001&lt;B5001),AND(F5001&lt;&gt;"",F5001&lt;B5001)),"Evento anterior à entrada",IF(AND(F5001&lt;&gt;"",E5001=""),"Conversa sem agendamento",IF(OR(E5001&gt;TODAY(),F5001&gt;TODAY()),"Verificar evento futuro","OK"))))))))))</f>
        <v/>
      </c>
    </row>
    <row r="5002" spans="12:15">
      <c r="L5002" s="5">
        <f>IF(OR(A5002="",B5002=""),"",B5002-WEEKDAY(B5002,2)+1)</f>
        <v/>
      </c>
      <c r="M5002" s="5">
        <f>IF(L5002="","",L5002+6)</f>
        <v/>
      </c>
      <c r="N5002" s="6">
        <f>IF(OR(A5002="",B5002=""),"",DATE(YEAR(B5002),MONTH(B5002),1))</f>
        <v/>
      </c>
      <c r="O5002" s="7">
        <f>IF(COUNTA(A5002:K5002)=0,"",IF(OR(A5002="",B5002=""),"Preencher CPF e entrada",IF(COUNTIFS($A$12:$A$5011,A5002,$B$12:$B$5011,B5002)&gt;1,"CPF + dia duplicado",IF(OR(AND(G5002&lt;&gt;"",G5002&lt;&gt;0,G5002&lt;&gt;1),AND(H5002&lt;&gt;"",H5002&lt;&gt;0,H5002&lt;&gt;1)),"Flags devem ser 0 ou 1",IF(AND(H5002=1,LEN(TRIM(I5002))=0),"Preencher nome do indicante",IF(AND(H5002&lt;&gt;1,I5002&lt;&gt;""),"Nome sem indicação interna",IF(AND(G5002=1,F5002=""),"Fechamento sem conversa",IF(OR(AND(E5002&lt;&gt;"",E5002&lt;B5002),AND(F5002&lt;&gt;"",F5002&lt;B5002)),"Evento anterior à entrada",IF(AND(F5002&lt;&gt;"",E5002=""),"Conversa sem agendamento",IF(OR(E5002&gt;TODAY(),F5002&gt;TODAY()),"Verificar evento futuro","OK"))))))))))</f>
        <v/>
      </c>
    </row>
    <row r="5003" spans="12:15">
      <c r="L5003" s="5">
        <f>IF(OR(A5003="",B5003=""),"",B5003-WEEKDAY(B5003,2)+1)</f>
        <v/>
      </c>
      <c r="M5003" s="5">
        <f>IF(L5003="","",L5003+6)</f>
        <v/>
      </c>
      <c r="N5003" s="6">
        <f>IF(OR(A5003="",B5003=""),"",DATE(YEAR(B5003),MONTH(B5003),1))</f>
        <v/>
      </c>
      <c r="O5003" s="7">
        <f>IF(COUNTA(A5003:K5003)=0,"",IF(OR(A5003="",B5003=""),"Preencher CPF e entrada",IF(COUNTIFS($A$12:$A$5011,A5003,$B$12:$B$5011,B5003)&gt;1,"CPF + dia duplicado",IF(OR(AND(G5003&lt;&gt;"",G5003&lt;&gt;0,G5003&lt;&gt;1),AND(H5003&lt;&gt;"",H5003&lt;&gt;0,H5003&lt;&gt;1)),"Flags devem ser 0 ou 1",IF(AND(H5003=1,LEN(TRIM(I5003))=0),"Preencher nome do indicante",IF(AND(H5003&lt;&gt;1,I5003&lt;&gt;""),"Nome sem indicação interna",IF(AND(G5003=1,F5003=""),"Fechamento sem conversa",IF(OR(AND(E5003&lt;&gt;"",E5003&lt;B5003),AND(F5003&lt;&gt;"",F5003&lt;B5003)),"Evento anterior à entrada",IF(AND(F5003&lt;&gt;"",E5003=""),"Conversa sem agendamento",IF(OR(E5003&gt;TODAY(),F5003&gt;TODAY()),"Verificar evento futuro","OK"))))))))))</f>
        <v/>
      </c>
    </row>
    <row r="5004" spans="12:15">
      <c r="L5004" s="5">
        <f>IF(OR(A5004="",B5004=""),"",B5004-WEEKDAY(B5004,2)+1)</f>
        <v/>
      </c>
      <c r="M5004" s="5">
        <f>IF(L5004="","",L5004+6)</f>
        <v/>
      </c>
      <c r="N5004" s="6">
        <f>IF(OR(A5004="",B5004=""),"",DATE(YEAR(B5004),MONTH(B5004),1))</f>
        <v/>
      </c>
      <c r="O5004" s="7">
        <f>IF(COUNTA(A5004:K5004)=0,"",IF(OR(A5004="",B5004=""),"Preencher CPF e entrada",IF(COUNTIFS($A$12:$A$5011,A5004,$B$12:$B$5011,B5004)&gt;1,"CPF + dia duplicado",IF(OR(AND(G5004&lt;&gt;"",G5004&lt;&gt;0,G5004&lt;&gt;1),AND(H5004&lt;&gt;"",H5004&lt;&gt;0,H5004&lt;&gt;1)),"Flags devem ser 0 ou 1",IF(AND(H5004=1,LEN(TRIM(I5004))=0),"Preencher nome do indicante",IF(AND(H5004&lt;&gt;1,I5004&lt;&gt;""),"Nome sem indicação interna",IF(AND(G5004=1,F5004=""),"Fechamento sem conversa",IF(OR(AND(E5004&lt;&gt;"",E5004&lt;B5004),AND(F5004&lt;&gt;"",F5004&lt;B5004)),"Evento anterior à entrada",IF(AND(F5004&lt;&gt;"",E5004=""),"Conversa sem agendamento",IF(OR(E5004&gt;TODAY(),F5004&gt;TODAY()),"Verificar evento futuro","OK"))))))))))</f>
        <v/>
      </c>
    </row>
    <row r="5005" spans="12:15">
      <c r="L5005" s="5">
        <f>IF(OR(A5005="",B5005=""),"",B5005-WEEKDAY(B5005,2)+1)</f>
        <v/>
      </c>
      <c r="M5005" s="5">
        <f>IF(L5005="","",L5005+6)</f>
        <v/>
      </c>
      <c r="N5005" s="6">
        <f>IF(OR(A5005="",B5005=""),"",DATE(YEAR(B5005),MONTH(B5005),1))</f>
        <v/>
      </c>
      <c r="O5005" s="7">
        <f>IF(COUNTA(A5005:K5005)=0,"",IF(OR(A5005="",B5005=""),"Preencher CPF e entrada",IF(COUNTIFS($A$12:$A$5011,A5005,$B$12:$B$5011,B5005)&gt;1,"CPF + dia duplicado",IF(OR(AND(G5005&lt;&gt;"",G5005&lt;&gt;0,G5005&lt;&gt;1),AND(H5005&lt;&gt;"",H5005&lt;&gt;0,H5005&lt;&gt;1)),"Flags devem ser 0 ou 1",IF(AND(H5005=1,LEN(TRIM(I5005))=0),"Preencher nome do indicante",IF(AND(H5005&lt;&gt;1,I5005&lt;&gt;""),"Nome sem indicação interna",IF(AND(G5005=1,F5005=""),"Fechamento sem conversa",IF(OR(AND(E5005&lt;&gt;"",E5005&lt;B5005),AND(F5005&lt;&gt;"",F5005&lt;B5005)),"Evento anterior à entrada",IF(AND(F5005&lt;&gt;"",E5005=""),"Conversa sem agendamento",IF(OR(E5005&gt;TODAY(),F5005&gt;TODAY()),"Verificar evento futuro","OK"))))))))))</f>
        <v/>
      </c>
    </row>
    <row r="5006" spans="12:15">
      <c r="L5006" s="5">
        <f>IF(OR(A5006="",B5006=""),"",B5006-WEEKDAY(B5006,2)+1)</f>
        <v/>
      </c>
      <c r="M5006" s="5">
        <f>IF(L5006="","",L5006+6)</f>
        <v/>
      </c>
      <c r="N5006" s="6">
        <f>IF(OR(A5006="",B5006=""),"",DATE(YEAR(B5006),MONTH(B5006),1))</f>
        <v/>
      </c>
      <c r="O5006" s="7">
        <f>IF(COUNTA(A5006:K5006)=0,"",IF(OR(A5006="",B5006=""),"Preencher CPF e entrada",IF(COUNTIFS($A$12:$A$5011,A5006,$B$12:$B$5011,B5006)&gt;1,"CPF + dia duplicado",IF(OR(AND(G5006&lt;&gt;"",G5006&lt;&gt;0,G5006&lt;&gt;1),AND(H5006&lt;&gt;"",H5006&lt;&gt;0,H5006&lt;&gt;1)),"Flags devem ser 0 ou 1",IF(AND(H5006=1,LEN(TRIM(I5006))=0),"Preencher nome do indicante",IF(AND(H5006&lt;&gt;1,I5006&lt;&gt;""),"Nome sem indicação interna",IF(AND(G5006=1,F5006=""),"Fechamento sem conversa",IF(OR(AND(E5006&lt;&gt;"",E5006&lt;B5006),AND(F5006&lt;&gt;"",F5006&lt;B5006)),"Evento anterior à entrada",IF(AND(F5006&lt;&gt;"",E5006=""),"Conversa sem agendamento",IF(OR(E5006&gt;TODAY(),F5006&gt;TODAY()),"Verificar evento futuro","OK"))))))))))</f>
        <v/>
      </c>
    </row>
    <row r="5007" spans="12:15">
      <c r="L5007" s="5">
        <f>IF(OR(A5007="",B5007=""),"",B5007-WEEKDAY(B5007,2)+1)</f>
        <v/>
      </c>
      <c r="M5007" s="5">
        <f>IF(L5007="","",L5007+6)</f>
        <v/>
      </c>
      <c r="N5007" s="6">
        <f>IF(OR(A5007="",B5007=""),"",DATE(YEAR(B5007),MONTH(B5007),1))</f>
        <v/>
      </c>
      <c r="O5007" s="7">
        <f>IF(COUNTA(A5007:K5007)=0,"",IF(OR(A5007="",B5007=""),"Preencher CPF e entrada",IF(COUNTIFS($A$12:$A$5011,A5007,$B$12:$B$5011,B5007)&gt;1,"CPF + dia duplicado",IF(OR(AND(G5007&lt;&gt;"",G5007&lt;&gt;0,G5007&lt;&gt;1),AND(H5007&lt;&gt;"",H5007&lt;&gt;0,H5007&lt;&gt;1)),"Flags devem ser 0 ou 1",IF(AND(H5007=1,LEN(TRIM(I5007))=0),"Preencher nome do indicante",IF(AND(H5007&lt;&gt;1,I5007&lt;&gt;""),"Nome sem indicação interna",IF(AND(G5007=1,F5007=""),"Fechamento sem conversa",IF(OR(AND(E5007&lt;&gt;"",E5007&lt;B5007),AND(F5007&lt;&gt;"",F5007&lt;B5007)),"Evento anterior à entrada",IF(AND(F5007&lt;&gt;"",E5007=""),"Conversa sem agendamento",IF(OR(E5007&gt;TODAY(),F5007&gt;TODAY()),"Verificar evento futuro","OK"))))))))))</f>
        <v/>
      </c>
    </row>
    <row r="5008" spans="12:15">
      <c r="L5008" s="5">
        <f>IF(OR(A5008="",B5008=""),"",B5008-WEEKDAY(B5008,2)+1)</f>
        <v/>
      </c>
      <c r="M5008" s="5">
        <f>IF(L5008="","",L5008+6)</f>
        <v/>
      </c>
      <c r="N5008" s="6">
        <f>IF(OR(A5008="",B5008=""),"",DATE(YEAR(B5008),MONTH(B5008),1))</f>
        <v/>
      </c>
      <c r="O5008" s="7">
        <f>IF(COUNTA(A5008:K5008)=0,"",IF(OR(A5008="",B5008=""),"Preencher CPF e entrada",IF(COUNTIFS($A$12:$A$5011,A5008,$B$12:$B$5011,B5008)&gt;1,"CPF + dia duplicado",IF(OR(AND(G5008&lt;&gt;"",G5008&lt;&gt;0,G5008&lt;&gt;1),AND(H5008&lt;&gt;"",H5008&lt;&gt;0,H5008&lt;&gt;1)),"Flags devem ser 0 ou 1",IF(AND(H5008=1,LEN(TRIM(I5008))=0),"Preencher nome do indicante",IF(AND(H5008&lt;&gt;1,I5008&lt;&gt;""),"Nome sem indicação interna",IF(AND(G5008=1,F5008=""),"Fechamento sem conversa",IF(OR(AND(E5008&lt;&gt;"",E5008&lt;B5008),AND(F5008&lt;&gt;"",F5008&lt;B5008)),"Evento anterior à entrada",IF(AND(F5008&lt;&gt;"",E5008=""),"Conversa sem agendamento",IF(OR(E5008&gt;TODAY(),F5008&gt;TODAY()),"Verificar evento futuro","OK"))))))))))</f>
        <v/>
      </c>
    </row>
    <row r="5009" spans="12:15">
      <c r="L5009" s="5">
        <f>IF(OR(A5009="",B5009=""),"",B5009-WEEKDAY(B5009,2)+1)</f>
        <v/>
      </c>
      <c r="M5009" s="5">
        <f>IF(L5009="","",L5009+6)</f>
        <v/>
      </c>
      <c r="N5009" s="6">
        <f>IF(OR(A5009="",B5009=""),"",DATE(YEAR(B5009),MONTH(B5009),1))</f>
        <v/>
      </c>
      <c r="O5009" s="7">
        <f>IF(COUNTA(A5009:K5009)=0,"",IF(OR(A5009="",B5009=""),"Preencher CPF e entrada",IF(COUNTIFS($A$12:$A$5011,A5009,$B$12:$B$5011,B5009)&gt;1,"CPF + dia duplicado",IF(OR(AND(G5009&lt;&gt;"",G5009&lt;&gt;0,G5009&lt;&gt;1),AND(H5009&lt;&gt;"",H5009&lt;&gt;0,H5009&lt;&gt;1)),"Flags devem ser 0 ou 1",IF(AND(H5009=1,LEN(TRIM(I5009))=0),"Preencher nome do indicante",IF(AND(H5009&lt;&gt;1,I5009&lt;&gt;""),"Nome sem indicação interna",IF(AND(G5009=1,F5009=""),"Fechamento sem conversa",IF(OR(AND(E5009&lt;&gt;"",E5009&lt;B5009),AND(F5009&lt;&gt;"",F5009&lt;B5009)),"Evento anterior à entrada",IF(AND(F5009&lt;&gt;"",E5009=""),"Conversa sem agendamento",IF(OR(E5009&gt;TODAY(),F5009&gt;TODAY()),"Verificar evento futuro","OK"))))))))))</f>
        <v/>
      </c>
    </row>
    <row r="5010" spans="12:15">
      <c r="L5010" s="5">
        <f>IF(OR(A5010="",B5010=""),"",B5010-WEEKDAY(B5010,2)+1)</f>
        <v/>
      </c>
      <c r="M5010" s="5">
        <f>IF(L5010="","",L5010+6)</f>
        <v/>
      </c>
      <c r="N5010" s="6">
        <f>IF(OR(A5010="",B5010=""),"",DATE(YEAR(B5010),MONTH(B5010),1))</f>
        <v/>
      </c>
      <c r="O5010" s="7">
        <f>IF(COUNTA(A5010:K5010)=0,"",IF(OR(A5010="",B5010=""),"Preencher CPF e entrada",IF(COUNTIFS($A$12:$A$5011,A5010,$B$12:$B$5011,B5010)&gt;1,"CPF + dia duplicado",IF(OR(AND(G5010&lt;&gt;"",G5010&lt;&gt;0,G5010&lt;&gt;1),AND(H5010&lt;&gt;"",H5010&lt;&gt;0,H5010&lt;&gt;1)),"Flags devem ser 0 ou 1",IF(AND(H5010=1,LEN(TRIM(I5010))=0),"Preencher nome do indicante",IF(AND(H5010&lt;&gt;1,I5010&lt;&gt;""),"Nome sem indicação interna",IF(AND(G5010=1,F5010=""),"Fechamento sem conversa",IF(OR(AND(E5010&lt;&gt;"",E5010&lt;B5010),AND(F5010&lt;&gt;"",F5010&lt;B5010)),"Evento anterior à entrada",IF(AND(F5010&lt;&gt;"",E5010=""),"Conversa sem agendamento",IF(OR(E5010&gt;TODAY(),F5010&gt;TODAY()),"Verificar evento futuro","OK"))))))))))</f>
        <v/>
      </c>
    </row>
    <row r="5011" spans="12:15">
      <c r="L5011" s="5">
        <f>IF(OR(A5011="",B5011=""),"",B5011-WEEKDAY(B5011,2)+1)</f>
        <v/>
      </c>
      <c r="M5011" s="5">
        <f>IF(L5011="","",L5011+6)</f>
        <v/>
      </c>
      <c r="N5011" s="6">
        <f>IF(OR(A5011="",B5011=""),"",DATE(YEAR(B5011),MONTH(B5011),1))</f>
        <v/>
      </c>
      <c r="O5011" s="7">
        <f>IF(COUNTA(A5011:K5011)=0,"",IF(OR(A5011="",B5011=""),"Preencher CPF e entrada",IF(COUNTIFS($A$12:$A$5011,A5011,$B$12:$B$5011,B5011)&gt;1,"CPF + dia duplicado",IF(OR(AND(G5011&lt;&gt;"",G5011&lt;&gt;0,G5011&lt;&gt;1),AND(H5011&lt;&gt;"",H5011&lt;&gt;0,H5011&lt;&gt;1)),"Flags devem ser 0 ou 1",IF(AND(H5011=1,LEN(TRIM(I5011))=0),"Preencher nome do indicante",IF(AND(H5011&lt;&gt;1,I5011&lt;&gt;""),"Nome sem indicação interna",IF(AND(G5011=1,F5011=""),"Fechamento sem conversa",IF(OR(AND(E5011&lt;&gt;"",E5011&lt;B5011),AND(F5011&lt;&gt;"",F5011&lt;B5011)),"Evento anterior à entrada",IF(AND(F5011&lt;&gt;"",E5011=""),"Conversa sem agendamento",IF(OR(E5011&gt;TODAY(),F5011&gt;TODAY()),"Verificar evento futuro","OK"))))))))))</f>
        <v/>
      </c>
    </row>
  </sheetData>
  <mergeCells count="7">
    <mergeCell ref="A1:O2"/>
    <mergeCell ref="A3:O4"/>
    <mergeCell ref="A5:O5"/>
    <mergeCell ref="A6:O6"/>
    <mergeCell ref="A7:O7"/>
    <mergeCell ref="A8:O8"/>
    <mergeCell ref="A9:O9"/>
  </mergeCells>
  <conditionalFormatting sqref="I12:I5011">
    <cfRule type="expression" dxfId="7" priority="2">
      <formula>AND($H12=1,LEN(TRIM($I12))=0)</formula>
    </cfRule>
  </conditionalFormatting>
  <conditionalFormatting sqref="O12:O5011">
    <cfRule type="expression" dxfId="7" priority="1">
      <formula>AND($O12&lt;&gt;"",$O12&lt;&gt;"OK")</formula>
    </cfRule>
  </conditionalFormatting>
  <dataValidations count="6">
    <dataValidation type="date" allowBlank="1" showInputMessage="1" showErrorMessage="1" errorTitle="Data inválida" error="Informe uma data entre 2000 e 2100." sqref="B12:B5011">
      <formula1>36526</formula1>
      <formula2>73415</formula2>
    </dataValidation>
    <dataValidation type="date" allowBlank="1" showInputMessage="1" showErrorMessage="1" errorTitle="Data inválida" error="Informe uma data entre 2000 e 2100." sqref="E12:E5011">
      <formula1>36526</formula1>
      <formula2>73415</formula2>
    </dataValidation>
    <dataValidation type="date" allowBlank="1" showInputMessage="1" showErrorMessage="1" errorTitle="Data inválida" error="Informe uma data entre 2000 e 2100." sqref="F12:F5011">
      <formula1>36526</formula1>
      <formula2>73415</formula2>
    </dataValidation>
    <dataValidation type="list" allowBlank="1" showInputMessage="1" showErrorMessage="1" errorTitle="Use 0 ou 1" error="Selecione 0 ou 1." promptTitle="Flag binária" prompt="0 = não; 1 = sim. Vazio = ainda não informado." sqref="G12:G5011">
      <formula1>"0,1"</formula1>
    </dataValidation>
    <dataValidation type="list" allowBlank="1" showInputMessage="1" showErrorMessage="1" errorTitle="Use 0 ou 1" error="Selecione 0 ou 1." promptTitle="Flag binária" prompt="0 = não; 1 = sim. Vazio = ainda não informado." sqref="H12:H5011">
      <formula1>"0,1"</formula1>
    </dataValidation>
    <dataValidation type="decimal" operator="greaterThanOrEqual" allowBlank="1" showInputMessage="1" showErrorMessage="1" error="Use minutos, com valor igual ou maior que zero." sqref="J12:J5011">
      <formula1>0</formula1>
    </dataValidation>
  </dataValidations>
  <pageMargins left="0.7" right="0.7" top="0.75" bottom="0.75" header="0.3" footer="0.3"/>
  <pageSetup paperSize="9" fitToHeight="0" orientation="landscape"/>
  <headerFooter>
    <oddFooter>&amp;LComercial e Captação WPP&amp;R&amp;P / &amp;N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68"/>
  <sheetViews>
    <sheetView showGridLines="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"/>
  <cols>
    <col min="1" max="2" width="18.7109375" customWidth="1"/>
    <col min="3" max="5" width="20.7109375" customWidth="1"/>
    <col min="6" max="7" width="24.7109375" customWidth="1"/>
    <col min="8" max="10" width="19.7109375" customWidth="1"/>
    <col min="11" max="12" width="24.7109375" customWidth="1"/>
  </cols>
  <sheetData>
    <row r="1" spans="1:12" ht="24" customHeight="1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23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>
      <c r="A5" s="9" t="s">
        <v>24</v>
      </c>
      <c r="B5" s="10">
        <v>2026</v>
      </c>
      <c r="C5" s="9" t="s">
        <v>25</v>
      </c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11" spans="1:12" ht="44" customHeight="1">
      <c r="A11" s="11" t="s">
        <v>29</v>
      </c>
      <c r="B11" s="11" t="s">
        <v>30</v>
      </c>
      <c r="C11" s="11" t="s">
        <v>31</v>
      </c>
      <c r="D11" s="11" t="s">
        <v>32</v>
      </c>
      <c r="E11" s="11" t="s">
        <v>33</v>
      </c>
      <c r="F11" s="11" t="s">
        <v>34</v>
      </c>
      <c r="G11" s="11" t="s">
        <v>35</v>
      </c>
      <c r="H11" s="11" t="s">
        <v>36</v>
      </c>
      <c r="I11" s="11" t="s">
        <v>37</v>
      </c>
      <c r="J11" s="11" t="s">
        <v>38</v>
      </c>
      <c r="K11" s="11" t="s">
        <v>39</v>
      </c>
      <c r="L11" s="11" t="s">
        <v>40</v>
      </c>
    </row>
    <row r="12" spans="1:12">
      <c r="A12" s="5">
        <f>DATE($B$5,1,1)-WEEKDAY(DATE($B$5,1,1),2)+1</f>
        <v>0</v>
      </c>
      <c r="B12" s="5">
        <f>A12+6</f>
        <v>0</v>
      </c>
      <c r="C12" s="12">
        <f>COUNTIFS(Leads[CPF],"&lt;&gt;",Leads[Data de entrada],"&gt;="&amp;A12,Leads[Data de entrada],"&lt;"&amp;(B12+1))</f>
        <v>0</v>
      </c>
      <c r="D12" s="12">
        <f>COUNTIFS(Leads[CPF],"&lt;&gt;",Leads[Data de entrada],"&gt;="&amp;A12,Leads[Data de entrada],"&lt;"&amp;(B12+1),Leads[Data do agendamento],"&gt;0")</f>
        <v>0</v>
      </c>
      <c r="E12" s="12">
        <f>COUNTIFS(Leads[CPF],"&lt;&gt;",Leads[Data de entrada],"&gt;="&amp;A12,Leads[Data de entrada],"&lt;"&amp;(B12+1),Leads[Data da conversa presencial executada],"&gt;0")</f>
        <v>0</v>
      </c>
      <c r="F12" s="13">
        <f>IFERROR(AVERAGEIFS(Leads[Tempo de resposta (min)],Leads[CPF],"&lt;&gt;",Leads[Data de entrada],"&gt;="&amp;A12,Leads[Data de entrada],"&lt;"&amp;(B12+1),Leads[Tempo de resposta (min)],"&gt;=0",Leads[Tempo de resposta (min)],"&lt;&gt;"),"")</f>
        <v/>
      </c>
      <c r="G12" s="12">
        <f>COUNTIFS(Leads[CPF],"&lt;&gt;",Leads[Data de entrada],"&gt;="&amp;A12,Leads[Data de entrada],"&lt;"&amp;(B12+1),Leads[Tempo de resposta (min)],"&gt;=0",Leads[Tempo de resposta (min)],"&lt;&gt;")</f>
        <v>0</v>
      </c>
      <c r="H12" s="14">
        <f>IFERROR(D12/C12,"")</f>
        <v/>
      </c>
      <c r="I12" s="14">
        <f>IFERROR(E12/D12,"")</f>
        <v/>
      </c>
      <c r="J12" s="14">
        <f>IFERROR(E12/C12,"")</f>
        <v/>
      </c>
      <c r="K12" s="12">
        <f>COUNTIFS(Leads[CPF],"&lt;&gt;",Leads[Data de entrada],"&gt;="&amp;A12,Leads[Data de entrada],"&lt;"&amp;(B12+1),Leads[Paciente fechou (0/1)],1)</f>
        <v>0</v>
      </c>
      <c r="L12" s="14">
        <f>IFERROR(K12/E12,"")</f>
        <v/>
      </c>
    </row>
    <row r="13" spans="1:12">
      <c r="A13" s="5">
        <f>A12+7</f>
        <v>0</v>
      </c>
      <c r="B13" s="5">
        <f>A13+6</f>
        <v>0</v>
      </c>
      <c r="C13" s="12">
        <f>COUNTIFS(Leads[CPF],"&lt;&gt;",Leads[Data de entrada],"&gt;="&amp;A13,Leads[Data de entrada],"&lt;"&amp;(B13+1))</f>
        <v>0</v>
      </c>
      <c r="D13" s="12">
        <f>COUNTIFS(Leads[CPF],"&lt;&gt;",Leads[Data de entrada],"&gt;="&amp;A13,Leads[Data de entrada],"&lt;"&amp;(B13+1),Leads[Data do agendamento],"&gt;0")</f>
        <v>0</v>
      </c>
      <c r="E13" s="12">
        <f>COUNTIFS(Leads[CPF],"&lt;&gt;",Leads[Data de entrada],"&gt;="&amp;A13,Leads[Data de entrada],"&lt;"&amp;(B13+1),Leads[Data da conversa presencial executada],"&gt;0")</f>
        <v>0</v>
      </c>
      <c r="F13" s="13">
        <f>IFERROR(AVERAGEIFS(Leads[Tempo de resposta (min)],Leads[CPF],"&lt;&gt;",Leads[Data de entrada],"&gt;="&amp;A13,Leads[Data de entrada],"&lt;"&amp;(B13+1),Leads[Tempo de resposta (min)],"&gt;=0",Leads[Tempo de resposta (min)],"&lt;&gt;"),"")</f>
        <v/>
      </c>
      <c r="G13" s="12">
        <f>COUNTIFS(Leads[CPF],"&lt;&gt;",Leads[Data de entrada],"&gt;="&amp;A13,Leads[Data de entrada],"&lt;"&amp;(B13+1),Leads[Tempo de resposta (min)],"&gt;=0",Leads[Tempo de resposta (min)],"&lt;&gt;")</f>
        <v>0</v>
      </c>
      <c r="H13" s="14">
        <f>IFERROR(D13/C13,"")</f>
        <v/>
      </c>
      <c r="I13" s="14">
        <f>IFERROR(E13/D13,"")</f>
        <v/>
      </c>
      <c r="J13" s="14">
        <f>IFERROR(E13/C13,"")</f>
        <v/>
      </c>
      <c r="K13" s="12">
        <f>COUNTIFS(Leads[CPF],"&lt;&gt;",Leads[Data de entrada],"&gt;="&amp;A13,Leads[Data de entrada],"&lt;"&amp;(B13+1),Leads[Paciente fechou (0/1)],1)</f>
        <v>0</v>
      </c>
      <c r="L13" s="14">
        <f>IFERROR(K13/E13,"")</f>
        <v/>
      </c>
    </row>
    <row r="14" spans="1:12">
      <c r="A14" s="5">
        <f>A13+7</f>
        <v>0</v>
      </c>
      <c r="B14" s="5">
        <f>A14+6</f>
        <v>0</v>
      </c>
      <c r="C14" s="12">
        <f>COUNTIFS(Leads[CPF],"&lt;&gt;",Leads[Data de entrada],"&gt;="&amp;A14,Leads[Data de entrada],"&lt;"&amp;(B14+1))</f>
        <v>0</v>
      </c>
      <c r="D14" s="12">
        <f>COUNTIFS(Leads[CPF],"&lt;&gt;",Leads[Data de entrada],"&gt;="&amp;A14,Leads[Data de entrada],"&lt;"&amp;(B14+1),Leads[Data do agendamento],"&gt;0")</f>
        <v>0</v>
      </c>
      <c r="E14" s="12">
        <f>COUNTIFS(Leads[CPF],"&lt;&gt;",Leads[Data de entrada],"&gt;="&amp;A14,Leads[Data de entrada],"&lt;"&amp;(B14+1),Leads[Data da conversa presencial executada],"&gt;0")</f>
        <v>0</v>
      </c>
      <c r="F14" s="13">
        <f>IFERROR(AVERAGEIFS(Leads[Tempo de resposta (min)],Leads[CPF],"&lt;&gt;",Leads[Data de entrada],"&gt;="&amp;A14,Leads[Data de entrada],"&lt;"&amp;(B14+1),Leads[Tempo de resposta (min)],"&gt;=0",Leads[Tempo de resposta (min)],"&lt;&gt;"),"")</f>
        <v/>
      </c>
      <c r="G14" s="12">
        <f>COUNTIFS(Leads[CPF],"&lt;&gt;",Leads[Data de entrada],"&gt;="&amp;A14,Leads[Data de entrada],"&lt;"&amp;(B14+1),Leads[Tempo de resposta (min)],"&gt;=0",Leads[Tempo de resposta (min)],"&lt;&gt;")</f>
        <v>0</v>
      </c>
      <c r="H14" s="14">
        <f>IFERROR(D14/C14,"")</f>
        <v/>
      </c>
      <c r="I14" s="14">
        <f>IFERROR(E14/D14,"")</f>
        <v/>
      </c>
      <c r="J14" s="14">
        <f>IFERROR(E14/C14,"")</f>
        <v/>
      </c>
      <c r="K14" s="12">
        <f>COUNTIFS(Leads[CPF],"&lt;&gt;",Leads[Data de entrada],"&gt;="&amp;A14,Leads[Data de entrada],"&lt;"&amp;(B14+1),Leads[Paciente fechou (0/1)],1)</f>
        <v>0</v>
      </c>
      <c r="L14" s="14">
        <f>IFERROR(K14/E14,"")</f>
        <v/>
      </c>
    </row>
    <row r="15" spans="1:12">
      <c r="A15" s="5">
        <f>A14+7</f>
        <v>0</v>
      </c>
      <c r="B15" s="5">
        <f>A15+6</f>
        <v>0</v>
      </c>
      <c r="C15" s="12">
        <f>COUNTIFS(Leads[CPF],"&lt;&gt;",Leads[Data de entrada],"&gt;="&amp;A15,Leads[Data de entrada],"&lt;"&amp;(B15+1))</f>
        <v>0</v>
      </c>
      <c r="D15" s="12">
        <f>COUNTIFS(Leads[CPF],"&lt;&gt;",Leads[Data de entrada],"&gt;="&amp;A15,Leads[Data de entrada],"&lt;"&amp;(B15+1),Leads[Data do agendamento],"&gt;0")</f>
        <v>0</v>
      </c>
      <c r="E15" s="12">
        <f>COUNTIFS(Leads[CPF],"&lt;&gt;",Leads[Data de entrada],"&gt;="&amp;A15,Leads[Data de entrada],"&lt;"&amp;(B15+1),Leads[Data da conversa presencial executada],"&gt;0")</f>
        <v>0</v>
      </c>
      <c r="F15" s="13">
        <f>IFERROR(AVERAGEIFS(Leads[Tempo de resposta (min)],Leads[CPF],"&lt;&gt;",Leads[Data de entrada],"&gt;="&amp;A15,Leads[Data de entrada],"&lt;"&amp;(B15+1),Leads[Tempo de resposta (min)],"&gt;=0",Leads[Tempo de resposta (min)],"&lt;&gt;"),"")</f>
        <v/>
      </c>
      <c r="G15" s="12">
        <f>COUNTIFS(Leads[CPF],"&lt;&gt;",Leads[Data de entrada],"&gt;="&amp;A15,Leads[Data de entrada],"&lt;"&amp;(B15+1),Leads[Tempo de resposta (min)],"&gt;=0",Leads[Tempo de resposta (min)],"&lt;&gt;")</f>
        <v>0</v>
      </c>
      <c r="H15" s="14">
        <f>IFERROR(D15/C15,"")</f>
        <v/>
      </c>
      <c r="I15" s="14">
        <f>IFERROR(E15/D15,"")</f>
        <v/>
      </c>
      <c r="J15" s="14">
        <f>IFERROR(E15/C15,"")</f>
        <v/>
      </c>
      <c r="K15" s="12">
        <f>COUNTIFS(Leads[CPF],"&lt;&gt;",Leads[Data de entrada],"&gt;="&amp;A15,Leads[Data de entrada],"&lt;"&amp;(B15+1),Leads[Paciente fechou (0/1)],1)</f>
        <v>0</v>
      </c>
      <c r="L15" s="14">
        <f>IFERROR(K15/E15,"")</f>
        <v/>
      </c>
    </row>
    <row r="16" spans="1:12">
      <c r="A16" s="5">
        <f>A15+7</f>
        <v>0</v>
      </c>
      <c r="B16" s="5">
        <f>A16+6</f>
        <v>0</v>
      </c>
      <c r="C16" s="12">
        <f>COUNTIFS(Leads[CPF],"&lt;&gt;",Leads[Data de entrada],"&gt;="&amp;A16,Leads[Data de entrada],"&lt;"&amp;(B16+1))</f>
        <v>0</v>
      </c>
      <c r="D16" s="12">
        <f>COUNTIFS(Leads[CPF],"&lt;&gt;",Leads[Data de entrada],"&gt;="&amp;A16,Leads[Data de entrada],"&lt;"&amp;(B16+1),Leads[Data do agendamento],"&gt;0")</f>
        <v>0</v>
      </c>
      <c r="E16" s="12">
        <f>COUNTIFS(Leads[CPF],"&lt;&gt;",Leads[Data de entrada],"&gt;="&amp;A16,Leads[Data de entrada],"&lt;"&amp;(B16+1),Leads[Data da conversa presencial executada],"&gt;0")</f>
        <v>0</v>
      </c>
      <c r="F16" s="13">
        <f>IFERROR(AVERAGEIFS(Leads[Tempo de resposta (min)],Leads[CPF],"&lt;&gt;",Leads[Data de entrada],"&gt;="&amp;A16,Leads[Data de entrada],"&lt;"&amp;(B16+1),Leads[Tempo de resposta (min)],"&gt;=0",Leads[Tempo de resposta (min)],"&lt;&gt;"),"")</f>
        <v/>
      </c>
      <c r="G16" s="12">
        <f>COUNTIFS(Leads[CPF],"&lt;&gt;",Leads[Data de entrada],"&gt;="&amp;A16,Leads[Data de entrada],"&lt;"&amp;(B16+1),Leads[Tempo de resposta (min)],"&gt;=0",Leads[Tempo de resposta (min)],"&lt;&gt;")</f>
        <v>0</v>
      </c>
      <c r="H16" s="14">
        <f>IFERROR(D16/C16,"")</f>
        <v/>
      </c>
      <c r="I16" s="14">
        <f>IFERROR(E16/D16,"")</f>
        <v/>
      </c>
      <c r="J16" s="14">
        <f>IFERROR(E16/C16,"")</f>
        <v/>
      </c>
      <c r="K16" s="12">
        <f>COUNTIFS(Leads[CPF],"&lt;&gt;",Leads[Data de entrada],"&gt;="&amp;A16,Leads[Data de entrada],"&lt;"&amp;(B16+1),Leads[Paciente fechou (0/1)],1)</f>
        <v>0</v>
      </c>
      <c r="L16" s="14">
        <f>IFERROR(K16/E16,"")</f>
        <v/>
      </c>
    </row>
    <row r="17" spans="1:12">
      <c r="A17" s="5">
        <f>A16+7</f>
        <v>0</v>
      </c>
      <c r="B17" s="5">
        <f>A17+6</f>
        <v>0</v>
      </c>
      <c r="C17" s="12">
        <f>COUNTIFS(Leads[CPF],"&lt;&gt;",Leads[Data de entrada],"&gt;="&amp;A17,Leads[Data de entrada],"&lt;"&amp;(B17+1))</f>
        <v>0</v>
      </c>
      <c r="D17" s="12">
        <f>COUNTIFS(Leads[CPF],"&lt;&gt;",Leads[Data de entrada],"&gt;="&amp;A17,Leads[Data de entrada],"&lt;"&amp;(B17+1),Leads[Data do agendamento],"&gt;0")</f>
        <v>0</v>
      </c>
      <c r="E17" s="12">
        <f>COUNTIFS(Leads[CPF],"&lt;&gt;",Leads[Data de entrada],"&gt;="&amp;A17,Leads[Data de entrada],"&lt;"&amp;(B17+1),Leads[Data da conversa presencial executada],"&gt;0")</f>
        <v>0</v>
      </c>
      <c r="F17" s="13">
        <f>IFERROR(AVERAGEIFS(Leads[Tempo de resposta (min)],Leads[CPF],"&lt;&gt;",Leads[Data de entrada],"&gt;="&amp;A17,Leads[Data de entrada],"&lt;"&amp;(B17+1),Leads[Tempo de resposta (min)],"&gt;=0",Leads[Tempo de resposta (min)],"&lt;&gt;"),"")</f>
        <v/>
      </c>
      <c r="G17" s="12">
        <f>COUNTIFS(Leads[CPF],"&lt;&gt;",Leads[Data de entrada],"&gt;="&amp;A17,Leads[Data de entrada],"&lt;"&amp;(B17+1),Leads[Tempo de resposta (min)],"&gt;=0",Leads[Tempo de resposta (min)],"&lt;&gt;")</f>
        <v>0</v>
      </c>
      <c r="H17" s="14">
        <f>IFERROR(D17/C17,"")</f>
        <v/>
      </c>
      <c r="I17" s="14">
        <f>IFERROR(E17/D17,"")</f>
        <v/>
      </c>
      <c r="J17" s="14">
        <f>IFERROR(E17/C17,"")</f>
        <v/>
      </c>
      <c r="K17" s="12">
        <f>COUNTIFS(Leads[CPF],"&lt;&gt;",Leads[Data de entrada],"&gt;="&amp;A17,Leads[Data de entrada],"&lt;"&amp;(B17+1),Leads[Paciente fechou (0/1)],1)</f>
        <v>0</v>
      </c>
      <c r="L17" s="14">
        <f>IFERROR(K17/E17,"")</f>
        <v/>
      </c>
    </row>
    <row r="18" spans="1:12">
      <c r="A18" s="5">
        <f>A17+7</f>
        <v>0</v>
      </c>
      <c r="B18" s="5">
        <f>A18+6</f>
        <v>0</v>
      </c>
      <c r="C18" s="12">
        <f>COUNTIFS(Leads[CPF],"&lt;&gt;",Leads[Data de entrada],"&gt;="&amp;A18,Leads[Data de entrada],"&lt;"&amp;(B18+1))</f>
        <v>0</v>
      </c>
      <c r="D18" s="12">
        <f>COUNTIFS(Leads[CPF],"&lt;&gt;",Leads[Data de entrada],"&gt;="&amp;A18,Leads[Data de entrada],"&lt;"&amp;(B18+1),Leads[Data do agendamento],"&gt;0")</f>
        <v>0</v>
      </c>
      <c r="E18" s="12">
        <f>COUNTIFS(Leads[CPF],"&lt;&gt;",Leads[Data de entrada],"&gt;="&amp;A18,Leads[Data de entrada],"&lt;"&amp;(B18+1),Leads[Data da conversa presencial executada],"&gt;0")</f>
        <v>0</v>
      </c>
      <c r="F18" s="13">
        <f>IFERROR(AVERAGEIFS(Leads[Tempo de resposta (min)],Leads[CPF],"&lt;&gt;",Leads[Data de entrada],"&gt;="&amp;A18,Leads[Data de entrada],"&lt;"&amp;(B18+1),Leads[Tempo de resposta (min)],"&gt;=0",Leads[Tempo de resposta (min)],"&lt;&gt;"),"")</f>
        <v/>
      </c>
      <c r="G18" s="12">
        <f>COUNTIFS(Leads[CPF],"&lt;&gt;",Leads[Data de entrada],"&gt;="&amp;A18,Leads[Data de entrada],"&lt;"&amp;(B18+1),Leads[Tempo de resposta (min)],"&gt;=0",Leads[Tempo de resposta (min)],"&lt;&gt;")</f>
        <v>0</v>
      </c>
      <c r="H18" s="14">
        <f>IFERROR(D18/C18,"")</f>
        <v/>
      </c>
      <c r="I18" s="14">
        <f>IFERROR(E18/D18,"")</f>
        <v/>
      </c>
      <c r="J18" s="14">
        <f>IFERROR(E18/C18,"")</f>
        <v/>
      </c>
      <c r="K18" s="12">
        <f>COUNTIFS(Leads[CPF],"&lt;&gt;",Leads[Data de entrada],"&gt;="&amp;A18,Leads[Data de entrada],"&lt;"&amp;(B18+1),Leads[Paciente fechou (0/1)],1)</f>
        <v>0</v>
      </c>
      <c r="L18" s="14">
        <f>IFERROR(K18/E18,"")</f>
        <v/>
      </c>
    </row>
    <row r="19" spans="1:12">
      <c r="A19" s="5">
        <f>A18+7</f>
        <v>0</v>
      </c>
      <c r="B19" s="5">
        <f>A19+6</f>
        <v>0</v>
      </c>
      <c r="C19" s="12">
        <f>COUNTIFS(Leads[CPF],"&lt;&gt;",Leads[Data de entrada],"&gt;="&amp;A19,Leads[Data de entrada],"&lt;"&amp;(B19+1))</f>
        <v>0</v>
      </c>
      <c r="D19" s="12">
        <f>COUNTIFS(Leads[CPF],"&lt;&gt;",Leads[Data de entrada],"&gt;="&amp;A19,Leads[Data de entrada],"&lt;"&amp;(B19+1),Leads[Data do agendamento],"&gt;0")</f>
        <v>0</v>
      </c>
      <c r="E19" s="12">
        <f>COUNTIFS(Leads[CPF],"&lt;&gt;",Leads[Data de entrada],"&gt;="&amp;A19,Leads[Data de entrada],"&lt;"&amp;(B19+1),Leads[Data da conversa presencial executada],"&gt;0")</f>
        <v>0</v>
      </c>
      <c r="F19" s="13">
        <f>IFERROR(AVERAGEIFS(Leads[Tempo de resposta (min)],Leads[CPF],"&lt;&gt;",Leads[Data de entrada],"&gt;="&amp;A19,Leads[Data de entrada],"&lt;"&amp;(B19+1),Leads[Tempo de resposta (min)],"&gt;=0",Leads[Tempo de resposta (min)],"&lt;&gt;"),"")</f>
        <v/>
      </c>
      <c r="G19" s="12">
        <f>COUNTIFS(Leads[CPF],"&lt;&gt;",Leads[Data de entrada],"&gt;="&amp;A19,Leads[Data de entrada],"&lt;"&amp;(B19+1),Leads[Tempo de resposta (min)],"&gt;=0",Leads[Tempo de resposta (min)],"&lt;&gt;")</f>
        <v>0</v>
      </c>
      <c r="H19" s="14">
        <f>IFERROR(D19/C19,"")</f>
        <v/>
      </c>
      <c r="I19" s="14">
        <f>IFERROR(E19/D19,"")</f>
        <v/>
      </c>
      <c r="J19" s="14">
        <f>IFERROR(E19/C19,"")</f>
        <v/>
      </c>
      <c r="K19" s="12">
        <f>COUNTIFS(Leads[CPF],"&lt;&gt;",Leads[Data de entrada],"&gt;="&amp;A19,Leads[Data de entrada],"&lt;"&amp;(B19+1),Leads[Paciente fechou (0/1)],1)</f>
        <v>0</v>
      </c>
      <c r="L19" s="14">
        <f>IFERROR(K19/E19,"")</f>
        <v/>
      </c>
    </row>
    <row r="20" spans="1:12">
      <c r="A20" s="5">
        <f>A19+7</f>
        <v>0</v>
      </c>
      <c r="B20" s="5">
        <f>A20+6</f>
        <v>0</v>
      </c>
      <c r="C20" s="12">
        <f>COUNTIFS(Leads[CPF],"&lt;&gt;",Leads[Data de entrada],"&gt;="&amp;A20,Leads[Data de entrada],"&lt;"&amp;(B20+1))</f>
        <v>0</v>
      </c>
      <c r="D20" s="12">
        <f>COUNTIFS(Leads[CPF],"&lt;&gt;",Leads[Data de entrada],"&gt;="&amp;A20,Leads[Data de entrada],"&lt;"&amp;(B20+1),Leads[Data do agendamento],"&gt;0")</f>
        <v>0</v>
      </c>
      <c r="E20" s="12">
        <f>COUNTIFS(Leads[CPF],"&lt;&gt;",Leads[Data de entrada],"&gt;="&amp;A20,Leads[Data de entrada],"&lt;"&amp;(B20+1),Leads[Data da conversa presencial executada],"&gt;0")</f>
        <v>0</v>
      </c>
      <c r="F20" s="13">
        <f>IFERROR(AVERAGEIFS(Leads[Tempo de resposta (min)],Leads[CPF],"&lt;&gt;",Leads[Data de entrada],"&gt;="&amp;A20,Leads[Data de entrada],"&lt;"&amp;(B20+1),Leads[Tempo de resposta (min)],"&gt;=0",Leads[Tempo de resposta (min)],"&lt;&gt;"),"")</f>
        <v/>
      </c>
      <c r="G20" s="12">
        <f>COUNTIFS(Leads[CPF],"&lt;&gt;",Leads[Data de entrada],"&gt;="&amp;A20,Leads[Data de entrada],"&lt;"&amp;(B20+1),Leads[Tempo de resposta (min)],"&gt;=0",Leads[Tempo de resposta (min)],"&lt;&gt;")</f>
        <v>0</v>
      </c>
      <c r="H20" s="14">
        <f>IFERROR(D20/C20,"")</f>
        <v/>
      </c>
      <c r="I20" s="14">
        <f>IFERROR(E20/D20,"")</f>
        <v/>
      </c>
      <c r="J20" s="14">
        <f>IFERROR(E20/C20,"")</f>
        <v/>
      </c>
      <c r="K20" s="12">
        <f>COUNTIFS(Leads[CPF],"&lt;&gt;",Leads[Data de entrada],"&gt;="&amp;A20,Leads[Data de entrada],"&lt;"&amp;(B20+1),Leads[Paciente fechou (0/1)],1)</f>
        <v>0</v>
      </c>
      <c r="L20" s="14">
        <f>IFERROR(K20/E20,"")</f>
        <v/>
      </c>
    </row>
    <row r="21" spans="1:12">
      <c r="A21" s="5">
        <f>A20+7</f>
        <v>0</v>
      </c>
      <c r="B21" s="5">
        <f>A21+6</f>
        <v>0</v>
      </c>
      <c r="C21" s="12">
        <f>COUNTIFS(Leads[CPF],"&lt;&gt;",Leads[Data de entrada],"&gt;="&amp;A21,Leads[Data de entrada],"&lt;"&amp;(B21+1))</f>
        <v>0</v>
      </c>
      <c r="D21" s="12">
        <f>COUNTIFS(Leads[CPF],"&lt;&gt;",Leads[Data de entrada],"&gt;="&amp;A21,Leads[Data de entrada],"&lt;"&amp;(B21+1),Leads[Data do agendamento],"&gt;0")</f>
        <v>0</v>
      </c>
      <c r="E21" s="12">
        <f>COUNTIFS(Leads[CPF],"&lt;&gt;",Leads[Data de entrada],"&gt;="&amp;A21,Leads[Data de entrada],"&lt;"&amp;(B21+1),Leads[Data da conversa presencial executada],"&gt;0")</f>
        <v>0</v>
      </c>
      <c r="F21" s="13">
        <f>IFERROR(AVERAGEIFS(Leads[Tempo de resposta (min)],Leads[CPF],"&lt;&gt;",Leads[Data de entrada],"&gt;="&amp;A21,Leads[Data de entrada],"&lt;"&amp;(B21+1),Leads[Tempo de resposta (min)],"&gt;=0",Leads[Tempo de resposta (min)],"&lt;&gt;"),"")</f>
        <v/>
      </c>
      <c r="G21" s="12">
        <f>COUNTIFS(Leads[CPF],"&lt;&gt;",Leads[Data de entrada],"&gt;="&amp;A21,Leads[Data de entrada],"&lt;"&amp;(B21+1),Leads[Tempo de resposta (min)],"&gt;=0",Leads[Tempo de resposta (min)],"&lt;&gt;")</f>
        <v>0</v>
      </c>
      <c r="H21" s="14">
        <f>IFERROR(D21/C21,"")</f>
        <v/>
      </c>
      <c r="I21" s="14">
        <f>IFERROR(E21/D21,"")</f>
        <v/>
      </c>
      <c r="J21" s="14">
        <f>IFERROR(E21/C21,"")</f>
        <v/>
      </c>
      <c r="K21" s="12">
        <f>COUNTIFS(Leads[CPF],"&lt;&gt;",Leads[Data de entrada],"&gt;="&amp;A21,Leads[Data de entrada],"&lt;"&amp;(B21+1),Leads[Paciente fechou (0/1)],1)</f>
        <v>0</v>
      </c>
      <c r="L21" s="14">
        <f>IFERROR(K21/E21,"")</f>
        <v/>
      </c>
    </row>
    <row r="22" spans="1:12">
      <c r="A22" s="5">
        <f>A21+7</f>
        <v>0</v>
      </c>
      <c r="B22" s="5">
        <f>A22+6</f>
        <v>0</v>
      </c>
      <c r="C22" s="12">
        <f>COUNTIFS(Leads[CPF],"&lt;&gt;",Leads[Data de entrada],"&gt;="&amp;A22,Leads[Data de entrada],"&lt;"&amp;(B22+1))</f>
        <v>0</v>
      </c>
      <c r="D22" s="12">
        <f>COUNTIFS(Leads[CPF],"&lt;&gt;",Leads[Data de entrada],"&gt;="&amp;A22,Leads[Data de entrada],"&lt;"&amp;(B22+1),Leads[Data do agendamento],"&gt;0")</f>
        <v>0</v>
      </c>
      <c r="E22" s="12">
        <f>COUNTIFS(Leads[CPF],"&lt;&gt;",Leads[Data de entrada],"&gt;="&amp;A22,Leads[Data de entrada],"&lt;"&amp;(B22+1),Leads[Data da conversa presencial executada],"&gt;0")</f>
        <v>0</v>
      </c>
      <c r="F22" s="13">
        <f>IFERROR(AVERAGEIFS(Leads[Tempo de resposta (min)],Leads[CPF],"&lt;&gt;",Leads[Data de entrada],"&gt;="&amp;A22,Leads[Data de entrada],"&lt;"&amp;(B22+1),Leads[Tempo de resposta (min)],"&gt;=0",Leads[Tempo de resposta (min)],"&lt;&gt;"),"")</f>
        <v/>
      </c>
      <c r="G22" s="12">
        <f>COUNTIFS(Leads[CPF],"&lt;&gt;",Leads[Data de entrada],"&gt;="&amp;A22,Leads[Data de entrada],"&lt;"&amp;(B22+1),Leads[Tempo de resposta (min)],"&gt;=0",Leads[Tempo de resposta (min)],"&lt;&gt;")</f>
        <v>0</v>
      </c>
      <c r="H22" s="14">
        <f>IFERROR(D22/C22,"")</f>
        <v/>
      </c>
      <c r="I22" s="14">
        <f>IFERROR(E22/D22,"")</f>
        <v/>
      </c>
      <c r="J22" s="14">
        <f>IFERROR(E22/C22,"")</f>
        <v/>
      </c>
      <c r="K22" s="12">
        <f>COUNTIFS(Leads[CPF],"&lt;&gt;",Leads[Data de entrada],"&gt;="&amp;A22,Leads[Data de entrada],"&lt;"&amp;(B22+1),Leads[Paciente fechou (0/1)],1)</f>
        <v>0</v>
      </c>
      <c r="L22" s="14">
        <f>IFERROR(K22/E22,"")</f>
        <v/>
      </c>
    </row>
    <row r="23" spans="1:12">
      <c r="A23" s="5">
        <f>A22+7</f>
        <v>0</v>
      </c>
      <c r="B23" s="5">
        <f>A23+6</f>
        <v>0</v>
      </c>
      <c r="C23" s="12">
        <f>COUNTIFS(Leads[CPF],"&lt;&gt;",Leads[Data de entrada],"&gt;="&amp;A23,Leads[Data de entrada],"&lt;"&amp;(B23+1))</f>
        <v>0</v>
      </c>
      <c r="D23" s="12">
        <f>COUNTIFS(Leads[CPF],"&lt;&gt;",Leads[Data de entrada],"&gt;="&amp;A23,Leads[Data de entrada],"&lt;"&amp;(B23+1),Leads[Data do agendamento],"&gt;0")</f>
        <v>0</v>
      </c>
      <c r="E23" s="12">
        <f>COUNTIFS(Leads[CPF],"&lt;&gt;",Leads[Data de entrada],"&gt;="&amp;A23,Leads[Data de entrada],"&lt;"&amp;(B23+1),Leads[Data da conversa presencial executada],"&gt;0")</f>
        <v>0</v>
      </c>
      <c r="F23" s="13">
        <f>IFERROR(AVERAGEIFS(Leads[Tempo de resposta (min)],Leads[CPF],"&lt;&gt;",Leads[Data de entrada],"&gt;="&amp;A23,Leads[Data de entrada],"&lt;"&amp;(B23+1),Leads[Tempo de resposta (min)],"&gt;=0",Leads[Tempo de resposta (min)],"&lt;&gt;"),"")</f>
        <v/>
      </c>
      <c r="G23" s="12">
        <f>COUNTIFS(Leads[CPF],"&lt;&gt;",Leads[Data de entrada],"&gt;="&amp;A23,Leads[Data de entrada],"&lt;"&amp;(B23+1),Leads[Tempo de resposta (min)],"&gt;=0",Leads[Tempo de resposta (min)],"&lt;&gt;")</f>
        <v>0</v>
      </c>
      <c r="H23" s="14">
        <f>IFERROR(D23/C23,"")</f>
        <v/>
      </c>
      <c r="I23" s="14">
        <f>IFERROR(E23/D23,"")</f>
        <v/>
      </c>
      <c r="J23" s="14">
        <f>IFERROR(E23/C23,"")</f>
        <v/>
      </c>
      <c r="K23" s="12">
        <f>COUNTIFS(Leads[CPF],"&lt;&gt;",Leads[Data de entrada],"&gt;="&amp;A23,Leads[Data de entrada],"&lt;"&amp;(B23+1),Leads[Paciente fechou (0/1)],1)</f>
        <v>0</v>
      </c>
      <c r="L23" s="14">
        <f>IFERROR(K23/E23,"")</f>
        <v/>
      </c>
    </row>
    <row r="24" spans="1:12">
      <c r="A24" s="5">
        <f>A23+7</f>
        <v>0</v>
      </c>
      <c r="B24" s="5">
        <f>A24+6</f>
        <v>0</v>
      </c>
      <c r="C24" s="12">
        <f>COUNTIFS(Leads[CPF],"&lt;&gt;",Leads[Data de entrada],"&gt;="&amp;A24,Leads[Data de entrada],"&lt;"&amp;(B24+1))</f>
        <v>0</v>
      </c>
      <c r="D24" s="12">
        <f>COUNTIFS(Leads[CPF],"&lt;&gt;",Leads[Data de entrada],"&gt;="&amp;A24,Leads[Data de entrada],"&lt;"&amp;(B24+1),Leads[Data do agendamento],"&gt;0")</f>
        <v>0</v>
      </c>
      <c r="E24" s="12">
        <f>COUNTIFS(Leads[CPF],"&lt;&gt;",Leads[Data de entrada],"&gt;="&amp;A24,Leads[Data de entrada],"&lt;"&amp;(B24+1),Leads[Data da conversa presencial executada],"&gt;0")</f>
        <v>0</v>
      </c>
      <c r="F24" s="13">
        <f>IFERROR(AVERAGEIFS(Leads[Tempo de resposta (min)],Leads[CPF],"&lt;&gt;",Leads[Data de entrada],"&gt;="&amp;A24,Leads[Data de entrada],"&lt;"&amp;(B24+1),Leads[Tempo de resposta (min)],"&gt;=0",Leads[Tempo de resposta (min)],"&lt;&gt;"),"")</f>
        <v/>
      </c>
      <c r="G24" s="12">
        <f>COUNTIFS(Leads[CPF],"&lt;&gt;",Leads[Data de entrada],"&gt;="&amp;A24,Leads[Data de entrada],"&lt;"&amp;(B24+1),Leads[Tempo de resposta (min)],"&gt;=0",Leads[Tempo de resposta (min)],"&lt;&gt;")</f>
        <v>0</v>
      </c>
      <c r="H24" s="14">
        <f>IFERROR(D24/C24,"")</f>
        <v/>
      </c>
      <c r="I24" s="14">
        <f>IFERROR(E24/D24,"")</f>
        <v/>
      </c>
      <c r="J24" s="14">
        <f>IFERROR(E24/C24,"")</f>
        <v/>
      </c>
      <c r="K24" s="12">
        <f>COUNTIFS(Leads[CPF],"&lt;&gt;",Leads[Data de entrada],"&gt;="&amp;A24,Leads[Data de entrada],"&lt;"&amp;(B24+1),Leads[Paciente fechou (0/1)],1)</f>
        <v>0</v>
      </c>
      <c r="L24" s="14">
        <f>IFERROR(K24/E24,"")</f>
        <v/>
      </c>
    </row>
    <row r="25" spans="1:12">
      <c r="A25" s="5">
        <f>A24+7</f>
        <v>0</v>
      </c>
      <c r="B25" s="5">
        <f>A25+6</f>
        <v>0</v>
      </c>
      <c r="C25" s="12">
        <f>COUNTIFS(Leads[CPF],"&lt;&gt;",Leads[Data de entrada],"&gt;="&amp;A25,Leads[Data de entrada],"&lt;"&amp;(B25+1))</f>
        <v>0</v>
      </c>
      <c r="D25" s="12">
        <f>COUNTIFS(Leads[CPF],"&lt;&gt;",Leads[Data de entrada],"&gt;="&amp;A25,Leads[Data de entrada],"&lt;"&amp;(B25+1),Leads[Data do agendamento],"&gt;0")</f>
        <v>0</v>
      </c>
      <c r="E25" s="12">
        <f>COUNTIFS(Leads[CPF],"&lt;&gt;",Leads[Data de entrada],"&gt;="&amp;A25,Leads[Data de entrada],"&lt;"&amp;(B25+1),Leads[Data da conversa presencial executada],"&gt;0")</f>
        <v>0</v>
      </c>
      <c r="F25" s="13">
        <f>IFERROR(AVERAGEIFS(Leads[Tempo de resposta (min)],Leads[CPF],"&lt;&gt;",Leads[Data de entrada],"&gt;="&amp;A25,Leads[Data de entrada],"&lt;"&amp;(B25+1),Leads[Tempo de resposta (min)],"&gt;=0",Leads[Tempo de resposta (min)],"&lt;&gt;"),"")</f>
        <v/>
      </c>
      <c r="G25" s="12">
        <f>COUNTIFS(Leads[CPF],"&lt;&gt;",Leads[Data de entrada],"&gt;="&amp;A25,Leads[Data de entrada],"&lt;"&amp;(B25+1),Leads[Tempo de resposta (min)],"&gt;=0",Leads[Tempo de resposta (min)],"&lt;&gt;")</f>
        <v>0</v>
      </c>
      <c r="H25" s="14">
        <f>IFERROR(D25/C25,"")</f>
        <v/>
      </c>
      <c r="I25" s="14">
        <f>IFERROR(E25/D25,"")</f>
        <v/>
      </c>
      <c r="J25" s="14">
        <f>IFERROR(E25/C25,"")</f>
        <v/>
      </c>
      <c r="K25" s="12">
        <f>COUNTIFS(Leads[CPF],"&lt;&gt;",Leads[Data de entrada],"&gt;="&amp;A25,Leads[Data de entrada],"&lt;"&amp;(B25+1),Leads[Paciente fechou (0/1)],1)</f>
        <v>0</v>
      </c>
      <c r="L25" s="14">
        <f>IFERROR(K25/E25,"")</f>
        <v/>
      </c>
    </row>
    <row r="26" spans="1:12">
      <c r="A26" s="5">
        <f>A25+7</f>
        <v>0</v>
      </c>
      <c r="B26" s="5">
        <f>A26+6</f>
        <v>0</v>
      </c>
      <c r="C26" s="12">
        <f>COUNTIFS(Leads[CPF],"&lt;&gt;",Leads[Data de entrada],"&gt;="&amp;A26,Leads[Data de entrada],"&lt;"&amp;(B26+1))</f>
        <v>0</v>
      </c>
      <c r="D26" s="12">
        <f>COUNTIFS(Leads[CPF],"&lt;&gt;",Leads[Data de entrada],"&gt;="&amp;A26,Leads[Data de entrada],"&lt;"&amp;(B26+1),Leads[Data do agendamento],"&gt;0")</f>
        <v>0</v>
      </c>
      <c r="E26" s="12">
        <f>COUNTIFS(Leads[CPF],"&lt;&gt;",Leads[Data de entrada],"&gt;="&amp;A26,Leads[Data de entrada],"&lt;"&amp;(B26+1),Leads[Data da conversa presencial executada],"&gt;0")</f>
        <v>0</v>
      </c>
      <c r="F26" s="13">
        <f>IFERROR(AVERAGEIFS(Leads[Tempo de resposta (min)],Leads[CPF],"&lt;&gt;",Leads[Data de entrada],"&gt;="&amp;A26,Leads[Data de entrada],"&lt;"&amp;(B26+1),Leads[Tempo de resposta (min)],"&gt;=0",Leads[Tempo de resposta (min)],"&lt;&gt;"),"")</f>
        <v/>
      </c>
      <c r="G26" s="12">
        <f>COUNTIFS(Leads[CPF],"&lt;&gt;",Leads[Data de entrada],"&gt;="&amp;A26,Leads[Data de entrada],"&lt;"&amp;(B26+1),Leads[Tempo de resposta (min)],"&gt;=0",Leads[Tempo de resposta (min)],"&lt;&gt;")</f>
        <v>0</v>
      </c>
      <c r="H26" s="14">
        <f>IFERROR(D26/C26,"")</f>
        <v/>
      </c>
      <c r="I26" s="14">
        <f>IFERROR(E26/D26,"")</f>
        <v/>
      </c>
      <c r="J26" s="14">
        <f>IFERROR(E26/C26,"")</f>
        <v/>
      </c>
      <c r="K26" s="12">
        <f>COUNTIFS(Leads[CPF],"&lt;&gt;",Leads[Data de entrada],"&gt;="&amp;A26,Leads[Data de entrada],"&lt;"&amp;(B26+1),Leads[Paciente fechou (0/1)],1)</f>
        <v>0</v>
      </c>
      <c r="L26" s="14">
        <f>IFERROR(K26/E26,"")</f>
        <v/>
      </c>
    </row>
    <row r="27" spans="1:12">
      <c r="A27" s="5">
        <f>A26+7</f>
        <v>0</v>
      </c>
      <c r="B27" s="5">
        <f>A27+6</f>
        <v>0</v>
      </c>
      <c r="C27" s="12">
        <f>COUNTIFS(Leads[CPF],"&lt;&gt;",Leads[Data de entrada],"&gt;="&amp;A27,Leads[Data de entrada],"&lt;"&amp;(B27+1))</f>
        <v>0</v>
      </c>
      <c r="D27" s="12">
        <f>COUNTIFS(Leads[CPF],"&lt;&gt;",Leads[Data de entrada],"&gt;="&amp;A27,Leads[Data de entrada],"&lt;"&amp;(B27+1),Leads[Data do agendamento],"&gt;0")</f>
        <v>0</v>
      </c>
      <c r="E27" s="12">
        <f>COUNTIFS(Leads[CPF],"&lt;&gt;",Leads[Data de entrada],"&gt;="&amp;A27,Leads[Data de entrada],"&lt;"&amp;(B27+1),Leads[Data da conversa presencial executada],"&gt;0")</f>
        <v>0</v>
      </c>
      <c r="F27" s="13">
        <f>IFERROR(AVERAGEIFS(Leads[Tempo de resposta (min)],Leads[CPF],"&lt;&gt;",Leads[Data de entrada],"&gt;="&amp;A27,Leads[Data de entrada],"&lt;"&amp;(B27+1),Leads[Tempo de resposta (min)],"&gt;=0",Leads[Tempo de resposta (min)],"&lt;&gt;"),"")</f>
        <v/>
      </c>
      <c r="G27" s="12">
        <f>COUNTIFS(Leads[CPF],"&lt;&gt;",Leads[Data de entrada],"&gt;="&amp;A27,Leads[Data de entrada],"&lt;"&amp;(B27+1),Leads[Tempo de resposta (min)],"&gt;=0",Leads[Tempo de resposta (min)],"&lt;&gt;")</f>
        <v>0</v>
      </c>
      <c r="H27" s="14">
        <f>IFERROR(D27/C27,"")</f>
        <v/>
      </c>
      <c r="I27" s="14">
        <f>IFERROR(E27/D27,"")</f>
        <v/>
      </c>
      <c r="J27" s="14">
        <f>IFERROR(E27/C27,"")</f>
        <v/>
      </c>
      <c r="K27" s="12">
        <f>COUNTIFS(Leads[CPF],"&lt;&gt;",Leads[Data de entrada],"&gt;="&amp;A27,Leads[Data de entrada],"&lt;"&amp;(B27+1),Leads[Paciente fechou (0/1)],1)</f>
        <v>0</v>
      </c>
      <c r="L27" s="14">
        <f>IFERROR(K27/E27,"")</f>
        <v/>
      </c>
    </row>
    <row r="28" spans="1:12">
      <c r="A28" s="5">
        <f>A27+7</f>
        <v>0</v>
      </c>
      <c r="B28" s="5">
        <f>A28+6</f>
        <v>0</v>
      </c>
      <c r="C28" s="12">
        <f>COUNTIFS(Leads[CPF],"&lt;&gt;",Leads[Data de entrada],"&gt;="&amp;A28,Leads[Data de entrada],"&lt;"&amp;(B28+1))</f>
        <v>0</v>
      </c>
      <c r="D28" s="12">
        <f>COUNTIFS(Leads[CPF],"&lt;&gt;",Leads[Data de entrada],"&gt;="&amp;A28,Leads[Data de entrada],"&lt;"&amp;(B28+1),Leads[Data do agendamento],"&gt;0")</f>
        <v>0</v>
      </c>
      <c r="E28" s="12">
        <f>COUNTIFS(Leads[CPF],"&lt;&gt;",Leads[Data de entrada],"&gt;="&amp;A28,Leads[Data de entrada],"&lt;"&amp;(B28+1),Leads[Data da conversa presencial executada],"&gt;0")</f>
        <v>0</v>
      </c>
      <c r="F28" s="13">
        <f>IFERROR(AVERAGEIFS(Leads[Tempo de resposta (min)],Leads[CPF],"&lt;&gt;",Leads[Data de entrada],"&gt;="&amp;A28,Leads[Data de entrada],"&lt;"&amp;(B28+1),Leads[Tempo de resposta (min)],"&gt;=0",Leads[Tempo de resposta (min)],"&lt;&gt;"),"")</f>
        <v/>
      </c>
      <c r="G28" s="12">
        <f>COUNTIFS(Leads[CPF],"&lt;&gt;",Leads[Data de entrada],"&gt;="&amp;A28,Leads[Data de entrada],"&lt;"&amp;(B28+1),Leads[Tempo de resposta (min)],"&gt;=0",Leads[Tempo de resposta (min)],"&lt;&gt;")</f>
        <v>0</v>
      </c>
      <c r="H28" s="14">
        <f>IFERROR(D28/C28,"")</f>
        <v/>
      </c>
      <c r="I28" s="14">
        <f>IFERROR(E28/D28,"")</f>
        <v/>
      </c>
      <c r="J28" s="14">
        <f>IFERROR(E28/C28,"")</f>
        <v/>
      </c>
      <c r="K28" s="12">
        <f>COUNTIFS(Leads[CPF],"&lt;&gt;",Leads[Data de entrada],"&gt;="&amp;A28,Leads[Data de entrada],"&lt;"&amp;(B28+1),Leads[Paciente fechou (0/1)],1)</f>
        <v>0</v>
      </c>
      <c r="L28" s="14">
        <f>IFERROR(K28/E28,"")</f>
        <v/>
      </c>
    </row>
    <row r="29" spans="1:12">
      <c r="A29" s="5">
        <f>A28+7</f>
        <v>0</v>
      </c>
      <c r="B29" s="5">
        <f>A29+6</f>
        <v>0</v>
      </c>
      <c r="C29" s="12">
        <f>COUNTIFS(Leads[CPF],"&lt;&gt;",Leads[Data de entrada],"&gt;="&amp;A29,Leads[Data de entrada],"&lt;"&amp;(B29+1))</f>
        <v>0</v>
      </c>
      <c r="D29" s="12">
        <f>COUNTIFS(Leads[CPF],"&lt;&gt;",Leads[Data de entrada],"&gt;="&amp;A29,Leads[Data de entrada],"&lt;"&amp;(B29+1),Leads[Data do agendamento],"&gt;0")</f>
        <v>0</v>
      </c>
      <c r="E29" s="12">
        <f>COUNTIFS(Leads[CPF],"&lt;&gt;",Leads[Data de entrada],"&gt;="&amp;A29,Leads[Data de entrada],"&lt;"&amp;(B29+1),Leads[Data da conversa presencial executada],"&gt;0")</f>
        <v>0</v>
      </c>
      <c r="F29" s="13">
        <f>IFERROR(AVERAGEIFS(Leads[Tempo de resposta (min)],Leads[CPF],"&lt;&gt;",Leads[Data de entrada],"&gt;="&amp;A29,Leads[Data de entrada],"&lt;"&amp;(B29+1),Leads[Tempo de resposta (min)],"&gt;=0",Leads[Tempo de resposta (min)],"&lt;&gt;"),"")</f>
        <v/>
      </c>
      <c r="G29" s="12">
        <f>COUNTIFS(Leads[CPF],"&lt;&gt;",Leads[Data de entrada],"&gt;="&amp;A29,Leads[Data de entrada],"&lt;"&amp;(B29+1),Leads[Tempo de resposta (min)],"&gt;=0",Leads[Tempo de resposta (min)],"&lt;&gt;")</f>
        <v>0</v>
      </c>
      <c r="H29" s="14">
        <f>IFERROR(D29/C29,"")</f>
        <v/>
      </c>
      <c r="I29" s="14">
        <f>IFERROR(E29/D29,"")</f>
        <v/>
      </c>
      <c r="J29" s="14">
        <f>IFERROR(E29/C29,"")</f>
        <v/>
      </c>
      <c r="K29" s="12">
        <f>COUNTIFS(Leads[CPF],"&lt;&gt;",Leads[Data de entrada],"&gt;="&amp;A29,Leads[Data de entrada],"&lt;"&amp;(B29+1),Leads[Paciente fechou (0/1)],1)</f>
        <v>0</v>
      </c>
      <c r="L29" s="14">
        <f>IFERROR(K29/E29,"")</f>
        <v/>
      </c>
    </row>
    <row r="30" spans="1:12">
      <c r="A30" s="5">
        <f>A29+7</f>
        <v>0</v>
      </c>
      <c r="B30" s="5">
        <f>A30+6</f>
        <v>0</v>
      </c>
      <c r="C30" s="12">
        <f>COUNTIFS(Leads[CPF],"&lt;&gt;",Leads[Data de entrada],"&gt;="&amp;A30,Leads[Data de entrada],"&lt;"&amp;(B30+1))</f>
        <v>0</v>
      </c>
      <c r="D30" s="12">
        <f>COUNTIFS(Leads[CPF],"&lt;&gt;",Leads[Data de entrada],"&gt;="&amp;A30,Leads[Data de entrada],"&lt;"&amp;(B30+1),Leads[Data do agendamento],"&gt;0")</f>
        <v>0</v>
      </c>
      <c r="E30" s="12">
        <f>COUNTIFS(Leads[CPF],"&lt;&gt;",Leads[Data de entrada],"&gt;="&amp;A30,Leads[Data de entrada],"&lt;"&amp;(B30+1),Leads[Data da conversa presencial executada],"&gt;0")</f>
        <v>0</v>
      </c>
      <c r="F30" s="13">
        <f>IFERROR(AVERAGEIFS(Leads[Tempo de resposta (min)],Leads[CPF],"&lt;&gt;",Leads[Data de entrada],"&gt;="&amp;A30,Leads[Data de entrada],"&lt;"&amp;(B30+1),Leads[Tempo de resposta (min)],"&gt;=0",Leads[Tempo de resposta (min)],"&lt;&gt;"),"")</f>
        <v/>
      </c>
      <c r="G30" s="12">
        <f>COUNTIFS(Leads[CPF],"&lt;&gt;",Leads[Data de entrada],"&gt;="&amp;A30,Leads[Data de entrada],"&lt;"&amp;(B30+1),Leads[Tempo de resposta (min)],"&gt;=0",Leads[Tempo de resposta (min)],"&lt;&gt;")</f>
        <v>0</v>
      </c>
      <c r="H30" s="14">
        <f>IFERROR(D30/C30,"")</f>
        <v/>
      </c>
      <c r="I30" s="14">
        <f>IFERROR(E30/D30,"")</f>
        <v/>
      </c>
      <c r="J30" s="14">
        <f>IFERROR(E30/C30,"")</f>
        <v/>
      </c>
      <c r="K30" s="12">
        <f>COUNTIFS(Leads[CPF],"&lt;&gt;",Leads[Data de entrada],"&gt;="&amp;A30,Leads[Data de entrada],"&lt;"&amp;(B30+1),Leads[Paciente fechou (0/1)],1)</f>
        <v>0</v>
      </c>
      <c r="L30" s="14">
        <f>IFERROR(K30/E30,"")</f>
        <v/>
      </c>
    </row>
    <row r="31" spans="1:12">
      <c r="A31" s="5">
        <f>A30+7</f>
        <v>0</v>
      </c>
      <c r="B31" s="5">
        <f>A31+6</f>
        <v>0</v>
      </c>
      <c r="C31" s="12">
        <f>COUNTIFS(Leads[CPF],"&lt;&gt;",Leads[Data de entrada],"&gt;="&amp;A31,Leads[Data de entrada],"&lt;"&amp;(B31+1))</f>
        <v>0</v>
      </c>
      <c r="D31" s="12">
        <f>COUNTIFS(Leads[CPF],"&lt;&gt;",Leads[Data de entrada],"&gt;="&amp;A31,Leads[Data de entrada],"&lt;"&amp;(B31+1),Leads[Data do agendamento],"&gt;0")</f>
        <v>0</v>
      </c>
      <c r="E31" s="12">
        <f>COUNTIFS(Leads[CPF],"&lt;&gt;",Leads[Data de entrada],"&gt;="&amp;A31,Leads[Data de entrada],"&lt;"&amp;(B31+1),Leads[Data da conversa presencial executada],"&gt;0")</f>
        <v>0</v>
      </c>
      <c r="F31" s="13">
        <f>IFERROR(AVERAGEIFS(Leads[Tempo de resposta (min)],Leads[CPF],"&lt;&gt;",Leads[Data de entrada],"&gt;="&amp;A31,Leads[Data de entrada],"&lt;"&amp;(B31+1),Leads[Tempo de resposta (min)],"&gt;=0",Leads[Tempo de resposta (min)],"&lt;&gt;"),"")</f>
        <v/>
      </c>
      <c r="G31" s="12">
        <f>COUNTIFS(Leads[CPF],"&lt;&gt;",Leads[Data de entrada],"&gt;="&amp;A31,Leads[Data de entrada],"&lt;"&amp;(B31+1),Leads[Tempo de resposta (min)],"&gt;=0",Leads[Tempo de resposta (min)],"&lt;&gt;")</f>
        <v>0</v>
      </c>
      <c r="H31" s="14">
        <f>IFERROR(D31/C31,"")</f>
        <v/>
      </c>
      <c r="I31" s="14">
        <f>IFERROR(E31/D31,"")</f>
        <v/>
      </c>
      <c r="J31" s="14">
        <f>IFERROR(E31/C31,"")</f>
        <v/>
      </c>
      <c r="K31" s="12">
        <f>COUNTIFS(Leads[CPF],"&lt;&gt;",Leads[Data de entrada],"&gt;="&amp;A31,Leads[Data de entrada],"&lt;"&amp;(B31+1),Leads[Paciente fechou (0/1)],1)</f>
        <v>0</v>
      </c>
      <c r="L31" s="14">
        <f>IFERROR(K31/E31,"")</f>
        <v/>
      </c>
    </row>
    <row r="32" spans="1:12">
      <c r="A32" s="5">
        <f>A31+7</f>
        <v>0</v>
      </c>
      <c r="B32" s="5">
        <f>A32+6</f>
        <v>0</v>
      </c>
      <c r="C32" s="12">
        <f>COUNTIFS(Leads[CPF],"&lt;&gt;",Leads[Data de entrada],"&gt;="&amp;A32,Leads[Data de entrada],"&lt;"&amp;(B32+1))</f>
        <v>0</v>
      </c>
      <c r="D32" s="12">
        <f>COUNTIFS(Leads[CPF],"&lt;&gt;",Leads[Data de entrada],"&gt;="&amp;A32,Leads[Data de entrada],"&lt;"&amp;(B32+1),Leads[Data do agendamento],"&gt;0")</f>
        <v>0</v>
      </c>
      <c r="E32" s="12">
        <f>COUNTIFS(Leads[CPF],"&lt;&gt;",Leads[Data de entrada],"&gt;="&amp;A32,Leads[Data de entrada],"&lt;"&amp;(B32+1),Leads[Data da conversa presencial executada],"&gt;0")</f>
        <v>0</v>
      </c>
      <c r="F32" s="13">
        <f>IFERROR(AVERAGEIFS(Leads[Tempo de resposta (min)],Leads[CPF],"&lt;&gt;",Leads[Data de entrada],"&gt;="&amp;A32,Leads[Data de entrada],"&lt;"&amp;(B32+1),Leads[Tempo de resposta (min)],"&gt;=0",Leads[Tempo de resposta (min)],"&lt;&gt;"),"")</f>
        <v/>
      </c>
      <c r="G32" s="12">
        <f>COUNTIFS(Leads[CPF],"&lt;&gt;",Leads[Data de entrada],"&gt;="&amp;A32,Leads[Data de entrada],"&lt;"&amp;(B32+1),Leads[Tempo de resposta (min)],"&gt;=0",Leads[Tempo de resposta (min)],"&lt;&gt;")</f>
        <v>0</v>
      </c>
      <c r="H32" s="14">
        <f>IFERROR(D32/C32,"")</f>
        <v/>
      </c>
      <c r="I32" s="14">
        <f>IFERROR(E32/D32,"")</f>
        <v/>
      </c>
      <c r="J32" s="14">
        <f>IFERROR(E32/C32,"")</f>
        <v/>
      </c>
      <c r="K32" s="12">
        <f>COUNTIFS(Leads[CPF],"&lt;&gt;",Leads[Data de entrada],"&gt;="&amp;A32,Leads[Data de entrada],"&lt;"&amp;(B32+1),Leads[Paciente fechou (0/1)],1)</f>
        <v>0</v>
      </c>
      <c r="L32" s="14">
        <f>IFERROR(K32/E32,"")</f>
        <v/>
      </c>
    </row>
    <row r="33" spans="1:12">
      <c r="A33" s="5">
        <f>A32+7</f>
        <v>0</v>
      </c>
      <c r="B33" s="5">
        <f>A33+6</f>
        <v>0</v>
      </c>
      <c r="C33" s="12">
        <f>COUNTIFS(Leads[CPF],"&lt;&gt;",Leads[Data de entrada],"&gt;="&amp;A33,Leads[Data de entrada],"&lt;"&amp;(B33+1))</f>
        <v>0</v>
      </c>
      <c r="D33" s="12">
        <f>COUNTIFS(Leads[CPF],"&lt;&gt;",Leads[Data de entrada],"&gt;="&amp;A33,Leads[Data de entrada],"&lt;"&amp;(B33+1),Leads[Data do agendamento],"&gt;0")</f>
        <v>0</v>
      </c>
      <c r="E33" s="12">
        <f>COUNTIFS(Leads[CPF],"&lt;&gt;",Leads[Data de entrada],"&gt;="&amp;A33,Leads[Data de entrada],"&lt;"&amp;(B33+1),Leads[Data da conversa presencial executada],"&gt;0")</f>
        <v>0</v>
      </c>
      <c r="F33" s="13">
        <f>IFERROR(AVERAGEIFS(Leads[Tempo de resposta (min)],Leads[CPF],"&lt;&gt;",Leads[Data de entrada],"&gt;="&amp;A33,Leads[Data de entrada],"&lt;"&amp;(B33+1),Leads[Tempo de resposta (min)],"&gt;=0",Leads[Tempo de resposta (min)],"&lt;&gt;"),"")</f>
        <v/>
      </c>
      <c r="G33" s="12">
        <f>COUNTIFS(Leads[CPF],"&lt;&gt;",Leads[Data de entrada],"&gt;="&amp;A33,Leads[Data de entrada],"&lt;"&amp;(B33+1),Leads[Tempo de resposta (min)],"&gt;=0",Leads[Tempo de resposta (min)],"&lt;&gt;")</f>
        <v>0</v>
      </c>
      <c r="H33" s="14">
        <f>IFERROR(D33/C33,"")</f>
        <v/>
      </c>
      <c r="I33" s="14">
        <f>IFERROR(E33/D33,"")</f>
        <v/>
      </c>
      <c r="J33" s="14">
        <f>IFERROR(E33/C33,"")</f>
        <v/>
      </c>
      <c r="K33" s="12">
        <f>COUNTIFS(Leads[CPF],"&lt;&gt;",Leads[Data de entrada],"&gt;="&amp;A33,Leads[Data de entrada],"&lt;"&amp;(B33+1),Leads[Paciente fechou (0/1)],1)</f>
        <v>0</v>
      </c>
      <c r="L33" s="14">
        <f>IFERROR(K33/E33,"")</f>
        <v/>
      </c>
    </row>
    <row r="34" spans="1:12">
      <c r="A34" s="5">
        <f>A33+7</f>
        <v>0</v>
      </c>
      <c r="B34" s="5">
        <f>A34+6</f>
        <v>0</v>
      </c>
      <c r="C34" s="12">
        <f>COUNTIFS(Leads[CPF],"&lt;&gt;",Leads[Data de entrada],"&gt;="&amp;A34,Leads[Data de entrada],"&lt;"&amp;(B34+1))</f>
        <v>0</v>
      </c>
      <c r="D34" s="12">
        <f>COUNTIFS(Leads[CPF],"&lt;&gt;",Leads[Data de entrada],"&gt;="&amp;A34,Leads[Data de entrada],"&lt;"&amp;(B34+1),Leads[Data do agendamento],"&gt;0")</f>
        <v>0</v>
      </c>
      <c r="E34" s="12">
        <f>COUNTIFS(Leads[CPF],"&lt;&gt;",Leads[Data de entrada],"&gt;="&amp;A34,Leads[Data de entrada],"&lt;"&amp;(B34+1),Leads[Data da conversa presencial executada],"&gt;0")</f>
        <v>0</v>
      </c>
      <c r="F34" s="13">
        <f>IFERROR(AVERAGEIFS(Leads[Tempo de resposta (min)],Leads[CPF],"&lt;&gt;",Leads[Data de entrada],"&gt;="&amp;A34,Leads[Data de entrada],"&lt;"&amp;(B34+1),Leads[Tempo de resposta (min)],"&gt;=0",Leads[Tempo de resposta (min)],"&lt;&gt;"),"")</f>
        <v/>
      </c>
      <c r="G34" s="12">
        <f>COUNTIFS(Leads[CPF],"&lt;&gt;",Leads[Data de entrada],"&gt;="&amp;A34,Leads[Data de entrada],"&lt;"&amp;(B34+1),Leads[Tempo de resposta (min)],"&gt;=0",Leads[Tempo de resposta (min)],"&lt;&gt;")</f>
        <v>0</v>
      </c>
      <c r="H34" s="14">
        <f>IFERROR(D34/C34,"")</f>
        <v/>
      </c>
      <c r="I34" s="14">
        <f>IFERROR(E34/D34,"")</f>
        <v/>
      </c>
      <c r="J34" s="14">
        <f>IFERROR(E34/C34,"")</f>
        <v/>
      </c>
      <c r="K34" s="12">
        <f>COUNTIFS(Leads[CPF],"&lt;&gt;",Leads[Data de entrada],"&gt;="&amp;A34,Leads[Data de entrada],"&lt;"&amp;(B34+1),Leads[Paciente fechou (0/1)],1)</f>
        <v>0</v>
      </c>
      <c r="L34" s="14">
        <f>IFERROR(K34/E34,"")</f>
        <v/>
      </c>
    </row>
    <row r="35" spans="1:12">
      <c r="A35" s="5">
        <f>A34+7</f>
        <v>0</v>
      </c>
      <c r="B35" s="5">
        <f>A35+6</f>
        <v>0</v>
      </c>
      <c r="C35" s="12">
        <f>COUNTIFS(Leads[CPF],"&lt;&gt;",Leads[Data de entrada],"&gt;="&amp;A35,Leads[Data de entrada],"&lt;"&amp;(B35+1))</f>
        <v>0</v>
      </c>
      <c r="D35" s="12">
        <f>COUNTIFS(Leads[CPF],"&lt;&gt;",Leads[Data de entrada],"&gt;="&amp;A35,Leads[Data de entrada],"&lt;"&amp;(B35+1),Leads[Data do agendamento],"&gt;0")</f>
        <v>0</v>
      </c>
      <c r="E35" s="12">
        <f>COUNTIFS(Leads[CPF],"&lt;&gt;",Leads[Data de entrada],"&gt;="&amp;A35,Leads[Data de entrada],"&lt;"&amp;(B35+1),Leads[Data da conversa presencial executada],"&gt;0")</f>
        <v>0</v>
      </c>
      <c r="F35" s="13">
        <f>IFERROR(AVERAGEIFS(Leads[Tempo de resposta (min)],Leads[CPF],"&lt;&gt;",Leads[Data de entrada],"&gt;="&amp;A35,Leads[Data de entrada],"&lt;"&amp;(B35+1),Leads[Tempo de resposta (min)],"&gt;=0",Leads[Tempo de resposta (min)],"&lt;&gt;"),"")</f>
        <v/>
      </c>
      <c r="G35" s="12">
        <f>COUNTIFS(Leads[CPF],"&lt;&gt;",Leads[Data de entrada],"&gt;="&amp;A35,Leads[Data de entrada],"&lt;"&amp;(B35+1),Leads[Tempo de resposta (min)],"&gt;=0",Leads[Tempo de resposta (min)],"&lt;&gt;")</f>
        <v>0</v>
      </c>
      <c r="H35" s="14">
        <f>IFERROR(D35/C35,"")</f>
        <v/>
      </c>
      <c r="I35" s="14">
        <f>IFERROR(E35/D35,"")</f>
        <v/>
      </c>
      <c r="J35" s="14">
        <f>IFERROR(E35/C35,"")</f>
        <v/>
      </c>
      <c r="K35" s="12">
        <f>COUNTIFS(Leads[CPF],"&lt;&gt;",Leads[Data de entrada],"&gt;="&amp;A35,Leads[Data de entrada],"&lt;"&amp;(B35+1),Leads[Paciente fechou (0/1)],1)</f>
        <v>0</v>
      </c>
      <c r="L35" s="14">
        <f>IFERROR(K35/E35,"")</f>
        <v/>
      </c>
    </row>
    <row r="36" spans="1:12">
      <c r="A36" s="5">
        <f>A35+7</f>
        <v>0</v>
      </c>
      <c r="B36" s="5">
        <f>A36+6</f>
        <v>0</v>
      </c>
      <c r="C36" s="12">
        <f>COUNTIFS(Leads[CPF],"&lt;&gt;",Leads[Data de entrada],"&gt;="&amp;A36,Leads[Data de entrada],"&lt;"&amp;(B36+1))</f>
        <v>0</v>
      </c>
      <c r="D36" s="12">
        <f>COUNTIFS(Leads[CPF],"&lt;&gt;",Leads[Data de entrada],"&gt;="&amp;A36,Leads[Data de entrada],"&lt;"&amp;(B36+1),Leads[Data do agendamento],"&gt;0")</f>
        <v>0</v>
      </c>
      <c r="E36" s="12">
        <f>COUNTIFS(Leads[CPF],"&lt;&gt;",Leads[Data de entrada],"&gt;="&amp;A36,Leads[Data de entrada],"&lt;"&amp;(B36+1),Leads[Data da conversa presencial executada],"&gt;0")</f>
        <v>0</v>
      </c>
      <c r="F36" s="13">
        <f>IFERROR(AVERAGEIFS(Leads[Tempo de resposta (min)],Leads[CPF],"&lt;&gt;",Leads[Data de entrada],"&gt;="&amp;A36,Leads[Data de entrada],"&lt;"&amp;(B36+1),Leads[Tempo de resposta (min)],"&gt;=0",Leads[Tempo de resposta (min)],"&lt;&gt;"),"")</f>
        <v/>
      </c>
      <c r="G36" s="12">
        <f>COUNTIFS(Leads[CPF],"&lt;&gt;",Leads[Data de entrada],"&gt;="&amp;A36,Leads[Data de entrada],"&lt;"&amp;(B36+1),Leads[Tempo de resposta (min)],"&gt;=0",Leads[Tempo de resposta (min)],"&lt;&gt;")</f>
        <v>0</v>
      </c>
      <c r="H36" s="14">
        <f>IFERROR(D36/C36,"")</f>
        <v/>
      </c>
      <c r="I36" s="14">
        <f>IFERROR(E36/D36,"")</f>
        <v/>
      </c>
      <c r="J36" s="14">
        <f>IFERROR(E36/C36,"")</f>
        <v/>
      </c>
      <c r="K36" s="12">
        <f>COUNTIFS(Leads[CPF],"&lt;&gt;",Leads[Data de entrada],"&gt;="&amp;A36,Leads[Data de entrada],"&lt;"&amp;(B36+1),Leads[Paciente fechou (0/1)],1)</f>
        <v>0</v>
      </c>
      <c r="L36" s="14">
        <f>IFERROR(K36/E36,"")</f>
        <v/>
      </c>
    </row>
    <row r="37" spans="1:12">
      <c r="A37" s="5">
        <f>A36+7</f>
        <v>0</v>
      </c>
      <c r="B37" s="5">
        <f>A37+6</f>
        <v>0</v>
      </c>
      <c r="C37" s="12">
        <f>COUNTIFS(Leads[CPF],"&lt;&gt;",Leads[Data de entrada],"&gt;="&amp;A37,Leads[Data de entrada],"&lt;"&amp;(B37+1))</f>
        <v>0</v>
      </c>
      <c r="D37" s="12">
        <f>COUNTIFS(Leads[CPF],"&lt;&gt;",Leads[Data de entrada],"&gt;="&amp;A37,Leads[Data de entrada],"&lt;"&amp;(B37+1),Leads[Data do agendamento],"&gt;0")</f>
        <v>0</v>
      </c>
      <c r="E37" s="12">
        <f>COUNTIFS(Leads[CPF],"&lt;&gt;",Leads[Data de entrada],"&gt;="&amp;A37,Leads[Data de entrada],"&lt;"&amp;(B37+1),Leads[Data da conversa presencial executada],"&gt;0")</f>
        <v>0</v>
      </c>
      <c r="F37" s="13">
        <f>IFERROR(AVERAGEIFS(Leads[Tempo de resposta (min)],Leads[CPF],"&lt;&gt;",Leads[Data de entrada],"&gt;="&amp;A37,Leads[Data de entrada],"&lt;"&amp;(B37+1),Leads[Tempo de resposta (min)],"&gt;=0",Leads[Tempo de resposta (min)],"&lt;&gt;"),"")</f>
        <v/>
      </c>
      <c r="G37" s="12">
        <f>COUNTIFS(Leads[CPF],"&lt;&gt;",Leads[Data de entrada],"&gt;="&amp;A37,Leads[Data de entrada],"&lt;"&amp;(B37+1),Leads[Tempo de resposta (min)],"&gt;=0",Leads[Tempo de resposta (min)],"&lt;&gt;")</f>
        <v>0</v>
      </c>
      <c r="H37" s="14">
        <f>IFERROR(D37/C37,"")</f>
        <v/>
      </c>
      <c r="I37" s="14">
        <f>IFERROR(E37/D37,"")</f>
        <v/>
      </c>
      <c r="J37" s="14">
        <f>IFERROR(E37/C37,"")</f>
        <v/>
      </c>
      <c r="K37" s="12">
        <f>COUNTIFS(Leads[CPF],"&lt;&gt;",Leads[Data de entrada],"&gt;="&amp;A37,Leads[Data de entrada],"&lt;"&amp;(B37+1),Leads[Paciente fechou (0/1)],1)</f>
        <v>0</v>
      </c>
      <c r="L37" s="14">
        <f>IFERROR(K37/E37,"")</f>
        <v/>
      </c>
    </row>
    <row r="38" spans="1:12">
      <c r="A38" s="5">
        <f>A37+7</f>
        <v>0</v>
      </c>
      <c r="B38" s="5">
        <f>A38+6</f>
        <v>0</v>
      </c>
      <c r="C38" s="12">
        <f>COUNTIFS(Leads[CPF],"&lt;&gt;",Leads[Data de entrada],"&gt;="&amp;A38,Leads[Data de entrada],"&lt;"&amp;(B38+1))</f>
        <v>0</v>
      </c>
      <c r="D38" s="12">
        <f>COUNTIFS(Leads[CPF],"&lt;&gt;",Leads[Data de entrada],"&gt;="&amp;A38,Leads[Data de entrada],"&lt;"&amp;(B38+1),Leads[Data do agendamento],"&gt;0")</f>
        <v>0</v>
      </c>
      <c r="E38" s="12">
        <f>COUNTIFS(Leads[CPF],"&lt;&gt;",Leads[Data de entrada],"&gt;="&amp;A38,Leads[Data de entrada],"&lt;"&amp;(B38+1),Leads[Data da conversa presencial executada],"&gt;0")</f>
        <v>0</v>
      </c>
      <c r="F38" s="13">
        <f>IFERROR(AVERAGEIFS(Leads[Tempo de resposta (min)],Leads[CPF],"&lt;&gt;",Leads[Data de entrada],"&gt;="&amp;A38,Leads[Data de entrada],"&lt;"&amp;(B38+1),Leads[Tempo de resposta (min)],"&gt;=0",Leads[Tempo de resposta (min)],"&lt;&gt;"),"")</f>
        <v/>
      </c>
      <c r="G38" s="12">
        <f>COUNTIFS(Leads[CPF],"&lt;&gt;",Leads[Data de entrada],"&gt;="&amp;A38,Leads[Data de entrada],"&lt;"&amp;(B38+1),Leads[Tempo de resposta (min)],"&gt;=0",Leads[Tempo de resposta (min)],"&lt;&gt;")</f>
        <v>0</v>
      </c>
      <c r="H38" s="14">
        <f>IFERROR(D38/C38,"")</f>
        <v/>
      </c>
      <c r="I38" s="14">
        <f>IFERROR(E38/D38,"")</f>
        <v/>
      </c>
      <c r="J38" s="14">
        <f>IFERROR(E38/C38,"")</f>
        <v/>
      </c>
      <c r="K38" s="12">
        <f>COUNTIFS(Leads[CPF],"&lt;&gt;",Leads[Data de entrada],"&gt;="&amp;A38,Leads[Data de entrada],"&lt;"&amp;(B38+1),Leads[Paciente fechou (0/1)],1)</f>
        <v>0</v>
      </c>
      <c r="L38" s="14">
        <f>IFERROR(K38/E38,"")</f>
        <v/>
      </c>
    </row>
    <row r="39" spans="1:12">
      <c r="A39" s="5">
        <f>A38+7</f>
        <v>0</v>
      </c>
      <c r="B39" s="5">
        <f>A39+6</f>
        <v>0</v>
      </c>
      <c r="C39" s="12">
        <f>COUNTIFS(Leads[CPF],"&lt;&gt;",Leads[Data de entrada],"&gt;="&amp;A39,Leads[Data de entrada],"&lt;"&amp;(B39+1))</f>
        <v>0</v>
      </c>
      <c r="D39" s="12">
        <f>COUNTIFS(Leads[CPF],"&lt;&gt;",Leads[Data de entrada],"&gt;="&amp;A39,Leads[Data de entrada],"&lt;"&amp;(B39+1),Leads[Data do agendamento],"&gt;0")</f>
        <v>0</v>
      </c>
      <c r="E39" s="12">
        <f>COUNTIFS(Leads[CPF],"&lt;&gt;",Leads[Data de entrada],"&gt;="&amp;A39,Leads[Data de entrada],"&lt;"&amp;(B39+1),Leads[Data da conversa presencial executada],"&gt;0")</f>
        <v>0</v>
      </c>
      <c r="F39" s="13">
        <f>IFERROR(AVERAGEIFS(Leads[Tempo de resposta (min)],Leads[CPF],"&lt;&gt;",Leads[Data de entrada],"&gt;="&amp;A39,Leads[Data de entrada],"&lt;"&amp;(B39+1),Leads[Tempo de resposta (min)],"&gt;=0",Leads[Tempo de resposta (min)],"&lt;&gt;"),"")</f>
        <v/>
      </c>
      <c r="G39" s="12">
        <f>COUNTIFS(Leads[CPF],"&lt;&gt;",Leads[Data de entrada],"&gt;="&amp;A39,Leads[Data de entrada],"&lt;"&amp;(B39+1),Leads[Tempo de resposta (min)],"&gt;=0",Leads[Tempo de resposta (min)],"&lt;&gt;")</f>
        <v>0</v>
      </c>
      <c r="H39" s="14">
        <f>IFERROR(D39/C39,"")</f>
        <v/>
      </c>
      <c r="I39" s="14">
        <f>IFERROR(E39/D39,"")</f>
        <v/>
      </c>
      <c r="J39" s="14">
        <f>IFERROR(E39/C39,"")</f>
        <v/>
      </c>
      <c r="K39" s="12">
        <f>COUNTIFS(Leads[CPF],"&lt;&gt;",Leads[Data de entrada],"&gt;="&amp;A39,Leads[Data de entrada],"&lt;"&amp;(B39+1),Leads[Paciente fechou (0/1)],1)</f>
        <v>0</v>
      </c>
      <c r="L39" s="14">
        <f>IFERROR(K39/E39,"")</f>
        <v/>
      </c>
    </row>
    <row r="40" spans="1:12">
      <c r="A40" s="5">
        <f>A39+7</f>
        <v>0</v>
      </c>
      <c r="B40" s="5">
        <f>A40+6</f>
        <v>0</v>
      </c>
      <c r="C40" s="12">
        <f>COUNTIFS(Leads[CPF],"&lt;&gt;",Leads[Data de entrada],"&gt;="&amp;A40,Leads[Data de entrada],"&lt;"&amp;(B40+1))</f>
        <v>0</v>
      </c>
      <c r="D40" s="12">
        <f>COUNTIFS(Leads[CPF],"&lt;&gt;",Leads[Data de entrada],"&gt;="&amp;A40,Leads[Data de entrada],"&lt;"&amp;(B40+1),Leads[Data do agendamento],"&gt;0")</f>
        <v>0</v>
      </c>
      <c r="E40" s="12">
        <f>COUNTIFS(Leads[CPF],"&lt;&gt;",Leads[Data de entrada],"&gt;="&amp;A40,Leads[Data de entrada],"&lt;"&amp;(B40+1),Leads[Data da conversa presencial executada],"&gt;0")</f>
        <v>0</v>
      </c>
      <c r="F40" s="13">
        <f>IFERROR(AVERAGEIFS(Leads[Tempo de resposta (min)],Leads[CPF],"&lt;&gt;",Leads[Data de entrada],"&gt;="&amp;A40,Leads[Data de entrada],"&lt;"&amp;(B40+1),Leads[Tempo de resposta (min)],"&gt;=0",Leads[Tempo de resposta (min)],"&lt;&gt;"),"")</f>
        <v/>
      </c>
      <c r="G40" s="12">
        <f>COUNTIFS(Leads[CPF],"&lt;&gt;",Leads[Data de entrada],"&gt;="&amp;A40,Leads[Data de entrada],"&lt;"&amp;(B40+1),Leads[Tempo de resposta (min)],"&gt;=0",Leads[Tempo de resposta (min)],"&lt;&gt;")</f>
        <v>0</v>
      </c>
      <c r="H40" s="14">
        <f>IFERROR(D40/C40,"")</f>
        <v/>
      </c>
      <c r="I40" s="14">
        <f>IFERROR(E40/D40,"")</f>
        <v/>
      </c>
      <c r="J40" s="14">
        <f>IFERROR(E40/C40,"")</f>
        <v/>
      </c>
      <c r="K40" s="12">
        <f>COUNTIFS(Leads[CPF],"&lt;&gt;",Leads[Data de entrada],"&gt;="&amp;A40,Leads[Data de entrada],"&lt;"&amp;(B40+1),Leads[Paciente fechou (0/1)],1)</f>
        <v>0</v>
      </c>
      <c r="L40" s="14">
        <f>IFERROR(K40/E40,"")</f>
        <v/>
      </c>
    </row>
    <row r="41" spans="1:12">
      <c r="A41" s="5">
        <f>A40+7</f>
        <v>0</v>
      </c>
      <c r="B41" s="5">
        <f>A41+6</f>
        <v>0</v>
      </c>
      <c r="C41" s="12">
        <f>COUNTIFS(Leads[CPF],"&lt;&gt;",Leads[Data de entrada],"&gt;="&amp;A41,Leads[Data de entrada],"&lt;"&amp;(B41+1))</f>
        <v>0</v>
      </c>
      <c r="D41" s="12">
        <f>COUNTIFS(Leads[CPF],"&lt;&gt;",Leads[Data de entrada],"&gt;="&amp;A41,Leads[Data de entrada],"&lt;"&amp;(B41+1),Leads[Data do agendamento],"&gt;0")</f>
        <v>0</v>
      </c>
      <c r="E41" s="12">
        <f>COUNTIFS(Leads[CPF],"&lt;&gt;",Leads[Data de entrada],"&gt;="&amp;A41,Leads[Data de entrada],"&lt;"&amp;(B41+1),Leads[Data da conversa presencial executada],"&gt;0")</f>
        <v>0</v>
      </c>
      <c r="F41" s="13">
        <f>IFERROR(AVERAGEIFS(Leads[Tempo de resposta (min)],Leads[CPF],"&lt;&gt;",Leads[Data de entrada],"&gt;="&amp;A41,Leads[Data de entrada],"&lt;"&amp;(B41+1),Leads[Tempo de resposta (min)],"&gt;=0",Leads[Tempo de resposta (min)],"&lt;&gt;"),"")</f>
        <v/>
      </c>
      <c r="G41" s="12">
        <f>COUNTIFS(Leads[CPF],"&lt;&gt;",Leads[Data de entrada],"&gt;="&amp;A41,Leads[Data de entrada],"&lt;"&amp;(B41+1),Leads[Tempo de resposta (min)],"&gt;=0",Leads[Tempo de resposta (min)],"&lt;&gt;")</f>
        <v>0</v>
      </c>
      <c r="H41" s="14">
        <f>IFERROR(D41/C41,"")</f>
        <v/>
      </c>
      <c r="I41" s="14">
        <f>IFERROR(E41/D41,"")</f>
        <v/>
      </c>
      <c r="J41" s="14">
        <f>IFERROR(E41/C41,"")</f>
        <v/>
      </c>
      <c r="K41" s="12">
        <f>COUNTIFS(Leads[CPF],"&lt;&gt;",Leads[Data de entrada],"&gt;="&amp;A41,Leads[Data de entrada],"&lt;"&amp;(B41+1),Leads[Paciente fechou (0/1)],1)</f>
        <v>0</v>
      </c>
      <c r="L41" s="14">
        <f>IFERROR(K41/E41,"")</f>
        <v/>
      </c>
    </row>
    <row r="42" spans="1:12">
      <c r="A42" s="5">
        <f>A41+7</f>
        <v>0</v>
      </c>
      <c r="B42" s="5">
        <f>A42+6</f>
        <v>0</v>
      </c>
      <c r="C42" s="12">
        <f>COUNTIFS(Leads[CPF],"&lt;&gt;",Leads[Data de entrada],"&gt;="&amp;A42,Leads[Data de entrada],"&lt;"&amp;(B42+1))</f>
        <v>0</v>
      </c>
      <c r="D42" s="12">
        <f>COUNTIFS(Leads[CPF],"&lt;&gt;",Leads[Data de entrada],"&gt;="&amp;A42,Leads[Data de entrada],"&lt;"&amp;(B42+1),Leads[Data do agendamento],"&gt;0")</f>
        <v>0</v>
      </c>
      <c r="E42" s="12">
        <f>COUNTIFS(Leads[CPF],"&lt;&gt;",Leads[Data de entrada],"&gt;="&amp;A42,Leads[Data de entrada],"&lt;"&amp;(B42+1),Leads[Data da conversa presencial executada],"&gt;0")</f>
        <v>0</v>
      </c>
      <c r="F42" s="13">
        <f>IFERROR(AVERAGEIFS(Leads[Tempo de resposta (min)],Leads[CPF],"&lt;&gt;",Leads[Data de entrada],"&gt;="&amp;A42,Leads[Data de entrada],"&lt;"&amp;(B42+1),Leads[Tempo de resposta (min)],"&gt;=0",Leads[Tempo de resposta (min)],"&lt;&gt;"),"")</f>
        <v/>
      </c>
      <c r="G42" s="12">
        <f>COUNTIFS(Leads[CPF],"&lt;&gt;",Leads[Data de entrada],"&gt;="&amp;A42,Leads[Data de entrada],"&lt;"&amp;(B42+1),Leads[Tempo de resposta (min)],"&gt;=0",Leads[Tempo de resposta (min)],"&lt;&gt;")</f>
        <v>0</v>
      </c>
      <c r="H42" s="14">
        <f>IFERROR(D42/C42,"")</f>
        <v/>
      </c>
      <c r="I42" s="14">
        <f>IFERROR(E42/D42,"")</f>
        <v/>
      </c>
      <c r="J42" s="14">
        <f>IFERROR(E42/C42,"")</f>
        <v/>
      </c>
      <c r="K42" s="12">
        <f>COUNTIFS(Leads[CPF],"&lt;&gt;",Leads[Data de entrada],"&gt;="&amp;A42,Leads[Data de entrada],"&lt;"&amp;(B42+1),Leads[Paciente fechou (0/1)],1)</f>
        <v>0</v>
      </c>
      <c r="L42" s="14">
        <f>IFERROR(K42/E42,"")</f>
        <v/>
      </c>
    </row>
    <row r="43" spans="1:12">
      <c r="A43" s="5">
        <f>A42+7</f>
        <v>0</v>
      </c>
      <c r="B43" s="5">
        <f>A43+6</f>
        <v>0</v>
      </c>
      <c r="C43" s="12">
        <f>COUNTIFS(Leads[CPF],"&lt;&gt;",Leads[Data de entrada],"&gt;="&amp;A43,Leads[Data de entrada],"&lt;"&amp;(B43+1))</f>
        <v>0</v>
      </c>
      <c r="D43" s="12">
        <f>COUNTIFS(Leads[CPF],"&lt;&gt;",Leads[Data de entrada],"&gt;="&amp;A43,Leads[Data de entrada],"&lt;"&amp;(B43+1),Leads[Data do agendamento],"&gt;0")</f>
        <v>0</v>
      </c>
      <c r="E43" s="12">
        <f>COUNTIFS(Leads[CPF],"&lt;&gt;",Leads[Data de entrada],"&gt;="&amp;A43,Leads[Data de entrada],"&lt;"&amp;(B43+1),Leads[Data da conversa presencial executada],"&gt;0")</f>
        <v>0</v>
      </c>
      <c r="F43" s="13">
        <f>IFERROR(AVERAGEIFS(Leads[Tempo de resposta (min)],Leads[CPF],"&lt;&gt;",Leads[Data de entrada],"&gt;="&amp;A43,Leads[Data de entrada],"&lt;"&amp;(B43+1),Leads[Tempo de resposta (min)],"&gt;=0",Leads[Tempo de resposta (min)],"&lt;&gt;"),"")</f>
        <v/>
      </c>
      <c r="G43" s="12">
        <f>COUNTIFS(Leads[CPF],"&lt;&gt;",Leads[Data de entrada],"&gt;="&amp;A43,Leads[Data de entrada],"&lt;"&amp;(B43+1),Leads[Tempo de resposta (min)],"&gt;=0",Leads[Tempo de resposta (min)],"&lt;&gt;")</f>
        <v>0</v>
      </c>
      <c r="H43" s="14">
        <f>IFERROR(D43/C43,"")</f>
        <v/>
      </c>
      <c r="I43" s="14">
        <f>IFERROR(E43/D43,"")</f>
        <v/>
      </c>
      <c r="J43" s="14">
        <f>IFERROR(E43/C43,"")</f>
        <v/>
      </c>
      <c r="K43" s="12">
        <f>COUNTIFS(Leads[CPF],"&lt;&gt;",Leads[Data de entrada],"&gt;="&amp;A43,Leads[Data de entrada],"&lt;"&amp;(B43+1),Leads[Paciente fechou (0/1)],1)</f>
        <v>0</v>
      </c>
      <c r="L43" s="14">
        <f>IFERROR(K43/E43,"")</f>
        <v/>
      </c>
    </row>
    <row r="44" spans="1:12">
      <c r="A44" s="5">
        <f>A43+7</f>
        <v>0</v>
      </c>
      <c r="B44" s="5">
        <f>A44+6</f>
        <v>0</v>
      </c>
      <c r="C44" s="12">
        <f>COUNTIFS(Leads[CPF],"&lt;&gt;",Leads[Data de entrada],"&gt;="&amp;A44,Leads[Data de entrada],"&lt;"&amp;(B44+1))</f>
        <v>0</v>
      </c>
      <c r="D44" s="12">
        <f>COUNTIFS(Leads[CPF],"&lt;&gt;",Leads[Data de entrada],"&gt;="&amp;A44,Leads[Data de entrada],"&lt;"&amp;(B44+1),Leads[Data do agendamento],"&gt;0")</f>
        <v>0</v>
      </c>
      <c r="E44" s="12">
        <f>COUNTIFS(Leads[CPF],"&lt;&gt;",Leads[Data de entrada],"&gt;="&amp;A44,Leads[Data de entrada],"&lt;"&amp;(B44+1),Leads[Data da conversa presencial executada],"&gt;0")</f>
        <v>0</v>
      </c>
      <c r="F44" s="13">
        <f>IFERROR(AVERAGEIFS(Leads[Tempo de resposta (min)],Leads[CPF],"&lt;&gt;",Leads[Data de entrada],"&gt;="&amp;A44,Leads[Data de entrada],"&lt;"&amp;(B44+1),Leads[Tempo de resposta (min)],"&gt;=0",Leads[Tempo de resposta (min)],"&lt;&gt;"),"")</f>
        <v/>
      </c>
      <c r="G44" s="12">
        <f>COUNTIFS(Leads[CPF],"&lt;&gt;",Leads[Data de entrada],"&gt;="&amp;A44,Leads[Data de entrada],"&lt;"&amp;(B44+1),Leads[Tempo de resposta (min)],"&gt;=0",Leads[Tempo de resposta (min)],"&lt;&gt;")</f>
        <v>0</v>
      </c>
      <c r="H44" s="14">
        <f>IFERROR(D44/C44,"")</f>
        <v/>
      </c>
      <c r="I44" s="14">
        <f>IFERROR(E44/D44,"")</f>
        <v/>
      </c>
      <c r="J44" s="14">
        <f>IFERROR(E44/C44,"")</f>
        <v/>
      </c>
      <c r="K44" s="12">
        <f>COUNTIFS(Leads[CPF],"&lt;&gt;",Leads[Data de entrada],"&gt;="&amp;A44,Leads[Data de entrada],"&lt;"&amp;(B44+1),Leads[Paciente fechou (0/1)],1)</f>
        <v>0</v>
      </c>
      <c r="L44" s="14">
        <f>IFERROR(K44/E44,"")</f>
        <v/>
      </c>
    </row>
    <row r="45" spans="1:12">
      <c r="A45" s="5">
        <f>A44+7</f>
        <v>0</v>
      </c>
      <c r="B45" s="5">
        <f>A45+6</f>
        <v>0</v>
      </c>
      <c r="C45" s="12">
        <f>COUNTIFS(Leads[CPF],"&lt;&gt;",Leads[Data de entrada],"&gt;="&amp;A45,Leads[Data de entrada],"&lt;"&amp;(B45+1))</f>
        <v>0</v>
      </c>
      <c r="D45" s="12">
        <f>COUNTIFS(Leads[CPF],"&lt;&gt;",Leads[Data de entrada],"&gt;="&amp;A45,Leads[Data de entrada],"&lt;"&amp;(B45+1),Leads[Data do agendamento],"&gt;0")</f>
        <v>0</v>
      </c>
      <c r="E45" s="12">
        <f>COUNTIFS(Leads[CPF],"&lt;&gt;",Leads[Data de entrada],"&gt;="&amp;A45,Leads[Data de entrada],"&lt;"&amp;(B45+1),Leads[Data da conversa presencial executada],"&gt;0")</f>
        <v>0</v>
      </c>
      <c r="F45" s="13">
        <f>IFERROR(AVERAGEIFS(Leads[Tempo de resposta (min)],Leads[CPF],"&lt;&gt;",Leads[Data de entrada],"&gt;="&amp;A45,Leads[Data de entrada],"&lt;"&amp;(B45+1),Leads[Tempo de resposta (min)],"&gt;=0",Leads[Tempo de resposta (min)],"&lt;&gt;"),"")</f>
        <v/>
      </c>
      <c r="G45" s="12">
        <f>COUNTIFS(Leads[CPF],"&lt;&gt;",Leads[Data de entrada],"&gt;="&amp;A45,Leads[Data de entrada],"&lt;"&amp;(B45+1),Leads[Tempo de resposta (min)],"&gt;=0",Leads[Tempo de resposta (min)],"&lt;&gt;")</f>
        <v>0</v>
      </c>
      <c r="H45" s="14">
        <f>IFERROR(D45/C45,"")</f>
        <v/>
      </c>
      <c r="I45" s="14">
        <f>IFERROR(E45/D45,"")</f>
        <v/>
      </c>
      <c r="J45" s="14">
        <f>IFERROR(E45/C45,"")</f>
        <v/>
      </c>
      <c r="K45" s="12">
        <f>COUNTIFS(Leads[CPF],"&lt;&gt;",Leads[Data de entrada],"&gt;="&amp;A45,Leads[Data de entrada],"&lt;"&amp;(B45+1),Leads[Paciente fechou (0/1)],1)</f>
        <v>0</v>
      </c>
      <c r="L45" s="14">
        <f>IFERROR(K45/E45,"")</f>
        <v/>
      </c>
    </row>
    <row r="46" spans="1:12">
      <c r="A46" s="5">
        <f>A45+7</f>
        <v>0</v>
      </c>
      <c r="B46" s="5">
        <f>A46+6</f>
        <v>0</v>
      </c>
      <c r="C46" s="12">
        <f>COUNTIFS(Leads[CPF],"&lt;&gt;",Leads[Data de entrada],"&gt;="&amp;A46,Leads[Data de entrada],"&lt;"&amp;(B46+1))</f>
        <v>0</v>
      </c>
      <c r="D46" s="12">
        <f>COUNTIFS(Leads[CPF],"&lt;&gt;",Leads[Data de entrada],"&gt;="&amp;A46,Leads[Data de entrada],"&lt;"&amp;(B46+1),Leads[Data do agendamento],"&gt;0")</f>
        <v>0</v>
      </c>
      <c r="E46" s="12">
        <f>COUNTIFS(Leads[CPF],"&lt;&gt;",Leads[Data de entrada],"&gt;="&amp;A46,Leads[Data de entrada],"&lt;"&amp;(B46+1),Leads[Data da conversa presencial executada],"&gt;0")</f>
        <v>0</v>
      </c>
      <c r="F46" s="13">
        <f>IFERROR(AVERAGEIFS(Leads[Tempo de resposta (min)],Leads[CPF],"&lt;&gt;",Leads[Data de entrada],"&gt;="&amp;A46,Leads[Data de entrada],"&lt;"&amp;(B46+1),Leads[Tempo de resposta (min)],"&gt;=0",Leads[Tempo de resposta (min)],"&lt;&gt;"),"")</f>
        <v/>
      </c>
      <c r="G46" s="12">
        <f>COUNTIFS(Leads[CPF],"&lt;&gt;",Leads[Data de entrada],"&gt;="&amp;A46,Leads[Data de entrada],"&lt;"&amp;(B46+1),Leads[Tempo de resposta (min)],"&gt;=0",Leads[Tempo de resposta (min)],"&lt;&gt;")</f>
        <v>0</v>
      </c>
      <c r="H46" s="14">
        <f>IFERROR(D46/C46,"")</f>
        <v/>
      </c>
      <c r="I46" s="14">
        <f>IFERROR(E46/D46,"")</f>
        <v/>
      </c>
      <c r="J46" s="14">
        <f>IFERROR(E46/C46,"")</f>
        <v/>
      </c>
      <c r="K46" s="12">
        <f>COUNTIFS(Leads[CPF],"&lt;&gt;",Leads[Data de entrada],"&gt;="&amp;A46,Leads[Data de entrada],"&lt;"&amp;(B46+1),Leads[Paciente fechou (0/1)],1)</f>
        <v>0</v>
      </c>
      <c r="L46" s="14">
        <f>IFERROR(K46/E46,"")</f>
        <v/>
      </c>
    </row>
    <row r="47" spans="1:12">
      <c r="A47" s="5">
        <f>A46+7</f>
        <v>0</v>
      </c>
      <c r="B47" s="5">
        <f>A47+6</f>
        <v>0</v>
      </c>
      <c r="C47" s="12">
        <f>COUNTIFS(Leads[CPF],"&lt;&gt;",Leads[Data de entrada],"&gt;="&amp;A47,Leads[Data de entrada],"&lt;"&amp;(B47+1))</f>
        <v>0</v>
      </c>
      <c r="D47" s="12">
        <f>COUNTIFS(Leads[CPF],"&lt;&gt;",Leads[Data de entrada],"&gt;="&amp;A47,Leads[Data de entrada],"&lt;"&amp;(B47+1),Leads[Data do agendamento],"&gt;0")</f>
        <v>0</v>
      </c>
      <c r="E47" s="12">
        <f>COUNTIFS(Leads[CPF],"&lt;&gt;",Leads[Data de entrada],"&gt;="&amp;A47,Leads[Data de entrada],"&lt;"&amp;(B47+1),Leads[Data da conversa presencial executada],"&gt;0")</f>
        <v>0</v>
      </c>
      <c r="F47" s="13">
        <f>IFERROR(AVERAGEIFS(Leads[Tempo de resposta (min)],Leads[CPF],"&lt;&gt;",Leads[Data de entrada],"&gt;="&amp;A47,Leads[Data de entrada],"&lt;"&amp;(B47+1),Leads[Tempo de resposta (min)],"&gt;=0",Leads[Tempo de resposta (min)],"&lt;&gt;"),"")</f>
        <v/>
      </c>
      <c r="G47" s="12">
        <f>COUNTIFS(Leads[CPF],"&lt;&gt;",Leads[Data de entrada],"&gt;="&amp;A47,Leads[Data de entrada],"&lt;"&amp;(B47+1),Leads[Tempo de resposta (min)],"&gt;=0",Leads[Tempo de resposta (min)],"&lt;&gt;")</f>
        <v>0</v>
      </c>
      <c r="H47" s="14">
        <f>IFERROR(D47/C47,"")</f>
        <v/>
      </c>
      <c r="I47" s="14">
        <f>IFERROR(E47/D47,"")</f>
        <v/>
      </c>
      <c r="J47" s="14">
        <f>IFERROR(E47/C47,"")</f>
        <v/>
      </c>
      <c r="K47" s="12">
        <f>COUNTIFS(Leads[CPF],"&lt;&gt;",Leads[Data de entrada],"&gt;="&amp;A47,Leads[Data de entrada],"&lt;"&amp;(B47+1),Leads[Paciente fechou (0/1)],1)</f>
        <v>0</v>
      </c>
      <c r="L47" s="14">
        <f>IFERROR(K47/E47,"")</f>
        <v/>
      </c>
    </row>
    <row r="48" spans="1:12">
      <c r="A48" s="5">
        <f>A47+7</f>
        <v>0</v>
      </c>
      <c r="B48" s="5">
        <f>A48+6</f>
        <v>0</v>
      </c>
      <c r="C48" s="12">
        <f>COUNTIFS(Leads[CPF],"&lt;&gt;",Leads[Data de entrada],"&gt;="&amp;A48,Leads[Data de entrada],"&lt;"&amp;(B48+1))</f>
        <v>0</v>
      </c>
      <c r="D48" s="12">
        <f>COUNTIFS(Leads[CPF],"&lt;&gt;",Leads[Data de entrada],"&gt;="&amp;A48,Leads[Data de entrada],"&lt;"&amp;(B48+1),Leads[Data do agendamento],"&gt;0")</f>
        <v>0</v>
      </c>
      <c r="E48" s="12">
        <f>COUNTIFS(Leads[CPF],"&lt;&gt;",Leads[Data de entrada],"&gt;="&amp;A48,Leads[Data de entrada],"&lt;"&amp;(B48+1),Leads[Data da conversa presencial executada],"&gt;0")</f>
        <v>0</v>
      </c>
      <c r="F48" s="13">
        <f>IFERROR(AVERAGEIFS(Leads[Tempo de resposta (min)],Leads[CPF],"&lt;&gt;",Leads[Data de entrada],"&gt;="&amp;A48,Leads[Data de entrada],"&lt;"&amp;(B48+1),Leads[Tempo de resposta (min)],"&gt;=0",Leads[Tempo de resposta (min)],"&lt;&gt;"),"")</f>
        <v/>
      </c>
      <c r="G48" s="12">
        <f>COUNTIFS(Leads[CPF],"&lt;&gt;",Leads[Data de entrada],"&gt;="&amp;A48,Leads[Data de entrada],"&lt;"&amp;(B48+1),Leads[Tempo de resposta (min)],"&gt;=0",Leads[Tempo de resposta (min)],"&lt;&gt;")</f>
        <v>0</v>
      </c>
      <c r="H48" s="14">
        <f>IFERROR(D48/C48,"")</f>
        <v/>
      </c>
      <c r="I48" s="14">
        <f>IFERROR(E48/D48,"")</f>
        <v/>
      </c>
      <c r="J48" s="14">
        <f>IFERROR(E48/C48,"")</f>
        <v/>
      </c>
      <c r="K48" s="12">
        <f>COUNTIFS(Leads[CPF],"&lt;&gt;",Leads[Data de entrada],"&gt;="&amp;A48,Leads[Data de entrada],"&lt;"&amp;(B48+1),Leads[Paciente fechou (0/1)],1)</f>
        <v>0</v>
      </c>
      <c r="L48" s="14">
        <f>IFERROR(K48/E48,"")</f>
        <v/>
      </c>
    </row>
    <row r="49" spans="1:12">
      <c r="A49" s="5">
        <f>A48+7</f>
        <v>0</v>
      </c>
      <c r="B49" s="5">
        <f>A49+6</f>
        <v>0</v>
      </c>
      <c r="C49" s="12">
        <f>COUNTIFS(Leads[CPF],"&lt;&gt;",Leads[Data de entrada],"&gt;="&amp;A49,Leads[Data de entrada],"&lt;"&amp;(B49+1))</f>
        <v>0</v>
      </c>
      <c r="D49" s="12">
        <f>COUNTIFS(Leads[CPF],"&lt;&gt;",Leads[Data de entrada],"&gt;="&amp;A49,Leads[Data de entrada],"&lt;"&amp;(B49+1),Leads[Data do agendamento],"&gt;0")</f>
        <v>0</v>
      </c>
      <c r="E49" s="12">
        <f>COUNTIFS(Leads[CPF],"&lt;&gt;",Leads[Data de entrada],"&gt;="&amp;A49,Leads[Data de entrada],"&lt;"&amp;(B49+1),Leads[Data da conversa presencial executada],"&gt;0")</f>
        <v>0</v>
      </c>
      <c r="F49" s="13">
        <f>IFERROR(AVERAGEIFS(Leads[Tempo de resposta (min)],Leads[CPF],"&lt;&gt;",Leads[Data de entrada],"&gt;="&amp;A49,Leads[Data de entrada],"&lt;"&amp;(B49+1),Leads[Tempo de resposta (min)],"&gt;=0",Leads[Tempo de resposta (min)],"&lt;&gt;"),"")</f>
        <v/>
      </c>
      <c r="G49" s="12">
        <f>COUNTIFS(Leads[CPF],"&lt;&gt;",Leads[Data de entrada],"&gt;="&amp;A49,Leads[Data de entrada],"&lt;"&amp;(B49+1),Leads[Tempo de resposta (min)],"&gt;=0",Leads[Tempo de resposta (min)],"&lt;&gt;")</f>
        <v>0</v>
      </c>
      <c r="H49" s="14">
        <f>IFERROR(D49/C49,"")</f>
        <v/>
      </c>
      <c r="I49" s="14">
        <f>IFERROR(E49/D49,"")</f>
        <v/>
      </c>
      <c r="J49" s="14">
        <f>IFERROR(E49/C49,"")</f>
        <v/>
      </c>
      <c r="K49" s="12">
        <f>COUNTIFS(Leads[CPF],"&lt;&gt;",Leads[Data de entrada],"&gt;="&amp;A49,Leads[Data de entrada],"&lt;"&amp;(B49+1),Leads[Paciente fechou (0/1)],1)</f>
        <v>0</v>
      </c>
      <c r="L49" s="14">
        <f>IFERROR(K49/E49,"")</f>
        <v/>
      </c>
    </row>
    <row r="50" spans="1:12">
      <c r="A50" s="5">
        <f>A49+7</f>
        <v>0</v>
      </c>
      <c r="B50" s="5">
        <f>A50+6</f>
        <v>0</v>
      </c>
      <c r="C50" s="12">
        <f>COUNTIFS(Leads[CPF],"&lt;&gt;",Leads[Data de entrada],"&gt;="&amp;A50,Leads[Data de entrada],"&lt;"&amp;(B50+1))</f>
        <v>0</v>
      </c>
      <c r="D50" s="12">
        <f>COUNTIFS(Leads[CPF],"&lt;&gt;",Leads[Data de entrada],"&gt;="&amp;A50,Leads[Data de entrada],"&lt;"&amp;(B50+1),Leads[Data do agendamento],"&gt;0")</f>
        <v>0</v>
      </c>
      <c r="E50" s="12">
        <f>COUNTIFS(Leads[CPF],"&lt;&gt;",Leads[Data de entrada],"&gt;="&amp;A50,Leads[Data de entrada],"&lt;"&amp;(B50+1),Leads[Data da conversa presencial executada],"&gt;0")</f>
        <v>0</v>
      </c>
      <c r="F50" s="13">
        <f>IFERROR(AVERAGEIFS(Leads[Tempo de resposta (min)],Leads[CPF],"&lt;&gt;",Leads[Data de entrada],"&gt;="&amp;A50,Leads[Data de entrada],"&lt;"&amp;(B50+1),Leads[Tempo de resposta (min)],"&gt;=0",Leads[Tempo de resposta (min)],"&lt;&gt;"),"")</f>
        <v/>
      </c>
      <c r="G50" s="12">
        <f>COUNTIFS(Leads[CPF],"&lt;&gt;",Leads[Data de entrada],"&gt;="&amp;A50,Leads[Data de entrada],"&lt;"&amp;(B50+1),Leads[Tempo de resposta (min)],"&gt;=0",Leads[Tempo de resposta (min)],"&lt;&gt;")</f>
        <v>0</v>
      </c>
      <c r="H50" s="14">
        <f>IFERROR(D50/C50,"")</f>
        <v/>
      </c>
      <c r="I50" s="14">
        <f>IFERROR(E50/D50,"")</f>
        <v/>
      </c>
      <c r="J50" s="14">
        <f>IFERROR(E50/C50,"")</f>
        <v/>
      </c>
      <c r="K50" s="12">
        <f>COUNTIFS(Leads[CPF],"&lt;&gt;",Leads[Data de entrada],"&gt;="&amp;A50,Leads[Data de entrada],"&lt;"&amp;(B50+1),Leads[Paciente fechou (0/1)],1)</f>
        <v>0</v>
      </c>
      <c r="L50" s="14">
        <f>IFERROR(K50/E50,"")</f>
        <v/>
      </c>
    </row>
    <row r="51" spans="1:12">
      <c r="A51" s="5">
        <f>A50+7</f>
        <v>0</v>
      </c>
      <c r="B51" s="5">
        <f>A51+6</f>
        <v>0</v>
      </c>
      <c r="C51" s="12">
        <f>COUNTIFS(Leads[CPF],"&lt;&gt;",Leads[Data de entrada],"&gt;="&amp;A51,Leads[Data de entrada],"&lt;"&amp;(B51+1))</f>
        <v>0</v>
      </c>
      <c r="D51" s="12">
        <f>COUNTIFS(Leads[CPF],"&lt;&gt;",Leads[Data de entrada],"&gt;="&amp;A51,Leads[Data de entrada],"&lt;"&amp;(B51+1),Leads[Data do agendamento],"&gt;0")</f>
        <v>0</v>
      </c>
      <c r="E51" s="12">
        <f>COUNTIFS(Leads[CPF],"&lt;&gt;",Leads[Data de entrada],"&gt;="&amp;A51,Leads[Data de entrada],"&lt;"&amp;(B51+1),Leads[Data da conversa presencial executada],"&gt;0")</f>
        <v>0</v>
      </c>
      <c r="F51" s="13">
        <f>IFERROR(AVERAGEIFS(Leads[Tempo de resposta (min)],Leads[CPF],"&lt;&gt;",Leads[Data de entrada],"&gt;="&amp;A51,Leads[Data de entrada],"&lt;"&amp;(B51+1),Leads[Tempo de resposta (min)],"&gt;=0",Leads[Tempo de resposta (min)],"&lt;&gt;"),"")</f>
        <v/>
      </c>
      <c r="G51" s="12">
        <f>COUNTIFS(Leads[CPF],"&lt;&gt;",Leads[Data de entrada],"&gt;="&amp;A51,Leads[Data de entrada],"&lt;"&amp;(B51+1),Leads[Tempo de resposta (min)],"&gt;=0",Leads[Tempo de resposta (min)],"&lt;&gt;")</f>
        <v>0</v>
      </c>
      <c r="H51" s="14">
        <f>IFERROR(D51/C51,"")</f>
        <v/>
      </c>
      <c r="I51" s="14">
        <f>IFERROR(E51/D51,"")</f>
        <v/>
      </c>
      <c r="J51" s="14">
        <f>IFERROR(E51/C51,"")</f>
        <v/>
      </c>
      <c r="K51" s="12">
        <f>COUNTIFS(Leads[CPF],"&lt;&gt;",Leads[Data de entrada],"&gt;="&amp;A51,Leads[Data de entrada],"&lt;"&amp;(B51+1),Leads[Paciente fechou (0/1)],1)</f>
        <v>0</v>
      </c>
      <c r="L51" s="14">
        <f>IFERROR(K51/E51,"")</f>
        <v/>
      </c>
    </row>
    <row r="52" spans="1:12">
      <c r="A52" s="5">
        <f>A51+7</f>
        <v>0</v>
      </c>
      <c r="B52" s="5">
        <f>A52+6</f>
        <v>0</v>
      </c>
      <c r="C52" s="12">
        <f>COUNTIFS(Leads[CPF],"&lt;&gt;",Leads[Data de entrada],"&gt;="&amp;A52,Leads[Data de entrada],"&lt;"&amp;(B52+1))</f>
        <v>0</v>
      </c>
      <c r="D52" s="12">
        <f>COUNTIFS(Leads[CPF],"&lt;&gt;",Leads[Data de entrada],"&gt;="&amp;A52,Leads[Data de entrada],"&lt;"&amp;(B52+1),Leads[Data do agendamento],"&gt;0")</f>
        <v>0</v>
      </c>
      <c r="E52" s="12">
        <f>COUNTIFS(Leads[CPF],"&lt;&gt;",Leads[Data de entrada],"&gt;="&amp;A52,Leads[Data de entrada],"&lt;"&amp;(B52+1),Leads[Data da conversa presencial executada],"&gt;0")</f>
        <v>0</v>
      </c>
      <c r="F52" s="13">
        <f>IFERROR(AVERAGEIFS(Leads[Tempo de resposta (min)],Leads[CPF],"&lt;&gt;",Leads[Data de entrada],"&gt;="&amp;A52,Leads[Data de entrada],"&lt;"&amp;(B52+1),Leads[Tempo de resposta (min)],"&gt;=0",Leads[Tempo de resposta (min)],"&lt;&gt;"),"")</f>
        <v/>
      </c>
      <c r="G52" s="12">
        <f>COUNTIFS(Leads[CPF],"&lt;&gt;",Leads[Data de entrada],"&gt;="&amp;A52,Leads[Data de entrada],"&lt;"&amp;(B52+1),Leads[Tempo de resposta (min)],"&gt;=0",Leads[Tempo de resposta (min)],"&lt;&gt;")</f>
        <v>0</v>
      </c>
      <c r="H52" s="14">
        <f>IFERROR(D52/C52,"")</f>
        <v/>
      </c>
      <c r="I52" s="14">
        <f>IFERROR(E52/D52,"")</f>
        <v/>
      </c>
      <c r="J52" s="14">
        <f>IFERROR(E52/C52,"")</f>
        <v/>
      </c>
      <c r="K52" s="12">
        <f>COUNTIFS(Leads[CPF],"&lt;&gt;",Leads[Data de entrada],"&gt;="&amp;A52,Leads[Data de entrada],"&lt;"&amp;(B52+1),Leads[Paciente fechou (0/1)],1)</f>
        <v>0</v>
      </c>
      <c r="L52" s="14">
        <f>IFERROR(K52/E52,"")</f>
        <v/>
      </c>
    </row>
    <row r="53" spans="1:12">
      <c r="A53" s="5">
        <f>A52+7</f>
        <v>0</v>
      </c>
      <c r="B53" s="5">
        <f>A53+6</f>
        <v>0</v>
      </c>
      <c r="C53" s="12">
        <f>COUNTIFS(Leads[CPF],"&lt;&gt;",Leads[Data de entrada],"&gt;="&amp;A53,Leads[Data de entrada],"&lt;"&amp;(B53+1))</f>
        <v>0</v>
      </c>
      <c r="D53" s="12">
        <f>COUNTIFS(Leads[CPF],"&lt;&gt;",Leads[Data de entrada],"&gt;="&amp;A53,Leads[Data de entrada],"&lt;"&amp;(B53+1),Leads[Data do agendamento],"&gt;0")</f>
        <v>0</v>
      </c>
      <c r="E53" s="12">
        <f>COUNTIFS(Leads[CPF],"&lt;&gt;",Leads[Data de entrada],"&gt;="&amp;A53,Leads[Data de entrada],"&lt;"&amp;(B53+1),Leads[Data da conversa presencial executada],"&gt;0")</f>
        <v>0</v>
      </c>
      <c r="F53" s="13">
        <f>IFERROR(AVERAGEIFS(Leads[Tempo de resposta (min)],Leads[CPF],"&lt;&gt;",Leads[Data de entrada],"&gt;="&amp;A53,Leads[Data de entrada],"&lt;"&amp;(B53+1),Leads[Tempo de resposta (min)],"&gt;=0",Leads[Tempo de resposta (min)],"&lt;&gt;"),"")</f>
        <v/>
      </c>
      <c r="G53" s="12">
        <f>COUNTIFS(Leads[CPF],"&lt;&gt;",Leads[Data de entrada],"&gt;="&amp;A53,Leads[Data de entrada],"&lt;"&amp;(B53+1),Leads[Tempo de resposta (min)],"&gt;=0",Leads[Tempo de resposta (min)],"&lt;&gt;")</f>
        <v>0</v>
      </c>
      <c r="H53" s="14">
        <f>IFERROR(D53/C53,"")</f>
        <v/>
      </c>
      <c r="I53" s="14">
        <f>IFERROR(E53/D53,"")</f>
        <v/>
      </c>
      <c r="J53" s="14">
        <f>IFERROR(E53/C53,"")</f>
        <v/>
      </c>
      <c r="K53" s="12">
        <f>COUNTIFS(Leads[CPF],"&lt;&gt;",Leads[Data de entrada],"&gt;="&amp;A53,Leads[Data de entrada],"&lt;"&amp;(B53+1),Leads[Paciente fechou (0/1)],1)</f>
        <v>0</v>
      </c>
      <c r="L53" s="14">
        <f>IFERROR(K53/E53,"")</f>
        <v/>
      </c>
    </row>
    <row r="54" spans="1:12">
      <c r="A54" s="5">
        <f>A53+7</f>
        <v>0</v>
      </c>
      <c r="B54" s="5">
        <f>A54+6</f>
        <v>0</v>
      </c>
      <c r="C54" s="12">
        <f>COUNTIFS(Leads[CPF],"&lt;&gt;",Leads[Data de entrada],"&gt;="&amp;A54,Leads[Data de entrada],"&lt;"&amp;(B54+1))</f>
        <v>0</v>
      </c>
      <c r="D54" s="12">
        <f>COUNTIFS(Leads[CPF],"&lt;&gt;",Leads[Data de entrada],"&gt;="&amp;A54,Leads[Data de entrada],"&lt;"&amp;(B54+1),Leads[Data do agendamento],"&gt;0")</f>
        <v>0</v>
      </c>
      <c r="E54" s="12">
        <f>COUNTIFS(Leads[CPF],"&lt;&gt;",Leads[Data de entrada],"&gt;="&amp;A54,Leads[Data de entrada],"&lt;"&amp;(B54+1),Leads[Data da conversa presencial executada],"&gt;0")</f>
        <v>0</v>
      </c>
      <c r="F54" s="13">
        <f>IFERROR(AVERAGEIFS(Leads[Tempo de resposta (min)],Leads[CPF],"&lt;&gt;",Leads[Data de entrada],"&gt;="&amp;A54,Leads[Data de entrada],"&lt;"&amp;(B54+1),Leads[Tempo de resposta (min)],"&gt;=0",Leads[Tempo de resposta (min)],"&lt;&gt;"),"")</f>
        <v/>
      </c>
      <c r="G54" s="12">
        <f>COUNTIFS(Leads[CPF],"&lt;&gt;",Leads[Data de entrada],"&gt;="&amp;A54,Leads[Data de entrada],"&lt;"&amp;(B54+1),Leads[Tempo de resposta (min)],"&gt;=0",Leads[Tempo de resposta (min)],"&lt;&gt;")</f>
        <v>0</v>
      </c>
      <c r="H54" s="14">
        <f>IFERROR(D54/C54,"")</f>
        <v/>
      </c>
      <c r="I54" s="14">
        <f>IFERROR(E54/D54,"")</f>
        <v/>
      </c>
      <c r="J54" s="14">
        <f>IFERROR(E54/C54,"")</f>
        <v/>
      </c>
      <c r="K54" s="12">
        <f>COUNTIFS(Leads[CPF],"&lt;&gt;",Leads[Data de entrada],"&gt;="&amp;A54,Leads[Data de entrada],"&lt;"&amp;(B54+1),Leads[Paciente fechou (0/1)],1)</f>
        <v>0</v>
      </c>
      <c r="L54" s="14">
        <f>IFERROR(K54/E54,"")</f>
        <v/>
      </c>
    </row>
    <row r="55" spans="1:12">
      <c r="A55" s="5">
        <f>A54+7</f>
        <v>0</v>
      </c>
      <c r="B55" s="5">
        <f>A55+6</f>
        <v>0</v>
      </c>
      <c r="C55" s="12">
        <f>COUNTIFS(Leads[CPF],"&lt;&gt;",Leads[Data de entrada],"&gt;="&amp;A55,Leads[Data de entrada],"&lt;"&amp;(B55+1))</f>
        <v>0</v>
      </c>
      <c r="D55" s="12">
        <f>COUNTIFS(Leads[CPF],"&lt;&gt;",Leads[Data de entrada],"&gt;="&amp;A55,Leads[Data de entrada],"&lt;"&amp;(B55+1),Leads[Data do agendamento],"&gt;0")</f>
        <v>0</v>
      </c>
      <c r="E55" s="12">
        <f>COUNTIFS(Leads[CPF],"&lt;&gt;",Leads[Data de entrada],"&gt;="&amp;A55,Leads[Data de entrada],"&lt;"&amp;(B55+1),Leads[Data da conversa presencial executada],"&gt;0")</f>
        <v>0</v>
      </c>
      <c r="F55" s="13">
        <f>IFERROR(AVERAGEIFS(Leads[Tempo de resposta (min)],Leads[CPF],"&lt;&gt;",Leads[Data de entrada],"&gt;="&amp;A55,Leads[Data de entrada],"&lt;"&amp;(B55+1),Leads[Tempo de resposta (min)],"&gt;=0",Leads[Tempo de resposta (min)],"&lt;&gt;"),"")</f>
        <v/>
      </c>
      <c r="G55" s="12">
        <f>COUNTIFS(Leads[CPF],"&lt;&gt;",Leads[Data de entrada],"&gt;="&amp;A55,Leads[Data de entrada],"&lt;"&amp;(B55+1),Leads[Tempo de resposta (min)],"&gt;=0",Leads[Tempo de resposta (min)],"&lt;&gt;")</f>
        <v>0</v>
      </c>
      <c r="H55" s="14">
        <f>IFERROR(D55/C55,"")</f>
        <v/>
      </c>
      <c r="I55" s="14">
        <f>IFERROR(E55/D55,"")</f>
        <v/>
      </c>
      <c r="J55" s="14">
        <f>IFERROR(E55/C55,"")</f>
        <v/>
      </c>
      <c r="K55" s="12">
        <f>COUNTIFS(Leads[CPF],"&lt;&gt;",Leads[Data de entrada],"&gt;="&amp;A55,Leads[Data de entrada],"&lt;"&amp;(B55+1),Leads[Paciente fechou (0/1)],1)</f>
        <v>0</v>
      </c>
      <c r="L55" s="14">
        <f>IFERROR(K55/E55,"")</f>
        <v/>
      </c>
    </row>
    <row r="56" spans="1:12">
      <c r="A56" s="5">
        <f>A55+7</f>
        <v>0</v>
      </c>
      <c r="B56" s="5">
        <f>A56+6</f>
        <v>0</v>
      </c>
      <c r="C56" s="12">
        <f>COUNTIFS(Leads[CPF],"&lt;&gt;",Leads[Data de entrada],"&gt;="&amp;A56,Leads[Data de entrada],"&lt;"&amp;(B56+1))</f>
        <v>0</v>
      </c>
      <c r="D56" s="12">
        <f>COUNTIFS(Leads[CPF],"&lt;&gt;",Leads[Data de entrada],"&gt;="&amp;A56,Leads[Data de entrada],"&lt;"&amp;(B56+1),Leads[Data do agendamento],"&gt;0")</f>
        <v>0</v>
      </c>
      <c r="E56" s="12">
        <f>COUNTIFS(Leads[CPF],"&lt;&gt;",Leads[Data de entrada],"&gt;="&amp;A56,Leads[Data de entrada],"&lt;"&amp;(B56+1),Leads[Data da conversa presencial executada],"&gt;0")</f>
        <v>0</v>
      </c>
      <c r="F56" s="13">
        <f>IFERROR(AVERAGEIFS(Leads[Tempo de resposta (min)],Leads[CPF],"&lt;&gt;",Leads[Data de entrada],"&gt;="&amp;A56,Leads[Data de entrada],"&lt;"&amp;(B56+1),Leads[Tempo de resposta (min)],"&gt;=0",Leads[Tempo de resposta (min)],"&lt;&gt;"),"")</f>
        <v/>
      </c>
      <c r="G56" s="12">
        <f>COUNTIFS(Leads[CPF],"&lt;&gt;",Leads[Data de entrada],"&gt;="&amp;A56,Leads[Data de entrada],"&lt;"&amp;(B56+1),Leads[Tempo de resposta (min)],"&gt;=0",Leads[Tempo de resposta (min)],"&lt;&gt;")</f>
        <v>0</v>
      </c>
      <c r="H56" s="14">
        <f>IFERROR(D56/C56,"")</f>
        <v/>
      </c>
      <c r="I56" s="14">
        <f>IFERROR(E56/D56,"")</f>
        <v/>
      </c>
      <c r="J56" s="14">
        <f>IFERROR(E56/C56,"")</f>
        <v/>
      </c>
      <c r="K56" s="12">
        <f>COUNTIFS(Leads[CPF],"&lt;&gt;",Leads[Data de entrada],"&gt;="&amp;A56,Leads[Data de entrada],"&lt;"&amp;(B56+1),Leads[Paciente fechou (0/1)],1)</f>
        <v>0</v>
      </c>
      <c r="L56" s="14">
        <f>IFERROR(K56/E56,"")</f>
        <v/>
      </c>
    </row>
    <row r="57" spans="1:12">
      <c r="A57" s="5">
        <f>A56+7</f>
        <v>0</v>
      </c>
      <c r="B57" s="5">
        <f>A57+6</f>
        <v>0</v>
      </c>
      <c r="C57" s="12">
        <f>COUNTIFS(Leads[CPF],"&lt;&gt;",Leads[Data de entrada],"&gt;="&amp;A57,Leads[Data de entrada],"&lt;"&amp;(B57+1))</f>
        <v>0</v>
      </c>
      <c r="D57" s="12">
        <f>COUNTIFS(Leads[CPF],"&lt;&gt;",Leads[Data de entrada],"&gt;="&amp;A57,Leads[Data de entrada],"&lt;"&amp;(B57+1),Leads[Data do agendamento],"&gt;0")</f>
        <v>0</v>
      </c>
      <c r="E57" s="12">
        <f>COUNTIFS(Leads[CPF],"&lt;&gt;",Leads[Data de entrada],"&gt;="&amp;A57,Leads[Data de entrada],"&lt;"&amp;(B57+1),Leads[Data da conversa presencial executada],"&gt;0")</f>
        <v>0</v>
      </c>
      <c r="F57" s="13">
        <f>IFERROR(AVERAGEIFS(Leads[Tempo de resposta (min)],Leads[CPF],"&lt;&gt;",Leads[Data de entrada],"&gt;="&amp;A57,Leads[Data de entrada],"&lt;"&amp;(B57+1),Leads[Tempo de resposta (min)],"&gt;=0",Leads[Tempo de resposta (min)],"&lt;&gt;"),"")</f>
        <v/>
      </c>
      <c r="G57" s="12">
        <f>COUNTIFS(Leads[CPF],"&lt;&gt;",Leads[Data de entrada],"&gt;="&amp;A57,Leads[Data de entrada],"&lt;"&amp;(B57+1),Leads[Tempo de resposta (min)],"&gt;=0",Leads[Tempo de resposta (min)],"&lt;&gt;")</f>
        <v>0</v>
      </c>
      <c r="H57" s="14">
        <f>IFERROR(D57/C57,"")</f>
        <v/>
      </c>
      <c r="I57" s="14">
        <f>IFERROR(E57/D57,"")</f>
        <v/>
      </c>
      <c r="J57" s="14">
        <f>IFERROR(E57/C57,"")</f>
        <v/>
      </c>
      <c r="K57" s="12">
        <f>COUNTIFS(Leads[CPF],"&lt;&gt;",Leads[Data de entrada],"&gt;="&amp;A57,Leads[Data de entrada],"&lt;"&amp;(B57+1),Leads[Paciente fechou (0/1)],1)</f>
        <v>0</v>
      </c>
      <c r="L57" s="14">
        <f>IFERROR(K57/E57,"")</f>
        <v/>
      </c>
    </row>
    <row r="58" spans="1:12">
      <c r="A58" s="5">
        <f>A57+7</f>
        <v>0</v>
      </c>
      <c r="B58" s="5">
        <f>A58+6</f>
        <v>0</v>
      </c>
      <c r="C58" s="12">
        <f>COUNTIFS(Leads[CPF],"&lt;&gt;",Leads[Data de entrada],"&gt;="&amp;A58,Leads[Data de entrada],"&lt;"&amp;(B58+1))</f>
        <v>0</v>
      </c>
      <c r="D58" s="12">
        <f>COUNTIFS(Leads[CPF],"&lt;&gt;",Leads[Data de entrada],"&gt;="&amp;A58,Leads[Data de entrada],"&lt;"&amp;(B58+1),Leads[Data do agendamento],"&gt;0")</f>
        <v>0</v>
      </c>
      <c r="E58" s="12">
        <f>COUNTIFS(Leads[CPF],"&lt;&gt;",Leads[Data de entrada],"&gt;="&amp;A58,Leads[Data de entrada],"&lt;"&amp;(B58+1),Leads[Data da conversa presencial executada],"&gt;0")</f>
        <v>0</v>
      </c>
      <c r="F58" s="13">
        <f>IFERROR(AVERAGEIFS(Leads[Tempo de resposta (min)],Leads[CPF],"&lt;&gt;",Leads[Data de entrada],"&gt;="&amp;A58,Leads[Data de entrada],"&lt;"&amp;(B58+1),Leads[Tempo de resposta (min)],"&gt;=0",Leads[Tempo de resposta (min)],"&lt;&gt;"),"")</f>
        <v/>
      </c>
      <c r="G58" s="12">
        <f>COUNTIFS(Leads[CPF],"&lt;&gt;",Leads[Data de entrada],"&gt;="&amp;A58,Leads[Data de entrada],"&lt;"&amp;(B58+1),Leads[Tempo de resposta (min)],"&gt;=0",Leads[Tempo de resposta (min)],"&lt;&gt;")</f>
        <v>0</v>
      </c>
      <c r="H58" s="14">
        <f>IFERROR(D58/C58,"")</f>
        <v/>
      </c>
      <c r="I58" s="14">
        <f>IFERROR(E58/D58,"")</f>
        <v/>
      </c>
      <c r="J58" s="14">
        <f>IFERROR(E58/C58,"")</f>
        <v/>
      </c>
      <c r="K58" s="12">
        <f>COUNTIFS(Leads[CPF],"&lt;&gt;",Leads[Data de entrada],"&gt;="&amp;A58,Leads[Data de entrada],"&lt;"&amp;(B58+1),Leads[Paciente fechou (0/1)],1)</f>
        <v>0</v>
      </c>
      <c r="L58" s="14">
        <f>IFERROR(K58/E58,"")</f>
        <v/>
      </c>
    </row>
    <row r="59" spans="1:12">
      <c r="A59" s="5">
        <f>A58+7</f>
        <v>0</v>
      </c>
      <c r="B59" s="5">
        <f>A59+6</f>
        <v>0</v>
      </c>
      <c r="C59" s="12">
        <f>COUNTIFS(Leads[CPF],"&lt;&gt;",Leads[Data de entrada],"&gt;="&amp;A59,Leads[Data de entrada],"&lt;"&amp;(B59+1))</f>
        <v>0</v>
      </c>
      <c r="D59" s="12">
        <f>COUNTIFS(Leads[CPF],"&lt;&gt;",Leads[Data de entrada],"&gt;="&amp;A59,Leads[Data de entrada],"&lt;"&amp;(B59+1),Leads[Data do agendamento],"&gt;0")</f>
        <v>0</v>
      </c>
      <c r="E59" s="12">
        <f>COUNTIFS(Leads[CPF],"&lt;&gt;",Leads[Data de entrada],"&gt;="&amp;A59,Leads[Data de entrada],"&lt;"&amp;(B59+1),Leads[Data da conversa presencial executada],"&gt;0")</f>
        <v>0</v>
      </c>
      <c r="F59" s="13">
        <f>IFERROR(AVERAGEIFS(Leads[Tempo de resposta (min)],Leads[CPF],"&lt;&gt;",Leads[Data de entrada],"&gt;="&amp;A59,Leads[Data de entrada],"&lt;"&amp;(B59+1),Leads[Tempo de resposta (min)],"&gt;=0",Leads[Tempo de resposta (min)],"&lt;&gt;"),"")</f>
        <v/>
      </c>
      <c r="G59" s="12">
        <f>COUNTIFS(Leads[CPF],"&lt;&gt;",Leads[Data de entrada],"&gt;="&amp;A59,Leads[Data de entrada],"&lt;"&amp;(B59+1),Leads[Tempo de resposta (min)],"&gt;=0",Leads[Tempo de resposta (min)],"&lt;&gt;")</f>
        <v>0</v>
      </c>
      <c r="H59" s="14">
        <f>IFERROR(D59/C59,"")</f>
        <v/>
      </c>
      <c r="I59" s="14">
        <f>IFERROR(E59/D59,"")</f>
        <v/>
      </c>
      <c r="J59" s="14">
        <f>IFERROR(E59/C59,"")</f>
        <v/>
      </c>
      <c r="K59" s="12">
        <f>COUNTIFS(Leads[CPF],"&lt;&gt;",Leads[Data de entrada],"&gt;="&amp;A59,Leads[Data de entrada],"&lt;"&amp;(B59+1),Leads[Paciente fechou (0/1)],1)</f>
        <v>0</v>
      </c>
      <c r="L59" s="14">
        <f>IFERROR(K59/E59,"")</f>
        <v/>
      </c>
    </row>
    <row r="60" spans="1:12">
      <c r="A60" s="5">
        <f>A59+7</f>
        <v>0</v>
      </c>
      <c r="B60" s="5">
        <f>A60+6</f>
        <v>0</v>
      </c>
      <c r="C60" s="12">
        <f>COUNTIFS(Leads[CPF],"&lt;&gt;",Leads[Data de entrada],"&gt;="&amp;A60,Leads[Data de entrada],"&lt;"&amp;(B60+1))</f>
        <v>0</v>
      </c>
      <c r="D60" s="12">
        <f>COUNTIFS(Leads[CPF],"&lt;&gt;",Leads[Data de entrada],"&gt;="&amp;A60,Leads[Data de entrada],"&lt;"&amp;(B60+1),Leads[Data do agendamento],"&gt;0")</f>
        <v>0</v>
      </c>
      <c r="E60" s="12">
        <f>COUNTIFS(Leads[CPF],"&lt;&gt;",Leads[Data de entrada],"&gt;="&amp;A60,Leads[Data de entrada],"&lt;"&amp;(B60+1),Leads[Data da conversa presencial executada],"&gt;0")</f>
        <v>0</v>
      </c>
      <c r="F60" s="13">
        <f>IFERROR(AVERAGEIFS(Leads[Tempo de resposta (min)],Leads[CPF],"&lt;&gt;",Leads[Data de entrada],"&gt;="&amp;A60,Leads[Data de entrada],"&lt;"&amp;(B60+1),Leads[Tempo de resposta (min)],"&gt;=0",Leads[Tempo de resposta (min)],"&lt;&gt;"),"")</f>
        <v/>
      </c>
      <c r="G60" s="12">
        <f>COUNTIFS(Leads[CPF],"&lt;&gt;",Leads[Data de entrada],"&gt;="&amp;A60,Leads[Data de entrada],"&lt;"&amp;(B60+1),Leads[Tempo de resposta (min)],"&gt;=0",Leads[Tempo de resposta (min)],"&lt;&gt;")</f>
        <v>0</v>
      </c>
      <c r="H60" s="14">
        <f>IFERROR(D60/C60,"")</f>
        <v/>
      </c>
      <c r="I60" s="14">
        <f>IFERROR(E60/D60,"")</f>
        <v/>
      </c>
      <c r="J60" s="14">
        <f>IFERROR(E60/C60,"")</f>
        <v/>
      </c>
      <c r="K60" s="12">
        <f>COUNTIFS(Leads[CPF],"&lt;&gt;",Leads[Data de entrada],"&gt;="&amp;A60,Leads[Data de entrada],"&lt;"&amp;(B60+1),Leads[Paciente fechou (0/1)],1)</f>
        <v>0</v>
      </c>
      <c r="L60" s="14">
        <f>IFERROR(K60/E60,"")</f>
        <v/>
      </c>
    </row>
    <row r="61" spans="1:12">
      <c r="A61" s="5">
        <f>A60+7</f>
        <v>0</v>
      </c>
      <c r="B61" s="5">
        <f>A61+6</f>
        <v>0</v>
      </c>
      <c r="C61" s="12">
        <f>COUNTIFS(Leads[CPF],"&lt;&gt;",Leads[Data de entrada],"&gt;="&amp;A61,Leads[Data de entrada],"&lt;"&amp;(B61+1))</f>
        <v>0</v>
      </c>
      <c r="D61" s="12">
        <f>COUNTIFS(Leads[CPF],"&lt;&gt;",Leads[Data de entrada],"&gt;="&amp;A61,Leads[Data de entrada],"&lt;"&amp;(B61+1),Leads[Data do agendamento],"&gt;0")</f>
        <v>0</v>
      </c>
      <c r="E61" s="12">
        <f>COUNTIFS(Leads[CPF],"&lt;&gt;",Leads[Data de entrada],"&gt;="&amp;A61,Leads[Data de entrada],"&lt;"&amp;(B61+1),Leads[Data da conversa presencial executada],"&gt;0")</f>
        <v>0</v>
      </c>
      <c r="F61" s="13">
        <f>IFERROR(AVERAGEIFS(Leads[Tempo de resposta (min)],Leads[CPF],"&lt;&gt;",Leads[Data de entrada],"&gt;="&amp;A61,Leads[Data de entrada],"&lt;"&amp;(B61+1),Leads[Tempo de resposta (min)],"&gt;=0",Leads[Tempo de resposta (min)],"&lt;&gt;"),"")</f>
        <v/>
      </c>
      <c r="G61" s="12">
        <f>COUNTIFS(Leads[CPF],"&lt;&gt;",Leads[Data de entrada],"&gt;="&amp;A61,Leads[Data de entrada],"&lt;"&amp;(B61+1),Leads[Tempo de resposta (min)],"&gt;=0",Leads[Tempo de resposta (min)],"&lt;&gt;")</f>
        <v>0</v>
      </c>
      <c r="H61" s="14">
        <f>IFERROR(D61/C61,"")</f>
        <v/>
      </c>
      <c r="I61" s="14">
        <f>IFERROR(E61/D61,"")</f>
        <v/>
      </c>
      <c r="J61" s="14">
        <f>IFERROR(E61/C61,"")</f>
        <v/>
      </c>
      <c r="K61" s="12">
        <f>COUNTIFS(Leads[CPF],"&lt;&gt;",Leads[Data de entrada],"&gt;="&amp;A61,Leads[Data de entrada],"&lt;"&amp;(B61+1),Leads[Paciente fechou (0/1)],1)</f>
        <v>0</v>
      </c>
      <c r="L61" s="14">
        <f>IFERROR(K61/E61,"")</f>
        <v/>
      </c>
    </row>
    <row r="62" spans="1:12">
      <c r="A62" s="5">
        <f>A61+7</f>
        <v>0</v>
      </c>
      <c r="B62" s="5">
        <f>A62+6</f>
        <v>0</v>
      </c>
      <c r="C62" s="12">
        <f>COUNTIFS(Leads[CPF],"&lt;&gt;",Leads[Data de entrada],"&gt;="&amp;A62,Leads[Data de entrada],"&lt;"&amp;(B62+1))</f>
        <v>0</v>
      </c>
      <c r="D62" s="12">
        <f>COUNTIFS(Leads[CPF],"&lt;&gt;",Leads[Data de entrada],"&gt;="&amp;A62,Leads[Data de entrada],"&lt;"&amp;(B62+1),Leads[Data do agendamento],"&gt;0")</f>
        <v>0</v>
      </c>
      <c r="E62" s="12">
        <f>COUNTIFS(Leads[CPF],"&lt;&gt;",Leads[Data de entrada],"&gt;="&amp;A62,Leads[Data de entrada],"&lt;"&amp;(B62+1),Leads[Data da conversa presencial executada],"&gt;0")</f>
        <v>0</v>
      </c>
      <c r="F62" s="13">
        <f>IFERROR(AVERAGEIFS(Leads[Tempo de resposta (min)],Leads[CPF],"&lt;&gt;",Leads[Data de entrada],"&gt;="&amp;A62,Leads[Data de entrada],"&lt;"&amp;(B62+1),Leads[Tempo de resposta (min)],"&gt;=0",Leads[Tempo de resposta (min)],"&lt;&gt;"),"")</f>
        <v/>
      </c>
      <c r="G62" s="12">
        <f>COUNTIFS(Leads[CPF],"&lt;&gt;",Leads[Data de entrada],"&gt;="&amp;A62,Leads[Data de entrada],"&lt;"&amp;(B62+1),Leads[Tempo de resposta (min)],"&gt;=0",Leads[Tempo de resposta (min)],"&lt;&gt;")</f>
        <v>0</v>
      </c>
      <c r="H62" s="14">
        <f>IFERROR(D62/C62,"")</f>
        <v/>
      </c>
      <c r="I62" s="14">
        <f>IFERROR(E62/D62,"")</f>
        <v/>
      </c>
      <c r="J62" s="14">
        <f>IFERROR(E62/C62,"")</f>
        <v/>
      </c>
      <c r="K62" s="12">
        <f>COUNTIFS(Leads[CPF],"&lt;&gt;",Leads[Data de entrada],"&gt;="&amp;A62,Leads[Data de entrada],"&lt;"&amp;(B62+1),Leads[Paciente fechou (0/1)],1)</f>
        <v>0</v>
      </c>
      <c r="L62" s="14">
        <f>IFERROR(K62/E62,"")</f>
        <v/>
      </c>
    </row>
    <row r="63" spans="1:12">
      <c r="A63" s="5">
        <f>A62+7</f>
        <v>0</v>
      </c>
      <c r="B63" s="5">
        <f>A63+6</f>
        <v>0</v>
      </c>
      <c r="C63" s="12">
        <f>COUNTIFS(Leads[CPF],"&lt;&gt;",Leads[Data de entrada],"&gt;="&amp;A63,Leads[Data de entrada],"&lt;"&amp;(B63+1))</f>
        <v>0</v>
      </c>
      <c r="D63" s="12">
        <f>COUNTIFS(Leads[CPF],"&lt;&gt;",Leads[Data de entrada],"&gt;="&amp;A63,Leads[Data de entrada],"&lt;"&amp;(B63+1),Leads[Data do agendamento],"&gt;0")</f>
        <v>0</v>
      </c>
      <c r="E63" s="12">
        <f>COUNTIFS(Leads[CPF],"&lt;&gt;",Leads[Data de entrada],"&gt;="&amp;A63,Leads[Data de entrada],"&lt;"&amp;(B63+1),Leads[Data da conversa presencial executada],"&gt;0")</f>
        <v>0</v>
      </c>
      <c r="F63" s="13">
        <f>IFERROR(AVERAGEIFS(Leads[Tempo de resposta (min)],Leads[CPF],"&lt;&gt;",Leads[Data de entrada],"&gt;="&amp;A63,Leads[Data de entrada],"&lt;"&amp;(B63+1),Leads[Tempo de resposta (min)],"&gt;=0",Leads[Tempo de resposta (min)],"&lt;&gt;"),"")</f>
        <v/>
      </c>
      <c r="G63" s="12">
        <f>COUNTIFS(Leads[CPF],"&lt;&gt;",Leads[Data de entrada],"&gt;="&amp;A63,Leads[Data de entrada],"&lt;"&amp;(B63+1),Leads[Tempo de resposta (min)],"&gt;=0",Leads[Tempo de resposta (min)],"&lt;&gt;")</f>
        <v>0</v>
      </c>
      <c r="H63" s="14">
        <f>IFERROR(D63/C63,"")</f>
        <v/>
      </c>
      <c r="I63" s="14">
        <f>IFERROR(E63/D63,"")</f>
        <v/>
      </c>
      <c r="J63" s="14">
        <f>IFERROR(E63/C63,"")</f>
        <v/>
      </c>
      <c r="K63" s="12">
        <f>COUNTIFS(Leads[CPF],"&lt;&gt;",Leads[Data de entrada],"&gt;="&amp;A63,Leads[Data de entrada],"&lt;"&amp;(B63+1),Leads[Paciente fechou (0/1)],1)</f>
        <v>0</v>
      </c>
      <c r="L63" s="14">
        <f>IFERROR(K63/E63,"")</f>
        <v/>
      </c>
    </row>
    <row r="64" spans="1:12">
      <c r="A64" s="5">
        <f>A63+7</f>
        <v>0</v>
      </c>
      <c r="B64" s="5">
        <f>A64+6</f>
        <v>0</v>
      </c>
      <c r="C64" s="12">
        <f>COUNTIFS(Leads[CPF],"&lt;&gt;",Leads[Data de entrada],"&gt;="&amp;A64,Leads[Data de entrada],"&lt;"&amp;(B64+1))</f>
        <v>0</v>
      </c>
      <c r="D64" s="12">
        <f>COUNTIFS(Leads[CPF],"&lt;&gt;",Leads[Data de entrada],"&gt;="&amp;A64,Leads[Data de entrada],"&lt;"&amp;(B64+1),Leads[Data do agendamento],"&gt;0")</f>
        <v>0</v>
      </c>
      <c r="E64" s="12">
        <f>COUNTIFS(Leads[CPF],"&lt;&gt;",Leads[Data de entrada],"&gt;="&amp;A64,Leads[Data de entrada],"&lt;"&amp;(B64+1),Leads[Data da conversa presencial executada],"&gt;0")</f>
        <v>0</v>
      </c>
      <c r="F64" s="13">
        <f>IFERROR(AVERAGEIFS(Leads[Tempo de resposta (min)],Leads[CPF],"&lt;&gt;",Leads[Data de entrada],"&gt;="&amp;A64,Leads[Data de entrada],"&lt;"&amp;(B64+1),Leads[Tempo de resposta (min)],"&gt;=0",Leads[Tempo de resposta (min)],"&lt;&gt;"),"")</f>
        <v/>
      </c>
      <c r="G64" s="12">
        <f>COUNTIFS(Leads[CPF],"&lt;&gt;",Leads[Data de entrada],"&gt;="&amp;A64,Leads[Data de entrada],"&lt;"&amp;(B64+1),Leads[Tempo de resposta (min)],"&gt;=0",Leads[Tempo de resposta (min)],"&lt;&gt;")</f>
        <v>0</v>
      </c>
      <c r="H64" s="14">
        <f>IFERROR(D64/C64,"")</f>
        <v/>
      </c>
      <c r="I64" s="14">
        <f>IFERROR(E64/D64,"")</f>
        <v/>
      </c>
      <c r="J64" s="14">
        <f>IFERROR(E64/C64,"")</f>
        <v/>
      </c>
      <c r="K64" s="12">
        <f>COUNTIFS(Leads[CPF],"&lt;&gt;",Leads[Data de entrada],"&gt;="&amp;A64,Leads[Data de entrada],"&lt;"&amp;(B64+1),Leads[Paciente fechou (0/1)],1)</f>
        <v>0</v>
      </c>
      <c r="L64" s="14">
        <f>IFERROR(K64/E64,"")</f>
        <v/>
      </c>
    </row>
    <row r="65" spans="1:12">
      <c r="A65" s="5">
        <f>A64+7</f>
        <v>0</v>
      </c>
      <c r="B65" s="5">
        <f>A65+6</f>
        <v>0</v>
      </c>
      <c r="C65" s="12">
        <f>COUNTIFS(Leads[CPF],"&lt;&gt;",Leads[Data de entrada],"&gt;="&amp;A65,Leads[Data de entrada],"&lt;"&amp;(B65+1))</f>
        <v>0</v>
      </c>
      <c r="D65" s="12">
        <f>COUNTIFS(Leads[CPF],"&lt;&gt;",Leads[Data de entrada],"&gt;="&amp;A65,Leads[Data de entrada],"&lt;"&amp;(B65+1),Leads[Data do agendamento],"&gt;0")</f>
        <v>0</v>
      </c>
      <c r="E65" s="12">
        <f>COUNTIFS(Leads[CPF],"&lt;&gt;",Leads[Data de entrada],"&gt;="&amp;A65,Leads[Data de entrada],"&lt;"&amp;(B65+1),Leads[Data da conversa presencial executada],"&gt;0")</f>
        <v>0</v>
      </c>
      <c r="F65" s="13">
        <f>IFERROR(AVERAGEIFS(Leads[Tempo de resposta (min)],Leads[CPF],"&lt;&gt;",Leads[Data de entrada],"&gt;="&amp;A65,Leads[Data de entrada],"&lt;"&amp;(B65+1),Leads[Tempo de resposta (min)],"&gt;=0",Leads[Tempo de resposta (min)],"&lt;&gt;"),"")</f>
        <v/>
      </c>
      <c r="G65" s="12">
        <f>COUNTIFS(Leads[CPF],"&lt;&gt;",Leads[Data de entrada],"&gt;="&amp;A65,Leads[Data de entrada],"&lt;"&amp;(B65+1),Leads[Tempo de resposta (min)],"&gt;=0",Leads[Tempo de resposta (min)],"&lt;&gt;")</f>
        <v>0</v>
      </c>
      <c r="H65" s="14">
        <f>IFERROR(D65/C65,"")</f>
        <v/>
      </c>
      <c r="I65" s="14">
        <f>IFERROR(E65/D65,"")</f>
        <v/>
      </c>
      <c r="J65" s="14">
        <f>IFERROR(E65/C65,"")</f>
        <v/>
      </c>
      <c r="K65" s="12">
        <f>COUNTIFS(Leads[CPF],"&lt;&gt;",Leads[Data de entrada],"&gt;="&amp;A65,Leads[Data de entrada],"&lt;"&amp;(B65+1),Leads[Paciente fechou (0/1)],1)</f>
        <v>0</v>
      </c>
      <c r="L65" s="14">
        <f>IFERROR(K65/E65,"")</f>
        <v/>
      </c>
    </row>
    <row r="66" spans="1:12">
      <c r="A66" s="5">
        <f>A65+7</f>
        <v>0</v>
      </c>
      <c r="B66" s="5">
        <f>A66+6</f>
        <v>0</v>
      </c>
      <c r="C66" s="12">
        <f>COUNTIFS(Leads[CPF],"&lt;&gt;",Leads[Data de entrada],"&gt;="&amp;A66,Leads[Data de entrada],"&lt;"&amp;(B66+1))</f>
        <v>0</v>
      </c>
      <c r="D66" s="12">
        <f>COUNTIFS(Leads[CPF],"&lt;&gt;",Leads[Data de entrada],"&gt;="&amp;A66,Leads[Data de entrada],"&lt;"&amp;(B66+1),Leads[Data do agendamento],"&gt;0")</f>
        <v>0</v>
      </c>
      <c r="E66" s="12">
        <f>COUNTIFS(Leads[CPF],"&lt;&gt;",Leads[Data de entrada],"&gt;="&amp;A66,Leads[Data de entrada],"&lt;"&amp;(B66+1),Leads[Data da conversa presencial executada],"&gt;0")</f>
        <v>0</v>
      </c>
      <c r="F66" s="13">
        <f>IFERROR(AVERAGEIFS(Leads[Tempo de resposta (min)],Leads[CPF],"&lt;&gt;",Leads[Data de entrada],"&gt;="&amp;A66,Leads[Data de entrada],"&lt;"&amp;(B66+1),Leads[Tempo de resposta (min)],"&gt;=0",Leads[Tempo de resposta (min)],"&lt;&gt;"),"")</f>
        <v/>
      </c>
      <c r="G66" s="12">
        <f>COUNTIFS(Leads[CPF],"&lt;&gt;",Leads[Data de entrada],"&gt;="&amp;A66,Leads[Data de entrada],"&lt;"&amp;(B66+1),Leads[Tempo de resposta (min)],"&gt;=0",Leads[Tempo de resposta (min)],"&lt;&gt;")</f>
        <v>0</v>
      </c>
      <c r="H66" s="14">
        <f>IFERROR(D66/C66,"")</f>
        <v/>
      </c>
      <c r="I66" s="14">
        <f>IFERROR(E66/D66,"")</f>
        <v/>
      </c>
      <c r="J66" s="14">
        <f>IFERROR(E66/C66,"")</f>
        <v/>
      </c>
      <c r="K66" s="12">
        <f>COUNTIFS(Leads[CPF],"&lt;&gt;",Leads[Data de entrada],"&gt;="&amp;A66,Leads[Data de entrada],"&lt;"&amp;(B66+1),Leads[Paciente fechou (0/1)],1)</f>
        <v>0</v>
      </c>
      <c r="L66" s="14">
        <f>IFERROR(K66/E66,"")</f>
        <v/>
      </c>
    </row>
    <row r="67" spans="1:12">
      <c r="A67" s="5">
        <f>A66+7</f>
        <v>0</v>
      </c>
      <c r="B67" s="5">
        <f>A67+6</f>
        <v>0</v>
      </c>
      <c r="C67" s="12">
        <f>COUNTIFS(Leads[CPF],"&lt;&gt;",Leads[Data de entrada],"&gt;="&amp;A67,Leads[Data de entrada],"&lt;"&amp;(B67+1))</f>
        <v>0</v>
      </c>
      <c r="D67" s="12">
        <f>COUNTIFS(Leads[CPF],"&lt;&gt;",Leads[Data de entrada],"&gt;="&amp;A67,Leads[Data de entrada],"&lt;"&amp;(B67+1),Leads[Data do agendamento],"&gt;0")</f>
        <v>0</v>
      </c>
      <c r="E67" s="12">
        <f>COUNTIFS(Leads[CPF],"&lt;&gt;",Leads[Data de entrada],"&gt;="&amp;A67,Leads[Data de entrada],"&lt;"&amp;(B67+1),Leads[Data da conversa presencial executada],"&gt;0")</f>
        <v>0</v>
      </c>
      <c r="F67" s="13">
        <f>IFERROR(AVERAGEIFS(Leads[Tempo de resposta (min)],Leads[CPF],"&lt;&gt;",Leads[Data de entrada],"&gt;="&amp;A67,Leads[Data de entrada],"&lt;"&amp;(B67+1),Leads[Tempo de resposta (min)],"&gt;=0",Leads[Tempo de resposta (min)],"&lt;&gt;"),"")</f>
        <v/>
      </c>
      <c r="G67" s="12">
        <f>COUNTIFS(Leads[CPF],"&lt;&gt;",Leads[Data de entrada],"&gt;="&amp;A67,Leads[Data de entrada],"&lt;"&amp;(B67+1),Leads[Tempo de resposta (min)],"&gt;=0",Leads[Tempo de resposta (min)],"&lt;&gt;")</f>
        <v>0</v>
      </c>
      <c r="H67" s="14">
        <f>IFERROR(D67/C67,"")</f>
        <v/>
      </c>
      <c r="I67" s="14">
        <f>IFERROR(E67/D67,"")</f>
        <v/>
      </c>
      <c r="J67" s="14">
        <f>IFERROR(E67/C67,"")</f>
        <v/>
      </c>
      <c r="K67" s="12">
        <f>COUNTIFS(Leads[CPF],"&lt;&gt;",Leads[Data de entrada],"&gt;="&amp;A67,Leads[Data de entrada],"&lt;"&amp;(B67+1),Leads[Paciente fechou (0/1)],1)</f>
        <v>0</v>
      </c>
      <c r="L67" s="14">
        <f>IFERROR(K67/E67,"")</f>
        <v/>
      </c>
    </row>
    <row r="68" spans="1:12">
      <c r="A68" s="5">
        <f>A67+7</f>
        <v>0</v>
      </c>
      <c r="B68" s="5">
        <f>A68+6</f>
        <v>0</v>
      </c>
      <c r="C68" s="12">
        <f>COUNTIFS(Leads[CPF],"&lt;&gt;",Leads[Data de entrada],"&gt;="&amp;A68,Leads[Data de entrada],"&lt;"&amp;(B68+1))</f>
        <v>0</v>
      </c>
      <c r="D68" s="12">
        <f>COUNTIFS(Leads[CPF],"&lt;&gt;",Leads[Data de entrada],"&gt;="&amp;A68,Leads[Data de entrada],"&lt;"&amp;(B68+1),Leads[Data do agendamento],"&gt;0")</f>
        <v>0</v>
      </c>
      <c r="E68" s="12">
        <f>COUNTIFS(Leads[CPF],"&lt;&gt;",Leads[Data de entrada],"&gt;="&amp;A68,Leads[Data de entrada],"&lt;"&amp;(B68+1),Leads[Data da conversa presencial executada],"&gt;0")</f>
        <v>0</v>
      </c>
      <c r="F68" s="13">
        <f>IFERROR(AVERAGEIFS(Leads[Tempo de resposta (min)],Leads[CPF],"&lt;&gt;",Leads[Data de entrada],"&gt;="&amp;A68,Leads[Data de entrada],"&lt;"&amp;(B68+1),Leads[Tempo de resposta (min)],"&gt;=0",Leads[Tempo de resposta (min)],"&lt;&gt;"),"")</f>
        <v/>
      </c>
      <c r="G68" s="12">
        <f>COUNTIFS(Leads[CPF],"&lt;&gt;",Leads[Data de entrada],"&gt;="&amp;A68,Leads[Data de entrada],"&lt;"&amp;(B68+1),Leads[Tempo de resposta (min)],"&gt;=0",Leads[Tempo de resposta (min)],"&lt;&gt;")</f>
        <v>0</v>
      </c>
      <c r="H68" s="14">
        <f>IFERROR(D68/C68,"")</f>
        <v/>
      </c>
      <c r="I68" s="14">
        <f>IFERROR(E68/D68,"")</f>
        <v/>
      </c>
      <c r="J68" s="14">
        <f>IFERROR(E68/C68,"")</f>
        <v/>
      </c>
      <c r="K68" s="12">
        <f>COUNTIFS(Leads[CPF],"&lt;&gt;",Leads[Data de entrada],"&gt;="&amp;A68,Leads[Data de entrada],"&lt;"&amp;(B68+1),Leads[Paciente fechou (0/1)],1)</f>
        <v>0</v>
      </c>
      <c r="L68" s="14">
        <f>IFERROR(K68/E68,"")</f>
        <v/>
      </c>
    </row>
    <row r="69" spans="1:12">
      <c r="A69" s="5">
        <f>A68+7</f>
        <v>0</v>
      </c>
      <c r="B69" s="5">
        <f>A69+6</f>
        <v>0</v>
      </c>
      <c r="C69" s="12">
        <f>COUNTIFS(Leads[CPF],"&lt;&gt;",Leads[Data de entrada],"&gt;="&amp;A69,Leads[Data de entrada],"&lt;"&amp;(B69+1))</f>
        <v>0</v>
      </c>
      <c r="D69" s="12">
        <f>COUNTIFS(Leads[CPF],"&lt;&gt;",Leads[Data de entrada],"&gt;="&amp;A69,Leads[Data de entrada],"&lt;"&amp;(B69+1),Leads[Data do agendamento],"&gt;0")</f>
        <v>0</v>
      </c>
      <c r="E69" s="12">
        <f>COUNTIFS(Leads[CPF],"&lt;&gt;",Leads[Data de entrada],"&gt;="&amp;A69,Leads[Data de entrada],"&lt;"&amp;(B69+1),Leads[Data da conversa presencial executada],"&gt;0")</f>
        <v>0</v>
      </c>
      <c r="F69" s="13">
        <f>IFERROR(AVERAGEIFS(Leads[Tempo de resposta (min)],Leads[CPF],"&lt;&gt;",Leads[Data de entrada],"&gt;="&amp;A69,Leads[Data de entrada],"&lt;"&amp;(B69+1),Leads[Tempo de resposta (min)],"&gt;=0",Leads[Tempo de resposta (min)],"&lt;&gt;"),"")</f>
        <v/>
      </c>
      <c r="G69" s="12">
        <f>COUNTIFS(Leads[CPF],"&lt;&gt;",Leads[Data de entrada],"&gt;="&amp;A69,Leads[Data de entrada],"&lt;"&amp;(B69+1),Leads[Tempo de resposta (min)],"&gt;=0",Leads[Tempo de resposta (min)],"&lt;&gt;")</f>
        <v>0</v>
      </c>
      <c r="H69" s="14">
        <f>IFERROR(D69/C69,"")</f>
        <v/>
      </c>
      <c r="I69" s="14">
        <f>IFERROR(E69/D69,"")</f>
        <v/>
      </c>
      <c r="J69" s="14">
        <f>IFERROR(E69/C69,"")</f>
        <v/>
      </c>
      <c r="K69" s="12">
        <f>COUNTIFS(Leads[CPF],"&lt;&gt;",Leads[Data de entrada],"&gt;="&amp;A69,Leads[Data de entrada],"&lt;"&amp;(B69+1),Leads[Paciente fechou (0/1)],1)</f>
        <v>0</v>
      </c>
      <c r="L69" s="14">
        <f>IFERROR(K69/E69,"")</f>
        <v/>
      </c>
    </row>
    <row r="70" spans="1:12">
      <c r="A70" s="5">
        <f>A69+7</f>
        <v>0</v>
      </c>
      <c r="B70" s="5">
        <f>A70+6</f>
        <v>0</v>
      </c>
      <c r="C70" s="12">
        <f>COUNTIFS(Leads[CPF],"&lt;&gt;",Leads[Data de entrada],"&gt;="&amp;A70,Leads[Data de entrada],"&lt;"&amp;(B70+1))</f>
        <v>0</v>
      </c>
      <c r="D70" s="12">
        <f>COUNTIFS(Leads[CPF],"&lt;&gt;",Leads[Data de entrada],"&gt;="&amp;A70,Leads[Data de entrada],"&lt;"&amp;(B70+1),Leads[Data do agendamento],"&gt;0")</f>
        <v>0</v>
      </c>
      <c r="E70" s="12">
        <f>COUNTIFS(Leads[CPF],"&lt;&gt;",Leads[Data de entrada],"&gt;="&amp;A70,Leads[Data de entrada],"&lt;"&amp;(B70+1),Leads[Data da conversa presencial executada],"&gt;0")</f>
        <v>0</v>
      </c>
      <c r="F70" s="13">
        <f>IFERROR(AVERAGEIFS(Leads[Tempo de resposta (min)],Leads[CPF],"&lt;&gt;",Leads[Data de entrada],"&gt;="&amp;A70,Leads[Data de entrada],"&lt;"&amp;(B70+1),Leads[Tempo de resposta (min)],"&gt;=0",Leads[Tempo de resposta (min)],"&lt;&gt;"),"")</f>
        <v/>
      </c>
      <c r="G70" s="12">
        <f>COUNTIFS(Leads[CPF],"&lt;&gt;",Leads[Data de entrada],"&gt;="&amp;A70,Leads[Data de entrada],"&lt;"&amp;(B70+1),Leads[Tempo de resposta (min)],"&gt;=0",Leads[Tempo de resposta (min)],"&lt;&gt;")</f>
        <v>0</v>
      </c>
      <c r="H70" s="14">
        <f>IFERROR(D70/C70,"")</f>
        <v/>
      </c>
      <c r="I70" s="14">
        <f>IFERROR(E70/D70,"")</f>
        <v/>
      </c>
      <c r="J70" s="14">
        <f>IFERROR(E70/C70,"")</f>
        <v/>
      </c>
      <c r="K70" s="12">
        <f>COUNTIFS(Leads[CPF],"&lt;&gt;",Leads[Data de entrada],"&gt;="&amp;A70,Leads[Data de entrada],"&lt;"&amp;(B70+1),Leads[Paciente fechou (0/1)],1)</f>
        <v>0</v>
      </c>
      <c r="L70" s="14">
        <f>IFERROR(K70/E70,"")</f>
        <v/>
      </c>
    </row>
    <row r="71" spans="1:12">
      <c r="A71" s="5">
        <f>A70+7</f>
        <v>0</v>
      </c>
      <c r="B71" s="5">
        <f>A71+6</f>
        <v>0</v>
      </c>
      <c r="C71" s="12">
        <f>COUNTIFS(Leads[CPF],"&lt;&gt;",Leads[Data de entrada],"&gt;="&amp;A71,Leads[Data de entrada],"&lt;"&amp;(B71+1))</f>
        <v>0</v>
      </c>
      <c r="D71" s="12">
        <f>COUNTIFS(Leads[CPF],"&lt;&gt;",Leads[Data de entrada],"&gt;="&amp;A71,Leads[Data de entrada],"&lt;"&amp;(B71+1),Leads[Data do agendamento],"&gt;0")</f>
        <v>0</v>
      </c>
      <c r="E71" s="12">
        <f>COUNTIFS(Leads[CPF],"&lt;&gt;",Leads[Data de entrada],"&gt;="&amp;A71,Leads[Data de entrada],"&lt;"&amp;(B71+1),Leads[Data da conversa presencial executada],"&gt;0")</f>
        <v>0</v>
      </c>
      <c r="F71" s="13">
        <f>IFERROR(AVERAGEIFS(Leads[Tempo de resposta (min)],Leads[CPF],"&lt;&gt;",Leads[Data de entrada],"&gt;="&amp;A71,Leads[Data de entrada],"&lt;"&amp;(B71+1),Leads[Tempo de resposta (min)],"&gt;=0",Leads[Tempo de resposta (min)],"&lt;&gt;"),"")</f>
        <v/>
      </c>
      <c r="G71" s="12">
        <f>COUNTIFS(Leads[CPF],"&lt;&gt;",Leads[Data de entrada],"&gt;="&amp;A71,Leads[Data de entrada],"&lt;"&amp;(B71+1),Leads[Tempo de resposta (min)],"&gt;=0",Leads[Tempo de resposta (min)],"&lt;&gt;")</f>
        <v>0</v>
      </c>
      <c r="H71" s="14">
        <f>IFERROR(D71/C71,"")</f>
        <v/>
      </c>
      <c r="I71" s="14">
        <f>IFERROR(E71/D71,"")</f>
        <v/>
      </c>
      <c r="J71" s="14">
        <f>IFERROR(E71/C71,"")</f>
        <v/>
      </c>
      <c r="K71" s="12">
        <f>COUNTIFS(Leads[CPF],"&lt;&gt;",Leads[Data de entrada],"&gt;="&amp;A71,Leads[Data de entrada],"&lt;"&amp;(B71+1),Leads[Paciente fechou (0/1)],1)</f>
        <v>0</v>
      </c>
      <c r="L71" s="14">
        <f>IFERROR(K71/E71,"")</f>
        <v/>
      </c>
    </row>
    <row r="72" spans="1:12">
      <c r="A72" s="5">
        <f>A71+7</f>
        <v>0</v>
      </c>
      <c r="B72" s="5">
        <f>A72+6</f>
        <v>0</v>
      </c>
      <c r="C72" s="12">
        <f>COUNTIFS(Leads[CPF],"&lt;&gt;",Leads[Data de entrada],"&gt;="&amp;A72,Leads[Data de entrada],"&lt;"&amp;(B72+1))</f>
        <v>0</v>
      </c>
      <c r="D72" s="12">
        <f>COUNTIFS(Leads[CPF],"&lt;&gt;",Leads[Data de entrada],"&gt;="&amp;A72,Leads[Data de entrada],"&lt;"&amp;(B72+1),Leads[Data do agendamento],"&gt;0")</f>
        <v>0</v>
      </c>
      <c r="E72" s="12">
        <f>COUNTIFS(Leads[CPF],"&lt;&gt;",Leads[Data de entrada],"&gt;="&amp;A72,Leads[Data de entrada],"&lt;"&amp;(B72+1),Leads[Data da conversa presencial executada],"&gt;0")</f>
        <v>0</v>
      </c>
      <c r="F72" s="13">
        <f>IFERROR(AVERAGEIFS(Leads[Tempo de resposta (min)],Leads[CPF],"&lt;&gt;",Leads[Data de entrada],"&gt;="&amp;A72,Leads[Data de entrada],"&lt;"&amp;(B72+1),Leads[Tempo de resposta (min)],"&gt;=0",Leads[Tempo de resposta (min)],"&lt;&gt;"),"")</f>
        <v/>
      </c>
      <c r="G72" s="12">
        <f>COUNTIFS(Leads[CPF],"&lt;&gt;",Leads[Data de entrada],"&gt;="&amp;A72,Leads[Data de entrada],"&lt;"&amp;(B72+1),Leads[Tempo de resposta (min)],"&gt;=0",Leads[Tempo de resposta (min)],"&lt;&gt;")</f>
        <v>0</v>
      </c>
      <c r="H72" s="14">
        <f>IFERROR(D72/C72,"")</f>
        <v/>
      </c>
      <c r="I72" s="14">
        <f>IFERROR(E72/D72,"")</f>
        <v/>
      </c>
      <c r="J72" s="14">
        <f>IFERROR(E72/C72,"")</f>
        <v/>
      </c>
      <c r="K72" s="12">
        <f>COUNTIFS(Leads[CPF],"&lt;&gt;",Leads[Data de entrada],"&gt;="&amp;A72,Leads[Data de entrada],"&lt;"&amp;(B72+1),Leads[Paciente fechou (0/1)],1)</f>
        <v>0</v>
      </c>
      <c r="L72" s="14">
        <f>IFERROR(K72/E72,"")</f>
        <v/>
      </c>
    </row>
    <row r="73" spans="1:12">
      <c r="A73" s="5">
        <f>A72+7</f>
        <v>0</v>
      </c>
      <c r="B73" s="5">
        <f>A73+6</f>
        <v>0</v>
      </c>
      <c r="C73" s="12">
        <f>COUNTIFS(Leads[CPF],"&lt;&gt;",Leads[Data de entrada],"&gt;="&amp;A73,Leads[Data de entrada],"&lt;"&amp;(B73+1))</f>
        <v>0</v>
      </c>
      <c r="D73" s="12">
        <f>COUNTIFS(Leads[CPF],"&lt;&gt;",Leads[Data de entrada],"&gt;="&amp;A73,Leads[Data de entrada],"&lt;"&amp;(B73+1),Leads[Data do agendamento],"&gt;0")</f>
        <v>0</v>
      </c>
      <c r="E73" s="12">
        <f>COUNTIFS(Leads[CPF],"&lt;&gt;",Leads[Data de entrada],"&gt;="&amp;A73,Leads[Data de entrada],"&lt;"&amp;(B73+1),Leads[Data da conversa presencial executada],"&gt;0")</f>
        <v>0</v>
      </c>
      <c r="F73" s="13">
        <f>IFERROR(AVERAGEIFS(Leads[Tempo de resposta (min)],Leads[CPF],"&lt;&gt;",Leads[Data de entrada],"&gt;="&amp;A73,Leads[Data de entrada],"&lt;"&amp;(B73+1),Leads[Tempo de resposta (min)],"&gt;=0",Leads[Tempo de resposta (min)],"&lt;&gt;"),"")</f>
        <v/>
      </c>
      <c r="G73" s="12">
        <f>COUNTIFS(Leads[CPF],"&lt;&gt;",Leads[Data de entrada],"&gt;="&amp;A73,Leads[Data de entrada],"&lt;"&amp;(B73+1),Leads[Tempo de resposta (min)],"&gt;=0",Leads[Tempo de resposta (min)],"&lt;&gt;")</f>
        <v>0</v>
      </c>
      <c r="H73" s="14">
        <f>IFERROR(D73/C73,"")</f>
        <v/>
      </c>
      <c r="I73" s="14">
        <f>IFERROR(E73/D73,"")</f>
        <v/>
      </c>
      <c r="J73" s="14">
        <f>IFERROR(E73/C73,"")</f>
        <v/>
      </c>
      <c r="K73" s="12">
        <f>COUNTIFS(Leads[CPF],"&lt;&gt;",Leads[Data de entrada],"&gt;="&amp;A73,Leads[Data de entrada],"&lt;"&amp;(B73+1),Leads[Paciente fechou (0/1)],1)</f>
        <v>0</v>
      </c>
      <c r="L73" s="14">
        <f>IFERROR(K73/E73,"")</f>
        <v/>
      </c>
    </row>
    <row r="74" spans="1:12">
      <c r="A74" s="5">
        <f>A73+7</f>
        <v>0</v>
      </c>
      <c r="B74" s="5">
        <f>A74+6</f>
        <v>0</v>
      </c>
      <c r="C74" s="12">
        <f>COUNTIFS(Leads[CPF],"&lt;&gt;",Leads[Data de entrada],"&gt;="&amp;A74,Leads[Data de entrada],"&lt;"&amp;(B74+1))</f>
        <v>0</v>
      </c>
      <c r="D74" s="12">
        <f>COUNTIFS(Leads[CPF],"&lt;&gt;",Leads[Data de entrada],"&gt;="&amp;A74,Leads[Data de entrada],"&lt;"&amp;(B74+1),Leads[Data do agendamento],"&gt;0")</f>
        <v>0</v>
      </c>
      <c r="E74" s="12">
        <f>COUNTIFS(Leads[CPF],"&lt;&gt;",Leads[Data de entrada],"&gt;="&amp;A74,Leads[Data de entrada],"&lt;"&amp;(B74+1),Leads[Data da conversa presencial executada],"&gt;0")</f>
        <v>0</v>
      </c>
      <c r="F74" s="13">
        <f>IFERROR(AVERAGEIFS(Leads[Tempo de resposta (min)],Leads[CPF],"&lt;&gt;",Leads[Data de entrada],"&gt;="&amp;A74,Leads[Data de entrada],"&lt;"&amp;(B74+1),Leads[Tempo de resposta (min)],"&gt;=0",Leads[Tempo de resposta (min)],"&lt;&gt;"),"")</f>
        <v/>
      </c>
      <c r="G74" s="12">
        <f>COUNTIFS(Leads[CPF],"&lt;&gt;",Leads[Data de entrada],"&gt;="&amp;A74,Leads[Data de entrada],"&lt;"&amp;(B74+1),Leads[Tempo de resposta (min)],"&gt;=0",Leads[Tempo de resposta (min)],"&lt;&gt;")</f>
        <v>0</v>
      </c>
      <c r="H74" s="14">
        <f>IFERROR(D74/C74,"")</f>
        <v/>
      </c>
      <c r="I74" s="14">
        <f>IFERROR(E74/D74,"")</f>
        <v/>
      </c>
      <c r="J74" s="14">
        <f>IFERROR(E74/C74,"")</f>
        <v/>
      </c>
      <c r="K74" s="12">
        <f>COUNTIFS(Leads[CPF],"&lt;&gt;",Leads[Data de entrada],"&gt;="&amp;A74,Leads[Data de entrada],"&lt;"&amp;(B74+1),Leads[Paciente fechou (0/1)],1)</f>
        <v>0</v>
      </c>
      <c r="L74" s="14">
        <f>IFERROR(K74/E74,"")</f>
        <v/>
      </c>
    </row>
    <row r="75" spans="1:12">
      <c r="A75" s="5">
        <f>A74+7</f>
        <v>0</v>
      </c>
      <c r="B75" s="5">
        <f>A75+6</f>
        <v>0</v>
      </c>
      <c r="C75" s="12">
        <f>COUNTIFS(Leads[CPF],"&lt;&gt;",Leads[Data de entrada],"&gt;="&amp;A75,Leads[Data de entrada],"&lt;"&amp;(B75+1))</f>
        <v>0</v>
      </c>
      <c r="D75" s="12">
        <f>COUNTIFS(Leads[CPF],"&lt;&gt;",Leads[Data de entrada],"&gt;="&amp;A75,Leads[Data de entrada],"&lt;"&amp;(B75+1),Leads[Data do agendamento],"&gt;0")</f>
        <v>0</v>
      </c>
      <c r="E75" s="12">
        <f>COUNTIFS(Leads[CPF],"&lt;&gt;",Leads[Data de entrada],"&gt;="&amp;A75,Leads[Data de entrada],"&lt;"&amp;(B75+1),Leads[Data da conversa presencial executada],"&gt;0")</f>
        <v>0</v>
      </c>
      <c r="F75" s="13">
        <f>IFERROR(AVERAGEIFS(Leads[Tempo de resposta (min)],Leads[CPF],"&lt;&gt;",Leads[Data de entrada],"&gt;="&amp;A75,Leads[Data de entrada],"&lt;"&amp;(B75+1),Leads[Tempo de resposta (min)],"&gt;=0",Leads[Tempo de resposta (min)],"&lt;&gt;"),"")</f>
        <v/>
      </c>
      <c r="G75" s="12">
        <f>COUNTIFS(Leads[CPF],"&lt;&gt;",Leads[Data de entrada],"&gt;="&amp;A75,Leads[Data de entrada],"&lt;"&amp;(B75+1),Leads[Tempo de resposta (min)],"&gt;=0",Leads[Tempo de resposta (min)],"&lt;&gt;")</f>
        <v>0</v>
      </c>
      <c r="H75" s="14">
        <f>IFERROR(D75/C75,"")</f>
        <v/>
      </c>
      <c r="I75" s="14">
        <f>IFERROR(E75/D75,"")</f>
        <v/>
      </c>
      <c r="J75" s="14">
        <f>IFERROR(E75/C75,"")</f>
        <v/>
      </c>
      <c r="K75" s="12">
        <f>COUNTIFS(Leads[CPF],"&lt;&gt;",Leads[Data de entrada],"&gt;="&amp;A75,Leads[Data de entrada],"&lt;"&amp;(B75+1),Leads[Paciente fechou (0/1)],1)</f>
        <v>0</v>
      </c>
      <c r="L75" s="14">
        <f>IFERROR(K75/E75,"")</f>
        <v/>
      </c>
    </row>
    <row r="76" spans="1:12">
      <c r="A76" s="5">
        <f>A75+7</f>
        <v>0</v>
      </c>
      <c r="B76" s="5">
        <f>A76+6</f>
        <v>0</v>
      </c>
      <c r="C76" s="12">
        <f>COUNTIFS(Leads[CPF],"&lt;&gt;",Leads[Data de entrada],"&gt;="&amp;A76,Leads[Data de entrada],"&lt;"&amp;(B76+1))</f>
        <v>0</v>
      </c>
      <c r="D76" s="12">
        <f>COUNTIFS(Leads[CPF],"&lt;&gt;",Leads[Data de entrada],"&gt;="&amp;A76,Leads[Data de entrada],"&lt;"&amp;(B76+1),Leads[Data do agendamento],"&gt;0")</f>
        <v>0</v>
      </c>
      <c r="E76" s="12">
        <f>COUNTIFS(Leads[CPF],"&lt;&gt;",Leads[Data de entrada],"&gt;="&amp;A76,Leads[Data de entrada],"&lt;"&amp;(B76+1),Leads[Data da conversa presencial executada],"&gt;0")</f>
        <v>0</v>
      </c>
      <c r="F76" s="13">
        <f>IFERROR(AVERAGEIFS(Leads[Tempo de resposta (min)],Leads[CPF],"&lt;&gt;",Leads[Data de entrada],"&gt;="&amp;A76,Leads[Data de entrada],"&lt;"&amp;(B76+1),Leads[Tempo de resposta (min)],"&gt;=0",Leads[Tempo de resposta (min)],"&lt;&gt;"),"")</f>
        <v/>
      </c>
      <c r="G76" s="12">
        <f>COUNTIFS(Leads[CPF],"&lt;&gt;",Leads[Data de entrada],"&gt;="&amp;A76,Leads[Data de entrada],"&lt;"&amp;(B76+1),Leads[Tempo de resposta (min)],"&gt;=0",Leads[Tempo de resposta (min)],"&lt;&gt;")</f>
        <v>0</v>
      </c>
      <c r="H76" s="14">
        <f>IFERROR(D76/C76,"")</f>
        <v/>
      </c>
      <c r="I76" s="14">
        <f>IFERROR(E76/D76,"")</f>
        <v/>
      </c>
      <c r="J76" s="14">
        <f>IFERROR(E76/C76,"")</f>
        <v/>
      </c>
      <c r="K76" s="12">
        <f>COUNTIFS(Leads[CPF],"&lt;&gt;",Leads[Data de entrada],"&gt;="&amp;A76,Leads[Data de entrada],"&lt;"&amp;(B76+1),Leads[Paciente fechou (0/1)],1)</f>
        <v>0</v>
      </c>
      <c r="L76" s="14">
        <f>IFERROR(K76/E76,"")</f>
        <v/>
      </c>
    </row>
    <row r="77" spans="1:12">
      <c r="A77" s="5">
        <f>A76+7</f>
        <v>0</v>
      </c>
      <c r="B77" s="5">
        <f>A77+6</f>
        <v>0</v>
      </c>
      <c r="C77" s="12">
        <f>COUNTIFS(Leads[CPF],"&lt;&gt;",Leads[Data de entrada],"&gt;="&amp;A77,Leads[Data de entrada],"&lt;"&amp;(B77+1))</f>
        <v>0</v>
      </c>
      <c r="D77" s="12">
        <f>COUNTIFS(Leads[CPF],"&lt;&gt;",Leads[Data de entrada],"&gt;="&amp;A77,Leads[Data de entrada],"&lt;"&amp;(B77+1),Leads[Data do agendamento],"&gt;0")</f>
        <v>0</v>
      </c>
      <c r="E77" s="12">
        <f>COUNTIFS(Leads[CPF],"&lt;&gt;",Leads[Data de entrada],"&gt;="&amp;A77,Leads[Data de entrada],"&lt;"&amp;(B77+1),Leads[Data da conversa presencial executada],"&gt;0")</f>
        <v>0</v>
      </c>
      <c r="F77" s="13">
        <f>IFERROR(AVERAGEIFS(Leads[Tempo de resposta (min)],Leads[CPF],"&lt;&gt;",Leads[Data de entrada],"&gt;="&amp;A77,Leads[Data de entrada],"&lt;"&amp;(B77+1),Leads[Tempo de resposta (min)],"&gt;=0",Leads[Tempo de resposta (min)],"&lt;&gt;"),"")</f>
        <v/>
      </c>
      <c r="G77" s="12">
        <f>COUNTIFS(Leads[CPF],"&lt;&gt;",Leads[Data de entrada],"&gt;="&amp;A77,Leads[Data de entrada],"&lt;"&amp;(B77+1),Leads[Tempo de resposta (min)],"&gt;=0",Leads[Tempo de resposta (min)],"&lt;&gt;")</f>
        <v>0</v>
      </c>
      <c r="H77" s="14">
        <f>IFERROR(D77/C77,"")</f>
        <v/>
      </c>
      <c r="I77" s="14">
        <f>IFERROR(E77/D77,"")</f>
        <v/>
      </c>
      <c r="J77" s="14">
        <f>IFERROR(E77/C77,"")</f>
        <v/>
      </c>
      <c r="K77" s="12">
        <f>COUNTIFS(Leads[CPF],"&lt;&gt;",Leads[Data de entrada],"&gt;="&amp;A77,Leads[Data de entrada],"&lt;"&amp;(B77+1),Leads[Paciente fechou (0/1)],1)</f>
        <v>0</v>
      </c>
      <c r="L77" s="14">
        <f>IFERROR(K77/E77,"")</f>
        <v/>
      </c>
    </row>
    <row r="78" spans="1:12">
      <c r="A78" s="5">
        <f>A77+7</f>
        <v>0</v>
      </c>
      <c r="B78" s="5">
        <f>A78+6</f>
        <v>0</v>
      </c>
      <c r="C78" s="12">
        <f>COUNTIFS(Leads[CPF],"&lt;&gt;",Leads[Data de entrada],"&gt;="&amp;A78,Leads[Data de entrada],"&lt;"&amp;(B78+1))</f>
        <v>0</v>
      </c>
      <c r="D78" s="12">
        <f>COUNTIFS(Leads[CPF],"&lt;&gt;",Leads[Data de entrada],"&gt;="&amp;A78,Leads[Data de entrada],"&lt;"&amp;(B78+1),Leads[Data do agendamento],"&gt;0")</f>
        <v>0</v>
      </c>
      <c r="E78" s="12">
        <f>COUNTIFS(Leads[CPF],"&lt;&gt;",Leads[Data de entrada],"&gt;="&amp;A78,Leads[Data de entrada],"&lt;"&amp;(B78+1),Leads[Data da conversa presencial executada],"&gt;0")</f>
        <v>0</v>
      </c>
      <c r="F78" s="13">
        <f>IFERROR(AVERAGEIFS(Leads[Tempo de resposta (min)],Leads[CPF],"&lt;&gt;",Leads[Data de entrada],"&gt;="&amp;A78,Leads[Data de entrada],"&lt;"&amp;(B78+1),Leads[Tempo de resposta (min)],"&gt;=0",Leads[Tempo de resposta (min)],"&lt;&gt;"),"")</f>
        <v/>
      </c>
      <c r="G78" s="12">
        <f>COUNTIFS(Leads[CPF],"&lt;&gt;",Leads[Data de entrada],"&gt;="&amp;A78,Leads[Data de entrada],"&lt;"&amp;(B78+1),Leads[Tempo de resposta (min)],"&gt;=0",Leads[Tempo de resposta (min)],"&lt;&gt;")</f>
        <v>0</v>
      </c>
      <c r="H78" s="14">
        <f>IFERROR(D78/C78,"")</f>
        <v/>
      </c>
      <c r="I78" s="14">
        <f>IFERROR(E78/D78,"")</f>
        <v/>
      </c>
      <c r="J78" s="14">
        <f>IFERROR(E78/C78,"")</f>
        <v/>
      </c>
      <c r="K78" s="12">
        <f>COUNTIFS(Leads[CPF],"&lt;&gt;",Leads[Data de entrada],"&gt;="&amp;A78,Leads[Data de entrada],"&lt;"&amp;(B78+1),Leads[Paciente fechou (0/1)],1)</f>
        <v>0</v>
      </c>
      <c r="L78" s="14">
        <f>IFERROR(K78/E78,"")</f>
        <v/>
      </c>
    </row>
    <row r="79" spans="1:12">
      <c r="A79" s="5">
        <f>A78+7</f>
        <v>0</v>
      </c>
      <c r="B79" s="5">
        <f>A79+6</f>
        <v>0</v>
      </c>
      <c r="C79" s="12">
        <f>COUNTIFS(Leads[CPF],"&lt;&gt;",Leads[Data de entrada],"&gt;="&amp;A79,Leads[Data de entrada],"&lt;"&amp;(B79+1))</f>
        <v>0</v>
      </c>
      <c r="D79" s="12">
        <f>COUNTIFS(Leads[CPF],"&lt;&gt;",Leads[Data de entrada],"&gt;="&amp;A79,Leads[Data de entrada],"&lt;"&amp;(B79+1),Leads[Data do agendamento],"&gt;0")</f>
        <v>0</v>
      </c>
      <c r="E79" s="12">
        <f>COUNTIFS(Leads[CPF],"&lt;&gt;",Leads[Data de entrada],"&gt;="&amp;A79,Leads[Data de entrada],"&lt;"&amp;(B79+1),Leads[Data da conversa presencial executada],"&gt;0")</f>
        <v>0</v>
      </c>
      <c r="F79" s="13">
        <f>IFERROR(AVERAGEIFS(Leads[Tempo de resposta (min)],Leads[CPF],"&lt;&gt;",Leads[Data de entrada],"&gt;="&amp;A79,Leads[Data de entrada],"&lt;"&amp;(B79+1),Leads[Tempo de resposta (min)],"&gt;=0",Leads[Tempo de resposta (min)],"&lt;&gt;"),"")</f>
        <v/>
      </c>
      <c r="G79" s="12">
        <f>COUNTIFS(Leads[CPF],"&lt;&gt;",Leads[Data de entrada],"&gt;="&amp;A79,Leads[Data de entrada],"&lt;"&amp;(B79+1),Leads[Tempo de resposta (min)],"&gt;=0",Leads[Tempo de resposta (min)],"&lt;&gt;")</f>
        <v>0</v>
      </c>
      <c r="H79" s="14">
        <f>IFERROR(D79/C79,"")</f>
        <v/>
      </c>
      <c r="I79" s="14">
        <f>IFERROR(E79/D79,"")</f>
        <v/>
      </c>
      <c r="J79" s="14">
        <f>IFERROR(E79/C79,"")</f>
        <v/>
      </c>
      <c r="K79" s="12">
        <f>COUNTIFS(Leads[CPF],"&lt;&gt;",Leads[Data de entrada],"&gt;="&amp;A79,Leads[Data de entrada],"&lt;"&amp;(B79+1),Leads[Paciente fechou (0/1)],1)</f>
        <v>0</v>
      </c>
      <c r="L79" s="14">
        <f>IFERROR(K79/E79,"")</f>
        <v/>
      </c>
    </row>
    <row r="80" spans="1:12">
      <c r="A80" s="5">
        <f>A79+7</f>
        <v>0</v>
      </c>
      <c r="B80" s="5">
        <f>A80+6</f>
        <v>0</v>
      </c>
      <c r="C80" s="12">
        <f>COUNTIFS(Leads[CPF],"&lt;&gt;",Leads[Data de entrada],"&gt;="&amp;A80,Leads[Data de entrada],"&lt;"&amp;(B80+1))</f>
        <v>0</v>
      </c>
      <c r="D80" s="12">
        <f>COUNTIFS(Leads[CPF],"&lt;&gt;",Leads[Data de entrada],"&gt;="&amp;A80,Leads[Data de entrada],"&lt;"&amp;(B80+1),Leads[Data do agendamento],"&gt;0")</f>
        <v>0</v>
      </c>
      <c r="E80" s="12">
        <f>COUNTIFS(Leads[CPF],"&lt;&gt;",Leads[Data de entrada],"&gt;="&amp;A80,Leads[Data de entrada],"&lt;"&amp;(B80+1),Leads[Data da conversa presencial executada],"&gt;0")</f>
        <v>0</v>
      </c>
      <c r="F80" s="13">
        <f>IFERROR(AVERAGEIFS(Leads[Tempo de resposta (min)],Leads[CPF],"&lt;&gt;",Leads[Data de entrada],"&gt;="&amp;A80,Leads[Data de entrada],"&lt;"&amp;(B80+1),Leads[Tempo de resposta (min)],"&gt;=0",Leads[Tempo de resposta (min)],"&lt;&gt;"),"")</f>
        <v/>
      </c>
      <c r="G80" s="12">
        <f>COUNTIFS(Leads[CPF],"&lt;&gt;",Leads[Data de entrada],"&gt;="&amp;A80,Leads[Data de entrada],"&lt;"&amp;(B80+1),Leads[Tempo de resposta (min)],"&gt;=0",Leads[Tempo de resposta (min)],"&lt;&gt;")</f>
        <v>0</v>
      </c>
      <c r="H80" s="14">
        <f>IFERROR(D80/C80,"")</f>
        <v/>
      </c>
      <c r="I80" s="14">
        <f>IFERROR(E80/D80,"")</f>
        <v/>
      </c>
      <c r="J80" s="14">
        <f>IFERROR(E80/C80,"")</f>
        <v/>
      </c>
      <c r="K80" s="12">
        <f>COUNTIFS(Leads[CPF],"&lt;&gt;",Leads[Data de entrada],"&gt;="&amp;A80,Leads[Data de entrada],"&lt;"&amp;(B80+1),Leads[Paciente fechou (0/1)],1)</f>
        <v>0</v>
      </c>
      <c r="L80" s="14">
        <f>IFERROR(K80/E80,"")</f>
        <v/>
      </c>
    </row>
    <row r="81" spans="1:12">
      <c r="A81" s="5">
        <f>A80+7</f>
        <v>0</v>
      </c>
      <c r="B81" s="5">
        <f>A81+6</f>
        <v>0</v>
      </c>
      <c r="C81" s="12">
        <f>COUNTIFS(Leads[CPF],"&lt;&gt;",Leads[Data de entrada],"&gt;="&amp;A81,Leads[Data de entrada],"&lt;"&amp;(B81+1))</f>
        <v>0</v>
      </c>
      <c r="D81" s="12">
        <f>COUNTIFS(Leads[CPF],"&lt;&gt;",Leads[Data de entrada],"&gt;="&amp;A81,Leads[Data de entrada],"&lt;"&amp;(B81+1),Leads[Data do agendamento],"&gt;0")</f>
        <v>0</v>
      </c>
      <c r="E81" s="12">
        <f>COUNTIFS(Leads[CPF],"&lt;&gt;",Leads[Data de entrada],"&gt;="&amp;A81,Leads[Data de entrada],"&lt;"&amp;(B81+1),Leads[Data da conversa presencial executada],"&gt;0")</f>
        <v>0</v>
      </c>
      <c r="F81" s="13">
        <f>IFERROR(AVERAGEIFS(Leads[Tempo de resposta (min)],Leads[CPF],"&lt;&gt;",Leads[Data de entrada],"&gt;="&amp;A81,Leads[Data de entrada],"&lt;"&amp;(B81+1),Leads[Tempo de resposta (min)],"&gt;=0",Leads[Tempo de resposta (min)],"&lt;&gt;"),"")</f>
        <v/>
      </c>
      <c r="G81" s="12">
        <f>COUNTIFS(Leads[CPF],"&lt;&gt;",Leads[Data de entrada],"&gt;="&amp;A81,Leads[Data de entrada],"&lt;"&amp;(B81+1),Leads[Tempo de resposta (min)],"&gt;=0",Leads[Tempo de resposta (min)],"&lt;&gt;")</f>
        <v>0</v>
      </c>
      <c r="H81" s="14">
        <f>IFERROR(D81/C81,"")</f>
        <v/>
      </c>
      <c r="I81" s="14">
        <f>IFERROR(E81/D81,"")</f>
        <v/>
      </c>
      <c r="J81" s="14">
        <f>IFERROR(E81/C81,"")</f>
        <v/>
      </c>
      <c r="K81" s="12">
        <f>COUNTIFS(Leads[CPF],"&lt;&gt;",Leads[Data de entrada],"&gt;="&amp;A81,Leads[Data de entrada],"&lt;"&amp;(B81+1),Leads[Paciente fechou (0/1)],1)</f>
        <v>0</v>
      </c>
      <c r="L81" s="14">
        <f>IFERROR(K81/E81,"")</f>
        <v/>
      </c>
    </row>
    <row r="82" spans="1:12">
      <c r="A82" s="5">
        <f>A81+7</f>
        <v>0</v>
      </c>
      <c r="B82" s="5">
        <f>A82+6</f>
        <v>0</v>
      </c>
      <c r="C82" s="12">
        <f>COUNTIFS(Leads[CPF],"&lt;&gt;",Leads[Data de entrada],"&gt;="&amp;A82,Leads[Data de entrada],"&lt;"&amp;(B82+1))</f>
        <v>0</v>
      </c>
      <c r="D82" s="12">
        <f>COUNTIFS(Leads[CPF],"&lt;&gt;",Leads[Data de entrada],"&gt;="&amp;A82,Leads[Data de entrada],"&lt;"&amp;(B82+1),Leads[Data do agendamento],"&gt;0")</f>
        <v>0</v>
      </c>
      <c r="E82" s="12">
        <f>COUNTIFS(Leads[CPF],"&lt;&gt;",Leads[Data de entrada],"&gt;="&amp;A82,Leads[Data de entrada],"&lt;"&amp;(B82+1),Leads[Data da conversa presencial executada],"&gt;0")</f>
        <v>0</v>
      </c>
      <c r="F82" s="13">
        <f>IFERROR(AVERAGEIFS(Leads[Tempo de resposta (min)],Leads[CPF],"&lt;&gt;",Leads[Data de entrada],"&gt;="&amp;A82,Leads[Data de entrada],"&lt;"&amp;(B82+1),Leads[Tempo de resposta (min)],"&gt;=0",Leads[Tempo de resposta (min)],"&lt;&gt;"),"")</f>
        <v/>
      </c>
      <c r="G82" s="12">
        <f>COUNTIFS(Leads[CPF],"&lt;&gt;",Leads[Data de entrada],"&gt;="&amp;A82,Leads[Data de entrada],"&lt;"&amp;(B82+1),Leads[Tempo de resposta (min)],"&gt;=0",Leads[Tempo de resposta (min)],"&lt;&gt;")</f>
        <v>0</v>
      </c>
      <c r="H82" s="14">
        <f>IFERROR(D82/C82,"")</f>
        <v/>
      </c>
      <c r="I82" s="14">
        <f>IFERROR(E82/D82,"")</f>
        <v/>
      </c>
      <c r="J82" s="14">
        <f>IFERROR(E82/C82,"")</f>
        <v/>
      </c>
      <c r="K82" s="12">
        <f>COUNTIFS(Leads[CPF],"&lt;&gt;",Leads[Data de entrada],"&gt;="&amp;A82,Leads[Data de entrada],"&lt;"&amp;(B82+1),Leads[Paciente fechou (0/1)],1)</f>
        <v>0</v>
      </c>
      <c r="L82" s="14">
        <f>IFERROR(K82/E82,"")</f>
        <v/>
      </c>
    </row>
    <row r="83" spans="1:12">
      <c r="A83" s="5">
        <f>A82+7</f>
        <v>0</v>
      </c>
      <c r="B83" s="5">
        <f>A83+6</f>
        <v>0</v>
      </c>
      <c r="C83" s="12">
        <f>COUNTIFS(Leads[CPF],"&lt;&gt;",Leads[Data de entrada],"&gt;="&amp;A83,Leads[Data de entrada],"&lt;"&amp;(B83+1))</f>
        <v>0</v>
      </c>
      <c r="D83" s="12">
        <f>COUNTIFS(Leads[CPF],"&lt;&gt;",Leads[Data de entrada],"&gt;="&amp;A83,Leads[Data de entrada],"&lt;"&amp;(B83+1),Leads[Data do agendamento],"&gt;0")</f>
        <v>0</v>
      </c>
      <c r="E83" s="12">
        <f>COUNTIFS(Leads[CPF],"&lt;&gt;",Leads[Data de entrada],"&gt;="&amp;A83,Leads[Data de entrada],"&lt;"&amp;(B83+1),Leads[Data da conversa presencial executada],"&gt;0")</f>
        <v>0</v>
      </c>
      <c r="F83" s="13">
        <f>IFERROR(AVERAGEIFS(Leads[Tempo de resposta (min)],Leads[CPF],"&lt;&gt;",Leads[Data de entrada],"&gt;="&amp;A83,Leads[Data de entrada],"&lt;"&amp;(B83+1),Leads[Tempo de resposta (min)],"&gt;=0",Leads[Tempo de resposta (min)],"&lt;&gt;"),"")</f>
        <v/>
      </c>
      <c r="G83" s="12">
        <f>COUNTIFS(Leads[CPF],"&lt;&gt;",Leads[Data de entrada],"&gt;="&amp;A83,Leads[Data de entrada],"&lt;"&amp;(B83+1),Leads[Tempo de resposta (min)],"&gt;=0",Leads[Tempo de resposta (min)],"&lt;&gt;")</f>
        <v>0</v>
      </c>
      <c r="H83" s="14">
        <f>IFERROR(D83/C83,"")</f>
        <v/>
      </c>
      <c r="I83" s="14">
        <f>IFERROR(E83/D83,"")</f>
        <v/>
      </c>
      <c r="J83" s="14">
        <f>IFERROR(E83/C83,"")</f>
        <v/>
      </c>
      <c r="K83" s="12">
        <f>COUNTIFS(Leads[CPF],"&lt;&gt;",Leads[Data de entrada],"&gt;="&amp;A83,Leads[Data de entrada],"&lt;"&amp;(B83+1),Leads[Paciente fechou (0/1)],1)</f>
        <v>0</v>
      </c>
      <c r="L83" s="14">
        <f>IFERROR(K83/E83,"")</f>
        <v/>
      </c>
    </row>
    <row r="84" spans="1:12">
      <c r="A84" s="5">
        <f>A83+7</f>
        <v>0</v>
      </c>
      <c r="B84" s="5">
        <f>A84+6</f>
        <v>0</v>
      </c>
      <c r="C84" s="12">
        <f>COUNTIFS(Leads[CPF],"&lt;&gt;",Leads[Data de entrada],"&gt;="&amp;A84,Leads[Data de entrada],"&lt;"&amp;(B84+1))</f>
        <v>0</v>
      </c>
      <c r="D84" s="12">
        <f>COUNTIFS(Leads[CPF],"&lt;&gt;",Leads[Data de entrada],"&gt;="&amp;A84,Leads[Data de entrada],"&lt;"&amp;(B84+1),Leads[Data do agendamento],"&gt;0")</f>
        <v>0</v>
      </c>
      <c r="E84" s="12">
        <f>COUNTIFS(Leads[CPF],"&lt;&gt;",Leads[Data de entrada],"&gt;="&amp;A84,Leads[Data de entrada],"&lt;"&amp;(B84+1),Leads[Data da conversa presencial executada],"&gt;0")</f>
        <v>0</v>
      </c>
      <c r="F84" s="13">
        <f>IFERROR(AVERAGEIFS(Leads[Tempo de resposta (min)],Leads[CPF],"&lt;&gt;",Leads[Data de entrada],"&gt;="&amp;A84,Leads[Data de entrada],"&lt;"&amp;(B84+1),Leads[Tempo de resposta (min)],"&gt;=0",Leads[Tempo de resposta (min)],"&lt;&gt;"),"")</f>
        <v/>
      </c>
      <c r="G84" s="12">
        <f>COUNTIFS(Leads[CPF],"&lt;&gt;",Leads[Data de entrada],"&gt;="&amp;A84,Leads[Data de entrada],"&lt;"&amp;(B84+1),Leads[Tempo de resposta (min)],"&gt;=0",Leads[Tempo de resposta (min)],"&lt;&gt;")</f>
        <v>0</v>
      </c>
      <c r="H84" s="14">
        <f>IFERROR(D84/C84,"")</f>
        <v/>
      </c>
      <c r="I84" s="14">
        <f>IFERROR(E84/D84,"")</f>
        <v/>
      </c>
      <c r="J84" s="14">
        <f>IFERROR(E84/C84,"")</f>
        <v/>
      </c>
      <c r="K84" s="12">
        <f>COUNTIFS(Leads[CPF],"&lt;&gt;",Leads[Data de entrada],"&gt;="&amp;A84,Leads[Data de entrada],"&lt;"&amp;(B84+1),Leads[Paciente fechou (0/1)],1)</f>
        <v>0</v>
      </c>
      <c r="L84" s="14">
        <f>IFERROR(K84/E84,"")</f>
        <v/>
      </c>
    </row>
    <row r="85" spans="1:12">
      <c r="A85" s="5">
        <f>A84+7</f>
        <v>0</v>
      </c>
      <c r="B85" s="5">
        <f>A85+6</f>
        <v>0</v>
      </c>
      <c r="C85" s="12">
        <f>COUNTIFS(Leads[CPF],"&lt;&gt;",Leads[Data de entrada],"&gt;="&amp;A85,Leads[Data de entrada],"&lt;"&amp;(B85+1))</f>
        <v>0</v>
      </c>
      <c r="D85" s="12">
        <f>COUNTIFS(Leads[CPF],"&lt;&gt;",Leads[Data de entrada],"&gt;="&amp;A85,Leads[Data de entrada],"&lt;"&amp;(B85+1),Leads[Data do agendamento],"&gt;0")</f>
        <v>0</v>
      </c>
      <c r="E85" s="12">
        <f>COUNTIFS(Leads[CPF],"&lt;&gt;",Leads[Data de entrada],"&gt;="&amp;A85,Leads[Data de entrada],"&lt;"&amp;(B85+1),Leads[Data da conversa presencial executada],"&gt;0")</f>
        <v>0</v>
      </c>
      <c r="F85" s="13">
        <f>IFERROR(AVERAGEIFS(Leads[Tempo de resposta (min)],Leads[CPF],"&lt;&gt;",Leads[Data de entrada],"&gt;="&amp;A85,Leads[Data de entrada],"&lt;"&amp;(B85+1),Leads[Tempo de resposta (min)],"&gt;=0",Leads[Tempo de resposta (min)],"&lt;&gt;"),"")</f>
        <v/>
      </c>
      <c r="G85" s="12">
        <f>COUNTIFS(Leads[CPF],"&lt;&gt;",Leads[Data de entrada],"&gt;="&amp;A85,Leads[Data de entrada],"&lt;"&amp;(B85+1),Leads[Tempo de resposta (min)],"&gt;=0",Leads[Tempo de resposta (min)],"&lt;&gt;")</f>
        <v>0</v>
      </c>
      <c r="H85" s="14">
        <f>IFERROR(D85/C85,"")</f>
        <v/>
      </c>
      <c r="I85" s="14">
        <f>IFERROR(E85/D85,"")</f>
        <v/>
      </c>
      <c r="J85" s="14">
        <f>IFERROR(E85/C85,"")</f>
        <v/>
      </c>
      <c r="K85" s="12">
        <f>COUNTIFS(Leads[CPF],"&lt;&gt;",Leads[Data de entrada],"&gt;="&amp;A85,Leads[Data de entrada],"&lt;"&amp;(B85+1),Leads[Paciente fechou (0/1)],1)</f>
        <v>0</v>
      </c>
      <c r="L85" s="14">
        <f>IFERROR(K85/E85,"")</f>
        <v/>
      </c>
    </row>
    <row r="86" spans="1:12">
      <c r="A86" s="5">
        <f>A85+7</f>
        <v>0</v>
      </c>
      <c r="B86" s="5">
        <f>A86+6</f>
        <v>0</v>
      </c>
      <c r="C86" s="12">
        <f>COUNTIFS(Leads[CPF],"&lt;&gt;",Leads[Data de entrada],"&gt;="&amp;A86,Leads[Data de entrada],"&lt;"&amp;(B86+1))</f>
        <v>0</v>
      </c>
      <c r="D86" s="12">
        <f>COUNTIFS(Leads[CPF],"&lt;&gt;",Leads[Data de entrada],"&gt;="&amp;A86,Leads[Data de entrada],"&lt;"&amp;(B86+1),Leads[Data do agendamento],"&gt;0")</f>
        <v>0</v>
      </c>
      <c r="E86" s="12">
        <f>COUNTIFS(Leads[CPF],"&lt;&gt;",Leads[Data de entrada],"&gt;="&amp;A86,Leads[Data de entrada],"&lt;"&amp;(B86+1),Leads[Data da conversa presencial executada],"&gt;0")</f>
        <v>0</v>
      </c>
      <c r="F86" s="13">
        <f>IFERROR(AVERAGEIFS(Leads[Tempo de resposta (min)],Leads[CPF],"&lt;&gt;",Leads[Data de entrada],"&gt;="&amp;A86,Leads[Data de entrada],"&lt;"&amp;(B86+1),Leads[Tempo de resposta (min)],"&gt;=0",Leads[Tempo de resposta (min)],"&lt;&gt;"),"")</f>
        <v/>
      </c>
      <c r="G86" s="12">
        <f>COUNTIFS(Leads[CPF],"&lt;&gt;",Leads[Data de entrada],"&gt;="&amp;A86,Leads[Data de entrada],"&lt;"&amp;(B86+1),Leads[Tempo de resposta (min)],"&gt;=0",Leads[Tempo de resposta (min)],"&lt;&gt;")</f>
        <v>0</v>
      </c>
      <c r="H86" s="14">
        <f>IFERROR(D86/C86,"")</f>
        <v/>
      </c>
      <c r="I86" s="14">
        <f>IFERROR(E86/D86,"")</f>
        <v/>
      </c>
      <c r="J86" s="14">
        <f>IFERROR(E86/C86,"")</f>
        <v/>
      </c>
      <c r="K86" s="12">
        <f>COUNTIFS(Leads[CPF],"&lt;&gt;",Leads[Data de entrada],"&gt;="&amp;A86,Leads[Data de entrada],"&lt;"&amp;(B86+1),Leads[Paciente fechou (0/1)],1)</f>
        <v>0</v>
      </c>
      <c r="L86" s="14">
        <f>IFERROR(K86/E86,"")</f>
        <v/>
      </c>
    </row>
    <row r="87" spans="1:12">
      <c r="A87" s="5">
        <f>A86+7</f>
        <v>0</v>
      </c>
      <c r="B87" s="5">
        <f>A87+6</f>
        <v>0</v>
      </c>
      <c r="C87" s="12">
        <f>COUNTIFS(Leads[CPF],"&lt;&gt;",Leads[Data de entrada],"&gt;="&amp;A87,Leads[Data de entrada],"&lt;"&amp;(B87+1))</f>
        <v>0</v>
      </c>
      <c r="D87" s="12">
        <f>COUNTIFS(Leads[CPF],"&lt;&gt;",Leads[Data de entrada],"&gt;="&amp;A87,Leads[Data de entrada],"&lt;"&amp;(B87+1),Leads[Data do agendamento],"&gt;0")</f>
        <v>0</v>
      </c>
      <c r="E87" s="12">
        <f>COUNTIFS(Leads[CPF],"&lt;&gt;",Leads[Data de entrada],"&gt;="&amp;A87,Leads[Data de entrada],"&lt;"&amp;(B87+1),Leads[Data da conversa presencial executada],"&gt;0")</f>
        <v>0</v>
      </c>
      <c r="F87" s="13">
        <f>IFERROR(AVERAGEIFS(Leads[Tempo de resposta (min)],Leads[CPF],"&lt;&gt;",Leads[Data de entrada],"&gt;="&amp;A87,Leads[Data de entrada],"&lt;"&amp;(B87+1),Leads[Tempo de resposta (min)],"&gt;=0",Leads[Tempo de resposta (min)],"&lt;&gt;"),"")</f>
        <v/>
      </c>
      <c r="G87" s="12">
        <f>COUNTIFS(Leads[CPF],"&lt;&gt;",Leads[Data de entrada],"&gt;="&amp;A87,Leads[Data de entrada],"&lt;"&amp;(B87+1),Leads[Tempo de resposta (min)],"&gt;=0",Leads[Tempo de resposta (min)],"&lt;&gt;")</f>
        <v>0</v>
      </c>
      <c r="H87" s="14">
        <f>IFERROR(D87/C87,"")</f>
        <v/>
      </c>
      <c r="I87" s="14">
        <f>IFERROR(E87/D87,"")</f>
        <v/>
      </c>
      <c r="J87" s="14">
        <f>IFERROR(E87/C87,"")</f>
        <v/>
      </c>
      <c r="K87" s="12">
        <f>COUNTIFS(Leads[CPF],"&lt;&gt;",Leads[Data de entrada],"&gt;="&amp;A87,Leads[Data de entrada],"&lt;"&amp;(B87+1),Leads[Paciente fechou (0/1)],1)</f>
        <v>0</v>
      </c>
      <c r="L87" s="14">
        <f>IFERROR(K87/E87,"")</f>
        <v/>
      </c>
    </row>
    <row r="88" spans="1:12">
      <c r="A88" s="5">
        <f>A87+7</f>
        <v>0</v>
      </c>
      <c r="B88" s="5">
        <f>A88+6</f>
        <v>0</v>
      </c>
      <c r="C88" s="12">
        <f>COUNTIFS(Leads[CPF],"&lt;&gt;",Leads[Data de entrada],"&gt;="&amp;A88,Leads[Data de entrada],"&lt;"&amp;(B88+1))</f>
        <v>0</v>
      </c>
      <c r="D88" s="12">
        <f>COUNTIFS(Leads[CPF],"&lt;&gt;",Leads[Data de entrada],"&gt;="&amp;A88,Leads[Data de entrada],"&lt;"&amp;(B88+1),Leads[Data do agendamento],"&gt;0")</f>
        <v>0</v>
      </c>
      <c r="E88" s="12">
        <f>COUNTIFS(Leads[CPF],"&lt;&gt;",Leads[Data de entrada],"&gt;="&amp;A88,Leads[Data de entrada],"&lt;"&amp;(B88+1),Leads[Data da conversa presencial executada],"&gt;0")</f>
        <v>0</v>
      </c>
      <c r="F88" s="13">
        <f>IFERROR(AVERAGEIFS(Leads[Tempo de resposta (min)],Leads[CPF],"&lt;&gt;",Leads[Data de entrada],"&gt;="&amp;A88,Leads[Data de entrada],"&lt;"&amp;(B88+1),Leads[Tempo de resposta (min)],"&gt;=0",Leads[Tempo de resposta (min)],"&lt;&gt;"),"")</f>
        <v/>
      </c>
      <c r="G88" s="12">
        <f>COUNTIFS(Leads[CPF],"&lt;&gt;",Leads[Data de entrada],"&gt;="&amp;A88,Leads[Data de entrada],"&lt;"&amp;(B88+1),Leads[Tempo de resposta (min)],"&gt;=0",Leads[Tempo de resposta (min)],"&lt;&gt;")</f>
        <v>0</v>
      </c>
      <c r="H88" s="14">
        <f>IFERROR(D88/C88,"")</f>
        <v/>
      </c>
      <c r="I88" s="14">
        <f>IFERROR(E88/D88,"")</f>
        <v/>
      </c>
      <c r="J88" s="14">
        <f>IFERROR(E88/C88,"")</f>
        <v/>
      </c>
      <c r="K88" s="12">
        <f>COUNTIFS(Leads[CPF],"&lt;&gt;",Leads[Data de entrada],"&gt;="&amp;A88,Leads[Data de entrada],"&lt;"&amp;(B88+1),Leads[Paciente fechou (0/1)],1)</f>
        <v>0</v>
      </c>
      <c r="L88" s="14">
        <f>IFERROR(K88/E88,"")</f>
        <v/>
      </c>
    </row>
    <row r="89" spans="1:12">
      <c r="A89" s="5">
        <f>A88+7</f>
        <v>0</v>
      </c>
      <c r="B89" s="5">
        <f>A89+6</f>
        <v>0</v>
      </c>
      <c r="C89" s="12">
        <f>COUNTIFS(Leads[CPF],"&lt;&gt;",Leads[Data de entrada],"&gt;="&amp;A89,Leads[Data de entrada],"&lt;"&amp;(B89+1))</f>
        <v>0</v>
      </c>
      <c r="D89" s="12">
        <f>COUNTIFS(Leads[CPF],"&lt;&gt;",Leads[Data de entrada],"&gt;="&amp;A89,Leads[Data de entrada],"&lt;"&amp;(B89+1),Leads[Data do agendamento],"&gt;0")</f>
        <v>0</v>
      </c>
      <c r="E89" s="12">
        <f>COUNTIFS(Leads[CPF],"&lt;&gt;",Leads[Data de entrada],"&gt;="&amp;A89,Leads[Data de entrada],"&lt;"&amp;(B89+1),Leads[Data da conversa presencial executada],"&gt;0")</f>
        <v>0</v>
      </c>
      <c r="F89" s="13">
        <f>IFERROR(AVERAGEIFS(Leads[Tempo de resposta (min)],Leads[CPF],"&lt;&gt;",Leads[Data de entrada],"&gt;="&amp;A89,Leads[Data de entrada],"&lt;"&amp;(B89+1),Leads[Tempo de resposta (min)],"&gt;=0",Leads[Tempo de resposta (min)],"&lt;&gt;"),"")</f>
        <v/>
      </c>
      <c r="G89" s="12">
        <f>COUNTIFS(Leads[CPF],"&lt;&gt;",Leads[Data de entrada],"&gt;="&amp;A89,Leads[Data de entrada],"&lt;"&amp;(B89+1),Leads[Tempo de resposta (min)],"&gt;=0",Leads[Tempo de resposta (min)],"&lt;&gt;")</f>
        <v>0</v>
      </c>
      <c r="H89" s="14">
        <f>IFERROR(D89/C89,"")</f>
        <v/>
      </c>
      <c r="I89" s="14">
        <f>IFERROR(E89/D89,"")</f>
        <v/>
      </c>
      <c r="J89" s="14">
        <f>IFERROR(E89/C89,"")</f>
        <v/>
      </c>
      <c r="K89" s="12">
        <f>COUNTIFS(Leads[CPF],"&lt;&gt;",Leads[Data de entrada],"&gt;="&amp;A89,Leads[Data de entrada],"&lt;"&amp;(B89+1),Leads[Paciente fechou (0/1)],1)</f>
        <v>0</v>
      </c>
      <c r="L89" s="14">
        <f>IFERROR(K89/E89,"")</f>
        <v/>
      </c>
    </row>
    <row r="90" spans="1:12">
      <c r="A90" s="5">
        <f>A89+7</f>
        <v>0</v>
      </c>
      <c r="B90" s="5">
        <f>A90+6</f>
        <v>0</v>
      </c>
      <c r="C90" s="12">
        <f>COUNTIFS(Leads[CPF],"&lt;&gt;",Leads[Data de entrada],"&gt;="&amp;A90,Leads[Data de entrada],"&lt;"&amp;(B90+1))</f>
        <v>0</v>
      </c>
      <c r="D90" s="12">
        <f>COUNTIFS(Leads[CPF],"&lt;&gt;",Leads[Data de entrada],"&gt;="&amp;A90,Leads[Data de entrada],"&lt;"&amp;(B90+1),Leads[Data do agendamento],"&gt;0")</f>
        <v>0</v>
      </c>
      <c r="E90" s="12">
        <f>COUNTIFS(Leads[CPF],"&lt;&gt;",Leads[Data de entrada],"&gt;="&amp;A90,Leads[Data de entrada],"&lt;"&amp;(B90+1),Leads[Data da conversa presencial executada],"&gt;0")</f>
        <v>0</v>
      </c>
      <c r="F90" s="13">
        <f>IFERROR(AVERAGEIFS(Leads[Tempo de resposta (min)],Leads[CPF],"&lt;&gt;",Leads[Data de entrada],"&gt;="&amp;A90,Leads[Data de entrada],"&lt;"&amp;(B90+1),Leads[Tempo de resposta (min)],"&gt;=0",Leads[Tempo de resposta (min)],"&lt;&gt;"),"")</f>
        <v/>
      </c>
      <c r="G90" s="12">
        <f>COUNTIFS(Leads[CPF],"&lt;&gt;",Leads[Data de entrada],"&gt;="&amp;A90,Leads[Data de entrada],"&lt;"&amp;(B90+1),Leads[Tempo de resposta (min)],"&gt;=0",Leads[Tempo de resposta (min)],"&lt;&gt;")</f>
        <v>0</v>
      </c>
      <c r="H90" s="14">
        <f>IFERROR(D90/C90,"")</f>
        <v/>
      </c>
      <c r="I90" s="14">
        <f>IFERROR(E90/D90,"")</f>
        <v/>
      </c>
      <c r="J90" s="14">
        <f>IFERROR(E90/C90,"")</f>
        <v/>
      </c>
      <c r="K90" s="12">
        <f>COUNTIFS(Leads[CPF],"&lt;&gt;",Leads[Data de entrada],"&gt;="&amp;A90,Leads[Data de entrada],"&lt;"&amp;(B90+1),Leads[Paciente fechou (0/1)],1)</f>
        <v>0</v>
      </c>
      <c r="L90" s="14">
        <f>IFERROR(K90/E90,"")</f>
        <v/>
      </c>
    </row>
    <row r="91" spans="1:12">
      <c r="A91" s="5">
        <f>A90+7</f>
        <v>0</v>
      </c>
      <c r="B91" s="5">
        <f>A91+6</f>
        <v>0</v>
      </c>
      <c r="C91" s="12">
        <f>COUNTIFS(Leads[CPF],"&lt;&gt;",Leads[Data de entrada],"&gt;="&amp;A91,Leads[Data de entrada],"&lt;"&amp;(B91+1))</f>
        <v>0</v>
      </c>
      <c r="D91" s="12">
        <f>COUNTIFS(Leads[CPF],"&lt;&gt;",Leads[Data de entrada],"&gt;="&amp;A91,Leads[Data de entrada],"&lt;"&amp;(B91+1),Leads[Data do agendamento],"&gt;0")</f>
        <v>0</v>
      </c>
      <c r="E91" s="12">
        <f>COUNTIFS(Leads[CPF],"&lt;&gt;",Leads[Data de entrada],"&gt;="&amp;A91,Leads[Data de entrada],"&lt;"&amp;(B91+1),Leads[Data da conversa presencial executada],"&gt;0")</f>
        <v>0</v>
      </c>
      <c r="F91" s="13">
        <f>IFERROR(AVERAGEIFS(Leads[Tempo de resposta (min)],Leads[CPF],"&lt;&gt;",Leads[Data de entrada],"&gt;="&amp;A91,Leads[Data de entrada],"&lt;"&amp;(B91+1),Leads[Tempo de resposta (min)],"&gt;=0",Leads[Tempo de resposta (min)],"&lt;&gt;"),"")</f>
        <v/>
      </c>
      <c r="G91" s="12">
        <f>COUNTIFS(Leads[CPF],"&lt;&gt;",Leads[Data de entrada],"&gt;="&amp;A91,Leads[Data de entrada],"&lt;"&amp;(B91+1),Leads[Tempo de resposta (min)],"&gt;=0",Leads[Tempo de resposta (min)],"&lt;&gt;")</f>
        <v>0</v>
      </c>
      <c r="H91" s="14">
        <f>IFERROR(D91/C91,"")</f>
        <v/>
      </c>
      <c r="I91" s="14">
        <f>IFERROR(E91/D91,"")</f>
        <v/>
      </c>
      <c r="J91" s="14">
        <f>IFERROR(E91/C91,"")</f>
        <v/>
      </c>
      <c r="K91" s="12">
        <f>COUNTIFS(Leads[CPF],"&lt;&gt;",Leads[Data de entrada],"&gt;="&amp;A91,Leads[Data de entrada],"&lt;"&amp;(B91+1),Leads[Paciente fechou (0/1)],1)</f>
        <v>0</v>
      </c>
      <c r="L91" s="14">
        <f>IFERROR(K91/E91,"")</f>
        <v/>
      </c>
    </row>
    <row r="92" spans="1:12">
      <c r="A92" s="5">
        <f>A91+7</f>
        <v>0</v>
      </c>
      <c r="B92" s="5">
        <f>A92+6</f>
        <v>0</v>
      </c>
      <c r="C92" s="12">
        <f>COUNTIFS(Leads[CPF],"&lt;&gt;",Leads[Data de entrada],"&gt;="&amp;A92,Leads[Data de entrada],"&lt;"&amp;(B92+1))</f>
        <v>0</v>
      </c>
      <c r="D92" s="12">
        <f>COUNTIFS(Leads[CPF],"&lt;&gt;",Leads[Data de entrada],"&gt;="&amp;A92,Leads[Data de entrada],"&lt;"&amp;(B92+1),Leads[Data do agendamento],"&gt;0")</f>
        <v>0</v>
      </c>
      <c r="E92" s="12">
        <f>COUNTIFS(Leads[CPF],"&lt;&gt;",Leads[Data de entrada],"&gt;="&amp;A92,Leads[Data de entrada],"&lt;"&amp;(B92+1),Leads[Data da conversa presencial executada],"&gt;0")</f>
        <v>0</v>
      </c>
      <c r="F92" s="13">
        <f>IFERROR(AVERAGEIFS(Leads[Tempo de resposta (min)],Leads[CPF],"&lt;&gt;",Leads[Data de entrada],"&gt;="&amp;A92,Leads[Data de entrada],"&lt;"&amp;(B92+1),Leads[Tempo de resposta (min)],"&gt;=0",Leads[Tempo de resposta (min)],"&lt;&gt;"),"")</f>
        <v/>
      </c>
      <c r="G92" s="12">
        <f>COUNTIFS(Leads[CPF],"&lt;&gt;",Leads[Data de entrada],"&gt;="&amp;A92,Leads[Data de entrada],"&lt;"&amp;(B92+1),Leads[Tempo de resposta (min)],"&gt;=0",Leads[Tempo de resposta (min)],"&lt;&gt;")</f>
        <v>0</v>
      </c>
      <c r="H92" s="14">
        <f>IFERROR(D92/C92,"")</f>
        <v/>
      </c>
      <c r="I92" s="14">
        <f>IFERROR(E92/D92,"")</f>
        <v/>
      </c>
      <c r="J92" s="14">
        <f>IFERROR(E92/C92,"")</f>
        <v/>
      </c>
      <c r="K92" s="12">
        <f>COUNTIFS(Leads[CPF],"&lt;&gt;",Leads[Data de entrada],"&gt;="&amp;A92,Leads[Data de entrada],"&lt;"&amp;(B92+1),Leads[Paciente fechou (0/1)],1)</f>
        <v>0</v>
      </c>
      <c r="L92" s="14">
        <f>IFERROR(K92/E92,"")</f>
        <v/>
      </c>
    </row>
    <row r="93" spans="1:12">
      <c r="A93" s="5">
        <f>A92+7</f>
        <v>0</v>
      </c>
      <c r="B93" s="5">
        <f>A93+6</f>
        <v>0</v>
      </c>
      <c r="C93" s="12">
        <f>COUNTIFS(Leads[CPF],"&lt;&gt;",Leads[Data de entrada],"&gt;="&amp;A93,Leads[Data de entrada],"&lt;"&amp;(B93+1))</f>
        <v>0</v>
      </c>
      <c r="D93" s="12">
        <f>COUNTIFS(Leads[CPF],"&lt;&gt;",Leads[Data de entrada],"&gt;="&amp;A93,Leads[Data de entrada],"&lt;"&amp;(B93+1),Leads[Data do agendamento],"&gt;0")</f>
        <v>0</v>
      </c>
      <c r="E93" s="12">
        <f>COUNTIFS(Leads[CPF],"&lt;&gt;",Leads[Data de entrada],"&gt;="&amp;A93,Leads[Data de entrada],"&lt;"&amp;(B93+1),Leads[Data da conversa presencial executada],"&gt;0")</f>
        <v>0</v>
      </c>
      <c r="F93" s="13">
        <f>IFERROR(AVERAGEIFS(Leads[Tempo de resposta (min)],Leads[CPF],"&lt;&gt;",Leads[Data de entrada],"&gt;="&amp;A93,Leads[Data de entrada],"&lt;"&amp;(B93+1),Leads[Tempo de resposta (min)],"&gt;=0",Leads[Tempo de resposta (min)],"&lt;&gt;"),"")</f>
        <v/>
      </c>
      <c r="G93" s="12">
        <f>COUNTIFS(Leads[CPF],"&lt;&gt;",Leads[Data de entrada],"&gt;="&amp;A93,Leads[Data de entrada],"&lt;"&amp;(B93+1),Leads[Tempo de resposta (min)],"&gt;=0",Leads[Tempo de resposta (min)],"&lt;&gt;")</f>
        <v>0</v>
      </c>
      <c r="H93" s="14">
        <f>IFERROR(D93/C93,"")</f>
        <v/>
      </c>
      <c r="I93" s="14">
        <f>IFERROR(E93/D93,"")</f>
        <v/>
      </c>
      <c r="J93" s="14">
        <f>IFERROR(E93/C93,"")</f>
        <v/>
      </c>
      <c r="K93" s="12">
        <f>COUNTIFS(Leads[CPF],"&lt;&gt;",Leads[Data de entrada],"&gt;="&amp;A93,Leads[Data de entrada],"&lt;"&amp;(B93+1),Leads[Paciente fechou (0/1)],1)</f>
        <v>0</v>
      </c>
      <c r="L93" s="14">
        <f>IFERROR(K93/E93,"")</f>
        <v/>
      </c>
    </row>
    <row r="94" spans="1:12">
      <c r="A94" s="5">
        <f>A93+7</f>
        <v>0</v>
      </c>
      <c r="B94" s="5">
        <f>A94+6</f>
        <v>0</v>
      </c>
      <c r="C94" s="12">
        <f>COUNTIFS(Leads[CPF],"&lt;&gt;",Leads[Data de entrada],"&gt;="&amp;A94,Leads[Data de entrada],"&lt;"&amp;(B94+1))</f>
        <v>0</v>
      </c>
      <c r="D94" s="12">
        <f>COUNTIFS(Leads[CPF],"&lt;&gt;",Leads[Data de entrada],"&gt;="&amp;A94,Leads[Data de entrada],"&lt;"&amp;(B94+1),Leads[Data do agendamento],"&gt;0")</f>
        <v>0</v>
      </c>
      <c r="E94" s="12">
        <f>COUNTIFS(Leads[CPF],"&lt;&gt;",Leads[Data de entrada],"&gt;="&amp;A94,Leads[Data de entrada],"&lt;"&amp;(B94+1),Leads[Data da conversa presencial executada],"&gt;0")</f>
        <v>0</v>
      </c>
      <c r="F94" s="13">
        <f>IFERROR(AVERAGEIFS(Leads[Tempo de resposta (min)],Leads[CPF],"&lt;&gt;",Leads[Data de entrada],"&gt;="&amp;A94,Leads[Data de entrada],"&lt;"&amp;(B94+1),Leads[Tempo de resposta (min)],"&gt;=0",Leads[Tempo de resposta (min)],"&lt;&gt;"),"")</f>
        <v/>
      </c>
      <c r="G94" s="12">
        <f>COUNTIFS(Leads[CPF],"&lt;&gt;",Leads[Data de entrada],"&gt;="&amp;A94,Leads[Data de entrada],"&lt;"&amp;(B94+1),Leads[Tempo de resposta (min)],"&gt;=0",Leads[Tempo de resposta (min)],"&lt;&gt;")</f>
        <v>0</v>
      </c>
      <c r="H94" s="14">
        <f>IFERROR(D94/C94,"")</f>
        <v/>
      </c>
      <c r="I94" s="14">
        <f>IFERROR(E94/D94,"")</f>
        <v/>
      </c>
      <c r="J94" s="14">
        <f>IFERROR(E94/C94,"")</f>
        <v/>
      </c>
      <c r="K94" s="12">
        <f>COUNTIFS(Leads[CPF],"&lt;&gt;",Leads[Data de entrada],"&gt;="&amp;A94,Leads[Data de entrada],"&lt;"&amp;(B94+1),Leads[Paciente fechou (0/1)],1)</f>
        <v>0</v>
      </c>
      <c r="L94" s="14">
        <f>IFERROR(K94/E94,"")</f>
        <v/>
      </c>
    </row>
    <row r="95" spans="1:12">
      <c r="A95" s="5">
        <f>A94+7</f>
        <v>0</v>
      </c>
      <c r="B95" s="5">
        <f>A95+6</f>
        <v>0</v>
      </c>
      <c r="C95" s="12">
        <f>COUNTIFS(Leads[CPF],"&lt;&gt;",Leads[Data de entrada],"&gt;="&amp;A95,Leads[Data de entrada],"&lt;"&amp;(B95+1))</f>
        <v>0</v>
      </c>
      <c r="D95" s="12">
        <f>COUNTIFS(Leads[CPF],"&lt;&gt;",Leads[Data de entrada],"&gt;="&amp;A95,Leads[Data de entrada],"&lt;"&amp;(B95+1),Leads[Data do agendamento],"&gt;0")</f>
        <v>0</v>
      </c>
      <c r="E95" s="12">
        <f>COUNTIFS(Leads[CPF],"&lt;&gt;",Leads[Data de entrada],"&gt;="&amp;A95,Leads[Data de entrada],"&lt;"&amp;(B95+1),Leads[Data da conversa presencial executada],"&gt;0")</f>
        <v>0</v>
      </c>
      <c r="F95" s="13">
        <f>IFERROR(AVERAGEIFS(Leads[Tempo de resposta (min)],Leads[CPF],"&lt;&gt;",Leads[Data de entrada],"&gt;="&amp;A95,Leads[Data de entrada],"&lt;"&amp;(B95+1),Leads[Tempo de resposta (min)],"&gt;=0",Leads[Tempo de resposta (min)],"&lt;&gt;"),"")</f>
        <v/>
      </c>
      <c r="G95" s="12">
        <f>COUNTIFS(Leads[CPF],"&lt;&gt;",Leads[Data de entrada],"&gt;="&amp;A95,Leads[Data de entrada],"&lt;"&amp;(B95+1),Leads[Tempo de resposta (min)],"&gt;=0",Leads[Tempo de resposta (min)],"&lt;&gt;")</f>
        <v>0</v>
      </c>
      <c r="H95" s="14">
        <f>IFERROR(D95/C95,"")</f>
        <v/>
      </c>
      <c r="I95" s="14">
        <f>IFERROR(E95/D95,"")</f>
        <v/>
      </c>
      <c r="J95" s="14">
        <f>IFERROR(E95/C95,"")</f>
        <v/>
      </c>
      <c r="K95" s="12">
        <f>COUNTIFS(Leads[CPF],"&lt;&gt;",Leads[Data de entrada],"&gt;="&amp;A95,Leads[Data de entrada],"&lt;"&amp;(B95+1),Leads[Paciente fechou (0/1)],1)</f>
        <v>0</v>
      </c>
      <c r="L95" s="14">
        <f>IFERROR(K95/E95,"")</f>
        <v/>
      </c>
    </row>
    <row r="96" spans="1:12">
      <c r="A96" s="5">
        <f>A95+7</f>
        <v>0</v>
      </c>
      <c r="B96" s="5">
        <f>A96+6</f>
        <v>0</v>
      </c>
      <c r="C96" s="12">
        <f>COUNTIFS(Leads[CPF],"&lt;&gt;",Leads[Data de entrada],"&gt;="&amp;A96,Leads[Data de entrada],"&lt;"&amp;(B96+1))</f>
        <v>0</v>
      </c>
      <c r="D96" s="12">
        <f>COUNTIFS(Leads[CPF],"&lt;&gt;",Leads[Data de entrada],"&gt;="&amp;A96,Leads[Data de entrada],"&lt;"&amp;(B96+1),Leads[Data do agendamento],"&gt;0")</f>
        <v>0</v>
      </c>
      <c r="E96" s="12">
        <f>COUNTIFS(Leads[CPF],"&lt;&gt;",Leads[Data de entrada],"&gt;="&amp;A96,Leads[Data de entrada],"&lt;"&amp;(B96+1),Leads[Data da conversa presencial executada],"&gt;0")</f>
        <v>0</v>
      </c>
      <c r="F96" s="13">
        <f>IFERROR(AVERAGEIFS(Leads[Tempo de resposta (min)],Leads[CPF],"&lt;&gt;",Leads[Data de entrada],"&gt;="&amp;A96,Leads[Data de entrada],"&lt;"&amp;(B96+1),Leads[Tempo de resposta (min)],"&gt;=0",Leads[Tempo de resposta (min)],"&lt;&gt;"),"")</f>
        <v/>
      </c>
      <c r="G96" s="12">
        <f>COUNTIFS(Leads[CPF],"&lt;&gt;",Leads[Data de entrada],"&gt;="&amp;A96,Leads[Data de entrada],"&lt;"&amp;(B96+1),Leads[Tempo de resposta (min)],"&gt;=0",Leads[Tempo de resposta (min)],"&lt;&gt;")</f>
        <v>0</v>
      </c>
      <c r="H96" s="14">
        <f>IFERROR(D96/C96,"")</f>
        <v/>
      </c>
      <c r="I96" s="14">
        <f>IFERROR(E96/D96,"")</f>
        <v/>
      </c>
      <c r="J96" s="14">
        <f>IFERROR(E96/C96,"")</f>
        <v/>
      </c>
      <c r="K96" s="12">
        <f>COUNTIFS(Leads[CPF],"&lt;&gt;",Leads[Data de entrada],"&gt;="&amp;A96,Leads[Data de entrada],"&lt;"&amp;(B96+1),Leads[Paciente fechou (0/1)],1)</f>
        <v>0</v>
      </c>
      <c r="L96" s="14">
        <f>IFERROR(K96/E96,"")</f>
        <v/>
      </c>
    </row>
    <row r="97" spans="1:12">
      <c r="A97" s="5">
        <f>A96+7</f>
        <v>0</v>
      </c>
      <c r="B97" s="5">
        <f>A97+6</f>
        <v>0</v>
      </c>
      <c r="C97" s="12">
        <f>COUNTIFS(Leads[CPF],"&lt;&gt;",Leads[Data de entrada],"&gt;="&amp;A97,Leads[Data de entrada],"&lt;"&amp;(B97+1))</f>
        <v>0</v>
      </c>
      <c r="D97" s="12">
        <f>COUNTIFS(Leads[CPF],"&lt;&gt;",Leads[Data de entrada],"&gt;="&amp;A97,Leads[Data de entrada],"&lt;"&amp;(B97+1),Leads[Data do agendamento],"&gt;0")</f>
        <v>0</v>
      </c>
      <c r="E97" s="12">
        <f>COUNTIFS(Leads[CPF],"&lt;&gt;",Leads[Data de entrada],"&gt;="&amp;A97,Leads[Data de entrada],"&lt;"&amp;(B97+1),Leads[Data da conversa presencial executada],"&gt;0")</f>
        <v>0</v>
      </c>
      <c r="F97" s="13">
        <f>IFERROR(AVERAGEIFS(Leads[Tempo de resposta (min)],Leads[CPF],"&lt;&gt;",Leads[Data de entrada],"&gt;="&amp;A97,Leads[Data de entrada],"&lt;"&amp;(B97+1),Leads[Tempo de resposta (min)],"&gt;=0",Leads[Tempo de resposta (min)],"&lt;&gt;"),"")</f>
        <v/>
      </c>
      <c r="G97" s="12">
        <f>COUNTIFS(Leads[CPF],"&lt;&gt;",Leads[Data de entrada],"&gt;="&amp;A97,Leads[Data de entrada],"&lt;"&amp;(B97+1),Leads[Tempo de resposta (min)],"&gt;=0",Leads[Tempo de resposta (min)],"&lt;&gt;")</f>
        <v>0</v>
      </c>
      <c r="H97" s="14">
        <f>IFERROR(D97/C97,"")</f>
        <v/>
      </c>
      <c r="I97" s="14">
        <f>IFERROR(E97/D97,"")</f>
        <v/>
      </c>
      <c r="J97" s="14">
        <f>IFERROR(E97/C97,"")</f>
        <v/>
      </c>
      <c r="K97" s="12">
        <f>COUNTIFS(Leads[CPF],"&lt;&gt;",Leads[Data de entrada],"&gt;="&amp;A97,Leads[Data de entrada],"&lt;"&amp;(B97+1),Leads[Paciente fechou (0/1)],1)</f>
        <v>0</v>
      </c>
      <c r="L97" s="14">
        <f>IFERROR(K97/E97,"")</f>
        <v/>
      </c>
    </row>
    <row r="98" spans="1:12">
      <c r="A98" s="5">
        <f>A97+7</f>
        <v>0</v>
      </c>
      <c r="B98" s="5">
        <f>A98+6</f>
        <v>0</v>
      </c>
      <c r="C98" s="12">
        <f>COUNTIFS(Leads[CPF],"&lt;&gt;",Leads[Data de entrada],"&gt;="&amp;A98,Leads[Data de entrada],"&lt;"&amp;(B98+1))</f>
        <v>0</v>
      </c>
      <c r="D98" s="12">
        <f>COUNTIFS(Leads[CPF],"&lt;&gt;",Leads[Data de entrada],"&gt;="&amp;A98,Leads[Data de entrada],"&lt;"&amp;(B98+1),Leads[Data do agendamento],"&gt;0")</f>
        <v>0</v>
      </c>
      <c r="E98" s="12">
        <f>COUNTIFS(Leads[CPF],"&lt;&gt;",Leads[Data de entrada],"&gt;="&amp;A98,Leads[Data de entrada],"&lt;"&amp;(B98+1),Leads[Data da conversa presencial executada],"&gt;0")</f>
        <v>0</v>
      </c>
      <c r="F98" s="13">
        <f>IFERROR(AVERAGEIFS(Leads[Tempo de resposta (min)],Leads[CPF],"&lt;&gt;",Leads[Data de entrada],"&gt;="&amp;A98,Leads[Data de entrada],"&lt;"&amp;(B98+1),Leads[Tempo de resposta (min)],"&gt;=0",Leads[Tempo de resposta (min)],"&lt;&gt;"),"")</f>
        <v/>
      </c>
      <c r="G98" s="12">
        <f>COUNTIFS(Leads[CPF],"&lt;&gt;",Leads[Data de entrada],"&gt;="&amp;A98,Leads[Data de entrada],"&lt;"&amp;(B98+1),Leads[Tempo de resposta (min)],"&gt;=0",Leads[Tempo de resposta (min)],"&lt;&gt;")</f>
        <v>0</v>
      </c>
      <c r="H98" s="14">
        <f>IFERROR(D98/C98,"")</f>
        <v/>
      </c>
      <c r="I98" s="14">
        <f>IFERROR(E98/D98,"")</f>
        <v/>
      </c>
      <c r="J98" s="14">
        <f>IFERROR(E98/C98,"")</f>
        <v/>
      </c>
      <c r="K98" s="12">
        <f>COUNTIFS(Leads[CPF],"&lt;&gt;",Leads[Data de entrada],"&gt;="&amp;A98,Leads[Data de entrada],"&lt;"&amp;(B98+1),Leads[Paciente fechou (0/1)],1)</f>
        <v>0</v>
      </c>
      <c r="L98" s="14">
        <f>IFERROR(K98/E98,"")</f>
        <v/>
      </c>
    </row>
    <row r="99" spans="1:12">
      <c r="A99" s="5">
        <f>A98+7</f>
        <v>0</v>
      </c>
      <c r="B99" s="5">
        <f>A99+6</f>
        <v>0</v>
      </c>
      <c r="C99" s="12">
        <f>COUNTIFS(Leads[CPF],"&lt;&gt;",Leads[Data de entrada],"&gt;="&amp;A99,Leads[Data de entrada],"&lt;"&amp;(B99+1))</f>
        <v>0</v>
      </c>
      <c r="D99" s="12">
        <f>COUNTIFS(Leads[CPF],"&lt;&gt;",Leads[Data de entrada],"&gt;="&amp;A99,Leads[Data de entrada],"&lt;"&amp;(B99+1),Leads[Data do agendamento],"&gt;0")</f>
        <v>0</v>
      </c>
      <c r="E99" s="12">
        <f>COUNTIFS(Leads[CPF],"&lt;&gt;",Leads[Data de entrada],"&gt;="&amp;A99,Leads[Data de entrada],"&lt;"&amp;(B99+1),Leads[Data da conversa presencial executada],"&gt;0")</f>
        <v>0</v>
      </c>
      <c r="F99" s="13">
        <f>IFERROR(AVERAGEIFS(Leads[Tempo de resposta (min)],Leads[CPF],"&lt;&gt;",Leads[Data de entrada],"&gt;="&amp;A99,Leads[Data de entrada],"&lt;"&amp;(B99+1),Leads[Tempo de resposta (min)],"&gt;=0",Leads[Tempo de resposta (min)],"&lt;&gt;"),"")</f>
        <v/>
      </c>
      <c r="G99" s="12">
        <f>COUNTIFS(Leads[CPF],"&lt;&gt;",Leads[Data de entrada],"&gt;="&amp;A99,Leads[Data de entrada],"&lt;"&amp;(B99+1),Leads[Tempo de resposta (min)],"&gt;=0",Leads[Tempo de resposta (min)],"&lt;&gt;")</f>
        <v>0</v>
      </c>
      <c r="H99" s="14">
        <f>IFERROR(D99/C99,"")</f>
        <v/>
      </c>
      <c r="I99" s="14">
        <f>IFERROR(E99/D99,"")</f>
        <v/>
      </c>
      <c r="J99" s="14">
        <f>IFERROR(E99/C99,"")</f>
        <v/>
      </c>
      <c r="K99" s="12">
        <f>COUNTIFS(Leads[CPF],"&lt;&gt;",Leads[Data de entrada],"&gt;="&amp;A99,Leads[Data de entrada],"&lt;"&amp;(B99+1),Leads[Paciente fechou (0/1)],1)</f>
        <v>0</v>
      </c>
      <c r="L99" s="14">
        <f>IFERROR(K99/E99,"")</f>
        <v/>
      </c>
    </row>
    <row r="100" spans="1:12">
      <c r="A100" s="5">
        <f>A99+7</f>
        <v>0</v>
      </c>
      <c r="B100" s="5">
        <f>A100+6</f>
        <v>0</v>
      </c>
      <c r="C100" s="12">
        <f>COUNTIFS(Leads[CPF],"&lt;&gt;",Leads[Data de entrada],"&gt;="&amp;A100,Leads[Data de entrada],"&lt;"&amp;(B100+1))</f>
        <v>0</v>
      </c>
      <c r="D100" s="12">
        <f>COUNTIFS(Leads[CPF],"&lt;&gt;",Leads[Data de entrada],"&gt;="&amp;A100,Leads[Data de entrada],"&lt;"&amp;(B100+1),Leads[Data do agendamento],"&gt;0")</f>
        <v>0</v>
      </c>
      <c r="E100" s="12">
        <f>COUNTIFS(Leads[CPF],"&lt;&gt;",Leads[Data de entrada],"&gt;="&amp;A100,Leads[Data de entrada],"&lt;"&amp;(B100+1),Leads[Data da conversa presencial executada],"&gt;0")</f>
        <v>0</v>
      </c>
      <c r="F100" s="13">
        <f>IFERROR(AVERAGEIFS(Leads[Tempo de resposta (min)],Leads[CPF],"&lt;&gt;",Leads[Data de entrada],"&gt;="&amp;A100,Leads[Data de entrada],"&lt;"&amp;(B100+1),Leads[Tempo de resposta (min)],"&gt;=0",Leads[Tempo de resposta (min)],"&lt;&gt;"),"")</f>
        <v/>
      </c>
      <c r="G100" s="12">
        <f>COUNTIFS(Leads[CPF],"&lt;&gt;",Leads[Data de entrada],"&gt;="&amp;A100,Leads[Data de entrada],"&lt;"&amp;(B100+1),Leads[Tempo de resposta (min)],"&gt;=0",Leads[Tempo de resposta (min)],"&lt;&gt;")</f>
        <v>0</v>
      </c>
      <c r="H100" s="14">
        <f>IFERROR(D100/C100,"")</f>
        <v/>
      </c>
      <c r="I100" s="14">
        <f>IFERROR(E100/D100,"")</f>
        <v/>
      </c>
      <c r="J100" s="14">
        <f>IFERROR(E100/C100,"")</f>
        <v/>
      </c>
      <c r="K100" s="12">
        <f>COUNTIFS(Leads[CPF],"&lt;&gt;",Leads[Data de entrada],"&gt;="&amp;A100,Leads[Data de entrada],"&lt;"&amp;(B100+1),Leads[Paciente fechou (0/1)],1)</f>
        <v>0</v>
      </c>
      <c r="L100" s="14">
        <f>IFERROR(K100/E100,"")</f>
        <v/>
      </c>
    </row>
    <row r="101" spans="1:12">
      <c r="A101" s="5">
        <f>A100+7</f>
        <v>0</v>
      </c>
      <c r="B101" s="5">
        <f>A101+6</f>
        <v>0</v>
      </c>
      <c r="C101" s="12">
        <f>COUNTIFS(Leads[CPF],"&lt;&gt;",Leads[Data de entrada],"&gt;="&amp;A101,Leads[Data de entrada],"&lt;"&amp;(B101+1))</f>
        <v>0</v>
      </c>
      <c r="D101" s="12">
        <f>COUNTIFS(Leads[CPF],"&lt;&gt;",Leads[Data de entrada],"&gt;="&amp;A101,Leads[Data de entrada],"&lt;"&amp;(B101+1),Leads[Data do agendamento],"&gt;0")</f>
        <v>0</v>
      </c>
      <c r="E101" s="12">
        <f>COUNTIFS(Leads[CPF],"&lt;&gt;",Leads[Data de entrada],"&gt;="&amp;A101,Leads[Data de entrada],"&lt;"&amp;(B101+1),Leads[Data da conversa presencial executada],"&gt;0")</f>
        <v>0</v>
      </c>
      <c r="F101" s="13">
        <f>IFERROR(AVERAGEIFS(Leads[Tempo de resposta (min)],Leads[CPF],"&lt;&gt;",Leads[Data de entrada],"&gt;="&amp;A101,Leads[Data de entrada],"&lt;"&amp;(B101+1),Leads[Tempo de resposta (min)],"&gt;=0",Leads[Tempo de resposta (min)],"&lt;&gt;"),"")</f>
        <v/>
      </c>
      <c r="G101" s="12">
        <f>COUNTIFS(Leads[CPF],"&lt;&gt;",Leads[Data de entrada],"&gt;="&amp;A101,Leads[Data de entrada],"&lt;"&amp;(B101+1),Leads[Tempo de resposta (min)],"&gt;=0",Leads[Tempo de resposta (min)],"&lt;&gt;")</f>
        <v>0</v>
      </c>
      <c r="H101" s="14">
        <f>IFERROR(D101/C101,"")</f>
        <v/>
      </c>
      <c r="I101" s="14">
        <f>IFERROR(E101/D101,"")</f>
        <v/>
      </c>
      <c r="J101" s="14">
        <f>IFERROR(E101/C101,"")</f>
        <v/>
      </c>
      <c r="K101" s="12">
        <f>COUNTIFS(Leads[CPF],"&lt;&gt;",Leads[Data de entrada],"&gt;="&amp;A101,Leads[Data de entrada],"&lt;"&amp;(B101+1),Leads[Paciente fechou (0/1)],1)</f>
        <v>0</v>
      </c>
      <c r="L101" s="14">
        <f>IFERROR(K101/E101,"")</f>
        <v/>
      </c>
    </row>
    <row r="102" spans="1:12">
      <c r="A102" s="5">
        <f>A101+7</f>
        <v>0</v>
      </c>
      <c r="B102" s="5">
        <f>A102+6</f>
        <v>0</v>
      </c>
      <c r="C102" s="12">
        <f>COUNTIFS(Leads[CPF],"&lt;&gt;",Leads[Data de entrada],"&gt;="&amp;A102,Leads[Data de entrada],"&lt;"&amp;(B102+1))</f>
        <v>0</v>
      </c>
      <c r="D102" s="12">
        <f>COUNTIFS(Leads[CPF],"&lt;&gt;",Leads[Data de entrada],"&gt;="&amp;A102,Leads[Data de entrada],"&lt;"&amp;(B102+1),Leads[Data do agendamento],"&gt;0")</f>
        <v>0</v>
      </c>
      <c r="E102" s="12">
        <f>COUNTIFS(Leads[CPF],"&lt;&gt;",Leads[Data de entrada],"&gt;="&amp;A102,Leads[Data de entrada],"&lt;"&amp;(B102+1),Leads[Data da conversa presencial executada],"&gt;0")</f>
        <v>0</v>
      </c>
      <c r="F102" s="13">
        <f>IFERROR(AVERAGEIFS(Leads[Tempo de resposta (min)],Leads[CPF],"&lt;&gt;",Leads[Data de entrada],"&gt;="&amp;A102,Leads[Data de entrada],"&lt;"&amp;(B102+1),Leads[Tempo de resposta (min)],"&gt;=0",Leads[Tempo de resposta (min)],"&lt;&gt;"),"")</f>
        <v/>
      </c>
      <c r="G102" s="12">
        <f>COUNTIFS(Leads[CPF],"&lt;&gt;",Leads[Data de entrada],"&gt;="&amp;A102,Leads[Data de entrada],"&lt;"&amp;(B102+1),Leads[Tempo de resposta (min)],"&gt;=0",Leads[Tempo de resposta (min)],"&lt;&gt;")</f>
        <v>0</v>
      </c>
      <c r="H102" s="14">
        <f>IFERROR(D102/C102,"")</f>
        <v/>
      </c>
      <c r="I102" s="14">
        <f>IFERROR(E102/D102,"")</f>
        <v/>
      </c>
      <c r="J102" s="14">
        <f>IFERROR(E102/C102,"")</f>
        <v/>
      </c>
      <c r="K102" s="12">
        <f>COUNTIFS(Leads[CPF],"&lt;&gt;",Leads[Data de entrada],"&gt;="&amp;A102,Leads[Data de entrada],"&lt;"&amp;(B102+1),Leads[Paciente fechou (0/1)],1)</f>
        <v>0</v>
      </c>
      <c r="L102" s="14">
        <f>IFERROR(K102/E102,"")</f>
        <v/>
      </c>
    </row>
    <row r="103" spans="1:12">
      <c r="A103" s="5">
        <f>A102+7</f>
        <v>0</v>
      </c>
      <c r="B103" s="5">
        <f>A103+6</f>
        <v>0</v>
      </c>
      <c r="C103" s="12">
        <f>COUNTIFS(Leads[CPF],"&lt;&gt;",Leads[Data de entrada],"&gt;="&amp;A103,Leads[Data de entrada],"&lt;"&amp;(B103+1))</f>
        <v>0</v>
      </c>
      <c r="D103" s="12">
        <f>COUNTIFS(Leads[CPF],"&lt;&gt;",Leads[Data de entrada],"&gt;="&amp;A103,Leads[Data de entrada],"&lt;"&amp;(B103+1),Leads[Data do agendamento],"&gt;0")</f>
        <v>0</v>
      </c>
      <c r="E103" s="12">
        <f>COUNTIFS(Leads[CPF],"&lt;&gt;",Leads[Data de entrada],"&gt;="&amp;A103,Leads[Data de entrada],"&lt;"&amp;(B103+1),Leads[Data da conversa presencial executada],"&gt;0")</f>
        <v>0</v>
      </c>
      <c r="F103" s="13">
        <f>IFERROR(AVERAGEIFS(Leads[Tempo de resposta (min)],Leads[CPF],"&lt;&gt;",Leads[Data de entrada],"&gt;="&amp;A103,Leads[Data de entrada],"&lt;"&amp;(B103+1),Leads[Tempo de resposta (min)],"&gt;=0",Leads[Tempo de resposta (min)],"&lt;&gt;"),"")</f>
        <v/>
      </c>
      <c r="G103" s="12">
        <f>COUNTIFS(Leads[CPF],"&lt;&gt;",Leads[Data de entrada],"&gt;="&amp;A103,Leads[Data de entrada],"&lt;"&amp;(B103+1),Leads[Tempo de resposta (min)],"&gt;=0",Leads[Tempo de resposta (min)],"&lt;&gt;")</f>
        <v>0</v>
      </c>
      <c r="H103" s="14">
        <f>IFERROR(D103/C103,"")</f>
        <v/>
      </c>
      <c r="I103" s="14">
        <f>IFERROR(E103/D103,"")</f>
        <v/>
      </c>
      <c r="J103" s="14">
        <f>IFERROR(E103/C103,"")</f>
        <v/>
      </c>
      <c r="K103" s="12">
        <f>COUNTIFS(Leads[CPF],"&lt;&gt;",Leads[Data de entrada],"&gt;="&amp;A103,Leads[Data de entrada],"&lt;"&amp;(B103+1),Leads[Paciente fechou (0/1)],1)</f>
        <v>0</v>
      </c>
      <c r="L103" s="14">
        <f>IFERROR(K103/E103,"")</f>
        <v/>
      </c>
    </row>
    <row r="104" spans="1:12">
      <c r="A104" s="5">
        <f>A103+7</f>
        <v>0</v>
      </c>
      <c r="B104" s="5">
        <f>A104+6</f>
        <v>0</v>
      </c>
      <c r="C104" s="12">
        <f>COUNTIFS(Leads[CPF],"&lt;&gt;",Leads[Data de entrada],"&gt;="&amp;A104,Leads[Data de entrada],"&lt;"&amp;(B104+1))</f>
        <v>0</v>
      </c>
      <c r="D104" s="12">
        <f>COUNTIFS(Leads[CPF],"&lt;&gt;",Leads[Data de entrada],"&gt;="&amp;A104,Leads[Data de entrada],"&lt;"&amp;(B104+1),Leads[Data do agendamento],"&gt;0")</f>
        <v>0</v>
      </c>
      <c r="E104" s="12">
        <f>COUNTIFS(Leads[CPF],"&lt;&gt;",Leads[Data de entrada],"&gt;="&amp;A104,Leads[Data de entrada],"&lt;"&amp;(B104+1),Leads[Data da conversa presencial executada],"&gt;0")</f>
        <v>0</v>
      </c>
      <c r="F104" s="13">
        <f>IFERROR(AVERAGEIFS(Leads[Tempo de resposta (min)],Leads[CPF],"&lt;&gt;",Leads[Data de entrada],"&gt;="&amp;A104,Leads[Data de entrada],"&lt;"&amp;(B104+1),Leads[Tempo de resposta (min)],"&gt;=0",Leads[Tempo de resposta (min)],"&lt;&gt;"),"")</f>
        <v/>
      </c>
      <c r="G104" s="12">
        <f>COUNTIFS(Leads[CPF],"&lt;&gt;",Leads[Data de entrada],"&gt;="&amp;A104,Leads[Data de entrada],"&lt;"&amp;(B104+1),Leads[Tempo de resposta (min)],"&gt;=0",Leads[Tempo de resposta (min)],"&lt;&gt;")</f>
        <v>0</v>
      </c>
      <c r="H104" s="14">
        <f>IFERROR(D104/C104,"")</f>
        <v/>
      </c>
      <c r="I104" s="14">
        <f>IFERROR(E104/D104,"")</f>
        <v/>
      </c>
      <c r="J104" s="14">
        <f>IFERROR(E104/C104,"")</f>
        <v/>
      </c>
      <c r="K104" s="12">
        <f>COUNTIFS(Leads[CPF],"&lt;&gt;",Leads[Data de entrada],"&gt;="&amp;A104,Leads[Data de entrada],"&lt;"&amp;(B104+1),Leads[Paciente fechou (0/1)],1)</f>
        <v>0</v>
      </c>
      <c r="L104" s="14">
        <f>IFERROR(K104/E104,"")</f>
        <v/>
      </c>
    </row>
    <row r="105" spans="1:12">
      <c r="A105" s="5">
        <f>A104+7</f>
        <v>0</v>
      </c>
      <c r="B105" s="5">
        <f>A105+6</f>
        <v>0</v>
      </c>
      <c r="C105" s="12">
        <f>COUNTIFS(Leads[CPF],"&lt;&gt;",Leads[Data de entrada],"&gt;="&amp;A105,Leads[Data de entrada],"&lt;"&amp;(B105+1))</f>
        <v>0</v>
      </c>
      <c r="D105" s="12">
        <f>COUNTIFS(Leads[CPF],"&lt;&gt;",Leads[Data de entrada],"&gt;="&amp;A105,Leads[Data de entrada],"&lt;"&amp;(B105+1),Leads[Data do agendamento],"&gt;0")</f>
        <v>0</v>
      </c>
      <c r="E105" s="12">
        <f>COUNTIFS(Leads[CPF],"&lt;&gt;",Leads[Data de entrada],"&gt;="&amp;A105,Leads[Data de entrada],"&lt;"&amp;(B105+1),Leads[Data da conversa presencial executada],"&gt;0")</f>
        <v>0</v>
      </c>
      <c r="F105" s="13">
        <f>IFERROR(AVERAGEIFS(Leads[Tempo de resposta (min)],Leads[CPF],"&lt;&gt;",Leads[Data de entrada],"&gt;="&amp;A105,Leads[Data de entrada],"&lt;"&amp;(B105+1),Leads[Tempo de resposta (min)],"&gt;=0",Leads[Tempo de resposta (min)],"&lt;&gt;"),"")</f>
        <v/>
      </c>
      <c r="G105" s="12">
        <f>COUNTIFS(Leads[CPF],"&lt;&gt;",Leads[Data de entrada],"&gt;="&amp;A105,Leads[Data de entrada],"&lt;"&amp;(B105+1),Leads[Tempo de resposta (min)],"&gt;=0",Leads[Tempo de resposta (min)],"&lt;&gt;")</f>
        <v>0</v>
      </c>
      <c r="H105" s="14">
        <f>IFERROR(D105/C105,"")</f>
        <v/>
      </c>
      <c r="I105" s="14">
        <f>IFERROR(E105/D105,"")</f>
        <v/>
      </c>
      <c r="J105" s="14">
        <f>IFERROR(E105/C105,"")</f>
        <v/>
      </c>
      <c r="K105" s="12">
        <f>COUNTIFS(Leads[CPF],"&lt;&gt;",Leads[Data de entrada],"&gt;="&amp;A105,Leads[Data de entrada],"&lt;"&amp;(B105+1),Leads[Paciente fechou (0/1)],1)</f>
        <v>0</v>
      </c>
      <c r="L105" s="14">
        <f>IFERROR(K105/E105,"")</f>
        <v/>
      </c>
    </row>
    <row r="106" spans="1:12">
      <c r="A106" s="5">
        <f>A105+7</f>
        <v>0</v>
      </c>
      <c r="B106" s="5">
        <f>A106+6</f>
        <v>0</v>
      </c>
      <c r="C106" s="12">
        <f>COUNTIFS(Leads[CPF],"&lt;&gt;",Leads[Data de entrada],"&gt;="&amp;A106,Leads[Data de entrada],"&lt;"&amp;(B106+1))</f>
        <v>0</v>
      </c>
      <c r="D106" s="12">
        <f>COUNTIFS(Leads[CPF],"&lt;&gt;",Leads[Data de entrada],"&gt;="&amp;A106,Leads[Data de entrada],"&lt;"&amp;(B106+1),Leads[Data do agendamento],"&gt;0")</f>
        <v>0</v>
      </c>
      <c r="E106" s="12">
        <f>COUNTIFS(Leads[CPF],"&lt;&gt;",Leads[Data de entrada],"&gt;="&amp;A106,Leads[Data de entrada],"&lt;"&amp;(B106+1),Leads[Data da conversa presencial executada],"&gt;0")</f>
        <v>0</v>
      </c>
      <c r="F106" s="13">
        <f>IFERROR(AVERAGEIFS(Leads[Tempo de resposta (min)],Leads[CPF],"&lt;&gt;",Leads[Data de entrada],"&gt;="&amp;A106,Leads[Data de entrada],"&lt;"&amp;(B106+1),Leads[Tempo de resposta (min)],"&gt;=0",Leads[Tempo de resposta (min)],"&lt;&gt;"),"")</f>
        <v/>
      </c>
      <c r="G106" s="12">
        <f>COUNTIFS(Leads[CPF],"&lt;&gt;",Leads[Data de entrada],"&gt;="&amp;A106,Leads[Data de entrada],"&lt;"&amp;(B106+1),Leads[Tempo de resposta (min)],"&gt;=0",Leads[Tempo de resposta (min)],"&lt;&gt;")</f>
        <v>0</v>
      </c>
      <c r="H106" s="14">
        <f>IFERROR(D106/C106,"")</f>
        <v/>
      </c>
      <c r="I106" s="14">
        <f>IFERROR(E106/D106,"")</f>
        <v/>
      </c>
      <c r="J106" s="14">
        <f>IFERROR(E106/C106,"")</f>
        <v/>
      </c>
      <c r="K106" s="12">
        <f>COUNTIFS(Leads[CPF],"&lt;&gt;",Leads[Data de entrada],"&gt;="&amp;A106,Leads[Data de entrada],"&lt;"&amp;(B106+1),Leads[Paciente fechou (0/1)],1)</f>
        <v>0</v>
      </c>
      <c r="L106" s="14">
        <f>IFERROR(K106/E106,"")</f>
        <v/>
      </c>
    </row>
    <row r="107" spans="1:12">
      <c r="A107" s="5">
        <f>A106+7</f>
        <v>0</v>
      </c>
      <c r="B107" s="5">
        <f>A107+6</f>
        <v>0</v>
      </c>
      <c r="C107" s="12">
        <f>COUNTIFS(Leads[CPF],"&lt;&gt;",Leads[Data de entrada],"&gt;="&amp;A107,Leads[Data de entrada],"&lt;"&amp;(B107+1))</f>
        <v>0</v>
      </c>
      <c r="D107" s="12">
        <f>COUNTIFS(Leads[CPF],"&lt;&gt;",Leads[Data de entrada],"&gt;="&amp;A107,Leads[Data de entrada],"&lt;"&amp;(B107+1),Leads[Data do agendamento],"&gt;0")</f>
        <v>0</v>
      </c>
      <c r="E107" s="12">
        <f>COUNTIFS(Leads[CPF],"&lt;&gt;",Leads[Data de entrada],"&gt;="&amp;A107,Leads[Data de entrada],"&lt;"&amp;(B107+1),Leads[Data da conversa presencial executada],"&gt;0")</f>
        <v>0</v>
      </c>
      <c r="F107" s="13">
        <f>IFERROR(AVERAGEIFS(Leads[Tempo de resposta (min)],Leads[CPF],"&lt;&gt;",Leads[Data de entrada],"&gt;="&amp;A107,Leads[Data de entrada],"&lt;"&amp;(B107+1),Leads[Tempo de resposta (min)],"&gt;=0",Leads[Tempo de resposta (min)],"&lt;&gt;"),"")</f>
        <v/>
      </c>
      <c r="G107" s="12">
        <f>COUNTIFS(Leads[CPF],"&lt;&gt;",Leads[Data de entrada],"&gt;="&amp;A107,Leads[Data de entrada],"&lt;"&amp;(B107+1),Leads[Tempo de resposta (min)],"&gt;=0",Leads[Tempo de resposta (min)],"&lt;&gt;")</f>
        <v>0</v>
      </c>
      <c r="H107" s="14">
        <f>IFERROR(D107/C107,"")</f>
        <v/>
      </c>
      <c r="I107" s="14">
        <f>IFERROR(E107/D107,"")</f>
        <v/>
      </c>
      <c r="J107" s="14">
        <f>IFERROR(E107/C107,"")</f>
        <v/>
      </c>
      <c r="K107" s="12">
        <f>COUNTIFS(Leads[CPF],"&lt;&gt;",Leads[Data de entrada],"&gt;="&amp;A107,Leads[Data de entrada],"&lt;"&amp;(B107+1),Leads[Paciente fechou (0/1)],1)</f>
        <v>0</v>
      </c>
      <c r="L107" s="14">
        <f>IFERROR(K107/E107,"")</f>
        <v/>
      </c>
    </row>
    <row r="108" spans="1:12">
      <c r="A108" s="5">
        <f>A107+7</f>
        <v>0</v>
      </c>
      <c r="B108" s="5">
        <f>A108+6</f>
        <v>0</v>
      </c>
      <c r="C108" s="12">
        <f>COUNTIFS(Leads[CPF],"&lt;&gt;",Leads[Data de entrada],"&gt;="&amp;A108,Leads[Data de entrada],"&lt;"&amp;(B108+1))</f>
        <v>0</v>
      </c>
      <c r="D108" s="12">
        <f>COUNTIFS(Leads[CPF],"&lt;&gt;",Leads[Data de entrada],"&gt;="&amp;A108,Leads[Data de entrada],"&lt;"&amp;(B108+1),Leads[Data do agendamento],"&gt;0")</f>
        <v>0</v>
      </c>
      <c r="E108" s="12">
        <f>COUNTIFS(Leads[CPF],"&lt;&gt;",Leads[Data de entrada],"&gt;="&amp;A108,Leads[Data de entrada],"&lt;"&amp;(B108+1),Leads[Data da conversa presencial executada],"&gt;0")</f>
        <v>0</v>
      </c>
      <c r="F108" s="13">
        <f>IFERROR(AVERAGEIFS(Leads[Tempo de resposta (min)],Leads[CPF],"&lt;&gt;",Leads[Data de entrada],"&gt;="&amp;A108,Leads[Data de entrada],"&lt;"&amp;(B108+1),Leads[Tempo de resposta (min)],"&gt;=0",Leads[Tempo de resposta (min)],"&lt;&gt;"),"")</f>
        <v/>
      </c>
      <c r="G108" s="12">
        <f>COUNTIFS(Leads[CPF],"&lt;&gt;",Leads[Data de entrada],"&gt;="&amp;A108,Leads[Data de entrada],"&lt;"&amp;(B108+1),Leads[Tempo de resposta (min)],"&gt;=0",Leads[Tempo de resposta (min)],"&lt;&gt;")</f>
        <v>0</v>
      </c>
      <c r="H108" s="14">
        <f>IFERROR(D108/C108,"")</f>
        <v/>
      </c>
      <c r="I108" s="14">
        <f>IFERROR(E108/D108,"")</f>
        <v/>
      </c>
      <c r="J108" s="14">
        <f>IFERROR(E108/C108,"")</f>
        <v/>
      </c>
      <c r="K108" s="12">
        <f>COUNTIFS(Leads[CPF],"&lt;&gt;",Leads[Data de entrada],"&gt;="&amp;A108,Leads[Data de entrada],"&lt;"&amp;(B108+1),Leads[Paciente fechou (0/1)],1)</f>
        <v>0</v>
      </c>
      <c r="L108" s="14">
        <f>IFERROR(K108/E108,"")</f>
        <v/>
      </c>
    </row>
    <row r="109" spans="1:12">
      <c r="A109" s="5">
        <f>A108+7</f>
        <v>0</v>
      </c>
      <c r="B109" s="5">
        <f>A109+6</f>
        <v>0</v>
      </c>
      <c r="C109" s="12">
        <f>COUNTIFS(Leads[CPF],"&lt;&gt;",Leads[Data de entrada],"&gt;="&amp;A109,Leads[Data de entrada],"&lt;"&amp;(B109+1))</f>
        <v>0</v>
      </c>
      <c r="D109" s="12">
        <f>COUNTIFS(Leads[CPF],"&lt;&gt;",Leads[Data de entrada],"&gt;="&amp;A109,Leads[Data de entrada],"&lt;"&amp;(B109+1),Leads[Data do agendamento],"&gt;0")</f>
        <v>0</v>
      </c>
      <c r="E109" s="12">
        <f>COUNTIFS(Leads[CPF],"&lt;&gt;",Leads[Data de entrada],"&gt;="&amp;A109,Leads[Data de entrada],"&lt;"&amp;(B109+1),Leads[Data da conversa presencial executada],"&gt;0")</f>
        <v>0</v>
      </c>
      <c r="F109" s="13">
        <f>IFERROR(AVERAGEIFS(Leads[Tempo de resposta (min)],Leads[CPF],"&lt;&gt;",Leads[Data de entrada],"&gt;="&amp;A109,Leads[Data de entrada],"&lt;"&amp;(B109+1),Leads[Tempo de resposta (min)],"&gt;=0",Leads[Tempo de resposta (min)],"&lt;&gt;"),"")</f>
        <v/>
      </c>
      <c r="G109" s="12">
        <f>COUNTIFS(Leads[CPF],"&lt;&gt;",Leads[Data de entrada],"&gt;="&amp;A109,Leads[Data de entrada],"&lt;"&amp;(B109+1),Leads[Tempo de resposta (min)],"&gt;=0",Leads[Tempo de resposta (min)],"&lt;&gt;")</f>
        <v>0</v>
      </c>
      <c r="H109" s="14">
        <f>IFERROR(D109/C109,"")</f>
        <v/>
      </c>
      <c r="I109" s="14">
        <f>IFERROR(E109/D109,"")</f>
        <v/>
      </c>
      <c r="J109" s="14">
        <f>IFERROR(E109/C109,"")</f>
        <v/>
      </c>
      <c r="K109" s="12">
        <f>COUNTIFS(Leads[CPF],"&lt;&gt;",Leads[Data de entrada],"&gt;="&amp;A109,Leads[Data de entrada],"&lt;"&amp;(B109+1),Leads[Paciente fechou (0/1)],1)</f>
        <v>0</v>
      </c>
      <c r="L109" s="14">
        <f>IFERROR(K109/E109,"")</f>
        <v/>
      </c>
    </row>
    <row r="110" spans="1:12">
      <c r="A110" s="5">
        <f>A109+7</f>
        <v>0</v>
      </c>
      <c r="B110" s="5">
        <f>A110+6</f>
        <v>0</v>
      </c>
      <c r="C110" s="12">
        <f>COUNTIFS(Leads[CPF],"&lt;&gt;",Leads[Data de entrada],"&gt;="&amp;A110,Leads[Data de entrada],"&lt;"&amp;(B110+1))</f>
        <v>0</v>
      </c>
      <c r="D110" s="12">
        <f>COUNTIFS(Leads[CPF],"&lt;&gt;",Leads[Data de entrada],"&gt;="&amp;A110,Leads[Data de entrada],"&lt;"&amp;(B110+1),Leads[Data do agendamento],"&gt;0")</f>
        <v>0</v>
      </c>
      <c r="E110" s="12">
        <f>COUNTIFS(Leads[CPF],"&lt;&gt;",Leads[Data de entrada],"&gt;="&amp;A110,Leads[Data de entrada],"&lt;"&amp;(B110+1),Leads[Data da conversa presencial executada],"&gt;0")</f>
        <v>0</v>
      </c>
      <c r="F110" s="13">
        <f>IFERROR(AVERAGEIFS(Leads[Tempo de resposta (min)],Leads[CPF],"&lt;&gt;",Leads[Data de entrada],"&gt;="&amp;A110,Leads[Data de entrada],"&lt;"&amp;(B110+1),Leads[Tempo de resposta (min)],"&gt;=0",Leads[Tempo de resposta (min)],"&lt;&gt;"),"")</f>
        <v/>
      </c>
      <c r="G110" s="12">
        <f>COUNTIFS(Leads[CPF],"&lt;&gt;",Leads[Data de entrada],"&gt;="&amp;A110,Leads[Data de entrada],"&lt;"&amp;(B110+1),Leads[Tempo de resposta (min)],"&gt;=0",Leads[Tempo de resposta (min)],"&lt;&gt;")</f>
        <v>0</v>
      </c>
      <c r="H110" s="14">
        <f>IFERROR(D110/C110,"")</f>
        <v/>
      </c>
      <c r="I110" s="14">
        <f>IFERROR(E110/D110,"")</f>
        <v/>
      </c>
      <c r="J110" s="14">
        <f>IFERROR(E110/C110,"")</f>
        <v/>
      </c>
      <c r="K110" s="12">
        <f>COUNTIFS(Leads[CPF],"&lt;&gt;",Leads[Data de entrada],"&gt;="&amp;A110,Leads[Data de entrada],"&lt;"&amp;(B110+1),Leads[Paciente fechou (0/1)],1)</f>
        <v>0</v>
      </c>
      <c r="L110" s="14">
        <f>IFERROR(K110/E110,"")</f>
        <v/>
      </c>
    </row>
    <row r="111" spans="1:12">
      <c r="A111" s="5">
        <f>A110+7</f>
        <v>0</v>
      </c>
      <c r="B111" s="5">
        <f>A111+6</f>
        <v>0</v>
      </c>
      <c r="C111" s="12">
        <f>COUNTIFS(Leads[CPF],"&lt;&gt;",Leads[Data de entrada],"&gt;="&amp;A111,Leads[Data de entrada],"&lt;"&amp;(B111+1))</f>
        <v>0</v>
      </c>
      <c r="D111" s="12">
        <f>COUNTIFS(Leads[CPF],"&lt;&gt;",Leads[Data de entrada],"&gt;="&amp;A111,Leads[Data de entrada],"&lt;"&amp;(B111+1),Leads[Data do agendamento],"&gt;0")</f>
        <v>0</v>
      </c>
      <c r="E111" s="12">
        <f>COUNTIFS(Leads[CPF],"&lt;&gt;",Leads[Data de entrada],"&gt;="&amp;A111,Leads[Data de entrada],"&lt;"&amp;(B111+1),Leads[Data da conversa presencial executada],"&gt;0")</f>
        <v>0</v>
      </c>
      <c r="F111" s="13">
        <f>IFERROR(AVERAGEIFS(Leads[Tempo de resposta (min)],Leads[CPF],"&lt;&gt;",Leads[Data de entrada],"&gt;="&amp;A111,Leads[Data de entrada],"&lt;"&amp;(B111+1),Leads[Tempo de resposta (min)],"&gt;=0",Leads[Tempo de resposta (min)],"&lt;&gt;"),"")</f>
        <v/>
      </c>
      <c r="G111" s="12">
        <f>COUNTIFS(Leads[CPF],"&lt;&gt;",Leads[Data de entrada],"&gt;="&amp;A111,Leads[Data de entrada],"&lt;"&amp;(B111+1),Leads[Tempo de resposta (min)],"&gt;=0",Leads[Tempo de resposta (min)],"&lt;&gt;")</f>
        <v>0</v>
      </c>
      <c r="H111" s="14">
        <f>IFERROR(D111/C111,"")</f>
        <v/>
      </c>
      <c r="I111" s="14">
        <f>IFERROR(E111/D111,"")</f>
        <v/>
      </c>
      <c r="J111" s="14">
        <f>IFERROR(E111/C111,"")</f>
        <v/>
      </c>
      <c r="K111" s="12">
        <f>COUNTIFS(Leads[CPF],"&lt;&gt;",Leads[Data de entrada],"&gt;="&amp;A111,Leads[Data de entrada],"&lt;"&amp;(B111+1),Leads[Paciente fechou (0/1)],1)</f>
        <v>0</v>
      </c>
      <c r="L111" s="14">
        <f>IFERROR(K111/E111,"")</f>
        <v/>
      </c>
    </row>
    <row r="112" spans="1:12">
      <c r="A112" s="5">
        <f>A111+7</f>
        <v>0</v>
      </c>
      <c r="B112" s="5">
        <f>A112+6</f>
        <v>0</v>
      </c>
      <c r="C112" s="12">
        <f>COUNTIFS(Leads[CPF],"&lt;&gt;",Leads[Data de entrada],"&gt;="&amp;A112,Leads[Data de entrada],"&lt;"&amp;(B112+1))</f>
        <v>0</v>
      </c>
      <c r="D112" s="12">
        <f>COUNTIFS(Leads[CPF],"&lt;&gt;",Leads[Data de entrada],"&gt;="&amp;A112,Leads[Data de entrada],"&lt;"&amp;(B112+1),Leads[Data do agendamento],"&gt;0")</f>
        <v>0</v>
      </c>
      <c r="E112" s="12">
        <f>COUNTIFS(Leads[CPF],"&lt;&gt;",Leads[Data de entrada],"&gt;="&amp;A112,Leads[Data de entrada],"&lt;"&amp;(B112+1),Leads[Data da conversa presencial executada],"&gt;0")</f>
        <v>0</v>
      </c>
      <c r="F112" s="13">
        <f>IFERROR(AVERAGEIFS(Leads[Tempo de resposta (min)],Leads[CPF],"&lt;&gt;",Leads[Data de entrada],"&gt;="&amp;A112,Leads[Data de entrada],"&lt;"&amp;(B112+1),Leads[Tempo de resposta (min)],"&gt;=0",Leads[Tempo de resposta (min)],"&lt;&gt;"),"")</f>
        <v/>
      </c>
      <c r="G112" s="12">
        <f>COUNTIFS(Leads[CPF],"&lt;&gt;",Leads[Data de entrada],"&gt;="&amp;A112,Leads[Data de entrada],"&lt;"&amp;(B112+1),Leads[Tempo de resposta (min)],"&gt;=0",Leads[Tempo de resposta (min)],"&lt;&gt;")</f>
        <v>0</v>
      </c>
      <c r="H112" s="14">
        <f>IFERROR(D112/C112,"")</f>
        <v/>
      </c>
      <c r="I112" s="14">
        <f>IFERROR(E112/D112,"")</f>
        <v/>
      </c>
      <c r="J112" s="14">
        <f>IFERROR(E112/C112,"")</f>
        <v/>
      </c>
      <c r="K112" s="12">
        <f>COUNTIFS(Leads[CPF],"&lt;&gt;",Leads[Data de entrada],"&gt;="&amp;A112,Leads[Data de entrada],"&lt;"&amp;(B112+1),Leads[Paciente fechou (0/1)],1)</f>
        <v>0</v>
      </c>
      <c r="L112" s="14">
        <f>IFERROR(K112/E112,"")</f>
        <v/>
      </c>
    </row>
    <row r="113" spans="1:12">
      <c r="A113" s="5">
        <f>A112+7</f>
        <v>0</v>
      </c>
      <c r="B113" s="5">
        <f>A113+6</f>
        <v>0</v>
      </c>
      <c r="C113" s="12">
        <f>COUNTIFS(Leads[CPF],"&lt;&gt;",Leads[Data de entrada],"&gt;="&amp;A113,Leads[Data de entrada],"&lt;"&amp;(B113+1))</f>
        <v>0</v>
      </c>
      <c r="D113" s="12">
        <f>COUNTIFS(Leads[CPF],"&lt;&gt;",Leads[Data de entrada],"&gt;="&amp;A113,Leads[Data de entrada],"&lt;"&amp;(B113+1),Leads[Data do agendamento],"&gt;0")</f>
        <v>0</v>
      </c>
      <c r="E113" s="12">
        <f>COUNTIFS(Leads[CPF],"&lt;&gt;",Leads[Data de entrada],"&gt;="&amp;A113,Leads[Data de entrada],"&lt;"&amp;(B113+1),Leads[Data da conversa presencial executada],"&gt;0")</f>
        <v>0</v>
      </c>
      <c r="F113" s="13">
        <f>IFERROR(AVERAGEIFS(Leads[Tempo de resposta (min)],Leads[CPF],"&lt;&gt;",Leads[Data de entrada],"&gt;="&amp;A113,Leads[Data de entrada],"&lt;"&amp;(B113+1),Leads[Tempo de resposta (min)],"&gt;=0",Leads[Tempo de resposta (min)],"&lt;&gt;"),"")</f>
        <v/>
      </c>
      <c r="G113" s="12">
        <f>COUNTIFS(Leads[CPF],"&lt;&gt;",Leads[Data de entrada],"&gt;="&amp;A113,Leads[Data de entrada],"&lt;"&amp;(B113+1),Leads[Tempo de resposta (min)],"&gt;=0",Leads[Tempo de resposta (min)],"&lt;&gt;")</f>
        <v>0</v>
      </c>
      <c r="H113" s="14">
        <f>IFERROR(D113/C113,"")</f>
        <v/>
      </c>
      <c r="I113" s="14">
        <f>IFERROR(E113/D113,"")</f>
        <v/>
      </c>
      <c r="J113" s="14">
        <f>IFERROR(E113/C113,"")</f>
        <v/>
      </c>
      <c r="K113" s="12">
        <f>COUNTIFS(Leads[CPF],"&lt;&gt;",Leads[Data de entrada],"&gt;="&amp;A113,Leads[Data de entrada],"&lt;"&amp;(B113+1),Leads[Paciente fechou (0/1)],1)</f>
        <v>0</v>
      </c>
      <c r="L113" s="14">
        <f>IFERROR(K113/E113,"")</f>
        <v/>
      </c>
    </row>
    <row r="114" spans="1:12">
      <c r="A114" s="5">
        <f>A113+7</f>
        <v>0</v>
      </c>
      <c r="B114" s="5">
        <f>A114+6</f>
        <v>0</v>
      </c>
      <c r="C114" s="12">
        <f>COUNTIFS(Leads[CPF],"&lt;&gt;",Leads[Data de entrada],"&gt;="&amp;A114,Leads[Data de entrada],"&lt;"&amp;(B114+1))</f>
        <v>0</v>
      </c>
      <c r="D114" s="12">
        <f>COUNTIFS(Leads[CPF],"&lt;&gt;",Leads[Data de entrada],"&gt;="&amp;A114,Leads[Data de entrada],"&lt;"&amp;(B114+1),Leads[Data do agendamento],"&gt;0")</f>
        <v>0</v>
      </c>
      <c r="E114" s="12">
        <f>COUNTIFS(Leads[CPF],"&lt;&gt;",Leads[Data de entrada],"&gt;="&amp;A114,Leads[Data de entrada],"&lt;"&amp;(B114+1),Leads[Data da conversa presencial executada],"&gt;0")</f>
        <v>0</v>
      </c>
      <c r="F114" s="13">
        <f>IFERROR(AVERAGEIFS(Leads[Tempo de resposta (min)],Leads[CPF],"&lt;&gt;",Leads[Data de entrada],"&gt;="&amp;A114,Leads[Data de entrada],"&lt;"&amp;(B114+1),Leads[Tempo de resposta (min)],"&gt;=0",Leads[Tempo de resposta (min)],"&lt;&gt;"),"")</f>
        <v/>
      </c>
      <c r="G114" s="12">
        <f>COUNTIFS(Leads[CPF],"&lt;&gt;",Leads[Data de entrada],"&gt;="&amp;A114,Leads[Data de entrada],"&lt;"&amp;(B114+1),Leads[Tempo de resposta (min)],"&gt;=0",Leads[Tempo de resposta (min)],"&lt;&gt;")</f>
        <v>0</v>
      </c>
      <c r="H114" s="14">
        <f>IFERROR(D114/C114,"")</f>
        <v/>
      </c>
      <c r="I114" s="14">
        <f>IFERROR(E114/D114,"")</f>
        <v/>
      </c>
      <c r="J114" s="14">
        <f>IFERROR(E114/C114,"")</f>
        <v/>
      </c>
      <c r="K114" s="12">
        <f>COUNTIFS(Leads[CPF],"&lt;&gt;",Leads[Data de entrada],"&gt;="&amp;A114,Leads[Data de entrada],"&lt;"&amp;(B114+1),Leads[Paciente fechou (0/1)],1)</f>
        <v>0</v>
      </c>
      <c r="L114" s="14">
        <f>IFERROR(K114/E114,"")</f>
        <v/>
      </c>
    </row>
    <row r="115" spans="1:12">
      <c r="A115" s="5">
        <f>A114+7</f>
        <v>0</v>
      </c>
      <c r="B115" s="5">
        <f>A115+6</f>
        <v>0</v>
      </c>
      <c r="C115" s="12">
        <f>COUNTIFS(Leads[CPF],"&lt;&gt;",Leads[Data de entrada],"&gt;="&amp;A115,Leads[Data de entrada],"&lt;"&amp;(B115+1))</f>
        <v>0</v>
      </c>
      <c r="D115" s="12">
        <f>COUNTIFS(Leads[CPF],"&lt;&gt;",Leads[Data de entrada],"&gt;="&amp;A115,Leads[Data de entrada],"&lt;"&amp;(B115+1),Leads[Data do agendamento],"&gt;0")</f>
        <v>0</v>
      </c>
      <c r="E115" s="12">
        <f>COUNTIFS(Leads[CPF],"&lt;&gt;",Leads[Data de entrada],"&gt;="&amp;A115,Leads[Data de entrada],"&lt;"&amp;(B115+1),Leads[Data da conversa presencial executada],"&gt;0")</f>
        <v>0</v>
      </c>
      <c r="F115" s="13">
        <f>IFERROR(AVERAGEIFS(Leads[Tempo de resposta (min)],Leads[CPF],"&lt;&gt;",Leads[Data de entrada],"&gt;="&amp;A115,Leads[Data de entrada],"&lt;"&amp;(B115+1),Leads[Tempo de resposta (min)],"&gt;=0",Leads[Tempo de resposta (min)],"&lt;&gt;"),"")</f>
        <v/>
      </c>
      <c r="G115" s="12">
        <f>COUNTIFS(Leads[CPF],"&lt;&gt;",Leads[Data de entrada],"&gt;="&amp;A115,Leads[Data de entrada],"&lt;"&amp;(B115+1),Leads[Tempo de resposta (min)],"&gt;=0",Leads[Tempo de resposta (min)],"&lt;&gt;")</f>
        <v>0</v>
      </c>
      <c r="H115" s="14">
        <f>IFERROR(D115/C115,"")</f>
        <v/>
      </c>
      <c r="I115" s="14">
        <f>IFERROR(E115/D115,"")</f>
        <v/>
      </c>
      <c r="J115" s="14">
        <f>IFERROR(E115/C115,"")</f>
        <v/>
      </c>
      <c r="K115" s="12">
        <f>COUNTIFS(Leads[CPF],"&lt;&gt;",Leads[Data de entrada],"&gt;="&amp;A115,Leads[Data de entrada],"&lt;"&amp;(B115+1),Leads[Paciente fechou (0/1)],1)</f>
        <v>0</v>
      </c>
      <c r="L115" s="14">
        <f>IFERROR(K115/E115,"")</f>
        <v/>
      </c>
    </row>
    <row r="116" spans="1:12">
      <c r="A116" s="5">
        <f>A115+7</f>
        <v>0</v>
      </c>
      <c r="B116" s="5">
        <f>A116+6</f>
        <v>0</v>
      </c>
      <c r="C116" s="12">
        <f>COUNTIFS(Leads[CPF],"&lt;&gt;",Leads[Data de entrada],"&gt;="&amp;A116,Leads[Data de entrada],"&lt;"&amp;(B116+1))</f>
        <v>0</v>
      </c>
      <c r="D116" s="12">
        <f>COUNTIFS(Leads[CPF],"&lt;&gt;",Leads[Data de entrada],"&gt;="&amp;A116,Leads[Data de entrada],"&lt;"&amp;(B116+1),Leads[Data do agendamento],"&gt;0")</f>
        <v>0</v>
      </c>
      <c r="E116" s="12">
        <f>COUNTIFS(Leads[CPF],"&lt;&gt;",Leads[Data de entrada],"&gt;="&amp;A116,Leads[Data de entrada],"&lt;"&amp;(B116+1),Leads[Data da conversa presencial executada],"&gt;0")</f>
        <v>0</v>
      </c>
      <c r="F116" s="13">
        <f>IFERROR(AVERAGEIFS(Leads[Tempo de resposta (min)],Leads[CPF],"&lt;&gt;",Leads[Data de entrada],"&gt;="&amp;A116,Leads[Data de entrada],"&lt;"&amp;(B116+1),Leads[Tempo de resposta (min)],"&gt;=0",Leads[Tempo de resposta (min)],"&lt;&gt;"),"")</f>
        <v/>
      </c>
      <c r="G116" s="12">
        <f>COUNTIFS(Leads[CPF],"&lt;&gt;",Leads[Data de entrada],"&gt;="&amp;A116,Leads[Data de entrada],"&lt;"&amp;(B116+1),Leads[Tempo de resposta (min)],"&gt;=0",Leads[Tempo de resposta (min)],"&lt;&gt;")</f>
        <v>0</v>
      </c>
      <c r="H116" s="14">
        <f>IFERROR(D116/C116,"")</f>
        <v/>
      </c>
      <c r="I116" s="14">
        <f>IFERROR(E116/D116,"")</f>
        <v/>
      </c>
      <c r="J116" s="14">
        <f>IFERROR(E116/C116,"")</f>
        <v/>
      </c>
      <c r="K116" s="12">
        <f>COUNTIFS(Leads[CPF],"&lt;&gt;",Leads[Data de entrada],"&gt;="&amp;A116,Leads[Data de entrada],"&lt;"&amp;(B116+1),Leads[Paciente fechou (0/1)],1)</f>
        <v>0</v>
      </c>
      <c r="L116" s="14">
        <f>IFERROR(K116/E116,"")</f>
        <v/>
      </c>
    </row>
    <row r="117" spans="1:12">
      <c r="A117" s="5">
        <f>A116+7</f>
        <v>0</v>
      </c>
      <c r="B117" s="5">
        <f>A117+6</f>
        <v>0</v>
      </c>
      <c r="C117" s="12">
        <f>COUNTIFS(Leads[CPF],"&lt;&gt;",Leads[Data de entrada],"&gt;="&amp;A117,Leads[Data de entrada],"&lt;"&amp;(B117+1))</f>
        <v>0</v>
      </c>
      <c r="D117" s="12">
        <f>COUNTIFS(Leads[CPF],"&lt;&gt;",Leads[Data de entrada],"&gt;="&amp;A117,Leads[Data de entrada],"&lt;"&amp;(B117+1),Leads[Data do agendamento],"&gt;0")</f>
        <v>0</v>
      </c>
      <c r="E117" s="12">
        <f>COUNTIFS(Leads[CPF],"&lt;&gt;",Leads[Data de entrada],"&gt;="&amp;A117,Leads[Data de entrada],"&lt;"&amp;(B117+1),Leads[Data da conversa presencial executada],"&gt;0")</f>
        <v>0</v>
      </c>
      <c r="F117" s="13">
        <f>IFERROR(AVERAGEIFS(Leads[Tempo de resposta (min)],Leads[CPF],"&lt;&gt;",Leads[Data de entrada],"&gt;="&amp;A117,Leads[Data de entrada],"&lt;"&amp;(B117+1),Leads[Tempo de resposta (min)],"&gt;=0",Leads[Tempo de resposta (min)],"&lt;&gt;"),"")</f>
        <v/>
      </c>
      <c r="G117" s="12">
        <f>COUNTIFS(Leads[CPF],"&lt;&gt;",Leads[Data de entrada],"&gt;="&amp;A117,Leads[Data de entrada],"&lt;"&amp;(B117+1),Leads[Tempo de resposta (min)],"&gt;=0",Leads[Tempo de resposta (min)],"&lt;&gt;")</f>
        <v>0</v>
      </c>
      <c r="H117" s="14">
        <f>IFERROR(D117/C117,"")</f>
        <v/>
      </c>
      <c r="I117" s="14">
        <f>IFERROR(E117/D117,"")</f>
        <v/>
      </c>
      <c r="J117" s="14">
        <f>IFERROR(E117/C117,"")</f>
        <v/>
      </c>
      <c r="K117" s="12">
        <f>COUNTIFS(Leads[CPF],"&lt;&gt;",Leads[Data de entrada],"&gt;="&amp;A117,Leads[Data de entrada],"&lt;"&amp;(B117+1),Leads[Paciente fechou (0/1)],1)</f>
        <v>0</v>
      </c>
      <c r="L117" s="14">
        <f>IFERROR(K117/E117,"")</f>
        <v/>
      </c>
    </row>
    <row r="118" spans="1:12">
      <c r="A118" s="5">
        <f>A117+7</f>
        <v>0</v>
      </c>
      <c r="B118" s="5">
        <f>A118+6</f>
        <v>0</v>
      </c>
      <c r="C118" s="12">
        <f>COUNTIFS(Leads[CPF],"&lt;&gt;",Leads[Data de entrada],"&gt;="&amp;A118,Leads[Data de entrada],"&lt;"&amp;(B118+1))</f>
        <v>0</v>
      </c>
      <c r="D118" s="12">
        <f>COUNTIFS(Leads[CPF],"&lt;&gt;",Leads[Data de entrada],"&gt;="&amp;A118,Leads[Data de entrada],"&lt;"&amp;(B118+1),Leads[Data do agendamento],"&gt;0")</f>
        <v>0</v>
      </c>
      <c r="E118" s="12">
        <f>COUNTIFS(Leads[CPF],"&lt;&gt;",Leads[Data de entrada],"&gt;="&amp;A118,Leads[Data de entrada],"&lt;"&amp;(B118+1),Leads[Data da conversa presencial executada],"&gt;0")</f>
        <v>0</v>
      </c>
      <c r="F118" s="13">
        <f>IFERROR(AVERAGEIFS(Leads[Tempo de resposta (min)],Leads[CPF],"&lt;&gt;",Leads[Data de entrada],"&gt;="&amp;A118,Leads[Data de entrada],"&lt;"&amp;(B118+1),Leads[Tempo de resposta (min)],"&gt;=0",Leads[Tempo de resposta (min)],"&lt;&gt;"),"")</f>
        <v/>
      </c>
      <c r="G118" s="12">
        <f>COUNTIFS(Leads[CPF],"&lt;&gt;",Leads[Data de entrada],"&gt;="&amp;A118,Leads[Data de entrada],"&lt;"&amp;(B118+1),Leads[Tempo de resposta (min)],"&gt;=0",Leads[Tempo de resposta (min)],"&lt;&gt;")</f>
        <v>0</v>
      </c>
      <c r="H118" s="14">
        <f>IFERROR(D118/C118,"")</f>
        <v/>
      </c>
      <c r="I118" s="14">
        <f>IFERROR(E118/D118,"")</f>
        <v/>
      </c>
      <c r="J118" s="14">
        <f>IFERROR(E118/C118,"")</f>
        <v/>
      </c>
      <c r="K118" s="12">
        <f>COUNTIFS(Leads[CPF],"&lt;&gt;",Leads[Data de entrada],"&gt;="&amp;A118,Leads[Data de entrada],"&lt;"&amp;(B118+1),Leads[Paciente fechou (0/1)],1)</f>
        <v>0</v>
      </c>
      <c r="L118" s="14">
        <f>IFERROR(K118/E118,"")</f>
        <v/>
      </c>
    </row>
    <row r="119" spans="1:12">
      <c r="A119" s="5">
        <f>A118+7</f>
        <v>0</v>
      </c>
      <c r="B119" s="5">
        <f>A119+6</f>
        <v>0</v>
      </c>
      <c r="C119" s="12">
        <f>COUNTIFS(Leads[CPF],"&lt;&gt;",Leads[Data de entrada],"&gt;="&amp;A119,Leads[Data de entrada],"&lt;"&amp;(B119+1))</f>
        <v>0</v>
      </c>
      <c r="D119" s="12">
        <f>COUNTIFS(Leads[CPF],"&lt;&gt;",Leads[Data de entrada],"&gt;="&amp;A119,Leads[Data de entrada],"&lt;"&amp;(B119+1),Leads[Data do agendamento],"&gt;0")</f>
        <v>0</v>
      </c>
      <c r="E119" s="12">
        <f>COUNTIFS(Leads[CPF],"&lt;&gt;",Leads[Data de entrada],"&gt;="&amp;A119,Leads[Data de entrada],"&lt;"&amp;(B119+1),Leads[Data da conversa presencial executada],"&gt;0")</f>
        <v>0</v>
      </c>
      <c r="F119" s="13">
        <f>IFERROR(AVERAGEIFS(Leads[Tempo de resposta (min)],Leads[CPF],"&lt;&gt;",Leads[Data de entrada],"&gt;="&amp;A119,Leads[Data de entrada],"&lt;"&amp;(B119+1),Leads[Tempo de resposta (min)],"&gt;=0",Leads[Tempo de resposta (min)],"&lt;&gt;"),"")</f>
        <v/>
      </c>
      <c r="G119" s="12">
        <f>COUNTIFS(Leads[CPF],"&lt;&gt;",Leads[Data de entrada],"&gt;="&amp;A119,Leads[Data de entrada],"&lt;"&amp;(B119+1),Leads[Tempo de resposta (min)],"&gt;=0",Leads[Tempo de resposta (min)],"&lt;&gt;")</f>
        <v>0</v>
      </c>
      <c r="H119" s="14">
        <f>IFERROR(D119/C119,"")</f>
        <v/>
      </c>
      <c r="I119" s="14">
        <f>IFERROR(E119/D119,"")</f>
        <v/>
      </c>
      <c r="J119" s="14">
        <f>IFERROR(E119/C119,"")</f>
        <v/>
      </c>
      <c r="K119" s="12">
        <f>COUNTIFS(Leads[CPF],"&lt;&gt;",Leads[Data de entrada],"&gt;="&amp;A119,Leads[Data de entrada],"&lt;"&amp;(B119+1),Leads[Paciente fechou (0/1)],1)</f>
        <v>0</v>
      </c>
      <c r="L119" s="14">
        <f>IFERROR(K119/E119,"")</f>
        <v/>
      </c>
    </row>
    <row r="120" spans="1:12">
      <c r="A120" s="5">
        <f>A119+7</f>
        <v>0</v>
      </c>
      <c r="B120" s="5">
        <f>A120+6</f>
        <v>0</v>
      </c>
      <c r="C120" s="12">
        <f>COUNTIFS(Leads[CPF],"&lt;&gt;",Leads[Data de entrada],"&gt;="&amp;A120,Leads[Data de entrada],"&lt;"&amp;(B120+1))</f>
        <v>0</v>
      </c>
      <c r="D120" s="12">
        <f>COUNTIFS(Leads[CPF],"&lt;&gt;",Leads[Data de entrada],"&gt;="&amp;A120,Leads[Data de entrada],"&lt;"&amp;(B120+1),Leads[Data do agendamento],"&gt;0")</f>
        <v>0</v>
      </c>
      <c r="E120" s="12">
        <f>COUNTIFS(Leads[CPF],"&lt;&gt;",Leads[Data de entrada],"&gt;="&amp;A120,Leads[Data de entrada],"&lt;"&amp;(B120+1),Leads[Data da conversa presencial executada],"&gt;0")</f>
        <v>0</v>
      </c>
      <c r="F120" s="13">
        <f>IFERROR(AVERAGEIFS(Leads[Tempo de resposta (min)],Leads[CPF],"&lt;&gt;",Leads[Data de entrada],"&gt;="&amp;A120,Leads[Data de entrada],"&lt;"&amp;(B120+1),Leads[Tempo de resposta (min)],"&gt;=0",Leads[Tempo de resposta (min)],"&lt;&gt;"),"")</f>
        <v/>
      </c>
      <c r="G120" s="12">
        <f>COUNTIFS(Leads[CPF],"&lt;&gt;",Leads[Data de entrada],"&gt;="&amp;A120,Leads[Data de entrada],"&lt;"&amp;(B120+1),Leads[Tempo de resposta (min)],"&gt;=0",Leads[Tempo de resposta (min)],"&lt;&gt;")</f>
        <v>0</v>
      </c>
      <c r="H120" s="14">
        <f>IFERROR(D120/C120,"")</f>
        <v/>
      </c>
      <c r="I120" s="14">
        <f>IFERROR(E120/D120,"")</f>
        <v/>
      </c>
      <c r="J120" s="14">
        <f>IFERROR(E120/C120,"")</f>
        <v/>
      </c>
      <c r="K120" s="12">
        <f>COUNTIFS(Leads[CPF],"&lt;&gt;",Leads[Data de entrada],"&gt;="&amp;A120,Leads[Data de entrada],"&lt;"&amp;(B120+1),Leads[Paciente fechou (0/1)],1)</f>
        <v>0</v>
      </c>
      <c r="L120" s="14">
        <f>IFERROR(K120/E120,"")</f>
        <v/>
      </c>
    </row>
    <row r="121" spans="1:12">
      <c r="A121" s="5">
        <f>A120+7</f>
        <v>0</v>
      </c>
      <c r="B121" s="5">
        <f>A121+6</f>
        <v>0</v>
      </c>
      <c r="C121" s="12">
        <f>COUNTIFS(Leads[CPF],"&lt;&gt;",Leads[Data de entrada],"&gt;="&amp;A121,Leads[Data de entrada],"&lt;"&amp;(B121+1))</f>
        <v>0</v>
      </c>
      <c r="D121" s="12">
        <f>COUNTIFS(Leads[CPF],"&lt;&gt;",Leads[Data de entrada],"&gt;="&amp;A121,Leads[Data de entrada],"&lt;"&amp;(B121+1),Leads[Data do agendamento],"&gt;0")</f>
        <v>0</v>
      </c>
      <c r="E121" s="12">
        <f>COUNTIFS(Leads[CPF],"&lt;&gt;",Leads[Data de entrada],"&gt;="&amp;A121,Leads[Data de entrada],"&lt;"&amp;(B121+1),Leads[Data da conversa presencial executada],"&gt;0")</f>
        <v>0</v>
      </c>
      <c r="F121" s="13">
        <f>IFERROR(AVERAGEIFS(Leads[Tempo de resposta (min)],Leads[CPF],"&lt;&gt;",Leads[Data de entrada],"&gt;="&amp;A121,Leads[Data de entrada],"&lt;"&amp;(B121+1),Leads[Tempo de resposta (min)],"&gt;=0",Leads[Tempo de resposta (min)],"&lt;&gt;"),"")</f>
        <v/>
      </c>
      <c r="G121" s="12">
        <f>COUNTIFS(Leads[CPF],"&lt;&gt;",Leads[Data de entrada],"&gt;="&amp;A121,Leads[Data de entrada],"&lt;"&amp;(B121+1),Leads[Tempo de resposta (min)],"&gt;=0",Leads[Tempo de resposta (min)],"&lt;&gt;")</f>
        <v>0</v>
      </c>
      <c r="H121" s="14">
        <f>IFERROR(D121/C121,"")</f>
        <v/>
      </c>
      <c r="I121" s="14">
        <f>IFERROR(E121/D121,"")</f>
        <v/>
      </c>
      <c r="J121" s="14">
        <f>IFERROR(E121/C121,"")</f>
        <v/>
      </c>
      <c r="K121" s="12">
        <f>COUNTIFS(Leads[CPF],"&lt;&gt;",Leads[Data de entrada],"&gt;="&amp;A121,Leads[Data de entrada],"&lt;"&amp;(B121+1),Leads[Paciente fechou (0/1)],1)</f>
        <v>0</v>
      </c>
      <c r="L121" s="14">
        <f>IFERROR(K121/E121,"")</f>
        <v/>
      </c>
    </row>
    <row r="122" spans="1:12">
      <c r="A122" s="5">
        <f>A121+7</f>
        <v>0</v>
      </c>
      <c r="B122" s="5">
        <f>A122+6</f>
        <v>0</v>
      </c>
      <c r="C122" s="12">
        <f>COUNTIFS(Leads[CPF],"&lt;&gt;",Leads[Data de entrada],"&gt;="&amp;A122,Leads[Data de entrada],"&lt;"&amp;(B122+1))</f>
        <v>0</v>
      </c>
      <c r="D122" s="12">
        <f>COUNTIFS(Leads[CPF],"&lt;&gt;",Leads[Data de entrada],"&gt;="&amp;A122,Leads[Data de entrada],"&lt;"&amp;(B122+1),Leads[Data do agendamento],"&gt;0")</f>
        <v>0</v>
      </c>
      <c r="E122" s="12">
        <f>COUNTIFS(Leads[CPF],"&lt;&gt;",Leads[Data de entrada],"&gt;="&amp;A122,Leads[Data de entrada],"&lt;"&amp;(B122+1),Leads[Data da conversa presencial executada],"&gt;0")</f>
        <v>0</v>
      </c>
      <c r="F122" s="13">
        <f>IFERROR(AVERAGEIFS(Leads[Tempo de resposta (min)],Leads[CPF],"&lt;&gt;",Leads[Data de entrada],"&gt;="&amp;A122,Leads[Data de entrada],"&lt;"&amp;(B122+1),Leads[Tempo de resposta (min)],"&gt;=0",Leads[Tempo de resposta (min)],"&lt;&gt;"),"")</f>
        <v/>
      </c>
      <c r="G122" s="12">
        <f>COUNTIFS(Leads[CPF],"&lt;&gt;",Leads[Data de entrada],"&gt;="&amp;A122,Leads[Data de entrada],"&lt;"&amp;(B122+1),Leads[Tempo de resposta (min)],"&gt;=0",Leads[Tempo de resposta (min)],"&lt;&gt;")</f>
        <v>0</v>
      </c>
      <c r="H122" s="14">
        <f>IFERROR(D122/C122,"")</f>
        <v/>
      </c>
      <c r="I122" s="14">
        <f>IFERROR(E122/D122,"")</f>
        <v/>
      </c>
      <c r="J122" s="14">
        <f>IFERROR(E122/C122,"")</f>
        <v/>
      </c>
      <c r="K122" s="12">
        <f>COUNTIFS(Leads[CPF],"&lt;&gt;",Leads[Data de entrada],"&gt;="&amp;A122,Leads[Data de entrada],"&lt;"&amp;(B122+1),Leads[Paciente fechou (0/1)],1)</f>
        <v>0</v>
      </c>
      <c r="L122" s="14">
        <f>IFERROR(K122/E122,"")</f>
        <v/>
      </c>
    </row>
    <row r="123" spans="1:12">
      <c r="A123" s="5">
        <f>A122+7</f>
        <v>0</v>
      </c>
      <c r="B123" s="5">
        <f>A123+6</f>
        <v>0</v>
      </c>
      <c r="C123" s="12">
        <f>COUNTIFS(Leads[CPF],"&lt;&gt;",Leads[Data de entrada],"&gt;="&amp;A123,Leads[Data de entrada],"&lt;"&amp;(B123+1))</f>
        <v>0</v>
      </c>
      <c r="D123" s="12">
        <f>COUNTIFS(Leads[CPF],"&lt;&gt;",Leads[Data de entrada],"&gt;="&amp;A123,Leads[Data de entrada],"&lt;"&amp;(B123+1),Leads[Data do agendamento],"&gt;0")</f>
        <v>0</v>
      </c>
      <c r="E123" s="12">
        <f>COUNTIFS(Leads[CPF],"&lt;&gt;",Leads[Data de entrada],"&gt;="&amp;A123,Leads[Data de entrada],"&lt;"&amp;(B123+1),Leads[Data da conversa presencial executada],"&gt;0")</f>
        <v>0</v>
      </c>
      <c r="F123" s="13">
        <f>IFERROR(AVERAGEIFS(Leads[Tempo de resposta (min)],Leads[CPF],"&lt;&gt;",Leads[Data de entrada],"&gt;="&amp;A123,Leads[Data de entrada],"&lt;"&amp;(B123+1),Leads[Tempo de resposta (min)],"&gt;=0",Leads[Tempo de resposta (min)],"&lt;&gt;"),"")</f>
        <v/>
      </c>
      <c r="G123" s="12">
        <f>COUNTIFS(Leads[CPF],"&lt;&gt;",Leads[Data de entrada],"&gt;="&amp;A123,Leads[Data de entrada],"&lt;"&amp;(B123+1),Leads[Tempo de resposta (min)],"&gt;=0",Leads[Tempo de resposta (min)],"&lt;&gt;")</f>
        <v>0</v>
      </c>
      <c r="H123" s="14">
        <f>IFERROR(D123/C123,"")</f>
        <v/>
      </c>
      <c r="I123" s="14">
        <f>IFERROR(E123/D123,"")</f>
        <v/>
      </c>
      <c r="J123" s="14">
        <f>IFERROR(E123/C123,"")</f>
        <v/>
      </c>
      <c r="K123" s="12">
        <f>COUNTIFS(Leads[CPF],"&lt;&gt;",Leads[Data de entrada],"&gt;="&amp;A123,Leads[Data de entrada],"&lt;"&amp;(B123+1),Leads[Paciente fechou (0/1)],1)</f>
        <v>0</v>
      </c>
      <c r="L123" s="14">
        <f>IFERROR(K123/E123,"")</f>
        <v/>
      </c>
    </row>
    <row r="124" spans="1:12">
      <c r="A124" s="5">
        <f>A123+7</f>
        <v>0</v>
      </c>
      <c r="B124" s="5">
        <f>A124+6</f>
        <v>0</v>
      </c>
      <c r="C124" s="12">
        <f>COUNTIFS(Leads[CPF],"&lt;&gt;",Leads[Data de entrada],"&gt;="&amp;A124,Leads[Data de entrada],"&lt;"&amp;(B124+1))</f>
        <v>0</v>
      </c>
      <c r="D124" s="12">
        <f>COUNTIFS(Leads[CPF],"&lt;&gt;",Leads[Data de entrada],"&gt;="&amp;A124,Leads[Data de entrada],"&lt;"&amp;(B124+1),Leads[Data do agendamento],"&gt;0")</f>
        <v>0</v>
      </c>
      <c r="E124" s="12">
        <f>COUNTIFS(Leads[CPF],"&lt;&gt;",Leads[Data de entrada],"&gt;="&amp;A124,Leads[Data de entrada],"&lt;"&amp;(B124+1),Leads[Data da conversa presencial executada],"&gt;0")</f>
        <v>0</v>
      </c>
      <c r="F124" s="13">
        <f>IFERROR(AVERAGEIFS(Leads[Tempo de resposta (min)],Leads[CPF],"&lt;&gt;",Leads[Data de entrada],"&gt;="&amp;A124,Leads[Data de entrada],"&lt;"&amp;(B124+1),Leads[Tempo de resposta (min)],"&gt;=0",Leads[Tempo de resposta (min)],"&lt;&gt;"),"")</f>
        <v/>
      </c>
      <c r="G124" s="12">
        <f>COUNTIFS(Leads[CPF],"&lt;&gt;",Leads[Data de entrada],"&gt;="&amp;A124,Leads[Data de entrada],"&lt;"&amp;(B124+1),Leads[Tempo de resposta (min)],"&gt;=0",Leads[Tempo de resposta (min)],"&lt;&gt;")</f>
        <v>0</v>
      </c>
      <c r="H124" s="14">
        <f>IFERROR(D124/C124,"")</f>
        <v/>
      </c>
      <c r="I124" s="14">
        <f>IFERROR(E124/D124,"")</f>
        <v/>
      </c>
      <c r="J124" s="14">
        <f>IFERROR(E124/C124,"")</f>
        <v/>
      </c>
      <c r="K124" s="12">
        <f>COUNTIFS(Leads[CPF],"&lt;&gt;",Leads[Data de entrada],"&gt;="&amp;A124,Leads[Data de entrada],"&lt;"&amp;(B124+1),Leads[Paciente fechou (0/1)],1)</f>
        <v>0</v>
      </c>
      <c r="L124" s="14">
        <f>IFERROR(K124/E124,"")</f>
        <v/>
      </c>
    </row>
    <row r="125" spans="1:12">
      <c r="A125" s="5">
        <f>A124+7</f>
        <v>0</v>
      </c>
      <c r="B125" s="5">
        <f>A125+6</f>
        <v>0</v>
      </c>
      <c r="C125" s="12">
        <f>COUNTIFS(Leads[CPF],"&lt;&gt;",Leads[Data de entrada],"&gt;="&amp;A125,Leads[Data de entrada],"&lt;"&amp;(B125+1))</f>
        <v>0</v>
      </c>
      <c r="D125" s="12">
        <f>COUNTIFS(Leads[CPF],"&lt;&gt;",Leads[Data de entrada],"&gt;="&amp;A125,Leads[Data de entrada],"&lt;"&amp;(B125+1),Leads[Data do agendamento],"&gt;0")</f>
        <v>0</v>
      </c>
      <c r="E125" s="12">
        <f>COUNTIFS(Leads[CPF],"&lt;&gt;",Leads[Data de entrada],"&gt;="&amp;A125,Leads[Data de entrada],"&lt;"&amp;(B125+1),Leads[Data da conversa presencial executada],"&gt;0")</f>
        <v>0</v>
      </c>
      <c r="F125" s="13">
        <f>IFERROR(AVERAGEIFS(Leads[Tempo de resposta (min)],Leads[CPF],"&lt;&gt;",Leads[Data de entrada],"&gt;="&amp;A125,Leads[Data de entrada],"&lt;"&amp;(B125+1),Leads[Tempo de resposta (min)],"&gt;=0",Leads[Tempo de resposta (min)],"&lt;&gt;"),"")</f>
        <v/>
      </c>
      <c r="G125" s="12">
        <f>COUNTIFS(Leads[CPF],"&lt;&gt;",Leads[Data de entrada],"&gt;="&amp;A125,Leads[Data de entrada],"&lt;"&amp;(B125+1),Leads[Tempo de resposta (min)],"&gt;=0",Leads[Tempo de resposta (min)],"&lt;&gt;")</f>
        <v>0</v>
      </c>
      <c r="H125" s="14">
        <f>IFERROR(D125/C125,"")</f>
        <v/>
      </c>
      <c r="I125" s="14">
        <f>IFERROR(E125/D125,"")</f>
        <v/>
      </c>
      <c r="J125" s="14">
        <f>IFERROR(E125/C125,"")</f>
        <v/>
      </c>
      <c r="K125" s="12">
        <f>COUNTIFS(Leads[CPF],"&lt;&gt;",Leads[Data de entrada],"&gt;="&amp;A125,Leads[Data de entrada],"&lt;"&amp;(B125+1),Leads[Paciente fechou (0/1)],1)</f>
        <v>0</v>
      </c>
      <c r="L125" s="14">
        <f>IFERROR(K125/E125,"")</f>
        <v/>
      </c>
    </row>
    <row r="126" spans="1:12">
      <c r="A126" s="5">
        <f>A125+7</f>
        <v>0</v>
      </c>
      <c r="B126" s="5">
        <f>A126+6</f>
        <v>0</v>
      </c>
      <c r="C126" s="12">
        <f>COUNTIFS(Leads[CPF],"&lt;&gt;",Leads[Data de entrada],"&gt;="&amp;A126,Leads[Data de entrada],"&lt;"&amp;(B126+1))</f>
        <v>0</v>
      </c>
      <c r="D126" s="12">
        <f>COUNTIFS(Leads[CPF],"&lt;&gt;",Leads[Data de entrada],"&gt;="&amp;A126,Leads[Data de entrada],"&lt;"&amp;(B126+1),Leads[Data do agendamento],"&gt;0")</f>
        <v>0</v>
      </c>
      <c r="E126" s="12">
        <f>COUNTIFS(Leads[CPF],"&lt;&gt;",Leads[Data de entrada],"&gt;="&amp;A126,Leads[Data de entrada],"&lt;"&amp;(B126+1),Leads[Data da conversa presencial executada],"&gt;0")</f>
        <v>0</v>
      </c>
      <c r="F126" s="13">
        <f>IFERROR(AVERAGEIFS(Leads[Tempo de resposta (min)],Leads[CPF],"&lt;&gt;",Leads[Data de entrada],"&gt;="&amp;A126,Leads[Data de entrada],"&lt;"&amp;(B126+1),Leads[Tempo de resposta (min)],"&gt;=0",Leads[Tempo de resposta (min)],"&lt;&gt;"),"")</f>
        <v/>
      </c>
      <c r="G126" s="12">
        <f>COUNTIFS(Leads[CPF],"&lt;&gt;",Leads[Data de entrada],"&gt;="&amp;A126,Leads[Data de entrada],"&lt;"&amp;(B126+1),Leads[Tempo de resposta (min)],"&gt;=0",Leads[Tempo de resposta (min)],"&lt;&gt;")</f>
        <v>0</v>
      </c>
      <c r="H126" s="14">
        <f>IFERROR(D126/C126,"")</f>
        <v/>
      </c>
      <c r="I126" s="14">
        <f>IFERROR(E126/D126,"")</f>
        <v/>
      </c>
      <c r="J126" s="14">
        <f>IFERROR(E126/C126,"")</f>
        <v/>
      </c>
      <c r="K126" s="12">
        <f>COUNTIFS(Leads[CPF],"&lt;&gt;",Leads[Data de entrada],"&gt;="&amp;A126,Leads[Data de entrada],"&lt;"&amp;(B126+1),Leads[Paciente fechou (0/1)],1)</f>
        <v>0</v>
      </c>
      <c r="L126" s="14">
        <f>IFERROR(K126/E126,"")</f>
        <v/>
      </c>
    </row>
    <row r="127" spans="1:12">
      <c r="A127" s="5">
        <f>A126+7</f>
        <v>0</v>
      </c>
      <c r="B127" s="5">
        <f>A127+6</f>
        <v>0</v>
      </c>
      <c r="C127" s="12">
        <f>COUNTIFS(Leads[CPF],"&lt;&gt;",Leads[Data de entrada],"&gt;="&amp;A127,Leads[Data de entrada],"&lt;"&amp;(B127+1))</f>
        <v>0</v>
      </c>
      <c r="D127" s="12">
        <f>COUNTIFS(Leads[CPF],"&lt;&gt;",Leads[Data de entrada],"&gt;="&amp;A127,Leads[Data de entrada],"&lt;"&amp;(B127+1),Leads[Data do agendamento],"&gt;0")</f>
        <v>0</v>
      </c>
      <c r="E127" s="12">
        <f>COUNTIFS(Leads[CPF],"&lt;&gt;",Leads[Data de entrada],"&gt;="&amp;A127,Leads[Data de entrada],"&lt;"&amp;(B127+1),Leads[Data da conversa presencial executada],"&gt;0")</f>
        <v>0</v>
      </c>
      <c r="F127" s="13">
        <f>IFERROR(AVERAGEIFS(Leads[Tempo de resposta (min)],Leads[CPF],"&lt;&gt;",Leads[Data de entrada],"&gt;="&amp;A127,Leads[Data de entrada],"&lt;"&amp;(B127+1),Leads[Tempo de resposta (min)],"&gt;=0",Leads[Tempo de resposta (min)],"&lt;&gt;"),"")</f>
        <v/>
      </c>
      <c r="G127" s="12">
        <f>COUNTIFS(Leads[CPF],"&lt;&gt;",Leads[Data de entrada],"&gt;="&amp;A127,Leads[Data de entrada],"&lt;"&amp;(B127+1),Leads[Tempo de resposta (min)],"&gt;=0",Leads[Tempo de resposta (min)],"&lt;&gt;")</f>
        <v>0</v>
      </c>
      <c r="H127" s="14">
        <f>IFERROR(D127/C127,"")</f>
        <v/>
      </c>
      <c r="I127" s="14">
        <f>IFERROR(E127/D127,"")</f>
        <v/>
      </c>
      <c r="J127" s="14">
        <f>IFERROR(E127/C127,"")</f>
        <v/>
      </c>
      <c r="K127" s="12">
        <f>COUNTIFS(Leads[CPF],"&lt;&gt;",Leads[Data de entrada],"&gt;="&amp;A127,Leads[Data de entrada],"&lt;"&amp;(B127+1),Leads[Paciente fechou (0/1)],1)</f>
        <v>0</v>
      </c>
      <c r="L127" s="14">
        <f>IFERROR(K127/E127,"")</f>
        <v/>
      </c>
    </row>
    <row r="128" spans="1:12">
      <c r="A128" s="5">
        <f>A127+7</f>
        <v>0</v>
      </c>
      <c r="B128" s="5">
        <f>A128+6</f>
        <v>0</v>
      </c>
      <c r="C128" s="12">
        <f>COUNTIFS(Leads[CPF],"&lt;&gt;",Leads[Data de entrada],"&gt;="&amp;A128,Leads[Data de entrada],"&lt;"&amp;(B128+1))</f>
        <v>0</v>
      </c>
      <c r="D128" s="12">
        <f>COUNTIFS(Leads[CPF],"&lt;&gt;",Leads[Data de entrada],"&gt;="&amp;A128,Leads[Data de entrada],"&lt;"&amp;(B128+1),Leads[Data do agendamento],"&gt;0")</f>
        <v>0</v>
      </c>
      <c r="E128" s="12">
        <f>COUNTIFS(Leads[CPF],"&lt;&gt;",Leads[Data de entrada],"&gt;="&amp;A128,Leads[Data de entrada],"&lt;"&amp;(B128+1),Leads[Data da conversa presencial executada],"&gt;0")</f>
        <v>0</v>
      </c>
      <c r="F128" s="13">
        <f>IFERROR(AVERAGEIFS(Leads[Tempo de resposta (min)],Leads[CPF],"&lt;&gt;",Leads[Data de entrada],"&gt;="&amp;A128,Leads[Data de entrada],"&lt;"&amp;(B128+1),Leads[Tempo de resposta (min)],"&gt;=0",Leads[Tempo de resposta (min)],"&lt;&gt;"),"")</f>
        <v/>
      </c>
      <c r="G128" s="12">
        <f>COUNTIFS(Leads[CPF],"&lt;&gt;",Leads[Data de entrada],"&gt;="&amp;A128,Leads[Data de entrada],"&lt;"&amp;(B128+1),Leads[Tempo de resposta (min)],"&gt;=0",Leads[Tempo de resposta (min)],"&lt;&gt;")</f>
        <v>0</v>
      </c>
      <c r="H128" s="14">
        <f>IFERROR(D128/C128,"")</f>
        <v/>
      </c>
      <c r="I128" s="14">
        <f>IFERROR(E128/D128,"")</f>
        <v/>
      </c>
      <c r="J128" s="14">
        <f>IFERROR(E128/C128,"")</f>
        <v/>
      </c>
      <c r="K128" s="12">
        <f>COUNTIFS(Leads[CPF],"&lt;&gt;",Leads[Data de entrada],"&gt;="&amp;A128,Leads[Data de entrada],"&lt;"&amp;(B128+1),Leads[Paciente fechou (0/1)],1)</f>
        <v>0</v>
      </c>
      <c r="L128" s="14">
        <f>IFERROR(K128/E128,"")</f>
        <v/>
      </c>
    </row>
    <row r="129" spans="1:12">
      <c r="A129" s="5">
        <f>A128+7</f>
        <v>0</v>
      </c>
      <c r="B129" s="5">
        <f>A129+6</f>
        <v>0</v>
      </c>
      <c r="C129" s="12">
        <f>COUNTIFS(Leads[CPF],"&lt;&gt;",Leads[Data de entrada],"&gt;="&amp;A129,Leads[Data de entrada],"&lt;"&amp;(B129+1))</f>
        <v>0</v>
      </c>
      <c r="D129" s="12">
        <f>COUNTIFS(Leads[CPF],"&lt;&gt;",Leads[Data de entrada],"&gt;="&amp;A129,Leads[Data de entrada],"&lt;"&amp;(B129+1),Leads[Data do agendamento],"&gt;0")</f>
        <v>0</v>
      </c>
      <c r="E129" s="12">
        <f>COUNTIFS(Leads[CPF],"&lt;&gt;",Leads[Data de entrada],"&gt;="&amp;A129,Leads[Data de entrada],"&lt;"&amp;(B129+1),Leads[Data da conversa presencial executada],"&gt;0")</f>
        <v>0</v>
      </c>
      <c r="F129" s="13">
        <f>IFERROR(AVERAGEIFS(Leads[Tempo de resposta (min)],Leads[CPF],"&lt;&gt;",Leads[Data de entrada],"&gt;="&amp;A129,Leads[Data de entrada],"&lt;"&amp;(B129+1),Leads[Tempo de resposta (min)],"&gt;=0",Leads[Tempo de resposta (min)],"&lt;&gt;"),"")</f>
        <v/>
      </c>
      <c r="G129" s="12">
        <f>COUNTIFS(Leads[CPF],"&lt;&gt;",Leads[Data de entrada],"&gt;="&amp;A129,Leads[Data de entrada],"&lt;"&amp;(B129+1),Leads[Tempo de resposta (min)],"&gt;=0",Leads[Tempo de resposta (min)],"&lt;&gt;")</f>
        <v>0</v>
      </c>
      <c r="H129" s="14">
        <f>IFERROR(D129/C129,"")</f>
        <v/>
      </c>
      <c r="I129" s="14">
        <f>IFERROR(E129/D129,"")</f>
        <v/>
      </c>
      <c r="J129" s="14">
        <f>IFERROR(E129/C129,"")</f>
        <v/>
      </c>
      <c r="K129" s="12">
        <f>COUNTIFS(Leads[CPF],"&lt;&gt;",Leads[Data de entrada],"&gt;="&amp;A129,Leads[Data de entrada],"&lt;"&amp;(B129+1),Leads[Paciente fechou (0/1)],1)</f>
        <v>0</v>
      </c>
      <c r="L129" s="14">
        <f>IFERROR(K129/E129,"")</f>
        <v/>
      </c>
    </row>
    <row r="130" spans="1:12">
      <c r="A130" s="5">
        <f>A129+7</f>
        <v>0</v>
      </c>
      <c r="B130" s="5">
        <f>A130+6</f>
        <v>0</v>
      </c>
      <c r="C130" s="12">
        <f>COUNTIFS(Leads[CPF],"&lt;&gt;",Leads[Data de entrada],"&gt;="&amp;A130,Leads[Data de entrada],"&lt;"&amp;(B130+1))</f>
        <v>0</v>
      </c>
      <c r="D130" s="12">
        <f>COUNTIFS(Leads[CPF],"&lt;&gt;",Leads[Data de entrada],"&gt;="&amp;A130,Leads[Data de entrada],"&lt;"&amp;(B130+1),Leads[Data do agendamento],"&gt;0")</f>
        <v>0</v>
      </c>
      <c r="E130" s="12">
        <f>COUNTIFS(Leads[CPF],"&lt;&gt;",Leads[Data de entrada],"&gt;="&amp;A130,Leads[Data de entrada],"&lt;"&amp;(B130+1),Leads[Data da conversa presencial executada],"&gt;0")</f>
        <v>0</v>
      </c>
      <c r="F130" s="13">
        <f>IFERROR(AVERAGEIFS(Leads[Tempo de resposta (min)],Leads[CPF],"&lt;&gt;",Leads[Data de entrada],"&gt;="&amp;A130,Leads[Data de entrada],"&lt;"&amp;(B130+1),Leads[Tempo de resposta (min)],"&gt;=0",Leads[Tempo de resposta (min)],"&lt;&gt;"),"")</f>
        <v/>
      </c>
      <c r="G130" s="12">
        <f>COUNTIFS(Leads[CPF],"&lt;&gt;",Leads[Data de entrada],"&gt;="&amp;A130,Leads[Data de entrada],"&lt;"&amp;(B130+1),Leads[Tempo de resposta (min)],"&gt;=0",Leads[Tempo de resposta (min)],"&lt;&gt;")</f>
        <v>0</v>
      </c>
      <c r="H130" s="14">
        <f>IFERROR(D130/C130,"")</f>
        <v/>
      </c>
      <c r="I130" s="14">
        <f>IFERROR(E130/D130,"")</f>
        <v/>
      </c>
      <c r="J130" s="14">
        <f>IFERROR(E130/C130,"")</f>
        <v/>
      </c>
      <c r="K130" s="12">
        <f>COUNTIFS(Leads[CPF],"&lt;&gt;",Leads[Data de entrada],"&gt;="&amp;A130,Leads[Data de entrada],"&lt;"&amp;(B130+1),Leads[Paciente fechou (0/1)],1)</f>
        <v>0</v>
      </c>
      <c r="L130" s="14">
        <f>IFERROR(K130/E130,"")</f>
        <v/>
      </c>
    </row>
    <row r="131" spans="1:12">
      <c r="A131" s="5">
        <f>A130+7</f>
        <v>0</v>
      </c>
      <c r="B131" s="5">
        <f>A131+6</f>
        <v>0</v>
      </c>
      <c r="C131" s="12">
        <f>COUNTIFS(Leads[CPF],"&lt;&gt;",Leads[Data de entrada],"&gt;="&amp;A131,Leads[Data de entrada],"&lt;"&amp;(B131+1))</f>
        <v>0</v>
      </c>
      <c r="D131" s="12">
        <f>COUNTIFS(Leads[CPF],"&lt;&gt;",Leads[Data de entrada],"&gt;="&amp;A131,Leads[Data de entrada],"&lt;"&amp;(B131+1),Leads[Data do agendamento],"&gt;0")</f>
        <v>0</v>
      </c>
      <c r="E131" s="12">
        <f>COUNTIFS(Leads[CPF],"&lt;&gt;",Leads[Data de entrada],"&gt;="&amp;A131,Leads[Data de entrada],"&lt;"&amp;(B131+1),Leads[Data da conversa presencial executada],"&gt;0")</f>
        <v>0</v>
      </c>
      <c r="F131" s="13">
        <f>IFERROR(AVERAGEIFS(Leads[Tempo de resposta (min)],Leads[CPF],"&lt;&gt;",Leads[Data de entrada],"&gt;="&amp;A131,Leads[Data de entrada],"&lt;"&amp;(B131+1),Leads[Tempo de resposta (min)],"&gt;=0",Leads[Tempo de resposta (min)],"&lt;&gt;"),"")</f>
        <v/>
      </c>
      <c r="G131" s="12">
        <f>COUNTIFS(Leads[CPF],"&lt;&gt;",Leads[Data de entrada],"&gt;="&amp;A131,Leads[Data de entrada],"&lt;"&amp;(B131+1),Leads[Tempo de resposta (min)],"&gt;=0",Leads[Tempo de resposta (min)],"&lt;&gt;")</f>
        <v>0</v>
      </c>
      <c r="H131" s="14">
        <f>IFERROR(D131/C131,"")</f>
        <v/>
      </c>
      <c r="I131" s="14">
        <f>IFERROR(E131/D131,"")</f>
        <v/>
      </c>
      <c r="J131" s="14">
        <f>IFERROR(E131/C131,"")</f>
        <v/>
      </c>
      <c r="K131" s="12">
        <f>COUNTIFS(Leads[CPF],"&lt;&gt;",Leads[Data de entrada],"&gt;="&amp;A131,Leads[Data de entrada],"&lt;"&amp;(B131+1),Leads[Paciente fechou (0/1)],1)</f>
        <v>0</v>
      </c>
      <c r="L131" s="14">
        <f>IFERROR(K131/E131,"")</f>
        <v/>
      </c>
    </row>
    <row r="132" spans="1:12">
      <c r="A132" s="5">
        <f>A131+7</f>
        <v>0</v>
      </c>
      <c r="B132" s="5">
        <f>A132+6</f>
        <v>0</v>
      </c>
      <c r="C132" s="12">
        <f>COUNTIFS(Leads[CPF],"&lt;&gt;",Leads[Data de entrada],"&gt;="&amp;A132,Leads[Data de entrada],"&lt;"&amp;(B132+1))</f>
        <v>0</v>
      </c>
      <c r="D132" s="12">
        <f>COUNTIFS(Leads[CPF],"&lt;&gt;",Leads[Data de entrada],"&gt;="&amp;A132,Leads[Data de entrada],"&lt;"&amp;(B132+1),Leads[Data do agendamento],"&gt;0")</f>
        <v>0</v>
      </c>
      <c r="E132" s="12">
        <f>COUNTIFS(Leads[CPF],"&lt;&gt;",Leads[Data de entrada],"&gt;="&amp;A132,Leads[Data de entrada],"&lt;"&amp;(B132+1),Leads[Data da conversa presencial executada],"&gt;0")</f>
        <v>0</v>
      </c>
      <c r="F132" s="13">
        <f>IFERROR(AVERAGEIFS(Leads[Tempo de resposta (min)],Leads[CPF],"&lt;&gt;",Leads[Data de entrada],"&gt;="&amp;A132,Leads[Data de entrada],"&lt;"&amp;(B132+1),Leads[Tempo de resposta (min)],"&gt;=0",Leads[Tempo de resposta (min)],"&lt;&gt;"),"")</f>
        <v/>
      </c>
      <c r="G132" s="12">
        <f>COUNTIFS(Leads[CPF],"&lt;&gt;",Leads[Data de entrada],"&gt;="&amp;A132,Leads[Data de entrada],"&lt;"&amp;(B132+1),Leads[Tempo de resposta (min)],"&gt;=0",Leads[Tempo de resposta (min)],"&lt;&gt;")</f>
        <v>0</v>
      </c>
      <c r="H132" s="14">
        <f>IFERROR(D132/C132,"")</f>
        <v/>
      </c>
      <c r="I132" s="14">
        <f>IFERROR(E132/D132,"")</f>
        <v/>
      </c>
      <c r="J132" s="14">
        <f>IFERROR(E132/C132,"")</f>
        <v/>
      </c>
      <c r="K132" s="12">
        <f>COUNTIFS(Leads[CPF],"&lt;&gt;",Leads[Data de entrada],"&gt;="&amp;A132,Leads[Data de entrada],"&lt;"&amp;(B132+1),Leads[Paciente fechou (0/1)],1)</f>
        <v>0</v>
      </c>
      <c r="L132" s="14">
        <f>IFERROR(K132/E132,"")</f>
        <v/>
      </c>
    </row>
    <row r="133" spans="1:12">
      <c r="A133" s="5">
        <f>A132+7</f>
        <v>0</v>
      </c>
      <c r="B133" s="5">
        <f>A133+6</f>
        <v>0</v>
      </c>
      <c r="C133" s="12">
        <f>COUNTIFS(Leads[CPF],"&lt;&gt;",Leads[Data de entrada],"&gt;="&amp;A133,Leads[Data de entrada],"&lt;"&amp;(B133+1))</f>
        <v>0</v>
      </c>
      <c r="D133" s="12">
        <f>COUNTIFS(Leads[CPF],"&lt;&gt;",Leads[Data de entrada],"&gt;="&amp;A133,Leads[Data de entrada],"&lt;"&amp;(B133+1),Leads[Data do agendamento],"&gt;0")</f>
        <v>0</v>
      </c>
      <c r="E133" s="12">
        <f>COUNTIFS(Leads[CPF],"&lt;&gt;",Leads[Data de entrada],"&gt;="&amp;A133,Leads[Data de entrada],"&lt;"&amp;(B133+1),Leads[Data da conversa presencial executada],"&gt;0")</f>
        <v>0</v>
      </c>
      <c r="F133" s="13">
        <f>IFERROR(AVERAGEIFS(Leads[Tempo de resposta (min)],Leads[CPF],"&lt;&gt;",Leads[Data de entrada],"&gt;="&amp;A133,Leads[Data de entrada],"&lt;"&amp;(B133+1),Leads[Tempo de resposta (min)],"&gt;=0",Leads[Tempo de resposta (min)],"&lt;&gt;"),"")</f>
        <v/>
      </c>
      <c r="G133" s="12">
        <f>COUNTIFS(Leads[CPF],"&lt;&gt;",Leads[Data de entrada],"&gt;="&amp;A133,Leads[Data de entrada],"&lt;"&amp;(B133+1),Leads[Tempo de resposta (min)],"&gt;=0",Leads[Tempo de resposta (min)],"&lt;&gt;")</f>
        <v>0</v>
      </c>
      <c r="H133" s="14">
        <f>IFERROR(D133/C133,"")</f>
        <v/>
      </c>
      <c r="I133" s="14">
        <f>IFERROR(E133/D133,"")</f>
        <v/>
      </c>
      <c r="J133" s="14">
        <f>IFERROR(E133/C133,"")</f>
        <v/>
      </c>
      <c r="K133" s="12">
        <f>COUNTIFS(Leads[CPF],"&lt;&gt;",Leads[Data de entrada],"&gt;="&amp;A133,Leads[Data de entrada],"&lt;"&amp;(B133+1),Leads[Paciente fechou (0/1)],1)</f>
        <v>0</v>
      </c>
      <c r="L133" s="14">
        <f>IFERROR(K133/E133,"")</f>
        <v/>
      </c>
    </row>
    <row r="134" spans="1:12">
      <c r="A134" s="5">
        <f>A133+7</f>
        <v>0</v>
      </c>
      <c r="B134" s="5">
        <f>A134+6</f>
        <v>0</v>
      </c>
      <c r="C134" s="12">
        <f>COUNTIFS(Leads[CPF],"&lt;&gt;",Leads[Data de entrada],"&gt;="&amp;A134,Leads[Data de entrada],"&lt;"&amp;(B134+1))</f>
        <v>0</v>
      </c>
      <c r="D134" s="12">
        <f>COUNTIFS(Leads[CPF],"&lt;&gt;",Leads[Data de entrada],"&gt;="&amp;A134,Leads[Data de entrada],"&lt;"&amp;(B134+1),Leads[Data do agendamento],"&gt;0")</f>
        <v>0</v>
      </c>
      <c r="E134" s="12">
        <f>COUNTIFS(Leads[CPF],"&lt;&gt;",Leads[Data de entrada],"&gt;="&amp;A134,Leads[Data de entrada],"&lt;"&amp;(B134+1),Leads[Data da conversa presencial executada],"&gt;0")</f>
        <v>0</v>
      </c>
      <c r="F134" s="13">
        <f>IFERROR(AVERAGEIFS(Leads[Tempo de resposta (min)],Leads[CPF],"&lt;&gt;",Leads[Data de entrada],"&gt;="&amp;A134,Leads[Data de entrada],"&lt;"&amp;(B134+1),Leads[Tempo de resposta (min)],"&gt;=0",Leads[Tempo de resposta (min)],"&lt;&gt;"),"")</f>
        <v/>
      </c>
      <c r="G134" s="12">
        <f>COUNTIFS(Leads[CPF],"&lt;&gt;",Leads[Data de entrada],"&gt;="&amp;A134,Leads[Data de entrada],"&lt;"&amp;(B134+1),Leads[Tempo de resposta (min)],"&gt;=0",Leads[Tempo de resposta (min)],"&lt;&gt;")</f>
        <v>0</v>
      </c>
      <c r="H134" s="14">
        <f>IFERROR(D134/C134,"")</f>
        <v/>
      </c>
      <c r="I134" s="14">
        <f>IFERROR(E134/D134,"")</f>
        <v/>
      </c>
      <c r="J134" s="14">
        <f>IFERROR(E134/C134,"")</f>
        <v/>
      </c>
      <c r="K134" s="12">
        <f>COUNTIFS(Leads[CPF],"&lt;&gt;",Leads[Data de entrada],"&gt;="&amp;A134,Leads[Data de entrada],"&lt;"&amp;(B134+1),Leads[Paciente fechou (0/1)],1)</f>
        <v>0</v>
      </c>
      <c r="L134" s="14">
        <f>IFERROR(K134/E134,"")</f>
        <v/>
      </c>
    </row>
    <row r="135" spans="1:12">
      <c r="A135" s="5">
        <f>A134+7</f>
        <v>0</v>
      </c>
      <c r="B135" s="5">
        <f>A135+6</f>
        <v>0</v>
      </c>
      <c r="C135" s="12">
        <f>COUNTIFS(Leads[CPF],"&lt;&gt;",Leads[Data de entrada],"&gt;="&amp;A135,Leads[Data de entrada],"&lt;"&amp;(B135+1))</f>
        <v>0</v>
      </c>
      <c r="D135" s="12">
        <f>COUNTIFS(Leads[CPF],"&lt;&gt;",Leads[Data de entrada],"&gt;="&amp;A135,Leads[Data de entrada],"&lt;"&amp;(B135+1),Leads[Data do agendamento],"&gt;0")</f>
        <v>0</v>
      </c>
      <c r="E135" s="12">
        <f>COUNTIFS(Leads[CPF],"&lt;&gt;",Leads[Data de entrada],"&gt;="&amp;A135,Leads[Data de entrada],"&lt;"&amp;(B135+1),Leads[Data da conversa presencial executada],"&gt;0")</f>
        <v>0</v>
      </c>
      <c r="F135" s="13">
        <f>IFERROR(AVERAGEIFS(Leads[Tempo de resposta (min)],Leads[CPF],"&lt;&gt;",Leads[Data de entrada],"&gt;="&amp;A135,Leads[Data de entrada],"&lt;"&amp;(B135+1),Leads[Tempo de resposta (min)],"&gt;=0",Leads[Tempo de resposta (min)],"&lt;&gt;"),"")</f>
        <v/>
      </c>
      <c r="G135" s="12">
        <f>COUNTIFS(Leads[CPF],"&lt;&gt;",Leads[Data de entrada],"&gt;="&amp;A135,Leads[Data de entrada],"&lt;"&amp;(B135+1),Leads[Tempo de resposta (min)],"&gt;=0",Leads[Tempo de resposta (min)],"&lt;&gt;")</f>
        <v>0</v>
      </c>
      <c r="H135" s="14">
        <f>IFERROR(D135/C135,"")</f>
        <v/>
      </c>
      <c r="I135" s="14">
        <f>IFERROR(E135/D135,"")</f>
        <v/>
      </c>
      <c r="J135" s="14">
        <f>IFERROR(E135/C135,"")</f>
        <v/>
      </c>
      <c r="K135" s="12">
        <f>COUNTIFS(Leads[CPF],"&lt;&gt;",Leads[Data de entrada],"&gt;="&amp;A135,Leads[Data de entrada],"&lt;"&amp;(B135+1),Leads[Paciente fechou (0/1)],1)</f>
        <v>0</v>
      </c>
      <c r="L135" s="14">
        <f>IFERROR(K135/E135,"")</f>
        <v/>
      </c>
    </row>
    <row r="136" spans="1:12">
      <c r="A136" s="5">
        <f>A135+7</f>
        <v>0</v>
      </c>
      <c r="B136" s="5">
        <f>A136+6</f>
        <v>0</v>
      </c>
      <c r="C136" s="12">
        <f>COUNTIFS(Leads[CPF],"&lt;&gt;",Leads[Data de entrada],"&gt;="&amp;A136,Leads[Data de entrada],"&lt;"&amp;(B136+1))</f>
        <v>0</v>
      </c>
      <c r="D136" s="12">
        <f>COUNTIFS(Leads[CPF],"&lt;&gt;",Leads[Data de entrada],"&gt;="&amp;A136,Leads[Data de entrada],"&lt;"&amp;(B136+1),Leads[Data do agendamento],"&gt;0")</f>
        <v>0</v>
      </c>
      <c r="E136" s="12">
        <f>COUNTIFS(Leads[CPF],"&lt;&gt;",Leads[Data de entrada],"&gt;="&amp;A136,Leads[Data de entrada],"&lt;"&amp;(B136+1),Leads[Data da conversa presencial executada],"&gt;0")</f>
        <v>0</v>
      </c>
      <c r="F136" s="13">
        <f>IFERROR(AVERAGEIFS(Leads[Tempo de resposta (min)],Leads[CPF],"&lt;&gt;",Leads[Data de entrada],"&gt;="&amp;A136,Leads[Data de entrada],"&lt;"&amp;(B136+1),Leads[Tempo de resposta (min)],"&gt;=0",Leads[Tempo de resposta (min)],"&lt;&gt;"),"")</f>
        <v/>
      </c>
      <c r="G136" s="12">
        <f>COUNTIFS(Leads[CPF],"&lt;&gt;",Leads[Data de entrada],"&gt;="&amp;A136,Leads[Data de entrada],"&lt;"&amp;(B136+1),Leads[Tempo de resposta (min)],"&gt;=0",Leads[Tempo de resposta (min)],"&lt;&gt;")</f>
        <v>0</v>
      </c>
      <c r="H136" s="14">
        <f>IFERROR(D136/C136,"")</f>
        <v/>
      </c>
      <c r="I136" s="14">
        <f>IFERROR(E136/D136,"")</f>
        <v/>
      </c>
      <c r="J136" s="14">
        <f>IFERROR(E136/C136,"")</f>
        <v/>
      </c>
      <c r="K136" s="12">
        <f>COUNTIFS(Leads[CPF],"&lt;&gt;",Leads[Data de entrada],"&gt;="&amp;A136,Leads[Data de entrada],"&lt;"&amp;(B136+1),Leads[Paciente fechou (0/1)],1)</f>
        <v>0</v>
      </c>
      <c r="L136" s="14">
        <f>IFERROR(K136/E136,"")</f>
        <v/>
      </c>
    </row>
    <row r="137" spans="1:12">
      <c r="A137" s="5">
        <f>A136+7</f>
        <v>0</v>
      </c>
      <c r="B137" s="5">
        <f>A137+6</f>
        <v>0</v>
      </c>
      <c r="C137" s="12">
        <f>COUNTIFS(Leads[CPF],"&lt;&gt;",Leads[Data de entrada],"&gt;="&amp;A137,Leads[Data de entrada],"&lt;"&amp;(B137+1))</f>
        <v>0</v>
      </c>
      <c r="D137" s="12">
        <f>COUNTIFS(Leads[CPF],"&lt;&gt;",Leads[Data de entrada],"&gt;="&amp;A137,Leads[Data de entrada],"&lt;"&amp;(B137+1),Leads[Data do agendamento],"&gt;0")</f>
        <v>0</v>
      </c>
      <c r="E137" s="12">
        <f>COUNTIFS(Leads[CPF],"&lt;&gt;",Leads[Data de entrada],"&gt;="&amp;A137,Leads[Data de entrada],"&lt;"&amp;(B137+1),Leads[Data da conversa presencial executada],"&gt;0")</f>
        <v>0</v>
      </c>
      <c r="F137" s="13">
        <f>IFERROR(AVERAGEIFS(Leads[Tempo de resposta (min)],Leads[CPF],"&lt;&gt;",Leads[Data de entrada],"&gt;="&amp;A137,Leads[Data de entrada],"&lt;"&amp;(B137+1),Leads[Tempo de resposta (min)],"&gt;=0",Leads[Tempo de resposta (min)],"&lt;&gt;"),"")</f>
        <v/>
      </c>
      <c r="G137" s="12">
        <f>COUNTIFS(Leads[CPF],"&lt;&gt;",Leads[Data de entrada],"&gt;="&amp;A137,Leads[Data de entrada],"&lt;"&amp;(B137+1),Leads[Tempo de resposta (min)],"&gt;=0",Leads[Tempo de resposta (min)],"&lt;&gt;")</f>
        <v>0</v>
      </c>
      <c r="H137" s="14">
        <f>IFERROR(D137/C137,"")</f>
        <v/>
      </c>
      <c r="I137" s="14">
        <f>IFERROR(E137/D137,"")</f>
        <v/>
      </c>
      <c r="J137" s="14">
        <f>IFERROR(E137/C137,"")</f>
        <v/>
      </c>
      <c r="K137" s="12">
        <f>COUNTIFS(Leads[CPF],"&lt;&gt;",Leads[Data de entrada],"&gt;="&amp;A137,Leads[Data de entrada],"&lt;"&amp;(B137+1),Leads[Paciente fechou (0/1)],1)</f>
        <v>0</v>
      </c>
      <c r="L137" s="14">
        <f>IFERROR(K137/E137,"")</f>
        <v/>
      </c>
    </row>
    <row r="138" spans="1:12">
      <c r="A138" s="5">
        <f>A137+7</f>
        <v>0</v>
      </c>
      <c r="B138" s="5">
        <f>A138+6</f>
        <v>0</v>
      </c>
      <c r="C138" s="12">
        <f>COUNTIFS(Leads[CPF],"&lt;&gt;",Leads[Data de entrada],"&gt;="&amp;A138,Leads[Data de entrada],"&lt;"&amp;(B138+1))</f>
        <v>0</v>
      </c>
      <c r="D138" s="12">
        <f>COUNTIFS(Leads[CPF],"&lt;&gt;",Leads[Data de entrada],"&gt;="&amp;A138,Leads[Data de entrada],"&lt;"&amp;(B138+1),Leads[Data do agendamento],"&gt;0")</f>
        <v>0</v>
      </c>
      <c r="E138" s="12">
        <f>COUNTIFS(Leads[CPF],"&lt;&gt;",Leads[Data de entrada],"&gt;="&amp;A138,Leads[Data de entrada],"&lt;"&amp;(B138+1),Leads[Data da conversa presencial executada],"&gt;0")</f>
        <v>0</v>
      </c>
      <c r="F138" s="13">
        <f>IFERROR(AVERAGEIFS(Leads[Tempo de resposta (min)],Leads[CPF],"&lt;&gt;",Leads[Data de entrada],"&gt;="&amp;A138,Leads[Data de entrada],"&lt;"&amp;(B138+1),Leads[Tempo de resposta (min)],"&gt;=0",Leads[Tempo de resposta (min)],"&lt;&gt;"),"")</f>
        <v/>
      </c>
      <c r="G138" s="12">
        <f>COUNTIFS(Leads[CPF],"&lt;&gt;",Leads[Data de entrada],"&gt;="&amp;A138,Leads[Data de entrada],"&lt;"&amp;(B138+1),Leads[Tempo de resposta (min)],"&gt;=0",Leads[Tempo de resposta (min)],"&lt;&gt;")</f>
        <v>0</v>
      </c>
      <c r="H138" s="14">
        <f>IFERROR(D138/C138,"")</f>
        <v/>
      </c>
      <c r="I138" s="14">
        <f>IFERROR(E138/D138,"")</f>
        <v/>
      </c>
      <c r="J138" s="14">
        <f>IFERROR(E138/C138,"")</f>
        <v/>
      </c>
      <c r="K138" s="12">
        <f>COUNTIFS(Leads[CPF],"&lt;&gt;",Leads[Data de entrada],"&gt;="&amp;A138,Leads[Data de entrada],"&lt;"&amp;(B138+1),Leads[Paciente fechou (0/1)],1)</f>
        <v>0</v>
      </c>
      <c r="L138" s="14">
        <f>IFERROR(K138/E138,"")</f>
        <v/>
      </c>
    </row>
    <row r="139" spans="1:12">
      <c r="A139" s="5">
        <f>A138+7</f>
        <v>0</v>
      </c>
      <c r="B139" s="5">
        <f>A139+6</f>
        <v>0</v>
      </c>
      <c r="C139" s="12">
        <f>COUNTIFS(Leads[CPF],"&lt;&gt;",Leads[Data de entrada],"&gt;="&amp;A139,Leads[Data de entrada],"&lt;"&amp;(B139+1))</f>
        <v>0</v>
      </c>
      <c r="D139" s="12">
        <f>COUNTIFS(Leads[CPF],"&lt;&gt;",Leads[Data de entrada],"&gt;="&amp;A139,Leads[Data de entrada],"&lt;"&amp;(B139+1),Leads[Data do agendamento],"&gt;0")</f>
        <v>0</v>
      </c>
      <c r="E139" s="12">
        <f>COUNTIFS(Leads[CPF],"&lt;&gt;",Leads[Data de entrada],"&gt;="&amp;A139,Leads[Data de entrada],"&lt;"&amp;(B139+1),Leads[Data da conversa presencial executada],"&gt;0")</f>
        <v>0</v>
      </c>
      <c r="F139" s="13">
        <f>IFERROR(AVERAGEIFS(Leads[Tempo de resposta (min)],Leads[CPF],"&lt;&gt;",Leads[Data de entrada],"&gt;="&amp;A139,Leads[Data de entrada],"&lt;"&amp;(B139+1),Leads[Tempo de resposta (min)],"&gt;=0",Leads[Tempo de resposta (min)],"&lt;&gt;"),"")</f>
        <v/>
      </c>
      <c r="G139" s="12">
        <f>COUNTIFS(Leads[CPF],"&lt;&gt;",Leads[Data de entrada],"&gt;="&amp;A139,Leads[Data de entrada],"&lt;"&amp;(B139+1),Leads[Tempo de resposta (min)],"&gt;=0",Leads[Tempo de resposta (min)],"&lt;&gt;")</f>
        <v>0</v>
      </c>
      <c r="H139" s="14">
        <f>IFERROR(D139/C139,"")</f>
        <v/>
      </c>
      <c r="I139" s="14">
        <f>IFERROR(E139/D139,"")</f>
        <v/>
      </c>
      <c r="J139" s="14">
        <f>IFERROR(E139/C139,"")</f>
        <v/>
      </c>
      <c r="K139" s="12">
        <f>COUNTIFS(Leads[CPF],"&lt;&gt;",Leads[Data de entrada],"&gt;="&amp;A139,Leads[Data de entrada],"&lt;"&amp;(B139+1),Leads[Paciente fechou (0/1)],1)</f>
        <v>0</v>
      </c>
      <c r="L139" s="14">
        <f>IFERROR(K139/E139,"")</f>
        <v/>
      </c>
    </row>
    <row r="140" spans="1:12">
      <c r="A140" s="5">
        <f>A139+7</f>
        <v>0</v>
      </c>
      <c r="B140" s="5">
        <f>A140+6</f>
        <v>0</v>
      </c>
      <c r="C140" s="12">
        <f>COUNTIFS(Leads[CPF],"&lt;&gt;",Leads[Data de entrada],"&gt;="&amp;A140,Leads[Data de entrada],"&lt;"&amp;(B140+1))</f>
        <v>0</v>
      </c>
      <c r="D140" s="12">
        <f>COUNTIFS(Leads[CPF],"&lt;&gt;",Leads[Data de entrada],"&gt;="&amp;A140,Leads[Data de entrada],"&lt;"&amp;(B140+1),Leads[Data do agendamento],"&gt;0")</f>
        <v>0</v>
      </c>
      <c r="E140" s="12">
        <f>COUNTIFS(Leads[CPF],"&lt;&gt;",Leads[Data de entrada],"&gt;="&amp;A140,Leads[Data de entrada],"&lt;"&amp;(B140+1),Leads[Data da conversa presencial executada],"&gt;0")</f>
        <v>0</v>
      </c>
      <c r="F140" s="13">
        <f>IFERROR(AVERAGEIFS(Leads[Tempo de resposta (min)],Leads[CPF],"&lt;&gt;",Leads[Data de entrada],"&gt;="&amp;A140,Leads[Data de entrada],"&lt;"&amp;(B140+1),Leads[Tempo de resposta (min)],"&gt;=0",Leads[Tempo de resposta (min)],"&lt;&gt;"),"")</f>
        <v/>
      </c>
      <c r="G140" s="12">
        <f>COUNTIFS(Leads[CPF],"&lt;&gt;",Leads[Data de entrada],"&gt;="&amp;A140,Leads[Data de entrada],"&lt;"&amp;(B140+1),Leads[Tempo de resposta (min)],"&gt;=0",Leads[Tempo de resposta (min)],"&lt;&gt;")</f>
        <v>0</v>
      </c>
      <c r="H140" s="14">
        <f>IFERROR(D140/C140,"")</f>
        <v/>
      </c>
      <c r="I140" s="14">
        <f>IFERROR(E140/D140,"")</f>
        <v/>
      </c>
      <c r="J140" s="14">
        <f>IFERROR(E140/C140,"")</f>
        <v/>
      </c>
      <c r="K140" s="12">
        <f>COUNTIFS(Leads[CPF],"&lt;&gt;",Leads[Data de entrada],"&gt;="&amp;A140,Leads[Data de entrada],"&lt;"&amp;(B140+1),Leads[Paciente fechou (0/1)],1)</f>
        <v>0</v>
      </c>
      <c r="L140" s="14">
        <f>IFERROR(K140/E140,"")</f>
        <v/>
      </c>
    </row>
    <row r="141" spans="1:12">
      <c r="A141" s="5">
        <f>A140+7</f>
        <v>0</v>
      </c>
      <c r="B141" s="5">
        <f>A141+6</f>
        <v>0</v>
      </c>
      <c r="C141" s="12">
        <f>COUNTIFS(Leads[CPF],"&lt;&gt;",Leads[Data de entrada],"&gt;="&amp;A141,Leads[Data de entrada],"&lt;"&amp;(B141+1))</f>
        <v>0</v>
      </c>
      <c r="D141" s="12">
        <f>COUNTIFS(Leads[CPF],"&lt;&gt;",Leads[Data de entrada],"&gt;="&amp;A141,Leads[Data de entrada],"&lt;"&amp;(B141+1),Leads[Data do agendamento],"&gt;0")</f>
        <v>0</v>
      </c>
      <c r="E141" s="12">
        <f>COUNTIFS(Leads[CPF],"&lt;&gt;",Leads[Data de entrada],"&gt;="&amp;A141,Leads[Data de entrada],"&lt;"&amp;(B141+1),Leads[Data da conversa presencial executada],"&gt;0")</f>
        <v>0</v>
      </c>
      <c r="F141" s="13">
        <f>IFERROR(AVERAGEIFS(Leads[Tempo de resposta (min)],Leads[CPF],"&lt;&gt;",Leads[Data de entrada],"&gt;="&amp;A141,Leads[Data de entrada],"&lt;"&amp;(B141+1),Leads[Tempo de resposta (min)],"&gt;=0",Leads[Tempo de resposta (min)],"&lt;&gt;"),"")</f>
        <v/>
      </c>
      <c r="G141" s="12">
        <f>COUNTIFS(Leads[CPF],"&lt;&gt;",Leads[Data de entrada],"&gt;="&amp;A141,Leads[Data de entrada],"&lt;"&amp;(B141+1),Leads[Tempo de resposta (min)],"&gt;=0",Leads[Tempo de resposta (min)],"&lt;&gt;")</f>
        <v>0</v>
      </c>
      <c r="H141" s="14">
        <f>IFERROR(D141/C141,"")</f>
        <v/>
      </c>
      <c r="I141" s="14">
        <f>IFERROR(E141/D141,"")</f>
        <v/>
      </c>
      <c r="J141" s="14">
        <f>IFERROR(E141/C141,"")</f>
        <v/>
      </c>
      <c r="K141" s="12">
        <f>COUNTIFS(Leads[CPF],"&lt;&gt;",Leads[Data de entrada],"&gt;="&amp;A141,Leads[Data de entrada],"&lt;"&amp;(B141+1),Leads[Paciente fechou (0/1)],1)</f>
        <v>0</v>
      </c>
      <c r="L141" s="14">
        <f>IFERROR(K141/E141,"")</f>
        <v/>
      </c>
    </row>
    <row r="142" spans="1:12">
      <c r="A142" s="5">
        <f>A141+7</f>
        <v>0</v>
      </c>
      <c r="B142" s="5">
        <f>A142+6</f>
        <v>0</v>
      </c>
      <c r="C142" s="12">
        <f>COUNTIFS(Leads[CPF],"&lt;&gt;",Leads[Data de entrada],"&gt;="&amp;A142,Leads[Data de entrada],"&lt;"&amp;(B142+1))</f>
        <v>0</v>
      </c>
      <c r="D142" s="12">
        <f>COUNTIFS(Leads[CPF],"&lt;&gt;",Leads[Data de entrada],"&gt;="&amp;A142,Leads[Data de entrada],"&lt;"&amp;(B142+1),Leads[Data do agendamento],"&gt;0")</f>
        <v>0</v>
      </c>
      <c r="E142" s="12">
        <f>COUNTIFS(Leads[CPF],"&lt;&gt;",Leads[Data de entrada],"&gt;="&amp;A142,Leads[Data de entrada],"&lt;"&amp;(B142+1),Leads[Data da conversa presencial executada],"&gt;0")</f>
        <v>0</v>
      </c>
      <c r="F142" s="13">
        <f>IFERROR(AVERAGEIFS(Leads[Tempo de resposta (min)],Leads[CPF],"&lt;&gt;",Leads[Data de entrada],"&gt;="&amp;A142,Leads[Data de entrada],"&lt;"&amp;(B142+1),Leads[Tempo de resposta (min)],"&gt;=0",Leads[Tempo de resposta (min)],"&lt;&gt;"),"")</f>
        <v/>
      </c>
      <c r="G142" s="12">
        <f>COUNTIFS(Leads[CPF],"&lt;&gt;",Leads[Data de entrada],"&gt;="&amp;A142,Leads[Data de entrada],"&lt;"&amp;(B142+1),Leads[Tempo de resposta (min)],"&gt;=0",Leads[Tempo de resposta (min)],"&lt;&gt;")</f>
        <v>0</v>
      </c>
      <c r="H142" s="14">
        <f>IFERROR(D142/C142,"")</f>
        <v/>
      </c>
      <c r="I142" s="14">
        <f>IFERROR(E142/D142,"")</f>
        <v/>
      </c>
      <c r="J142" s="14">
        <f>IFERROR(E142/C142,"")</f>
        <v/>
      </c>
      <c r="K142" s="12">
        <f>COUNTIFS(Leads[CPF],"&lt;&gt;",Leads[Data de entrada],"&gt;="&amp;A142,Leads[Data de entrada],"&lt;"&amp;(B142+1),Leads[Paciente fechou (0/1)],1)</f>
        <v>0</v>
      </c>
      <c r="L142" s="14">
        <f>IFERROR(K142/E142,"")</f>
        <v/>
      </c>
    </row>
    <row r="143" spans="1:12">
      <c r="A143" s="5">
        <f>A142+7</f>
        <v>0</v>
      </c>
      <c r="B143" s="5">
        <f>A143+6</f>
        <v>0</v>
      </c>
      <c r="C143" s="12">
        <f>COUNTIFS(Leads[CPF],"&lt;&gt;",Leads[Data de entrada],"&gt;="&amp;A143,Leads[Data de entrada],"&lt;"&amp;(B143+1))</f>
        <v>0</v>
      </c>
      <c r="D143" s="12">
        <f>COUNTIFS(Leads[CPF],"&lt;&gt;",Leads[Data de entrada],"&gt;="&amp;A143,Leads[Data de entrada],"&lt;"&amp;(B143+1),Leads[Data do agendamento],"&gt;0")</f>
        <v>0</v>
      </c>
      <c r="E143" s="12">
        <f>COUNTIFS(Leads[CPF],"&lt;&gt;",Leads[Data de entrada],"&gt;="&amp;A143,Leads[Data de entrada],"&lt;"&amp;(B143+1),Leads[Data da conversa presencial executada],"&gt;0")</f>
        <v>0</v>
      </c>
      <c r="F143" s="13">
        <f>IFERROR(AVERAGEIFS(Leads[Tempo de resposta (min)],Leads[CPF],"&lt;&gt;",Leads[Data de entrada],"&gt;="&amp;A143,Leads[Data de entrada],"&lt;"&amp;(B143+1),Leads[Tempo de resposta (min)],"&gt;=0",Leads[Tempo de resposta (min)],"&lt;&gt;"),"")</f>
        <v/>
      </c>
      <c r="G143" s="12">
        <f>COUNTIFS(Leads[CPF],"&lt;&gt;",Leads[Data de entrada],"&gt;="&amp;A143,Leads[Data de entrada],"&lt;"&amp;(B143+1),Leads[Tempo de resposta (min)],"&gt;=0",Leads[Tempo de resposta (min)],"&lt;&gt;")</f>
        <v>0</v>
      </c>
      <c r="H143" s="14">
        <f>IFERROR(D143/C143,"")</f>
        <v/>
      </c>
      <c r="I143" s="14">
        <f>IFERROR(E143/D143,"")</f>
        <v/>
      </c>
      <c r="J143" s="14">
        <f>IFERROR(E143/C143,"")</f>
        <v/>
      </c>
      <c r="K143" s="12">
        <f>COUNTIFS(Leads[CPF],"&lt;&gt;",Leads[Data de entrada],"&gt;="&amp;A143,Leads[Data de entrada],"&lt;"&amp;(B143+1),Leads[Paciente fechou (0/1)],1)</f>
        <v>0</v>
      </c>
      <c r="L143" s="14">
        <f>IFERROR(K143/E143,"")</f>
        <v/>
      </c>
    </row>
    <row r="144" spans="1:12">
      <c r="A144" s="5">
        <f>A143+7</f>
        <v>0</v>
      </c>
      <c r="B144" s="5">
        <f>A144+6</f>
        <v>0</v>
      </c>
      <c r="C144" s="12">
        <f>COUNTIFS(Leads[CPF],"&lt;&gt;",Leads[Data de entrada],"&gt;="&amp;A144,Leads[Data de entrada],"&lt;"&amp;(B144+1))</f>
        <v>0</v>
      </c>
      <c r="D144" s="12">
        <f>COUNTIFS(Leads[CPF],"&lt;&gt;",Leads[Data de entrada],"&gt;="&amp;A144,Leads[Data de entrada],"&lt;"&amp;(B144+1),Leads[Data do agendamento],"&gt;0")</f>
        <v>0</v>
      </c>
      <c r="E144" s="12">
        <f>COUNTIFS(Leads[CPF],"&lt;&gt;",Leads[Data de entrada],"&gt;="&amp;A144,Leads[Data de entrada],"&lt;"&amp;(B144+1),Leads[Data da conversa presencial executada],"&gt;0")</f>
        <v>0</v>
      </c>
      <c r="F144" s="13">
        <f>IFERROR(AVERAGEIFS(Leads[Tempo de resposta (min)],Leads[CPF],"&lt;&gt;",Leads[Data de entrada],"&gt;="&amp;A144,Leads[Data de entrada],"&lt;"&amp;(B144+1),Leads[Tempo de resposta (min)],"&gt;=0",Leads[Tempo de resposta (min)],"&lt;&gt;"),"")</f>
        <v/>
      </c>
      <c r="G144" s="12">
        <f>COUNTIFS(Leads[CPF],"&lt;&gt;",Leads[Data de entrada],"&gt;="&amp;A144,Leads[Data de entrada],"&lt;"&amp;(B144+1),Leads[Tempo de resposta (min)],"&gt;=0",Leads[Tempo de resposta (min)],"&lt;&gt;")</f>
        <v>0</v>
      </c>
      <c r="H144" s="14">
        <f>IFERROR(D144/C144,"")</f>
        <v/>
      </c>
      <c r="I144" s="14">
        <f>IFERROR(E144/D144,"")</f>
        <v/>
      </c>
      <c r="J144" s="14">
        <f>IFERROR(E144/C144,"")</f>
        <v/>
      </c>
      <c r="K144" s="12">
        <f>COUNTIFS(Leads[CPF],"&lt;&gt;",Leads[Data de entrada],"&gt;="&amp;A144,Leads[Data de entrada],"&lt;"&amp;(B144+1),Leads[Paciente fechou (0/1)],1)</f>
        <v>0</v>
      </c>
      <c r="L144" s="14">
        <f>IFERROR(K144/E144,"")</f>
        <v/>
      </c>
    </row>
    <row r="145" spans="1:12">
      <c r="A145" s="5">
        <f>A144+7</f>
        <v>0</v>
      </c>
      <c r="B145" s="5">
        <f>A145+6</f>
        <v>0</v>
      </c>
      <c r="C145" s="12">
        <f>COUNTIFS(Leads[CPF],"&lt;&gt;",Leads[Data de entrada],"&gt;="&amp;A145,Leads[Data de entrada],"&lt;"&amp;(B145+1))</f>
        <v>0</v>
      </c>
      <c r="D145" s="12">
        <f>COUNTIFS(Leads[CPF],"&lt;&gt;",Leads[Data de entrada],"&gt;="&amp;A145,Leads[Data de entrada],"&lt;"&amp;(B145+1),Leads[Data do agendamento],"&gt;0")</f>
        <v>0</v>
      </c>
      <c r="E145" s="12">
        <f>COUNTIFS(Leads[CPF],"&lt;&gt;",Leads[Data de entrada],"&gt;="&amp;A145,Leads[Data de entrada],"&lt;"&amp;(B145+1),Leads[Data da conversa presencial executada],"&gt;0")</f>
        <v>0</v>
      </c>
      <c r="F145" s="13">
        <f>IFERROR(AVERAGEIFS(Leads[Tempo de resposta (min)],Leads[CPF],"&lt;&gt;",Leads[Data de entrada],"&gt;="&amp;A145,Leads[Data de entrada],"&lt;"&amp;(B145+1),Leads[Tempo de resposta (min)],"&gt;=0",Leads[Tempo de resposta (min)],"&lt;&gt;"),"")</f>
        <v/>
      </c>
      <c r="G145" s="12">
        <f>COUNTIFS(Leads[CPF],"&lt;&gt;",Leads[Data de entrada],"&gt;="&amp;A145,Leads[Data de entrada],"&lt;"&amp;(B145+1),Leads[Tempo de resposta (min)],"&gt;=0",Leads[Tempo de resposta (min)],"&lt;&gt;")</f>
        <v>0</v>
      </c>
      <c r="H145" s="14">
        <f>IFERROR(D145/C145,"")</f>
        <v/>
      </c>
      <c r="I145" s="14">
        <f>IFERROR(E145/D145,"")</f>
        <v/>
      </c>
      <c r="J145" s="14">
        <f>IFERROR(E145/C145,"")</f>
        <v/>
      </c>
      <c r="K145" s="12">
        <f>COUNTIFS(Leads[CPF],"&lt;&gt;",Leads[Data de entrada],"&gt;="&amp;A145,Leads[Data de entrada],"&lt;"&amp;(B145+1),Leads[Paciente fechou (0/1)],1)</f>
        <v>0</v>
      </c>
      <c r="L145" s="14">
        <f>IFERROR(K145/E145,"")</f>
        <v/>
      </c>
    </row>
    <row r="146" spans="1:12">
      <c r="A146" s="5">
        <f>A145+7</f>
        <v>0</v>
      </c>
      <c r="B146" s="5">
        <f>A146+6</f>
        <v>0</v>
      </c>
      <c r="C146" s="12">
        <f>COUNTIFS(Leads[CPF],"&lt;&gt;",Leads[Data de entrada],"&gt;="&amp;A146,Leads[Data de entrada],"&lt;"&amp;(B146+1))</f>
        <v>0</v>
      </c>
      <c r="D146" s="12">
        <f>COUNTIFS(Leads[CPF],"&lt;&gt;",Leads[Data de entrada],"&gt;="&amp;A146,Leads[Data de entrada],"&lt;"&amp;(B146+1),Leads[Data do agendamento],"&gt;0")</f>
        <v>0</v>
      </c>
      <c r="E146" s="12">
        <f>COUNTIFS(Leads[CPF],"&lt;&gt;",Leads[Data de entrada],"&gt;="&amp;A146,Leads[Data de entrada],"&lt;"&amp;(B146+1),Leads[Data da conversa presencial executada],"&gt;0")</f>
        <v>0</v>
      </c>
      <c r="F146" s="13">
        <f>IFERROR(AVERAGEIFS(Leads[Tempo de resposta (min)],Leads[CPF],"&lt;&gt;",Leads[Data de entrada],"&gt;="&amp;A146,Leads[Data de entrada],"&lt;"&amp;(B146+1),Leads[Tempo de resposta (min)],"&gt;=0",Leads[Tempo de resposta (min)],"&lt;&gt;"),"")</f>
        <v/>
      </c>
      <c r="G146" s="12">
        <f>COUNTIFS(Leads[CPF],"&lt;&gt;",Leads[Data de entrada],"&gt;="&amp;A146,Leads[Data de entrada],"&lt;"&amp;(B146+1),Leads[Tempo de resposta (min)],"&gt;=0",Leads[Tempo de resposta (min)],"&lt;&gt;")</f>
        <v>0</v>
      </c>
      <c r="H146" s="14">
        <f>IFERROR(D146/C146,"")</f>
        <v/>
      </c>
      <c r="I146" s="14">
        <f>IFERROR(E146/D146,"")</f>
        <v/>
      </c>
      <c r="J146" s="14">
        <f>IFERROR(E146/C146,"")</f>
        <v/>
      </c>
      <c r="K146" s="12">
        <f>COUNTIFS(Leads[CPF],"&lt;&gt;",Leads[Data de entrada],"&gt;="&amp;A146,Leads[Data de entrada],"&lt;"&amp;(B146+1),Leads[Paciente fechou (0/1)],1)</f>
        <v>0</v>
      </c>
      <c r="L146" s="14">
        <f>IFERROR(K146/E146,"")</f>
        <v/>
      </c>
    </row>
    <row r="147" spans="1:12">
      <c r="A147" s="5">
        <f>A146+7</f>
        <v>0</v>
      </c>
      <c r="B147" s="5">
        <f>A147+6</f>
        <v>0</v>
      </c>
      <c r="C147" s="12">
        <f>COUNTIFS(Leads[CPF],"&lt;&gt;",Leads[Data de entrada],"&gt;="&amp;A147,Leads[Data de entrada],"&lt;"&amp;(B147+1))</f>
        <v>0</v>
      </c>
      <c r="D147" s="12">
        <f>COUNTIFS(Leads[CPF],"&lt;&gt;",Leads[Data de entrada],"&gt;="&amp;A147,Leads[Data de entrada],"&lt;"&amp;(B147+1),Leads[Data do agendamento],"&gt;0")</f>
        <v>0</v>
      </c>
      <c r="E147" s="12">
        <f>COUNTIFS(Leads[CPF],"&lt;&gt;",Leads[Data de entrada],"&gt;="&amp;A147,Leads[Data de entrada],"&lt;"&amp;(B147+1),Leads[Data da conversa presencial executada],"&gt;0")</f>
        <v>0</v>
      </c>
      <c r="F147" s="13">
        <f>IFERROR(AVERAGEIFS(Leads[Tempo de resposta (min)],Leads[CPF],"&lt;&gt;",Leads[Data de entrada],"&gt;="&amp;A147,Leads[Data de entrada],"&lt;"&amp;(B147+1),Leads[Tempo de resposta (min)],"&gt;=0",Leads[Tempo de resposta (min)],"&lt;&gt;"),"")</f>
        <v/>
      </c>
      <c r="G147" s="12">
        <f>COUNTIFS(Leads[CPF],"&lt;&gt;",Leads[Data de entrada],"&gt;="&amp;A147,Leads[Data de entrada],"&lt;"&amp;(B147+1),Leads[Tempo de resposta (min)],"&gt;=0",Leads[Tempo de resposta (min)],"&lt;&gt;")</f>
        <v>0</v>
      </c>
      <c r="H147" s="14">
        <f>IFERROR(D147/C147,"")</f>
        <v/>
      </c>
      <c r="I147" s="14">
        <f>IFERROR(E147/D147,"")</f>
        <v/>
      </c>
      <c r="J147" s="14">
        <f>IFERROR(E147/C147,"")</f>
        <v/>
      </c>
      <c r="K147" s="12">
        <f>COUNTIFS(Leads[CPF],"&lt;&gt;",Leads[Data de entrada],"&gt;="&amp;A147,Leads[Data de entrada],"&lt;"&amp;(B147+1),Leads[Paciente fechou (0/1)],1)</f>
        <v>0</v>
      </c>
      <c r="L147" s="14">
        <f>IFERROR(K147/E147,"")</f>
        <v/>
      </c>
    </row>
    <row r="148" spans="1:12">
      <c r="A148" s="5">
        <f>A147+7</f>
        <v>0</v>
      </c>
      <c r="B148" s="5">
        <f>A148+6</f>
        <v>0</v>
      </c>
      <c r="C148" s="12">
        <f>COUNTIFS(Leads[CPF],"&lt;&gt;",Leads[Data de entrada],"&gt;="&amp;A148,Leads[Data de entrada],"&lt;"&amp;(B148+1))</f>
        <v>0</v>
      </c>
      <c r="D148" s="12">
        <f>COUNTIFS(Leads[CPF],"&lt;&gt;",Leads[Data de entrada],"&gt;="&amp;A148,Leads[Data de entrada],"&lt;"&amp;(B148+1),Leads[Data do agendamento],"&gt;0")</f>
        <v>0</v>
      </c>
      <c r="E148" s="12">
        <f>COUNTIFS(Leads[CPF],"&lt;&gt;",Leads[Data de entrada],"&gt;="&amp;A148,Leads[Data de entrada],"&lt;"&amp;(B148+1),Leads[Data da conversa presencial executada],"&gt;0")</f>
        <v>0</v>
      </c>
      <c r="F148" s="13">
        <f>IFERROR(AVERAGEIFS(Leads[Tempo de resposta (min)],Leads[CPF],"&lt;&gt;",Leads[Data de entrada],"&gt;="&amp;A148,Leads[Data de entrada],"&lt;"&amp;(B148+1),Leads[Tempo de resposta (min)],"&gt;=0",Leads[Tempo de resposta (min)],"&lt;&gt;"),"")</f>
        <v/>
      </c>
      <c r="G148" s="12">
        <f>COUNTIFS(Leads[CPF],"&lt;&gt;",Leads[Data de entrada],"&gt;="&amp;A148,Leads[Data de entrada],"&lt;"&amp;(B148+1),Leads[Tempo de resposta (min)],"&gt;=0",Leads[Tempo de resposta (min)],"&lt;&gt;")</f>
        <v>0</v>
      </c>
      <c r="H148" s="14">
        <f>IFERROR(D148/C148,"")</f>
        <v/>
      </c>
      <c r="I148" s="14">
        <f>IFERROR(E148/D148,"")</f>
        <v/>
      </c>
      <c r="J148" s="14">
        <f>IFERROR(E148/C148,"")</f>
        <v/>
      </c>
      <c r="K148" s="12">
        <f>COUNTIFS(Leads[CPF],"&lt;&gt;",Leads[Data de entrada],"&gt;="&amp;A148,Leads[Data de entrada],"&lt;"&amp;(B148+1),Leads[Paciente fechou (0/1)],1)</f>
        <v>0</v>
      </c>
      <c r="L148" s="14">
        <f>IFERROR(K148/E148,"")</f>
        <v/>
      </c>
    </row>
    <row r="149" spans="1:12">
      <c r="A149" s="5">
        <f>A148+7</f>
        <v>0</v>
      </c>
      <c r="B149" s="5">
        <f>A149+6</f>
        <v>0</v>
      </c>
      <c r="C149" s="12">
        <f>COUNTIFS(Leads[CPF],"&lt;&gt;",Leads[Data de entrada],"&gt;="&amp;A149,Leads[Data de entrada],"&lt;"&amp;(B149+1))</f>
        <v>0</v>
      </c>
      <c r="D149" s="12">
        <f>COUNTIFS(Leads[CPF],"&lt;&gt;",Leads[Data de entrada],"&gt;="&amp;A149,Leads[Data de entrada],"&lt;"&amp;(B149+1),Leads[Data do agendamento],"&gt;0")</f>
        <v>0</v>
      </c>
      <c r="E149" s="12">
        <f>COUNTIFS(Leads[CPF],"&lt;&gt;",Leads[Data de entrada],"&gt;="&amp;A149,Leads[Data de entrada],"&lt;"&amp;(B149+1),Leads[Data da conversa presencial executada],"&gt;0")</f>
        <v>0</v>
      </c>
      <c r="F149" s="13">
        <f>IFERROR(AVERAGEIFS(Leads[Tempo de resposta (min)],Leads[CPF],"&lt;&gt;",Leads[Data de entrada],"&gt;="&amp;A149,Leads[Data de entrada],"&lt;"&amp;(B149+1),Leads[Tempo de resposta (min)],"&gt;=0",Leads[Tempo de resposta (min)],"&lt;&gt;"),"")</f>
        <v/>
      </c>
      <c r="G149" s="12">
        <f>COUNTIFS(Leads[CPF],"&lt;&gt;",Leads[Data de entrada],"&gt;="&amp;A149,Leads[Data de entrada],"&lt;"&amp;(B149+1),Leads[Tempo de resposta (min)],"&gt;=0",Leads[Tempo de resposta (min)],"&lt;&gt;")</f>
        <v>0</v>
      </c>
      <c r="H149" s="14">
        <f>IFERROR(D149/C149,"")</f>
        <v/>
      </c>
      <c r="I149" s="14">
        <f>IFERROR(E149/D149,"")</f>
        <v/>
      </c>
      <c r="J149" s="14">
        <f>IFERROR(E149/C149,"")</f>
        <v/>
      </c>
      <c r="K149" s="12">
        <f>COUNTIFS(Leads[CPF],"&lt;&gt;",Leads[Data de entrada],"&gt;="&amp;A149,Leads[Data de entrada],"&lt;"&amp;(B149+1),Leads[Paciente fechou (0/1)],1)</f>
        <v>0</v>
      </c>
      <c r="L149" s="14">
        <f>IFERROR(K149/E149,"")</f>
        <v/>
      </c>
    </row>
    <row r="150" spans="1:12">
      <c r="A150" s="5">
        <f>A149+7</f>
        <v>0</v>
      </c>
      <c r="B150" s="5">
        <f>A150+6</f>
        <v>0</v>
      </c>
      <c r="C150" s="12">
        <f>COUNTIFS(Leads[CPF],"&lt;&gt;",Leads[Data de entrada],"&gt;="&amp;A150,Leads[Data de entrada],"&lt;"&amp;(B150+1))</f>
        <v>0</v>
      </c>
      <c r="D150" s="12">
        <f>COUNTIFS(Leads[CPF],"&lt;&gt;",Leads[Data de entrada],"&gt;="&amp;A150,Leads[Data de entrada],"&lt;"&amp;(B150+1),Leads[Data do agendamento],"&gt;0")</f>
        <v>0</v>
      </c>
      <c r="E150" s="12">
        <f>COUNTIFS(Leads[CPF],"&lt;&gt;",Leads[Data de entrada],"&gt;="&amp;A150,Leads[Data de entrada],"&lt;"&amp;(B150+1),Leads[Data da conversa presencial executada],"&gt;0")</f>
        <v>0</v>
      </c>
      <c r="F150" s="13">
        <f>IFERROR(AVERAGEIFS(Leads[Tempo de resposta (min)],Leads[CPF],"&lt;&gt;",Leads[Data de entrada],"&gt;="&amp;A150,Leads[Data de entrada],"&lt;"&amp;(B150+1),Leads[Tempo de resposta (min)],"&gt;=0",Leads[Tempo de resposta (min)],"&lt;&gt;"),"")</f>
        <v/>
      </c>
      <c r="G150" s="12">
        <f>COUNTIFS(Leads[CPF],"&lt;&gt;",Leads[Data de entrada],"&gt;="&amp;A150,Leads[Data de entrada],"&lt;"&amp;(B150+1),Leads[Tempo de resposta (min)],"&gt;=0",Leads[Tempo de resposta (min)],"&lt;&gt;")</f>
        <v>0</v>
      </c>
      <c r="H150" s="14">
        <f>IFERROR(D150/C150,"")</f>
        <v/>
      </c>
      <c r="I150" s="14">
        <f>IFERROR(E150/D150,"")</f>
        <v/>
      </c>
      <c r="J150" s="14">
        <f>IFERROR(E150/C150,"")</f>
        <v/>
      </c>
      <c r="K150" s="12">
        <f>COUNTIFS(Leads[CPF],"&lt;&gt;",Leads[Data de entrada],"&gt;="&amp;A150,Leads[Data de entrada],"&lt;"&amp;(B150+1),Leads[Paciente fechou (0/1)],1)</f>
        <v>0</v>
      </c>
      <c r="L150" s="14">
        <f>IFERROR(K150/E150,"")</f>
        <v/>
      </c>
    </row>
    <row r="151" spans="1:12">
      <c r="A151" s="5">
        <f>A150+7</f>
        <v>0</v>
      </c>
      <c r="B151" s="5">
        <f>A151+6</f>
        <v>0</v>
      </c>
      <c r="C151" s="12">
        <f>COUNTIFS(Leads[CPF],"&lt;&gt;",Leads[Data de entrada],"&gt;="&amp;A151,Leads[Data de entrada],"&lt;"&amp;(B151+1))</f>
        <v>0</v>
      </c>
      <c r="D151" s="12">
        <f>COUNTIFS(Leads[CPF],"&lt;&gt;",Leads[Data de entrada],"&gt;="&amp;A151,Leads[Data de entrada],"&lt;"&amp;(B151+1),Leads[Data do agendamento],"&gt;0")</f>
        <v>0</v>
      </c>
      <c r="E151" s="12">
        <f>COUNTIFS(Leads[CPF],"&lt;&gt;",Leads[Data de entrada],"&gt;="&amp;A151,Leads[Data de entrada],"&lt;"&amp;(B151+1),Leads[Data da conversa presencial executada],"&gt;0")</f>
        <v>0</v>
      </c>
      <c r="F151" s="13">
        <f>IFERROR(AVERAGEIFS(Leads[Tempo de resposta (min)],Leads[CPF],"&lt;&gt;",Leads[Data de entrada],"&gt;="&amp;A151,Leads[Data de entrada],"&lt;"&amp;(B151+1),Leads[Tempo de resposta (min)],"&gt;=0",Leads[Tempo de resposta (min)],"&lt;&gt;"),"")</f>
        <v/>
      </c>
      <c r="G151" s="12">
        <f>COUNTIFS(Leads[CPF],"&lt;&gt;",Leads[Data de entrada],"&gt;="&amp;A151,Leads[Data de entrada],"&lt;"&amp;(B151+1),Leads[Tempo de resposta (min)],"&gt;=0",Leads[Tempo de resposta (min)],"&lt;&gt;")</f>
        <v>0</v>
      </c>
      <c r="H151" s="14">
        <f>IFERROR(D151/C151,"")</f>
        <v/>
      </c>
      <c r="I151" s="14">
        <f>IFERROR(E151/D151,"")</f>
        <v/>
      </c>
      <c r="J151" s="14">
        <f>IFERROR(E151/C151,"")</f>
        <v/>
      </c>
      <c r="K151" s="12">
        <f>COUNTIFS(Leads[CPF],"&lt;&gt;",Leads[Data de entrada],"&gt;="&amp;A151,Leads[Data de entrada],"&lt;"&amp;(B151+1),Leads[Paciente fechou (0/1)],1)</f>
        <v>0</v>
      </c>
      <c r="L151" s="14">
        <f>IFERROR(K151/E151,"")</f>
        <v/>
      </c>
    </row>
    <row r="152" spans="1:12">
      <c r="A152" s="5">
        <f>A151+7</f>
        <v>0</v>
      </c>
      <c r="B152" s="5">
        <f>A152+6</f>
        <v>0</v>
      </c>
      <c r="C152" s="12">
        <f>COUNTIFS(Leads[CPF],"&lt;&gt;",Leads[Data de entrada],"&gt;="&amp;A152,Leads[Data de entrada],"&lt;"&amp;(B152+1))</f>
        <v>0</v>
      </c>
      <c r="D152" s="12">
        <f>COUNTIFS(Leads[CPF],"&lt;&gt;",Leads[Data de entrada],"&gt;="&amp;A152,Leads[Data de entrada],"&lt;"&amp;(B152+1),Leads[Data do agendamento],"&gt;0")</f>
        <v>0</v>
      </c>
      <c r="E152" s="12">
        <f>COUNTIFS(Leads[CPF],"&lt;&gt;",Leads[Data de entrada],"&gt;="&amp;A152,Leads[Data de entrada],"&lt;"&amp;(B152+1),Leads[Data da conversa presencial executada],"&gt;0")</f>
        <v>0</v>
      </c>
      <c r="F152" s="13">
        <f>IFERROR(AVERAGEIFS(Leads[Tempo de resposta (min)],Leads[CPF],"&lt;&gt;",Leads[Data de entrada],"&gt;="&amp;A152,Leads[Data de entrada],"&lt;"&amp;(B152+1),Leads[Tempo de resposta (min)],"&gt;=0",Leads[Tempo de resposta (min)],"&lt;&gt;"),"")</f>
        <v/>
      </c>
      <c r="G152" s="12">
        <f>COUNTIFS(Leads[CPF],"&lt;&gt;",Leads[Data de entrada],"&gt;="&amp;A152,Leads[Data de entrada],"&lt;"&amp;(B152+1),Leads[Tempo de resposta (min)],"&gt;=0",Leads[Tempo de resposta (min)],"&lt;&gt;")</f>
        <v>0</v>
      </c>
      <c r="H152" s="14">
        <f>IFERROR(D152/C152,"")</f>
        <v/>
      </c>
      <c r="I152" s="14">
        <f>IFERROR(E152/D152,"")</f>
        <v/>
      </c>
      <c r="J152" s="14">
        <f>IFERROR(E152/C152,"")</f>
        <v/>
      </c>
      <c r="K152" s="12">
        <f>COUNTIFS(Leads[CPF],"&lt;&gt;",Leads[Data de entrada],"&gt;="&amp;A152,Leads[Data de entrada],"&lt;"&amp;(B152+1),Leads[Paciente fechou (0/1)],1)</f>
        <v>0</v>
      </c>
      <c r="L152" s="14">
        <f>IFERROR(K152/E152,"")</f>
        <v/>
      </c>
    </row>
    <row r="153" spans="1:12">
      <c r="A153" s="5">
        <f>A152+7</f>
        <v>0</v>
      </c>
      <c r="B153" s="5">
        <f>A153+6</f>
        <v>0</v>
      </c>
      <c r="C153" s="12">
        <f>COUNTIFS(Leads[CPF],"&lt;&gt;",Leads[Data de entrada],"&gt;="&amp;A153,Leads[Data de entrada],"&lt;"&amp;(B153+1))</f>
        <v>0</v>
      </c>
      <c r="D153" s="12">
        <f>COUNTIFS(Leads[CPF],"&lt;&gt;",Leads[Data de entrada],"&gt;="&amp;A153,Leads[Data de entrada],"&lt;"&amp;(B153+1),Leads[Data do agendamento],"&gt;0")</f>
        <v>0</v>
      </c>
      <c r="E153" s="12">
        <f>COUNTIFS(Leads[CPF],"&lt;&gt;",Leads[Data de entrada],"&gt;="&amp;A153,Leads[Data de entrada],"&lt;"&amp;(B153+1),Leads[Data da conversa presencial executada],"&gt;0")</f>
        <v>0</v>
      </c>
      <c r="F153" s="13">
        <f>IFERROR(AVERAGEIFS(Leads[Tempo de resposta (min)],Leads[CPF],"&lt;&gt;",Leads[Data de entrada],"&gt;="&amp;A153,Leads[Data de entrada],"&lt;"&amp;(B153+1),Leads[Tempo de resposta (min)],"&gt;=0",Leads[Tempo de resposta (min)],"&lt;&gt;"),"")</f>
        <v/>
      </c>
      <c r="G153" s="12">
        <f>COUNTIFS(Leads[CPF],"&lt;&gt;",Leads[Data de entrada],"&gt;="&amp;A153,Leads[Data de entrada],"&lt;"&amp;(B153+1),Leads[Tempo de resposta (min)],"&gt;=0",Leads[Tempo de resposta (min)],"&lt;&gt;")</f>
        <v>0</v>
      </c>
      <c r="H153" s="14">
        <f>IFERROR(D153/C153,"")</f>
        <v/>
      </c>
      <c r="I153" s="14">
        <f>IFERROR(E153/D153,"")</f>
        <v/>
      </c>
      <c r="J153" s="14">
        <f>IFERROR(E153/C153,"")</f>
        <v/>
      </c>
      <c r="K153" s="12">
        <f>COUNTIFS(Leads[CPF],"&lt;&gt;",Leads[Data de entrada],"&gt;="&amp;A153,Leads[Data de entrada],"&lt;"&amp;(B153+1),Leads[Paciente fechou (0/1)],1)</f>
        <v>0</v>
      </c>
      <c r="L153" s="14">
        <f>IFERROR(K153/E153,"")</f>
        <v/>
      </c>
    </row>
    <row r="154" spans="1:12">
      <c r="A154" s="5">
        <f>A153+7</f>
        <v>0</v>
      </c>
      <c r="B154" s="5">
        <f>A154+6</f>
        <v>0</v>
      </c>
      <c r="C154" s="12">
        <f>COUNTIFS(Leads[CPF],"&lt;&gt;",Leads[Data de entrada],"&gt;="&amp;A154,Leads[Data de entrada],"&lt;"&amp;(B154+1))</f>
        <v>0</v>
      </c>
      <c r="D154" s="12">
        <f>COUNTIFS(Leads[CPF],"&lt;&gt;",Leads[Data de entrada],"&gt;="&amp;A154,Leads[Data de entrada],"&lt;"&amp;(B154+1),Leads[Data do agendamento],"&gt;0")</f>
        <v>0</v>
      </c>
      <c r="E154" s="12">
        <f>COUNTIFS(Leads[CPF],"&lt;&gt;",Leads[Data de entrada],"&gt;="&amp;A154,Leads[Data de entrada],"&lt;"&amp;(B154+1),Leads[Data da conversa presencial executada],"&gt;0")</f>
        <v>0</v>
      </c>
      <c r="F154" s="13">
        <f>IFERROR(AVERAGEIFS(Leads[Tempo de resposta (min)],Leads[CPF],"&lt;&gt;",Leads[Data de entrada],"&gt;="&amp;A154,Leads[Data de entrada],"&lt;"&amp;(B154+1),Leads[Tempo de resposta (min)],"&gt;=0",Leads[Tempo de resposta (min)],"&lt;&gt;"),"")</f>
        <v/>
      </c>
      <c r="G154" s="12">
        <f>COUNTIFS(Leads[CPF],"&lt;&gt;",Leads[Data de entrada],"&gt;="&amp;A154,Leads[Data de entrada],"&lt;"&amp;(B154+1),Leads[Tempo de resposta (min)],"&gt;=0",Leads[Tempo de resposta (min)],"&lt;&gt;")</f>
        <v>0</v>
      </c>
      <c r="H154" s="14">
        <f>IFERROR(D154/C154,"")</f>
        <v/>
      </c>
      <c r="I154" s="14">
        <f>IFERROR(E154/D154,"")</f>
        <v/>
      </c>
      <c r="J154" s="14">
        <f>IFERROR(E154/C154,"")</f>
        <v/>
      </c>
      <c r="K154" s="12">
        <f>COUNTIFS(Leads[CPF],"&lt;&gt;",Leads[Data de entrada],"&gt;="&amp;A154,Leads[Data de entrada],"&lt;"&amp;(B154+1),Leads[Paciente fechou (0/1)],1)</f>
        <v>0</v>
      </c>
      <c r="L154" s="14">
        <f>IFERROR(K154/E154,"")</f>
        <v/>
      </c>
    </row>
    <row r="155" spans="1:12">
      <c r="A155" s="5">
        <f>A154+7</f>
        <v>0</v>
      </c>
      <c r="B155" s="5">
        <f>A155+6</f>
        <v>0</v>
      </c>
      <c r="C155" s="12">
        <f>COUNTIFS(Leads[CPF],"&lt;&gt;",Leads[Data de entrada],"&gt;="&amp;A155,Leads[Data de entrada],"&lt;"&amp;(B155+1))</f>
        <v>0</v>
      </c>
      <c r="D155" s="12">
        <f>COUNTIFS(Leads[CPF],"&lt;&gt;",Leads[Data de entrada],"&gt;="&amp;A155,Leads[Data de entrada],"&lt;"&amp;(B155+1),Leads[Data do agendamento],"&gt;0")</f>
        <v>0</v>
      </c>
      <c r="E155" s="12">
        <f>COUNTIFS(Leads[CPF],"&lt;&gt;",Leads[Data de entrada],"&gt;="&amp;A155,Leads[Data de entrada],"&lt;"&amp;(B155+1),Leads[Data da conversa presencial executada],"&gt;0")</f>
        <v>0</v>
      </c>
      <c r="F155" s="13">
        <f>IFERROR(AVERAGEIFS(Leads[Tempo de resposta (min)],Leads[CPF],"&lt;&gt;",Leads[Data de entrada],"&gt;="&amp;A155,Leads[Data de entrada],"&lt;"&amp;(B155+1),Leads[Tempo de resposta (min)],"&gt;=0",Leads[Tempo de resposta (min)],"&lt;&gt;"),"")</f>
        <v/>
      </c>
      <c r="G155" s="12">
        <f>COUNTIFS(Leads[CPF],"&lt;&gt;",Leads[Data de entrada],"&gt;="&amp;A155,Leads[Data de entrada],"&lt;"&amp;(B155+1),Leads[Tempo de resposta (min)],"&gt;=0",Leads[Tempo de resposta (min)],"&lt;&gt;")</f>
        <v>0</v>
      </c>
      <c r="H155" s="14">
        <f>IFERROR(D155/C155,"")</f>
        <v/>
      </c>
      <c r="I155" s="14">
        <f>IFERROR(E155/D155,"")</f>
        <v/>
      </c>
      <c r="J155" s="14">
        <f>IFERROR(E155/C155,"")</f>
        <v/>
      </c>
      <c r="K155" s="12">
        <f>COUNTIFS(Leads[CPF],"&lt;&gt;",Leads[Data de entrada],"&gt;="&amp;A155,Leads[Data de entrada],"&lt;"&amp;(B155+1),Leads[Paciente fechou (0/1)],1)</f>
        <v>0</v>
      </c>
      <c r="L155" s="14">
        <f>IFERROR(K155/E155,"")</f>
        <v/>
      </c>
    </row>
    <row r="156" spans="1:12">
      <c r="A156" s="5">
        <f>A155+7</f>
        <v>0</v>
      </c>
      <c r="B156" s="5">
        <f>A156+6</f>
        <v>0</v>
      </c>
      <c r="C156" s="12">
        <f>COUNTIFS(Leads[CPF],"&lt;&gt;",Leads[Data de entrada],"&gt;="&amp;A156,Leads[Data de entrada],"&lt;"&amp;(B156+1))</f>
        <v>0</v>
      </c>
      <c r="D156" s="12">
        <f>COUNTIFS(Leads[CPF],"&lt;&gt;",Leads[Data de entrada],"&gt;="&amp;A156,Leads[Data de entrada],"&lt;"&amp;(B156+1),Leads[Data do agendamento],"&gt;0")</f>
        <v>0</v>
      </c>
      <c r="E156" s="12">
        <f>COUNTIFS(Leads[CPF],"&lt;&gt;",Leads[Data de entrada],"&gt;="&amp;A156,Leads[Data de entrada],"&lt;"&amp;(B156+1),Leads[Data da conversa presencial executada],"&gt;0")</f>
        <v>0</v>
      </c>
      <c r="F156" s="13">
        <f>IFERROR(AVERAGEIFS(Leads[Tempo de resposta (min)],Leads[CPF],"&lt;&gt;",Leads[Data de entrada],"&gt;="&amp;A156,Leads[Data de entrada],"&lt;"&amp;(B156+1),Leads[Tempo de resposta (min)],"&gt;=0",Leads[Tempo de resposta (min)],"&lt;&gt;"),"")</f>
        <v/>
      </c>
      <c r="G156" s="12">
        <f>COUNTIFS(Leads[CPF],"&lt;&gt;",Leads[Data de entrada],"&gt;="&amp;A156,Leads[Data de entrada],"&lt;"&amp;(B156+1),Leads[Tempo de resposta (min)],"&gt;=0",Leads[Tempo de resposta (min)],"&lt;&gt;")</f>
        <v>0</v>
      </c>
      <c r="H156" s="14">
        <f>IFERROR(D156/C156,"")</f>
        <v/>
      </c>
      <c r="I156" s="14">
        <f>IFERROR(E156/D156,"")</f>
        <v/>
      </c>
      <c r="J156" s="14">
        <f>IFERROR(E156/C156,"")</f>
        <v/>
      </c>
      <c r="K156" s="12">
        <f>COUNTIFS(Leads[CPF],"&lt;&gt;",Leads[Data de entrada],"&gt;="&amp;A156,Leads[Data de entrada],"&lt;"&amp;(B156+1),Leads[Paciente fechou (0/1)],1)</f>
        <v>0</v>
      </c>
      <c r="L156" s="14">
        <f>IFERROR(K156/E156,"")</f>
        <v/>
      </c>
    </row>
    <row r="157" spans="1:12">
      <c r="A157" s="5">
        <f>A156+7</f>
        <v>0</v>
      </c>
      <c r="B157" s="5">
        <f>A157+6</f>
        <v>0</v>
      </c>
      <c r="C157" s="12">
        <f>COUNTIFS(Leads[CPF],"&lt;&gt;",Leads[Data de entrada],"&gt;="&amp;A157,Leads[Data de entrada],"&lt;"&amp;(B157+1))</f>
        <v>0</v>
      </c>
      <c r="D157" s="12">
        <f>COUNTIFS(Leads[CPF],"&lt;&gt;",Leads[Data de entrada],"&gt;="&amp;A157,Leads[Data de entrada],"&lt;"&amp;(B157+1),Leads[Data do agendamento],"&gt;0")</f>
        <v>0</v>
      </c>
      <c r="E157" s="12">
        <f>COUNTIFS(Leads[CPF],"&lt;&gt;",Leads[Data de entrada],"&gt;="&amp;A157,Leads[Data de entrada],"&lt;"&amp;(B157+1),Leads[Data da conversa presencial executada],"&gt;0")</f>
        <v>0</v>
      </c>
      <c r="F157" s="13">
        <f>IFERROR(AVERAGEIFS(Leads[Tempo de resposta (min)],Leads[CPF],"&lt;&gt;",Leads[Data de entrada],"&gt;="&amp;A157,Leads[Data de entrada],"&lt;"&amp;(B157+1),Leads[Tempo de resposta (min)],"&gt;=0",Leads[Tempo de resposta (min)],"&lt;&gt;"),"")</f>
        <v/>
      </c>
      <c r="G157" s="12">
        <f>COUNTIFS(Leads[CPF],"&lt;&gt;",Leads[Data de entrada],"&gt;="&amp;A157,Leads[Data de entrada],"&lt;"&amp;(B157+1),Leads[Tempo de resposta (min)],"&gt;=0",Leads[Tempo de resposta (min)],"&lt;&gt;")</f>
        <v>0</v>
      </c>
      <c r="H157" s="14">
        <f>IFERROR(D157/C157,"")</f>
        <v/>
      </c>
      <c r="I157" s="14">
        <f>IFERROR(E157/D157,"")</f>
        <v/>
      </c>
      <c r="J157" s="14">
        <f>IFERROR(E157/C157,"")</f>
        <v/>
      </c>
      <c r="K157" s="12">
        <f>COUNTIFS(Leads[CPF],"&lt;&gt;",Leads[Data de entrada],"&gt;="&amp;A157,Leads[Data de entrada],"&lt;"&amp;(B157+1),Leads[Paciente fechou (0/1)],1)</f>
        <v>0</v>
      </c>
      <c r="L157" s="14">
        <f>IFERROR(K157/E157,"")</f>
        <v/>
      </c>
    </row>
    <row r="158" spans="1:12">
      <c r="A158" s="5">
        <f>A157+7</f>
        <v>0</v>
      </c>
      <c r="B158" s="5">
        <f>A158+6</f>
        <v>0</v>
      </c>
      <c r="C158" s="12">
        <f>COUNTIFS(Leads[CPF],"&lt;&gt;",Leads[Data de entrada],"&gt;="&amp;A158,Leads[Data de entrada],"&lt;"&amp;(B158+1))</f>
        <v>0</v>
      </c>
      <c r="D158" s="12">
        <f>COUNTIFS(Leads[CPF],"&lt;&gt;",Leads[Data de entrada],"&gt;="&amp;A158,Leads[Data de entrada],"&lt;"&amp;(B158+1),Leads[Data do agendamento],"&gt;0")</f>
        <v>0</v>
      </c>
      <c r="E158" s="12">
        <f>COUNTIFS(Leads[CPF],"&lt;&gt;",Leads[Data de entrada],"&gt;="&amp;A158,Leads[Data de entrada],"&lt;"&amp;(B158+1),Leads[Data da conversa presencial executada],"&gt;0")</f>
        <v>0</v>
      </c>
      <c r="F158" s="13">
        <f>IFERROR(AVERAGEIFS(Leads[Tempo de resposta (min)],Leads[CPF],"&lt;&gt;",Leads[Data de entrada],"&gt;="&amp;A158,Leads[Data de entrada],"&lt;"&amp;(B158+1),Leads[Tempo de resposta (min)],"&gt;=0",Leads[Tempo de resposta (min)],"&lt;&gt;"),"")</f>
        <v/>
      </c>
      <c r="G158" s="12">
        <f>COUNTIFS(Leads[CPF],"&lt;&gt;",Leads[Data de entrada],"&gt;="&amp;A158,Leads[Data de entrada],"&lt;"&amp;(B158+1),Leads[Tempo de resposta (min)],"&gt;=0",Leads[Tempo de resposta (min)],"&lt;&gt;")</f>
        <v>0</v>
      </c>
      <c r="H158" s="14">
        <f>IFERROR(D158/C158,"")</f>
        <v/>
      </c>
      <c r="I158" s="14">
        <f>IFERROR(E158/D158,"")</f>
        <v/>
      </c>
      <c r="J158" s="14">
        <f>IFERROR(E158/C158,"")</f>
        <v/>
      </c>
      <c r="K158" s="12">
        <f>COUNTIFS(Leads[CPF],"&lt;&gt;",Leads[Data de entrada],"&gt;="&amp;A158,Leads[Data de entrada],"&lt;"&amp;(B158+1),Leads[Paciente fechou (0/1)],1)</f>
        <v>0</v>
      </c>
      <c r="L158" s="14">
        <f>IFERROR(K158/E158,"")</f>
        <v/>
      </c>
    </row>
    <row r="159" spans="1:12">
      <c r="A159" s="5">
        <f>A158+7</f>
        <v>0</v>
      </c>
      <c r="B159" s="5">
        <f>A159+6</f>
        <v>0</v>
      </c>
      <c r="C159" s="12">
        <f>COUNTIFS(Leads[CPF],"&lt;&gt;",Leads[Data de entrada],"&gt;="&amp;A159,Leads[Data de entrada],"&lt;"&amp;(B159+1))</f>
        <v>0</v>
      </c>
      <c r="D159" s="12">
        <f>COUNTIFS(Leads[CPF],"&lt;&gt;",Leads[Data de entrada],"&gt;="&amp;A159,Leads[Data de entrada],"&lt;"&amp;(B159+1),Leads[Data do agendamento],"&gt;0")</f>
        <v>0</v>
      </c>
      <c r="E159" s="12">
        <f>COUNTIFS(Leads[CPF],"&lt;&gt;",Leads[Data de entrada],"&gt;="&amp;A159,Leads[Data de entrada],"&lt;"&amp;(B159+1),Leads[Data da conversa presencial executada],"&gt;0")</f>
        <v>0</v>
      </c>
      <c r="F159" s="13">
        <f>IFERROR(AVERAGEIFS(Leads[Tempo de resposta (min)],Leads[CPF],"&lt;&gt;",Leads[Data de entrada],"&gt;="&amp;A159,Leads[Data de entrada],"&lt;"&amp;(B159+1),Leads[Tempo de resposta (min)],"&gt;=0",Leads[Tempo de resposta (min)],"&lt;&gt;"),"")</f>
        <v/>
      </c>
      <c r="G159" s="12">
        <f>COUNTIFS(Leads[CPF],"&lt;&gt;",Leads[Data de entrada],"&gt;="&amp;A159,Leads[Data de entrada],"&lt;"&amp;(B159+1),Leads[Tempo de resposta (min)],"&gt;=0",Leads[Tempo de resposta (min)],"&lt;&gt;")</f>
        <v>0</v>
      </c>
      <c r="H159" s="14">
        <f>IFERROR(D159/C159,"")</f>
        <v/>
      </c>
      <c r="I159" s="14">
        <f>IFERROR(E159/D159,"")</f>
        <v/>
      </c>
      <c r="J159" s="14">
        <f>IFERROR(E159/C159,"")</f>
        <v/>
      </c>
      <c r="K159" s="12">
        <f>COUNTIFS(Leads[CPF],"&lt;&gt;",Leads[Data de entrada],"&gt;="&amp;A159,Leads[Data de entrada],"&lt;"&amp;(B159+1),Leads[Paciente fechou (0/1)],1)</f>
        <v>0</v>
      </c>
      <c r="L159" s="14">
        <f>IFERROR(K159/E159,"")</f>
        <v/>
      </c>
    </row>
    <row r="160" spans="1:12">
      <c r="A160" s="5">
        <f>A159+7</f>
        <v>0</v>
      </c>
      <c r="B160" s="5">
        <f>A160+6</f>
        <v>0</v>
      </c>
      <c r="C160" s="12">
        <f>COUNTIFS(Leads[CPF],"&lt;&gt;",Leads[Data de entrada],"&gt;="&amp;A160,Leads[Data de entrada],"&lt;"&amp;(B160+1))</f>
        <v>0</v>
      </c>
      <c r="D160" s="12">
        <f>COUNTIFS(Leads[CPF],"&lt;&gt;",Leads[Data de entrada],"&gt;="&amp;A160,Leads[Data de entrada],"&lt;"&amp;(B160+1),Leads[Data do agendamento],"&gt;0")</f>
        <v>0</v>
      </c>
      <c r="E160" s="12">
        <f>COUNTIFS(Leads[CPF],"&lt;&gt;",Leads[Data de entrada],"&gt;="&amp;A160,Leads[Data de entrada],"&lt;"&amp;(B160+1),Leads[Data da conversa presencial executada],"&gt;0")</f>
        <v>0</v>
      </c>
      <c r="F160" s="13">
        <f>IFERROR(AVERAGEIFS(Leads[Tempo de resposta (min)],Leads[CPF],"&lt;&gt;",Leads[Data de entrada],"&gt;="&amp;A160,Leads[Data de entrada],"&lt;"&amp;(B160+1),Leads[Tempo de resposta (min)],"&gt;=0",Leads[Tempo de resposta (min)],"&lt;&gt;"),"")</f>
        <v/>
      </c>
      <c r="G160" s="12">
        <f>COUNTIFS(Leads[CPF],"&lt;&gt;",Leads[Data de entrada],"&gt;="&amp;A160,Leads[Data de entrada],"&lt;"&amp;(B160+1),Leads[Tempo de resposta (min)],"&gt;=0",Leads[Tempo de resposta (min)],"&lt;&gt;")</f>
        <v>0</v>
      </c>
      <c r="H160" s="14">
        <f>IFERROR(D160/C160,"")</f>
        <v/>
      </c>
      <c r="I160" s="14">
        <f>IFERROR(E160/D160,"")</f>
        <v/>
      </c>
      <c r="J160" s="14">
        <f>IFERROR(E160/C160,"")</f>
        <v/>
      </c>
      <c r="K160" s="12">
        <f>COUNTIFS(Leads[CPF],"&lt;&gt;",Leads[Data de entrada],"&gt;="&amp;A160,Leads[Data de entrada],"&lt;"&amp;(B160+1),Leads[Paciente fechou (0/1)],1)</f>
        <v>0</v>
      </c>
      <c r="L160" s="14">
        <f>IFERROR(K160/E160,"")</f>
        <v/>
      </c>
    </row>
    <row r="161" spans="1:12">
      <c r="A161" s="5">
        <f>A160+7</f>
        <v>0</v>
      </c>
      <c r="B161" s="5">
        <f>A161+6</f>
        <v>0</v>
      </c>
      <c r="C161" s="12">
        <f>COUNTIFS(Leads[CPF],"&lt;&gt;",Leads[Data de entrada],"&gt;="&amp;A161,Leads[Data de entrada],"&lt;"&amp;(B161+1))</f>
        <v>0</v>
      </c>
      <c r="D161" s="12">
        <f>COUNTIFS(Leads[CPF],"&lt;&gt;",Leads[Data de entrada],"&gt;="&amp;A161,Leads[Data de entrada],"&lt;"&amp;(B161+1),Leads[Data do agendamento],"&gt;0")</f>
        <v>0</v>
      </c>
      <c r="E161" s="12">
        <f>COUNTIFS(Leads[CPF],"&lt;&gt;",Leads[Data de entrada],"&gt;="&amp;A161,Leads[Data de entrada],"&lt;"&amp;(B161+1),Leads[Data da conversa presencial executada],"&gt;0")</f>
        <v>0</v>
      </c>
      <c r="F161" s="13">
        <f>IFERROR(AVERAGEIFS(Leads[Tempo de resposta (min)],Leads[CPF],"&lt;&gt;",Leads[Data de entrada],"&gt;="&amp;A161,Leads[Data de entrada],"&lt;"&amp;(B161+1),Leads[Tempo de resposta (min)],"&gt;=0",Leads[Tempo de resposta (min)],"&lt;&gt;"),"")</f>
        <v/>
      </c>
      <c r="G161" s="12">
        <f>COUNTIFS(Leads[CPF],"&lt;&gt;",Leads[Data de entrada],"&gt;="&amp;A161,Leads[Data de entrada],"&lt;"&amp;(B161+1),Leads[Tempo de resposta (min)],"&gt;=0",Leads[Tempo de resposta (min)],"&lt;&gt;")</f>
        <v>0</v>
      </c>
      <c r="H161" s="14">
        <f>IFERROR(D161/C161,"")</f>
        <v/>
      </c>
      <c r="I161" s="14">
        <f>IFERROR(E161/D161,"")</f>
        <v/>
      </c>
      <c r="J161" s="14">
        <f>IFERROR(E161/C161,"")</f>
        <v/>
      </c>
      <c r="K161" s="12">
        <f>COUNTIFS(Leads[CPF],"&lt;&gt;",Leads[Data de entrada],"&gt;="&amp;A161,Leads[Data de entrada],"&lt;"&amp;(B161+1),Leads[Paciente fechou (0/1)],1)</f>
        <v>0</v>
      </c>
      <c r="L161" s="14">
        <f>IFERROR(K161/E161,"")</f>
        <v/>
      </c>
    </row>
    <row r="162" spans="1:12">
      <c r="A162" s="5">
        <f>A161+7</f>
        <v>0</v>
      </c>
      <c r="B162" s="5">
        <f>A162+6</f>
        <v>0</v>
      </c>
      <c r="C162" s="12">
        <f>COUNTIFS(Leads[CPF],"&lt;&gt;",Leads[Data de entrada],"&gt;="&amp;A162,Leads[Data de entrada],"&lt;"&amp;(B162+1))</f>
        <v>0</v>
      </c>
      <c r="D162" s="12">
        <f>COUNTIFS(Leads[CPF],"&lt;&gt;",Leads[Data de entrada],"&gt;="&amp;A162,Leads[Data de entrada],"&lt;"&amp;(B162+1),Leads[Data do agendamento],"&gt;0")</f>
        <v>0</v>
      </c>
      <c r="E162" s="12">
        <f>COUNTIFS(Leads[CPF],"&lt;&gt;",Leads[Data de entrada],"&gt;="&amp;A162,Leads[Data de entrada],"&lt;"&amp;(B162+1),Leads[Data da conversa presencial executada],"&gt;0")</f>
        <v>0</v>
      </c>
      <c r="F162" s="13">
        <f>IFERROR(AVERAGEIFS(Leads[Tempo de resposta (min)],Leads[CPF],"&lt;&gt;",Leads[Data de entrada],"&gt;="&amp;A162,Leads[Data de entrada],"&lt;"&amp;(B162+1),Leads[Tempo de resposta (min)],"&gt;=0",Leads[Tempo de resposta (min)],"&lt;&gt;"),"")</f>
        <v/>
      </c>
      <c r="G162" s="12">
        <f>COUNTIFS(Leads[CPF],"&lt;&gt;",Leads[Data de entrada],"&gt;="&amp;A162,Leads[Data de entrada],"&lt;"&amp;(B162+1),Leads[Tempo de resposta (min)],"&gt;=0",Leads[Tempo de resposta (min)],"&lt;&gt;")</f>
        <v>0</v>
      </c>
      <c r="H162" s="14">
        <f>IFERROR(D162/C162,"")</f>
        <v/>
      </c>
      <c r="I162" s="14">
        <f>IFERROR(E162/D162,"")</f>
        <v/>
      </c>
      <c r="J162" s="14">
        <f>IFERROR(E162/C162,"")</f>
        <v/>
      </c>
      <c r="K162" s="12">
        <f>COUNTIFS(Leads[CPF],"&lt;&gt;",Leads[Data de entrada],"&gt;="&amp;A162,Leads[Data de entrada],"&lt;"&amp;(B162+1),Leads[Paciente fechou (0/1)],1)</f>
        <v>0</v>
      </c>
      <c r="L162" s="14">
        <f>IFERROR(K162/E162,"")</f>
        <v/>
      </c>
    </row>
    <row r="163" spans="1:12">
      <c r="A163" s="5">
        <f>A162+7</f>
        <v>0</v>
      </c>
      <c r="B163" s="5">
        <f>A163+6</f>
        <v>0</v>
      </c>
      <c r="C163" s="12">
        <f>COUNTIFS(Leads[CPF],"&lt;&gt;",Leads[Data de entrada],"&gt;="&amp;A163,Leads[Data de entrada],"&lt;"&amp;(B163+1))</f>
        <v>0</v>
      </c>
      <c r="D163" s="12">
        <f>COUNTIFS(Leads[CPF],"&lt;&gt;",Leads[Data de entrada],"&gt;="&amp;A163,Leads[Data de entrada],"&lt;"&amp;(B163+1),Leads[Data do agendamento],"&gt;0")</f>
        <v>0</v>
      </c>
      <c r="E163" s="12">
        <f>COUNTIFS(Leads[CPF],"&lt;&gt;",Leads[Data de entrada],"&gt;="&amp;A163,Leads[Data de entrada],"&lt;"&amp;(B163+1),Leads[Data da conversa presencial executada],"&gt;0")</f>
        <v>0</v>
      </c>
      <c r="F163" s="13">
        <f>IFERROR(AVERAGEIFS(Leads[Tempo de resposta (min)],Leads[CPF],"&lt;&gt;",Leads[Data de entrada],"&gt;="&amp;A163,Leads[Data de entrada],"&lt;"&amp;(B163+1),Leads[Tempo de resposta (min)],"&gt;=0",Leads[Tempo de resposta (min)],"&lt;&gt;"),"")</f>
        <v/>
      </c>
      <c r="G163" s="12">
        <f>COUNTIFS(Leads[CPF],"&lt;&gt;",Leads[Data de entrada],"&gt;="&amp;A163,Leads[Data de entrada],"&lt;"&amp;(B163+1),Leads[Tempo de resposta (min)],"&gt;=0",Leads[Tempo de resposta (min)],"&lt;&gt;")</f>
        <v>0</v>
      </c>
      <c r="H163" s="14">
        <f>IFERROR(D163/C163,"")</f>
        <v/>
      </c>
      <c r="I163" s="14">
        <f>IFERROR(E163/D163,"")</f>
        <v/>
      </c>
      <c r="J163" s="14">
        <f>IFERROR(E163/C163,"")</f>
        <v/>
      </c>
      <c r="K163" s="12">
        <f>COUNTIFS(Leads[CPF],"&lt;&gt;",Leads[Data de entrada],"&gt;="&amp;A163,Leads[Data de entrada],"&lt;"&amp;(B163+1),Leads[Paciente fechou (0/1)],1)</f>
        <v>0</v>
      </c>
      <c r="L163" s="14">
        <f>IFERROR(K163/E163,"")</f>
        <v/>
      </c>
    </row>
    <row r="164" spans="1:12">
      <c r="A164" s="5">
        <f>A163+7</f>
        <v>0</v>
      </c>
      <c r="B164" s="5">
        <f>A164+6</f>
        <v>0</v>
      </c>
      <c r="C164" s="12">
        <f>COUNTIFS(Leads[CPF],"&lt;&gt;",Leads[Data de entrada],"&gt;="&amp;A164,Leads[Data de entrada],"&lt;"&amp;(B164+1))</f>
        <v>0</v>
      </c>
      <c r="D164" s="12">
        <f>COUNTIFS(Leads[CPF],"&lt;&gt;",Leads[Data de entrada],"&gt;="&amp;A164,Leads[Data de entrada],"&lt;"&amp;(B164+1),Leads[Data do agendamento],"&gt;0")</f>
        <v>0</v>
      </c>
      <c r="E164" s="12">
        <f>COUNTIFS(Leads[CPF],"&lt;&gt;",Leads[Data de entrada],"&gt;="&amp;A164,Leads[Data de entrada],"&lt;"&amp;(B164+1),Leads[Data da conversa presencial executada],"&gt;0")</f>
        <v>0</v>
      </c>
      <c r="F164" s="13">
        <f>IFERROR(AVERAGEIFS(Leads[Tempo de resposta (min)],Leads[CPF],"&lt;&gt;",Leads[Data de entrada],"&gt;="&amp;A164,Leads[Data de entrada],"&lt;"&amp;(B164+1),Leads[Tempo de resposta (min)],"&gt;=0",Leads[Tempo de resposta (min)],"&lt;&gt;"),"")</f>
        <v/>
      </c>
      <c r="G164" s="12">
        <f>COUNTIFS(Leads[CPF],"&lt;&gt;",Leads[Data de entrada],"&gt;="&amp;A164,Leads[Data de entrada],"&lt;"&amp;(B164+1),Leads[Tempo de resposta (min)],"&gt;=0",Leads[Tempo de resposta (min)],"&lt;&gt;")</f>
        <v>0</v>
      </c>
      <c r="H164" s="14">
        <f>IFERROR(D164/C164,"")</f>
        <v/>
      </c>
      <c r="I164" s="14">
        <f>IFERROR(E164/D164,"")</f>
        <v/>
      </c>
      <c r="J164" s="14">
        <f>IFERROR(E164/C164,"")</f>
        <v/>
      </c>
      <c r="K164" s="12">
        <f>COUNTIFS(Leads[CPF],"&lt;&gt;",Leads[Data de entrada],"&gt;="&amp;A164,Leads[Data de entrada],"&lt;"&amp;(B164+1),Leads[Paciente fechou (0/1)],1)</f>
        <v>0</v>
      </c>
      <c r="L164" s="14">
        <f>IFERROR(K164/E164,"")</f>
        <v/>
      </c>
    </row>
    <row r="165" spans="1:12">
      <c r="A165" s="5">
        <f>A164+7</f>
        <v>0</v>
      </c>
      <c r="B165" s="5">
        <f>A165+6</f>
        <v>0</v>
      </c>
      <c r="C165" s="12">
        <f>COUNTIFS(Leads[CPF],"&lt;&gt;",Leads[Data de entrada],"&gt;="&amp;A165,Leads[Data de entrada],"&lt;"&amp;(B165+1))</f>
        <v>0</v>
      </c>
      <c r="D165" s="12">
        <f>COUNTIFS(Leads[CPF],"&lt;&gt;",Leads[Data de entrada],"&gt;="&amp;A165,Leads[Data de entrada],"&lt;"&amp;(B165+1),Leads[Data do agendamento],"&gt;0")</f>
        <v>0</v>
      </c>
      <c r="E165" s="12">
        <f>COUNTIFS(Leads[CPF],"&lt;&gt;",Leads[Data de entrada],"&gt;="&amp;A165,Leads[Data de entrada],"&lt;"&amp;(B165+1),Leads[Data da conversa presencial executada],"&gt;0")</f>
        <v>0</v>
      </c>
      <c r="F165" s="13">
        <f>IFERROR(AVERAGEIFS(Leads[Tempo de resposta (min)],Leads[CPF],"&lt;&gt;",Leads[Data de entrada],"&gt;="&amp;A165,Leads[Data de entrada],"&lt;"&amp;(B165+1),Leads[Tempo de resposta (min)],"&gt;=0",Leads[Tempo de resposta (min)],"&lt;&gt;"),"")</f>
        <v/>
      </c>
      <c r="G165" s="12">
        <f>COUNTIFS(Leads[CPF],"&lt;&gt;",Leads[Data de entrada],"&gt;="&amp;A165,Leads[Data de entrada],"&lt;"&amp;(B165+1),Leads[Tempo de resposta (min)],"&gt;=0",Leads[Tempo de resposta (min)],"&lt;&gt;")</f>
        <v>0</v>
      </c>
      <c r="H165" s="14">
        <f>IFERROR(D165/C165,"")</f>
        <v/>
      </c>
      <c r="I165" s="14">
        <f>IFERROR(E165/D165,"")</f>
        <v/>
      </c>
      <c r="J165" s="14">
        <f>IFERROR(E165/C165,"")</f>
        <v/>
      </c>
      <c r="K165" s="12">
        <f>COUNTIFS(Leads[CPF],"&lt;&gt;",Leads[Data de entrada],"&gt;="&amp;A165,Leads[Data de entrada],"&lt;"&amp;(B165+1),Leads[Paciente fechou (0/1)],1)</f>
        <v>0</v>
      </c>
      <c r="L165" s="14">
        <f>IFERROR(K165/E165,"")</f>
        <v/>
      </c>
    </row>
    <row r="166" spans="1:12">
      <c r="A166" s="5">
        <f>A165+7</f>
        <v>0</v>
      </c>
      <c r="B166" s="5">
        <f>A166+6</f>
        <v>0</v>
      </c>
      <c r="C166" s="12">
        <f>COUNTIFS(Leads[CPF],"&lt;&gt;",Leads[Data de entrada],"&gt;="&amp;A166,Leads[Data de entrada],"&lt;"&amp;(B166+1))</f>
        <v>0</v>
      </c>
      <c r="D166" s="12">
        <f>COUNTIFS(Leads[CPF],"&lt;&gt;",Leads[Data de entrada],"&gt;="&amp;A166,Leads[Data de entrada],"&lt;"&amp;(B166+1),Leads[Data do agendamento],"&gt;0")</f>
        <v>0</v>
      </c>
      <c r="E166" s="12">
        <f>COUNTIFS(Leads[CPF],"&lt;&gt;",Leads[Data de entrada],"&gt;="&amp;A166,Leads[Data de entrada],"&lt;"&amp;(B166+1),Leads[Data da conversa presencial executada],"&gt;0")</f>
        <v>0</v>
      </c>
      <c r="F166" s="13">
        <f>IFERROR(AVERAGEIFS(Leads[Tempo de resposta (min)],Leads[CPF],"&lt;&gt;",Leads[Data de entrada],"&gt;="&amp;A166,Leads[Data de entrada],"&lt;"&amp;(B166+1),Leads[Tempo de resposta (min)],"&gt;=0",Leads[Tempo de resposta (min)],"&lt;&gt;"),"")</f>
        <v/>
      </c>
      <c r="G166" s="12">
        <f>COUNTIFS(Leads[CPF],"&lt;&gt;",Leads[Data de entrada],"&gt;="&amp;A166,Leads[Data de entrada],"&lt;"&amp;(B166+1),Leads[Tempo de resposta (min)],"&gt;=0",Leads[Tempo de resposta (min)],"&lt;&gt;")</f>
        <v>0</v>
      </c>
      <c r="H166" s="14">
        <f>IFERROR(D166/C166,"")</f>
        <v/>
      </c>
      <c r="I166" s="14">
        <f>IFERROR(E166/D166,"")</f>
        <v/>
      </c>
      <c r="J166" s="14">
        <f>IFERROR(E166/C166,"")</f>
        <v/>
      </c>
      <c r="K166" s="12">
        <f>COUNTIFS(Leads[CPF],"&lt;&gt;",Leads[Data de entrada],"&gt;="&amp;A166,Leads[Data de entrada],"&lt;"&amp;(B166+1),Leads[Paciente fechou (0/1)],1)</f>
        <v>0</v>
      </c>
      <c r="L166" s="14">
        <f>IFERROR(K166/E166,"")</f>
        <v/>
      </c>
    </row>
    <row r="167" spans="1:12">
      <c r="A167" s="5">
        <f>A166+7</f>
        <v>0</v>
      </c>
      <c r="B167" s="5">
        <f>A167+6</f>
        <v>0</v>
      </c>
      <c r="C167" s="12">
        <f>COUNTIFS(Leads[CPF],"&lt;&gt;",Leads[Data de entrada],"&gt;="&amp;A167,Leads[Data de entrada],"&lt;"&amp;(B167+1))</f>
        <v>0</v>
      </c>
      <c r="D167" s="12">
        <f>COUNTIFS(Leads[CPF],"&lt;&gt;",Leads[Data de entrada],"&gt;="&amp;A167,Leads[Data de entrada],"&lt;"&amp;(B167+1),Leads[Data do agendamento],"&gt;0")</f>
        <v>0</v>
      </c>
      <c r="E167" s="12">
        <f>COUNTIFS(Leads[CPF],"&lt;&gt;",Leads[Data de entrada],"&gt;="&amp;A167,Leads[Data de entrada],"&lt;"&amp;(B167+1),Leads[Data da conversa presencial executada],"&gt;0")</f>
        <v>0</v>
      </c>
      <c r="F167" s="13">
        <f>IFERROR(AVERAGEIFS(Leads[Tempo de resposta (min)],Leads[CPF],"&lt;&gt;",Leads[Data de entrada],"&gt;="&amp;A167,Leads[Data de entrada],"&lt;"&amp;(B167+1),Leads[Tempo de resposta (min)],"&gt;=0",Leads[Tempo de resposta (min)],"&lt;&gt;"),"")</f>
        <v/>
      </c>
      <c r="G167" s="12">
        <f>COUNTIFS(Leads[CPF],"&lt;&gt;",Leads[Data de entrada],"&gt;="&amp;A167,Leads[Data de entrada],"&lt;"&amp;(B167+1),Leads[Tempo de resposta (min)],"&gt;=0",Leads[Tempo de resposta (min)],"&lt;&gt;")</f>
        <v>0</v>
      </c>
      <c r="H167" s="14">
        <f>IFERROR(D167/C167,"")</f>
        <v/>
      </c>
      <c r="I167" s="14">
        <f>IFERROR(E167/D167,"")</f>
        <v/>
      </c>
      <c r="J167" s="14">
        <f>IFERROR(E167/C167,"")</f>
        <v/>
      </c>
      <c r="K167" s="12">
        <f>COUNTIFS(Leads[CPF],"&lt;&gt;",Leads[Data de entrada],"&gt;="&amp;A167,Leads[Data de entrada],"&lt;"&amp;(B167+1),Leads[Paciente fechou (0/1)],1)</f>
        <v>0</v>
      </c>
      <c r="L167" s="14">
        <f>IFERROR(K167/E167,"")</f>
        <v/>
      </c>
    </row>
    <row r="168" spans="1:12">
      <c r="A168" s="5">
        <f>A167+7</f>
        <v>0</v>
      </c>
      <c r="B168" s="5">
        <f>A168+6</f>
        <v>0</v>
      </c>
      <c r="C168" s="12">
        <f>COUNTIFS(Leads[CPF],"&lt;&gt;",Leads[Data de entrada],"&gt;="&amp;A168,Leads[Data de entrada],"&lt;"&amp;(B168+1))</f>
        <v>0</v>
      </c>
      <c r="D168" s="12">
        <f>COUNTIFS(Leads[CPF],"&lt;&gt;",Leads[Data de entrada],"&gt;="&amp;A168,Leads[Data de entrada],"&lt;"&amp;(B168+1),Leads[Data do agendamento],"&gt;0")</f>
        <v>0</v>
      </c>
      <c r="E168" s="12">
        <f>COUNTIFS(Leads[CPF],"&lt;&gt;",Leads[Data de entrada],"&gt;="&amp;A168,Leads[Data de entrada],"&lt;"&amp;(B168+1),Leads[Data da conversa presencial executada],"&gt;0")</f>
        <v>0</v>
      </c>
      <c r="F168" s="13">
        <f>IFERROR(AVERAGEIFS(Leads[Tempo de resposta (min)],Leads[CPF],"&lt;&gt;",Leads[Data de entrada],"&gt;="&amp;A168,Leads[Data de entrada],"&lt;"&amp;(B168+1),Leads[Tempo de resposta (min)],"&gt;=0",Leads[Tempo de resposta (min)],"&lt;&gt;"),"")</f>
        <v/>
      </c>
      <c r="G168" s="12">
        <f>COUNTIFS(Leads[CPF],"&lt;&gt;",Leads[Data de entrada],"&gt;="&amp;A168,Leads[Data de entrada],"&lt;"&amp;(B168+1),Leads[Tempo de resposta (min)],"&gt;=0",Leads[Tempo de resposta (min)],"&lt;&gt;")</f>
        <v>0</v>
      </c>
      <c r="H168" s="14">
        <f>IFERROR(D168/C168,"")</f>
        <v/>
      </c>
      <c r="I168" s="14">
        <f>IFERROR(E168/D168,"")</f>
        <v/>
      </c>
      <c r="J168" s="14">
        <f>IFERROR(E168/C168,"")</f>
        <v/>
      </c>
      <c r="K168" s="12">
        <f>COUNTIFS(Leads[CPF],"&lt;&gt;",Leads[Data de entrada],"&gt;="&amp;A168,Leads[Data de entrada],"&lt;"&amp;(B168+1),Leads[Paciente fechou (0/1)],1)</f>
        <v>0</v>
      </c>
      <c r="L168" s="14">
        <f>IFERROR(K168/E168,"")</f>
        <v/>
      </c>
    </row>
  </sheetData>
  <autoFilter ref="A11:L168"/>
  <mergeCells count="6">
    <mergeCell ref="A1:L2"/>
    <mergeCell ref="A3:L4"/>
    <mergeCell ref="C5:L5"/>
    <mergeCell ref="A6:L6"/>
    <mergeCell ref="A7:L7"/>
    <mergeCell ref="A8:L8"/>
  </mergeCells>
  <dataValidations count="1">
    <dataValidation type="whole" allowBlank="1" showInputMessage="1" showErrorMessage="1" sqref="B5">
      <formula1>2000</formula1>
      <formula2>2097</formula2>
    </dataValidation>
  </dataValidations>
  <pageMargins left="0.7" right="0.7" top="0.75" bottom="0.75" header="0.3" footer="0.3"/>
  <pageSetup paperSize="9" fitToHeight="0" orientation="landscape"/>
  <headerFooter>
    <oddFooter>&amp;LComercial e Captação WPP&amp;R&amp;P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7"/>
  <sheetViews>
    <sheetView showGridLines="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"/>
  <cols>
    <col min="1" max="2" width="18.7109375" customWidth="1"/>
    <col min="3" max="5" width="20.7109375" customWidth="1"/>
    <col min="6" max="7" width="24.7109375" customWidth="1"/>
    <col min="8" max="10" width="19.7109375" customWidth="1"/>
    <col min="11" max="12" width="24.7109375" customWidth="1"/>
  </cols>
  <sheetData>
    <row r="1" spans="1:12" ht="24" customHeight="1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4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23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>
      <c r="A5" s="9" t="s">
        <v>24</v>
      </c>
      <c r="B5" s="10">
        <v>2026</v>
      </c>
      <c r="C5" s="9" t="s">
        <v>25</v>
      </c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28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11" spans="1:12" ht="44" customHeight="1">
      <c r="A11" s="11" t="s">
        <v>42</v>
      </c>
      <c r="B11" s="11" t="s">
        <v>30</v>
      </c>
      <c r="C11" s="11" t="s">
        <v>31</v>
      </c>
      <c r="D11" s="11" t="s">
        <v>32</v>
      </c>
      <c r="E11" s="11" t="s">
        <v>33</v>
      </c>
      <c r="F11" s="11" t="s">
        <v>34</v>
      </c>
      <c r="G11" s="11" t="s">
        <v>35</v>
      </c>
      <c r="H11" s="11" t="s">
        <v>36</v>
      </c>
      <c r="I11" s="11" t="s">
        <v>37</v>
      </c>
      <c r="J11" s="11" t="s">
        <v>38</v>
      </c>
      <c r="K11" s="11" t="s">
        <v>39</v>
      </c>
      <c r="L11" s="11" t="s">
        <v>40</v>
      </c>
    </row>
    <row r="12" spans="1:12">
      <c r="A12" s="6">
        <f>DATE($B$5,1,1)</f>
        <v>0</v>
      </c>
      <c r="B12" s="5">
        <f>DATE(YEAR(A12),MONTH(A12)+1,1)-1</f>
        <v>0</v>
      </c>
      <c r="C12" s="12">
        <f>COUNTIFS(Leads[CPF],"&lt;&gt;",Leads[Data de entrada],"&gt;="&amp;A12,Leads[Data de entrada],"&lt;"&amp;(B12+1))</f>
        <v>0</v>
      </c>
      <c r="D12" s="12">
        <f>COUNTIFS(Leads[CPF],"&lt;&gt;",Leads[Data de entrada],"&gt;="&amp;A12,Leads[Data de entrada],"&lt;"&amp;(B12+1),Leads[Data do agendamento],"&gt;0")</f>
        <v>0</v>
      </c>
      <c r="E12" s="12">
        <f>COUNTIFS(Leads[CPF],"&lt;&gt;",Leads[Data de entrada],"&gt;="&amp;A12,Leads[Data de entrada],"&lt;"&amp;(B12+1),Leads[Data da conversa presencial executada],"&gt;0")</f>
        <v>0</v>
      </c>
      <c r="F12" s="13">
        <f>IFERROR(AVERAGEIFS(Leads[Tempo de resposta (min)],Leads[CPF],"&lt;&gt;",Leads[Data de entrada],"&gt;="&amp;A12,Leads[Data de entrada],"&lt;"&amp;(B12+1),Leads[Tempo de resposta (min)],"&gt;=0",Leads[Tempo de resposta (min)],"&lt;&gt;"),"")</f>
        <v/>
      </c>
      <c r="G12" s="12">
        <f>COUNTIFS(Leads[CPF],"&lt;&gt;",Leads[Data de entrada],"&gt;="&amp;A12,Leads[Data de entrada],"&lt;"&amp;(B12+1),Leads[Tempo de resposta (min)],"&gt;=0",Leads[Tempo de resposta (min)],"&lt;&gt;")</f>
        <v>0</v>
      </c>
      <c r="H12" s="14">
        <f>IFERROR(D12/C12,"")</f>
        <v/>
      </c>
      <c r="I12" s="14">
        <f>IFERROR(E12/D12,"")</f>
        <v/>
      </c>
      <c r="J12" s="14">
        <f>IFERROR(E12/C12,"")</f>
        <v/>
      </c>
      <c r="K12" s="12">
        <f>COUNTIFS(Leads[CPF],"&lt;&gt;",Leads[Data de entrada],"&gt;="&amp;A12,Leads[Data de entrada],"&lt;"&amp;(B12+1),Leads[Paciente fechou (0/1)],1)</f>
        <v>0</v>
      </c>
      <c r="L12" s="14">
        <f>IFERROR(K12/E12,"")</f>
        <v/>
      </c>
    </row>
    <row r="13" spans="1:12">
      <c r="A13" s="6">
        <f>DATE($B$5,2,1)</f>
        <v>0</v>
      </c>
      <c r="B13" s="5">
        <f>DATE(YEAR(A13),MONTH(A13)+1,1)-1</f>
        <v>0</v>
      </c>
      <c r="C13" s="12">
        <f>COUNTIFS(Leads[CPF],"&lt;&gt;",Leads[Data de entrada],"&gt;="&amp;A13,Leads[Data de entrada],"&lt;"&amp;(B13+1))</f>
        <v>0</v>
      </c>
      <c r="D13" s="12">
        <f>COUNTIFS(Leads[CPF],"&lt;&gt;",Leads[Data de entrada],"&gt;="&amp;A13,Leads[Data de entrada],"&lt;"&amp;(B13+1),Leads[Data do agendamento],"&gt;0")</f>
        <v>0</v>
      </c>
      <c r="E13" s="12">
        <f>COUNTIFS(Leads[CPF],"&lt;&gt;",Leads[Data de entrada],"&gt;="&amp;A13,Leads[Data de entrada],"&lt;"&amp;(B13+1),Leads[Data da conversa presencial executada],"&gt;0")</f>
        <v>0</v>
      </c>
      <c r="F13" s="13">
        <f>IFERROR(AVERAGEIFS(Leads[Tempo de resposta (min)],Leads[CPF],"&lt;&gt;",Leads[Data de entrada],"&gt;="&amp;A13,Leads[Data de entrada],"&lt;"&amp;(B13+1),Leads[Tempo de resposta (min)],"&gt;=0",Leads[Tempo de resposta (min)],"&lt;&gt;"),"")</f>
        <v/>
      </c>
      <c r="G13" s="12">
        <f>COUNTIFS(Leads[CPF],"&lt;&gt;",Leads[Data de entrada],"&gt;="&amp;A13,Leads[Data de entrada],"&lt;"&amp;(B13+1),Leads[Tempo de resposta (min)],"&gt;=0",Leads[Tempo de resposta (min)],"&lt;&gt;")</f>
        <v>0</v>
      </c>
      <c r="H13" s="14">
        <f>IFERROR(D13/C13,"")</f>
        <v/>
      </c>
      <c r="I13" s="14">
        <f>IFERROR(E13/D13,"")</f>
        <v/>
      </c>
      <c r="J13" s="14">
        <f>IFERROR(E13/C13,"")</f>
        <v/>
      </c>
      <c r="K13" s="12">
        <f>COUNTIFS(Leads[CPF],"&lt;&gt;",Leads[Data de entrada],"&gt;="&amp;A13,Leads[Data de entrada],"&lt;"&amp;(B13+1),Leads[Paciente fechou (0/1)],1)</f>
        <v>0</v>
      </c>
      <c r="L13" s="14">
        <f>IFERROR(K13/E13,"")</f>
        <v/>
      </c>
    </row>
    <row r="14" spans="1:12">
      <c r="A14" s="6">
        <f>DATE($B$5,3,1)</f>
        <v>0</v>
      </c>
      <c r="B14" s="5">
        <f>DATE(YEAR(A14),MONTH(A14)+1,1)-1</f>
        <v>0</v>
      </c>
      <c r="C14" s="12">
        <f>COUNTIFS(Leads[CPF],"&lt;&gt;",Leads[Data de entrada],"&gt;="&amp;A14,Leads[Data de entrada],"&lt;"&amp;(B14+1))</f>
        <v>0</v>
      </c>
      <c r="D14" s="12">
        <f>COUNTIFS(Leads[CPF],"&lt;&gt;",Leads[Data de entrada],"&gt;="&amp;A14,Leads[Data de entrada],"&lt;"&amp;(B14+1),Leads[Data do agendamento],"&gt;0")</f>
        <v>0</v>
      </c>
      <c r="E14" s="12">
        <f>COUNTIFS(Leads[CPF],"&lt;&gt;",Leads[Data de entrada],"&gt;="&amp;A14,Leads[Data de entrada],"&lt;"&amp;(B14+1),Leads[Data da conversa presencial executada],"&gt;0")</f>
        <v>0</v>
      </c>
      <c r="F14" s="13">
        <f>IFERROR(AVERAGEIFS(Leads[Tempo de resposta (min)],Leads[CPF],"&lt;&gt;",Leads[Data de entrada],"&gt;="&amp;A14,Leads[Data de entrada],"&lt;"&amp;(B14+1),Leads[Tempo de resposta (min)],"&gt;=0",Leads[Tempo de resposta (min)],"&lt;&gt;"),"")</f>
        <v/>
      </c>
      <c r="G14" s="12">
        <f>COUNTIFS(Leads[CPF],"&lt;&gt;",Leads[Data de entrada],"&gt;="&amp;A14,Leads[Data de entrada],"&lt;"&amp;(B14+1),Leads[Tempo de resposta (min)],"&gt;=0",Leads[Tempo de resposta (min)],"&lt;&gt;")</f>
        <v>0</v>
      </c>
      <c r="H14" s="14">
        <f>IFERROR(D14/C14,"")</f>
        <v/>
      </c>
      <c r="I14" s="14">
        <f>IFERROR(E14/D14,"")</f>
        <v/>
      </c>
      <c r="J14" s="14">
        <f>IFERROR(E14/C14,"")</f>
        <v/>
      </c>
      <c r="K14" s="12">
        <f>COUNTIFS(Leads[CPF],"&lt;&gt;",Leads[Data de entrada],"&gt;="&amp;A14,Leads[Data de entrada],"&lt;"&amp;(B14+1),Leads[Paciente fechou (0/1)],1)</f>
        <v>0</v>
      </c>
      <c r="L14" s="14">
        <f>IFERROR(K14/E14,"")</f>
        <v/>
      </c>
    </row>
    <row r="15" spans="1:12">
      <c r="A15" s="6">
        <f>DATE($B$5,4,1)</f>
        <v>0</v>
      </c>
      <c r="B15" s="5">
        <f>DATE(YEAR(A15),MONTH(A15)+1,1)-1</f>
        <v>0</v>
      </c>
      <c r="C15" s="12">
        <f>COUNTIFS(Leads[CPF],"&lt;&gt;",Leads[Data de entrada],"&gt;="&amp;A15,Leads[Data de entrada],"&lt;"&amp;(B15+1))</f>
        <v>0</v>
      </c>
      <c r="D15" s="12">
        <f>COUNTIFS(Leads[CPF],"&lt;&gt;",Leads[Data de entrada],"&gt;="&amp;A15,Leads[Data de entrada],"&lt;"&amp;(B15+1),Leads[Data do agendamento],"&gt;0")</f>
        <v>0</v>
      </c>
      <c r="E15" s="12">
        <f>COUNTIFS(Leads[CPF],"&lt;&gt;",Leads[Data de entrada],"&gt;="&amp;A15,Leads[Data de entrada],"&lt;"&amp;(B15+1),Leads[Data da conversa presencial executada],"&gt;0")</f>
        <v>0</v>
      </c>
      <c r="F15" s="13">
        <f>IFERROR(AVERAGEIFS(Leads[Tempo de resposta (min)],Leads[CPF],"&lt;&gt;",Leads[Data de entrada],"&gt;="&amp;A15,Leads[Data de entrada],"&lt;"&amp;(B15+1),Leads[Tempo de resposta (min)],"&gt;=0",Leads[Tempo de resposta (min)],"&lt;&gt;"),"")</f>
        <v/>
      </c>
      <c r="G15" s="12">
        <f>COUNTIFS(Leads[CPF],"&lt;&gt;",Leads[Data de entrada],"&gt;="&amp;A15,Leads[Data de entrada],"&lt;"&amp;(B15+1),Leads[Tempo de resposta (min)],"&gt;=0",Leads[Tempo de resposta (min)],"&lt;&gt;")</f>
        <v>0</v>
      </c>
      <c r="H15" s="14">
        <f>IFERROR(D15/C15,"")</f>
        <v/>
      </c>
      <c r="I15" s="14">
        <f>IFERROR(E15/D15,"")</f>
        <v/>
      </c>
      <c r="J15" s="14">
        <f>IFERROR(E15/C15,"")</f>
        <v/>
      </c>
      <c r="K15" s="12">
        <f>COUNTIFS(Leads[CPF],"&lt;&gt;",Leads[Data de entrada],"&gt;="&amp;A15,Leads[Data de entrada],"&lt;"&amp;(B15+1),Leads[Paciente fechou (0/1)],1)</f>
        <v>0</v>
      </c>
      <c r="L15" s="14">
        <f>IFERROR(K15/E15,"")</f>
        <v/>
      </c>
    </row>
    <row r="16" spans="1:12">
      <c r="A16" s="6">
        <f>DATE($B$5,5,1)</f>
        <v>0</v>
      </c>
      <c r="B16" s="5">
        <f>DATE(YEAR(A16),MONTH(A16)+1,1)-1</f>
        <v>0</v>
      </c>
      <c r="C16" s="12">
        <f>COUNTIFS(Leads[CPF],"&lt;&gt;",Leads[Data de entrada],"&gt;="&amp;A16,Leads[Data de entrada],"&lt;"&amp;(B16+1))</f>
        <v>0</v>
      </c>
      <c r="D16" s="12">
        <f>COUNTIFS(Leads[CPF],"&lt;&gt;",Leads[Data de entrada],"&gt;="&amp;A16,Leads[Data de entrada],"&lt;"&amp;(B16+1),Leads[Data do agendamento],"&gt;0")</f>
        <v>0</v>
      </c>
      <c r="E16" s="12">
        <f>COUNTIFS(Leads[CPF],"&lt;&gt;",Leads[Data de entrada],"&gt;="&amp;A16,Leads[Data de entrada],"&lt;"&amp;(B16+1),Leads[Data da conversa presencial executada],"&gt;0")</f>
        <v>0</v>
      </c>
      <c r="F16" s="13">
        <f>IFERROR(AVERAGEIFS(Leads[Tempo de resposta (min)],Leads[CPF],"&lt;&gt;",Leads[Data de entrada],"&gt;="&amp;A16,Leads[Data de entrada],"&lt;"&amp;(B16+1),Leads[Tempo de resposta (min)],"&gt;=0",Leads[Tempo de resposta (min)],"&lt;&gt;"),"")</f>
        <v/>
      </c>
      <c r="G16" s="12">
        <f>COUNTIFS(Leads[CPF],"&lt;&gt;",Leads[Data de entrada],"&gt;="&amp;A16,Leads[Data de entrada],"&lt;"&amp;(B16+1),Leads[Tempo de resposta (min)],"&gt;=0",Leads[Tempo de resposta (min)],"&lt;&gt;")</f>
        <v>0</v>
      </c>
      <c r="H16" s="14">
        <f>IFERROR(D16/C16,"")</f>
        <v/>
      </c>
      <c r="I16" s="14">
        <f>IFERROR(E16/D16,"")</f>
        <v/>
      </c>
      <c r="J16" s="14">
        <f>IFERROR(E16/C16,"")</f>
        <v/>
      </c>
      <c r="K16" s="12">
        <f>COUNTIFS(Leads[CPF],"&lt;&gt;",Leads[Data de entrada],"&gt;="&amp;A16,Leads[Data de entrada],"&lt;"&amp;(B16+1),Leads[Paciente fechou (0/1)],1)</f>
        <v>0</v>
      </c>
      <c r="L16" s="14">
        <f>IFERROR(K16/E16,"")</f>
        <v/>
      </c>
    </row>
    <row r="17" spans="1:12">
      <c r="A17" s="6">
        <f>DATE($B$5,6,1)</f>
        <v>0</v>
      </c>
      <c r="B17" s="5">
        <f>DATE(YEAR(A17),MONTH(A17)+1,1)-1</f>
        <v>0</v>
      </c>
      <c r="C17" s="12">
        <f>COUNTIFS(Leads[CPF],"&lt;&gt;",Leads[Data de entrada],"&gt;="&amp;A17,Leads[Data de entrada],"&lt;"&amp;(B17+1))</f>
        <v>0</v>
      </c>
      <c r="D17" s="12">
        <f>COUNTIFS(Leads[CPF],"&lt;&gt;",Leads[Data de entrada],"&gt;="&amp;A17,Leads[Data de entrada],"&lt;"&amp;(B17+1),Leads[Data do agendamento],"&gt;0")</f>
        <v>0</v>
      </c>
      <c r="E17" s="12">
        <f>COUNTIFS(Leads[CPF],"&lt;&gt;",Leads[Data de entrada],"&gt;="&amp;A17,Leads[Data de entrada],"&lt;"&amp;(B17+1),Leads[Data da conversa presencial executada],"&gt;0")</f>
        <v>0</v>
      </c>
      <c r="F17" s="13">
        <f>IFERROR(AVERAGEIFS(Leads[Tempo de resposta (min)],Leads[CPF],"&lt;&gt;",Leads[Data de entrada],"&gt;="&amp;A17,Leads[Data de entrada],"&lt;"&amp;(B17+1),Leads[Tempo de resposta (min)],"&gt;=0",Leads[Tempo de resposta (min)],"&lt;&gt;"),"")</f>
        <v/>
      </c>
      <c r="G17" s="12">
        <f>COUNTIFS(Leads[CPF],"&lt;&gt;",Leads[Data de entrada],"&gt;="&amp;A17,Leads[Data de entrada],"&lt;"&amp;(B17+1),Leads[Tempo de resposta (min)],"&gt;=0",Leads[Tempo de resposta (min)],"&lt;&gt;")</f>
        <v>0</v>
      </c>
      <c r="H17" s="14">
        <f>IFERROR(D17/C17,"")</f>
        <v/>
      </c>
      <c r="I17" s="14">
        <f>IFERROR(E17/D17,"")</f>
        <v/>
      </c>
      <c r="J17" s="14">
        <f>IFERROR(E17/C17,"")</f>
        <v/>
      </c>
      <c r="K17" s="12">
        <f>COUNTIFS(Leads[CPF],"&lt;&gt;",Leads[Data de entrada],"&gt;="&amp;A17,Leads[Data de entrada],"&lt;"&amp;(B17+1),Leads[Paciente fechou (0/1)],1)</f>
        <v>0</v>
      </c>
      <c r="L17" s="14">
        <f>IFERROR(K17/E17,"")</f>
        <v/>
      </c>
    </row>
    <row r="18" spans="1:12">
      <c r="A18" s="6">
        <f>DATE($B$5,7,1)</f>
        <v>0</v>
      </c>
      <c r="B18" s="5">
        <f>DATE(YEAR(A18),MONTH(A18)+1,1)-1</f>
        <v>0</v>
      </c>
      <c r="C18" s="12">
        <f>COUNTIFS(Leads[CPF],"&lt;&gt;",Leads[Data de entrada],"&gt;="&amp;A18,Leads[Data de entrada],"&lt;"&amp;(B18+1))</f>
        <v>0</v>
      </c>
      <c r="D18" s="12">
        <f>COUNTIFS(Leads[CPF],"&lt;&gt;",Leads[Data de entrada],"&gt;="&amp;A18,Leads[Data de entrada],"&lt;"&amp;(B18+1),Leads[Data do agendamento],"&gt;0")</f>
        <v>0</v>
      </c>
      <c r="E18" s="12">
        <f>COUNTIFS(Leads[CPF],"&lt;&gt;",Leads[Data de entrada],"&gt;="&amp;A18,Leads[Data de entrada],"&lt;"&amp;(B18+1),Leads[Data da conversa presencial executada],"&gt;0")</f>
        <v>0</v>
      </c>
      <c r="F18" s="13">
        <f>IFERROR(AVERAGEIFS(Leads[Tempo de resposta (min)],Leads[CPF],"&lt;&gt;",Leads[Data de entrada],"&gt;="&amp;A18,Leads[Data de entrada],"&lt;"&amp;(B18+1),Leads[Tempo de resposta (min)],"&gt;=0",Leads[Tempo de resposta (min)],"&lt;&gt;"),"")</f>
        <v/>
      </c>
      <c r="G18" s="12">
        <f>COUNTIFS(Leads[CPF],"&lt;&gt;",Leads[Data de entrada],"&gt;="&amp;A18,Leads[Data de entrada],"&lt;"&amp;(B18+1),Leads[Tempo de resposta (min)],"&gt;=0",Leads[Tempo de resposta (min)],"&lt;&gt;")</f>
        <v>0</v>
      </c>
      <c r="H18" s="14">
        <f>IFERROR(D18/C18,"")</f>
        <v/>
      </c>
      <c r="I18" s="14">
        <f>IFERROR(E18/D18,"")</f>
        <v/>
      </c>
      <c r="J18" s="14">
        <f>IFERROR(E18/C18,"")</f>
        <v/>
      </c>
      <c r="K18" s="12">
        <f>COUNTIFS(Leads[CPF],"&lt;&gt;",Leads[Data de entrada],"&gt;="&amp;A18,Leads[Data de entrada],"&lt;"&amp;(B18+1),Leads[Paciente fechou (0/1)],1)</f>
        <v>0</v>
      </c>
      <c r="L18" s="14">
        <f>IFERROR(K18/E18,"")</f>
        <v/>
      </c>
    </row>
    <row r="19" spans="1:12">
      <c r="A19" s="6">
        <f>DATE($B$5,8,1)</f>
        <v>0</v>
      </c>
      <c r="B19" s="5">
        <f>DATE(YEAR(A19),MONTH(A19)+1,1)-1</f>
        <v>0</v>
      </c>
      <c r="C19" s="12">
        <f>COUNTIFS(Leads[CPF],"&lt;&gt;",Leads[Data de entrada],"&gt;="&amp;A19,Leads[Data de entrada],"&lt;"&amp;(B19+1))</f>
        <v>0</v>
      </c>
      <c r="D19" s="12">
        <f>COUNTIFS(Leads[CPF],"&lt;&gt;",Leads[Data de entrada],"&gt;="&amp;A19,Leads[Data de entrada],"&lt;"&amp;(B19+1),Leads[Data do agendamento],"&gt;0")</f>
        <v>0</v>
      </c>
      <c r="E19" s="12">
        <f>COUNTIFS(Leads[CPF],"&lt;&gt;",Leads[Data de entrada],"&gt;="&amp;A19,Leads[Data de entrada],"&lt;"&amp;(B19+1),Leads[Data da conversa presencial executada],"&gt;0")</f>
        <v>0</v>
      </c>
      <c r="F19" s="13">
        <f>IFERROR(AVERAGEIFS(Leads[Tempo de resposta (min)],Leads[CPF],"&lt;&gt;",Leads[Data de entrada],"&gt;="&amp;A19,Leads[Data de entrada],"&lt;"&amp;(B19+1),Leads[Tempo de resposta (min)],"&gt;=0",Leads[Tempo de resposta (min)],"&lt;&gt;"),"")</f>
        <v/>
      </c>
      <c r="G19" s="12">
        <f>COUNTIFS(Leads[CPF],"&lt;&gt;",Leads[Data de entrada],"&gt;="&amp;A19,Leads[Data de entrada],"&lt;"&amp;(B19+1),Leads[Tempo de resposta (min)],"&gt;=0",Leads[Tempo de resposta (min)],"&lt;&gt;")</f>
        <v>0</v>
      </c>
      <c r="H19" s="14">
        <f>IFERROR(D19/C19,"")</f>
        <v/>
      </c>
      <c r="I19" s="14">
        <f>IFERROR(E19/D19,"")</f>
        <v/>
      </c>
      <c r="J19" s="14">
        <f>IFERROR(E19/C19,"")</f>
        <v/>
      </c>
      <c r="K19" s="12">
        <f>COUNTIFS(Leads[CPF],"&lt;&gt;",Leads[Data de entrada],"&gt;="&amp;A19,Leads[Data de entrada],"&lt;"&amp;(B19+1),Leads[Paciente fechou (0/1)],1)</f>
        <v>0</v>
      </c>
      <c r="L19" s="14">
        <f>IFERROR(K19/E19,"")</f>
        <v/>
      </c>
    </row>
    <row r="20" spans="1:12">
      <c r="A20" s="6">
        <f>DATE($B$5,9,1)</f>
        <v>0</v>
      </c>
      <c r="B20" s="5">
        <f>DATE(YEAR(A20),MONTH(A20)+1,1)-1</f>
        <v>0</v>
      </c>
      <c r="C20" s="12">
        <f>COUNTIFS(Leads[CPF],"&lt;&gt;",Leads[Data de entrada],"&gt;="&amp;A20,Leads[Data de entrada],"&lt;"&amp;(B20+1))</f>
        <v>0</v>
      </c>
      <c r="D20" s="12">
        <f>COUNTIFS(Leads[CPF],"&lt;&gt;",Leads[Data de entrada],"&gt;="&amp;A20,Leads[Data de entrada],"&lt;"&amp;(B20+1),Leads[Data do agendamento],"&gt;0")</f>
        <v>0</v>
      </c>
      <c r="E20" s="12">
        <f>COUNTIFS(Leads[CPF],"&lt;&gt;",Leads[Data de entrada],"&gt;="&amp;A20,Leads[Data de entrada],"&lt;"&amp;(B20+1),Leads[Data da conversa presencial executada],"&gt;0")</f>
        <v>0</v>
      </c>
      <c r="F20" s="13">
        <f>IFERROR(AVERAGEIFS(Leads[Tempo de resposta (min)],Leads[CPF],"&lt;&gt;",Leads[Data de entrada],"&gt;="&amp;A20,Leads[Data de entrada],"&lt;"&amp;(B20+1),Leads[Tempo de resposta (min)],"&gt;=0",Leads[Tempo de resposta (min)],"&lt;&gt;"),"")</f>
        <v/>
      </c>
      <c r="G20" s="12">
        <f>COUNTIFS(Leads[CPF],"&lt;&gt;",Leads[Data de entrada],"&gt;="&amp;A20,Leads[Data de entrada],"&lt;"&amp;(B20+1),Leads[Tempo de resposta (min)],"&gt;=0",Leads[Tempo de resposta (min)],"&lt;&gt;")</f>
        <v>0</v>
      </c>
      <c r="H20" s="14">
        <f>IFERROR(D20/C20,"")</f>
        <v/>
      </c>
      <c r="I20" s="14">
        <f>IFERROR(E20/D20,"")</f>
        <v/>
      </c>
      <c r="J20" s="14">
        <f>IFERROR(E20/C20,"")</f>
        <v/>
      </c>
      <c r="K20" s="12">
        <f>COUNTIFS(Leads[CPF],"&lt;&gt;",Leads[Data de entrada],"&gt;="&amp;A20,Leads[Data de entrada],"&lt;"&amp;(B20+1),Leads[Paciente fechou (0/1)],1)</f>
        <v>0</v>
      </c>
      <c r="L20" s="14">
        <f>IFERROR(K20/E20,"")</f>
        <v/>
      </c>
    </row>
    <row r="21" spans="1:12">
      <c r="A21" s="6">
        <f>DATE($B$5,10,1)</f>
        <v>0</v>
      </c>
      <c r="B21" s="5">
        <f>DATE(YEAR(A21),MONTH(A21)+1,1)-1</f>
        <v>0</v>
      </c>
      <c r="C21" s="12">
        <f>COUNTIFS(Leads[CPF],"&lt;&gt;",Leads[Data de entrada],"&gt;="&amp;A21,Leads[Data de entrada],"&lt;"&amp;(B21+1))</f>
        <v>0</v>
      </c>
      <c r="D21" s="12">
        <f>COUNTIFS(Leads[CPF],"&lt;&gt;",Leads[Data de entrada],"&gt;="&amp;A21,Leads[Data de entrada],"&lt;"&amp;(B21+1),Leads[Data do agendamento],"&gt;0")</f>
        <v>0</v>
      </c>
      <c r="E21" s="12">
        <f>COUNTIFS(Leads[CPF],"&lt;&gt;",Leads[Data de entrada],"&gt;="&amp;A21,Leads[Data de entrada],"&lt;"&amp;(B21+1),Leads[Data da conversa presencial executada],"&gt;0")</f>
        <v>0</v>
      </c>
      <c r="F21" s="13">
        <f>IFERROR(AVERAGEIFS(Leads[Tempo de resposta (min)],Leads[CPF],"&lt;&gt;",Leads[Data de entrada],"&gt;="&amp;A21,Leads[Data de entrada],"&lt;"&amp;(B21+1),Leads[Tempo de resposta (min)],"&gt;=0",Leads[Tempo de resposta (min)],"&lt;&gt;"),"")</f>
        <v/>
      </c>
      <c r="G21" s="12">
        <f>COUNTIFS(Leads[CPF],"&lt;&gt;",Leads[Data de entrada],"&gt;="&amp;A21,Leads[Data de entrada],"&lt;"&amp;(B21+1),Leads[Tempo de resposta (min)],"&gt;=0",Leads[Tempo de resposta (min)],"&lt;&gt;")</f>
        <v>0</v>
      </c>
      <c r="H21" s="14">
        <f>IFERROR(D21/C21,"")</f>
        <v/>
      </c>
      <c r="I21" s="14">
        <f>IFERROR(E21/D21,"")</f>
        <v/>
      </c>
      <c r="J21" s="14">
        <f>IFERROR(E21/C21,"")</f>
        <v/>
      </c>
      <c r="K21" s="12">
        <f>COUNTIFS(Leads[CPF],"&lt;&gt;",Leads[Data de entrada],"&gt;="&amp;A21,Leads[Data de entrada],"&lt;"&amp;(B21+1),Leads[Paciente fechou (0/1)],1)</f>
        <v>0</v>
      </c>
      <c r="L21" s="14">
        <f>IFERROR(K21/E21,"")</f>
        <v/>
      </c>
    </row>
    <row r="22" spans="1:12">
      <c r="A22" s="6">
        <f>DATE($B$5,11,1)</f>
        <v>0</v>
      </c>
      <c r="B22" s="5">
        <f>DATE(YEAR(A22),MONTH(A22)+1,1)-1</f>
        <v>0</v>
      </c>
      <c r="C22" s="12">
        <f>COUNTIFS(Leads[CPF],"&lt;&gt;",Leads[Data de entrada],"&gt;="&amp;A22,Leads[Data de entrada],"&lt;"&amp;(B22+1))</f>
        <v>0</v>
      </c>
      <c r="D22" s="12">
        <f>COUNTIFS(Leads[CPF],"&lt;&gt;",Leads[Data de entrada],"&gt;="&amp;A22,Leads[Data de entrada],"&lt;"&amp;(B22+1),Leads[Data do agendamento],"&gt;0")</f>
        <v>0</v>
      </c>
      <c r="E22" s="12">
        <f>COUNTIFS(Leads[CPF],"&lt;&gt;",Leads[Data de entrada],"&gt;="&amp;A22,Leads[Data de entrada],"&lt;"&amp;(B22+1),Leads[Data da conversa presencial executada],"&gt;0")</f>
        <v>0</v>
      </c>
      <c r="F22" s="13">
        <f>IFERROR(AVERAGEIFS(Leads[Tempo de resposta (min)],Leads[CPF],"&lt;&gt;",Leads[Data de entrada],"&gt;="&amp;A22,Leads[Data de entrada],"&lt;"&amp;(B22+1),Leads[Tempo de resposta (min)],"&gt;=0",Leads[Tempo de resposta (min)],"&lt;&gt;"),"")</f>
        <v/>
      </c>
      <c r="G22" s="12">
        <f>COUNTIFS(Leads[CPF],"&lt;&gt;",Leads[Data de entrada],"&gt;="&amp;A22,Leads[Data de entrada],"&lt;"&amp;(B22+1),Leads[Tempo de resposta (min)],"&gt;=0",Leads[Tempo de resposta (min)],"&lt;&gt;")</f>
        <v>0</v>
      </c>
      <c r="H22" s="14">
        <f>IFERROR(D22/C22,"")</f>
        <v/>
      </c>
      <c r="I22" s="14">
        <f>IFERROR(E22/D22,"")</f>
        <v/>
      </c>
      <c r="J22" s="14">
        <f>IFERROR(E22/C22,"")</f>
        <v/>
      </c>
      <c r="K22" s="12">
        <f>COUNTIFS(Leads[CPF],"&lt;&gt;",Leads[Data de entrada],"&gt;="&amp;A22,Leads[Data de entrada],"&lt;"&amp;(B22+1),Leads[Paciente fechou (0/1)],1)</f>
        <v>0</v>
      </c>
      <c r="L22" s="14">
        <f>IFERROR(K22/E22,"")</f>
        <v/>
      </c>
    </row>
    <row r="23" spans="1:12">
      <c r="A23" s="6">
        <f>DATE($B$5,12,1)</f>
        <v>0</v>
      </c>
      <c r="B23" s="5">
        <f>DATE(YEAR(A23),MONTH(A23)+1,1)-1</f>
        <v>0</v>
      </c>
      <c r="C23" s="12">
        <f>COUNTIFS(Leads[CPF],"&lt;&gt;",Leads[Data de entrada],"&gt;="&amp;A23,Leads[Data de entrada],"&lt;"&amp;(B23+1))</f>
        <v>0</v>
      </c>
      <c r="D23" s="12">
        <f>COUNTIFS(Leads[CPF],"&lt;&gt;",Leads[Data de entrada],"&gt;="&amp;A23,Leads[Data de entrada],"&lt;"&amp;(B23+1),Leads[Data do agendamento],"&gt;0")</f>
        <v>0</v>
      </c>
      <c r="E23" s="12">
        <f>COUNTIFS(Leads[CPF],"&lt;&gt;",Leads[Data de entrada],"&gt;="&amp;A23,Leads[Data de entrada],"&lt;"&amp;(B23+1),Leads[Data da conversa presencial executada],"&gt;0")</f>
        <v>0</v>
      </c>
      <c r="F23" s="13">
        <f>IFERROR(AVERAGEIFS(Leads[Tempo de resposta (min)],Leads[CPF],"&lt;&gt;",Leads[Data de entrada],"&gt;="&amp;A23,Leads[Data de entrada],"&lt;"&amp;(B23+1),Leads[Tempo de resposta (min)],"&gt;=0",Leads[Tempo de resposta (min)],"&lt;&gt;"),"")</f>
        <v/>
      </c>
      <c r="G23" s="12">
        <f>COUNTIFS(Leads[CPF],"&lt;&gt;",Leads[Data de entrada],"&gt;="&amp;A23,Leads[Data de entrada],"&lt;"&amp;(B23+1),Leads[Tempo de resposta (min)],"&gt;=0",Leads[Tempo de resposta (min)],"&lt;&gt;")</f>
        <v>0</v>
      </c>
      <c r="H23" s="14">
        <f>IFERROR(D23/C23,"")</f>
        <v/>
      </c>
      <c r="I23" s="14">
        <f>IFERROR(E23/D23,"")</f>
        <v/>
      </c>
      <c r="J23" s="14">
        <f>IFERROR(E23/C23,"")</f>
        <v/>
      </c>
      <c r="K23" s="12">
        <f>COUNTIFS(Leads[CPF],"&lt;&gt;",Leads[Data de entrada],"&gt;="&amp;A23,Leads[Data de entrada],"&lt;"&amp;(B23+1),Leads[Paciente fechou (0/1)],1)</f>
        <v>0</v>
      </c>
      <c r="L23" s="14">
        <f>IFERROR(K23/E23,"")</f>
        <v/>
      </c>
    </row>
    <row r="24" spans="1:12">
      <c r="A24" s="6">
        <f>DATE($B$5,13,1)</f>
        <v>0</v>
      </c>
      <c r="B24" s="5">
        <f>DATE(YEAR(A24),MONTH(A24)+1,1)-1</f>
        <v>0</v>
      </c>
      <c r="C24" s="12">
        <f>COUNTIFS(Leads[CPF],"&lt;&gt;",Leads[Data de entrada],"&gt;="&amp;A24,Leads[Data de entrada],"&lt;"&amp;(B24+1))</f>
        <v>0</v>
      </c>
      <c r="D24" s="12">
        <f>COUNTIFS(Leads[CPF],"&lt;&gt;",Leads[Data de entrada],"&gt;="&amp;A24,Leads[Data de entrada],"&lt;"&amp;(B24+1),Leads[Data do agendamento],"&gt;0")</f>
        <v>0</v>
      </c>
      <c r="E24" s="12">
        <f>COUNTIFS(Leads[CPF],"&lt;&gt;",Leads[Data de entrada],"&gt;="&amp;A24,Leads[Data de entrada],"&lt;"&amp;(B24+1),Leads[Data da conversa presencial executada],"&gt;0")</f>
        <v>0</v>
      </c>
      <c r="F24" s="13">
        <f>IFERROR(AVERAGEIFS(Leads[Tempo de resposta (min)],Leads[CPF],"&lt;&gt;",Leads[Data de entrada],"&gt;="&amp;A24,Leads[Data de entrada],"&lt;"&amp;(B24+1),Leads[Tempo de resposta (min)],"&gt;=0",Leads[Tempo de resposta (min)],"&lt;&gt;"),"")</f>
        <v/>
      </c>
      <c r="G24" s="12">
        <f>COUNTIFS(Leads[CPF],"&lt;&gt;",Leads[Data de entrada],"&gt;="&amp;A24,Leads[Data de entrada],"&lt;"&amp;(B24+1),Leads[Tempo de resposta (min)],"&gt;=0",Leads[Tempo de resposta (min)],"&lt;&gt;")</f>
        <v>0</v>
      </c>
      <c r="H24" s="14">
        <f>IFERROR(D24/C24,"")</f>
        <v/>
      </c>
      <c r="I24" s="14">
        <f>IFERROR(E24/D24,"")</f>
        <v/>
      </c>
      <c r="J24" s="14">
        <f>IFERROR(E24/C24,"")</f>
        <v/>
      </c>
      <c r="K24" s="12">
        <f>COUNTIFS(Leads[CPF],"&lt;&gt;",Leads[Data de entrada],"&gt;="&amp;A24,Leads[Data de entrada],"&lt;"&amp;(B24+1),Leads[Paciente fechou (0/1)],1)</f>
        <v>0</v>
      </c>
      <c r="L24" s="14">
        <f>IFERROR(K24/E24,"")</f>
        <v/>
      </c>
    </row>
    <row r="25" spans="1:12">
      <c r="A25" s="6">
        <f>DATE($B$5,14,1)</f>
        <v>0</v>
      </c>
      <c r="B25" s="5">
        <f>DATE(YEAR(A25),MONTH(A25)+1,1)-1</f>
        <v>0</v>
      </c>
      <c r="C25" s="12">
        <f>COUNTIFS(Leads[CPF],"&lt;&gt;",Leads[Data de entrada],"&gt;="&amp;A25,Leads[Data de entrada],"&lt;"&amp;(B25+1))</f>
        <v>0</v>
      </c>
      <c r="D25" s="12">
        <f>COUNTIFS(Leads[CPF],"&lt;&gt;",Leads[Data de entrada],"&gt;="&amp;A25,Leads[Data de entrada],"&lt;"&amp;(B25+1),Leads[Data do agendamento],"&gt;0")</f>
        <v>0</v>
      </c>
      <c r="E25" s="12">
        <f>COUNTIFS(Leads[CPF],"&lt;&gt;",Leads[Data de entrada],"&gt;="&amp;A25,Leads[Data de entrada],"&lt;"&amp;(B25+1),Leads[Data da conversa presencial executada],"&gt;0")</f>
        <v>0</v>
      </c>
      <c r="F25" s="13">
        <f>IFERROR(AVERAGEIFS(Leads[Tempo de resposta (min)],Leads[CPF],"&lt;&gt;",Leads[Data de entrada],"&gt;="&amp;A25,Leads[Data de entrada],"&lt;"&amp;(B25+1),Leads[Tempo de resposta (min)],"&gt;=0",Leads[Tempo de resposta (min)],"&lt;&gt;"),"")</f>
        <v/>
      </c>
      <c r="G25" s="12">
        <f>COUNTIFS(Leads[CPF],"&lt;&gt;",Leads[Data de entrada],"&gt;="&amp;A25,Leads[Data de entrada],"&lt;"&amp;(B25+1),Leads[Tempo de resposta (min)],"&gt;=0",Leads[Tempo de resposta (min)],"&lt;&gt;")</f>
        <v>0</v>
      </c>
      <c r="H25" s="14">
        <f>IFERROR(D25/C25,"")</f>
        <v/>
      </c>
      <c r="I25" s="14">
        <f>IFERROR(E25/D25,"")</f>
        <v/>
      </c>
      <c r="J25" s="14">
        <f>IFERROR(E25/C25,"")</f>
        <v/>
      </c>
      <c r="K25" s="12">
        <f>COUNTIFS(Leads[CPF],"&lt;&gt;",Leads[Data de entrada],"&gt;="&amp;A25,Leads[Data de entrada],"&lt;"&amp;(B25+1),Leads[Paciente fechou (0/1)],1)</f>
        <v>0</v>
      </c>
      <c r="L25" s="14">
        <f>IFERROR(K25/E25,"")</f>
        <v/>
      </c>
    </row>
    <row r="26" spans="1:12">
      <c r="A26" s="6">
        <f>DATE($B$5,15,1)</f>
        <v>0</v>
      </c>
      <c r="B26" s="5">
        <f>DATE(YEAR(A26),MONTH(A26)+1,1)-1</f>
        <v>0</v>
      </c>
      <c r="C26" s="12">
        <f>COUNTIFS(Leads[CPF],"&lt;&gt;",Leads[Data de entrada],"&gt;="&amp;A26,Leads[Data de entrada],"&lt;"&amp;(B26+1))</f>
        <v>0</v>
      </c>
      <c r="D26" s="12">
        <f>COUNTIFS(Leads[CPF],"&lt;&gt;",Leads[Data de entrada],"&gt;="&amp;A26,Leads[Data de entrada],"&lt;"&amp;(B26+1),Leads[Data do agendamento],"&gt;0")</f>
        <v>0</v>
      </c>
      <c r="E26" s="12">
        <f>COUNTIFS(Leads[CPF],"&lt;&gt;",Leads[Data de entrada],"&gt;="&amp;A26,Leads[Data de entrada],"&lt;"&amp;(B26+1),Leads[Data da conversa presencial executada],"&gt;0")</f>
        <v>0</v>
      </c>
      <c r="F26" s="13">
        <f>IFERROR(AVERAGEIFS(Leads[Tempo de resposta (min)],Leads[CPF],"&lt;&gt;",Leads[Data de entrada],"&gt;="&amp;A26,Leads[Data de entrada],"&lt;"&amp;(B26+1),Leads[Tempo de resposta (min)],"&gt;=0",Leads[Tempo de resposta (min)],"&lt;&gt;"),"")</f>
        <v/>
      </c>
      <c r="G26" s="12">
        <f>COUNTIFS(Leads[CPF],"&lt;&gt;",Leads[Data de entrada],"&gt;="&amp;A26,Leads[Data de entrada],"&lt;"&amp;(B26+1),Leads[Tempo de resposta (min)],"&gt;=0",Leads[Tempo de resposta (min)],"&lt;&gt;")</f>
        <v>0</v>
      </c>
      <c r="H26" s="14">
        <f>IFERROR(D26/C26,"")</f>
        <v/>
      </c>
      <c r="I26" s="14">
        <f>IFERROR(E26/D26,"")</f>
        <v/>
      </c>
      <c r="J26" s="14">
        <f>IFERROR(E26/C26,"")</f>
        <v/>
      </c>
      <c r="K26" s="12">
        <f>COUNTIFS(Leads[CPF],"&lt;&gt;",Leads[Data de entrada],"&gt;="&amp;A26,Leads[Data de entrada],"&lt;"&amp;(B26+1),Leads[Paciente fechou (0/1)],1)</f>
        <v>0</v>
      </c>
      <c r="L26" s="14">
        <f>IFERROR(K26/E26,"")</f>
        <v/>
      </c>
    </row>
    <row r="27" spans="1:12">
      <c r="A27" s="6">
        <f>DATE($B$5,16,1)</f>
        <v>0</v>
      </c>
      <c r="B27" s="5">
        <f>DATE(YEAR(A27),MONTH(A27)+1,1)-1</f>
        <v>0</v>
      </c>
      <c r="C27" s="12">
        <f>COUNTIFS(Leads[CPF],"&lt;&gt;",Leads[Data de entrada],"&gt;="&amp;A27,Leads[Data de entrada],"&lt;"&amp;(B27+1))</f>
        <v>0</v>
      </c>
      <c r="D27" s="12">
        <f>COUNTIFS(Leads[CPF],"&lt;&gt;",Leads[Data de entrada],"&gt;="&amp;A27,Leads[Data de entrada],"&lt;"&amp;(B27+1),Leads[Data do agendamento],"&gt;0")</f>
        <v>0</v>
      </c>
      <c r="E27" s="12">
        <f>COUNTIFS(Leads[CPF],"&lt;&gt;",Leads[Data de entrada],"&gt;="&amp;A27,Leads[Data de entrada],"&lt;"&amp;(B27+1),Leads[Data da conversa presencial executada],"&gt;0")</f>
        <v>0</v>
      </c>
      <c r="F27" s="13">
        <f>IFERROR(AVERAGEIFS(Leads[Tempo de resposta (min)],Leads[CPF],"&lt;&gt;",Leads[Data de entrada],"&gt;="&amp;A27,Leads[Data de entrada],"&lt;"&amp;(B27+1),Leads[Tempo de resposta (min)],"&gt;=0",Leads[Tempo de resposta (min)],"&lt;&gt;"),"")</f>
        <v/>
      </c>
      <c r="G27" s="12">
        <f>COUNTIFS(Leads[CPF],"&lt;&gt;",Leads[Data de entrada],"&gt;="&amp;A27,Leads[Data de entrada],"&lt;"&amp;(B27+1),Leads[Tempo de resposta (min)],"&gt;=0",Leads[Tempo de resposta (min)],"&lt;&gt;")</f>
        <v>0</v>
      </c>
      <c r="H27" s="14">
        <f>IFERROR(D27/C27,"")</f>
        <v/>
      </c>
      <c r="I27" s="14">
        <f>IFERROR(E27/D27,"")</f>
        <v/>
      </c>
      <c r="J27" s="14">
        <f>IFERROR(E27/C27,"")</f>
        <v/>
      </c>
      <c r="K27" s="12">
        <f>COUNTIFS(Leads[CPF],"&lt;&gt;",Leads[Data de entrada],"&gt;="&amp;A27,Leads[Data de entrada],"&lt;"&amp;(B27+1),Leads[Paciente fechou (0/1)],1)</f>
        <v>0</v>
      </c>
      <c r="L27" s="14">
        <f>IFERROR(K27/E27,"")</f>
        <v/>
      </c>
    </row>
    <row r="28" spans="1:12">
      <c r="A28" s="6">
        <f>DATE($B$5,17,1)</f>
        <v>0</v>
      </c>
      <c r="B28" s="5">
        <f>DATE(YEAR(A28),MONTH(A28)+1,1)-1</f>
        <v>0</v>
      </c>
      <c r="C28" s="12">
        <f>COUNTIFS(Leads[CPF],"&lt;&gt;",Leads[Data de entrada],"&gt;="&amp;A28,Leads[Data de entrada],"&lt;"&amp;(B28+1))</f>
        <v>0</v>
      </c>
      <c r="D28" s="12">
        <f>COUNTIFS(Leads[CPF],"&lt;&gt;",Leads[Data de entrada],"&gt;="&amp;A28,Leads[Data de entrada],"&lt;"&amp;(B28+1),Leads[Data do agendamento],"&gt;0")</f>
        <v>0</v>
      </c>
      <c r="E28" s="12">
        <f>COUNTIFS(Leads[CPF],"&lt;&gt;",Leads[Data de entrada],"&gt;="&amp;A28,Leads[Data de entrada],"&lt;"&amp;(B28+1),Leads[Data da conversa presencial executada],"&gt;0")</f>
        <v>0</v>
      </c>
      <c r="F28" s="13">
        <f>IFERROR(AVERAGEIFS(Leads[Tempo de resposta (min)],Leads[CPF],"&lt;&gt;",Leads[Data de entrada],"&gt;="&amp;A28,Leads[Data de entrada],"&lt;"&amp;(B28+1),Leads[Tempo de resposta (min)],"&gt;=0",Leads[Tempo de resposta (min)],"&lt;&gt;"),"")</f>
        <v/>
      </c>
      <c r="G28" s="12">
        <f>COUNTIFS(Leads[CPF],"&lt;&gt;",Leads[Data de entrada],"&gt;="&amp;A28,Leads[Data de entrada],"&lt;"&amp;(B28+1),Leads[Tempo de resposta (min)],"&gt;=0",Leads[Tempo de resposta (min)],"&lt;&gt;")</f>
        <v>0</v>
      </c>
      <c r="H28" s="14">
        <f>IFERROR(D28/C28,"")</f>
        <v/>
      </c>
      <c r="I28" s="14">
        <f>IFERROR(E28/D28,"")</f>
        <v/>
      </c>
      <c r="J28" s="14">
        <f>IFERROR(E28/C28,"")</f>
        <v/>
      </c>
      <c r="K28" s="12">
        <f>COUNTIFS(Leads[CPF],"&lt;&gt;",Leads[Data de entrada],"&gt;="&amp;A28,Leads[Data de entrada],"&lt;"&amp;(B28+1),Leads[Paciente fechou (0/1)],1)</f>
        <v>0</v>
      </c>
      <c r="L28" s="14">
        <f>IFERROR(K28/E28,"")</f>
        <v/>
      </c>
    </row>
    <row r="29" spans="1:12">
      <c r="A29" s="6">
        <f>DATE($B$5,18,1)</f>
        <v>0</v>
      </c>
      <c r="B29" s="5">
        <f>DATE(YEAR(A29),MONTH(A29)+1,1)-1</f>
        <v>0</v>
      </c>
      <c r="C29" s="12">
        <f>COUNTIFS(Leads[CPF],"&lt;&gt;",Leads[Data de entrada],"&gt;="&amp;A29,Leads[Data de entrada],"&lt;"&amp;(B29+1))</f>
        <v>0</v>
      </c>
      <c r="D29" s="12">
        <f>COUNTIFS(Leads[CPF],"&lt;&gt;",Leads[Data de entrada],"&gt;="&amp;A29,Leads[Data de entrada],"&lt;"&amp;(B29+1),Leads[Data do agendamento],"&gt;0")</f>
        <v>0</v>
      </c>
      <c r="E29" s="12">
        <f>COUNTIFS(Leads[CPF],"&lt;&gt;",Leads[Data de entrada],"&gt;="&amp;A29,Leads[Data de entrada],"&lt;"&amp;(B29+1),Leads[Data da conversa presencial executada],"&gt;0")</f>
        <v>0</v>
      </c>
      <c r="F29" s="13">
        <f>IFERROR(AVERAGEIFS(Leads[Tempo de resposta (min)],Leads[CPF],"&lt;&gt;",Leads[Data de entrada],"&gt;="&amp;A29,Leads[Data de entrada],"&lt;"&amp;(B29+1),Leads[Tempo de resposta (min)],"&gt;=0",Leads[Tempo de resposta (min)],"&lt;&gt;"),"")</f>
        <v/>
      </c>
      <c r="G29" s="12">
        <f>COUNTIFS(Leads[CPF],"&lt;&gt;",Leads[Data de entrada],"&gt;="&amp;A29,Leads[Data de entrada],"&lt;"&amp;(B29+1),Leads[Tempo de resposta (min)],"&gt;=0",Leads[Tempo de resposta (min)],"&lt;&gt;")</f>
        <v>0</v>
      </c>
      <c r="H29" s="14">
        <f>IFERROR(D29/C29,"")</f>
        <v/>
      </c>
      <c r="I29" s="14">
        <f>IFERROR(E29/D29,"")</f>
        <v/>
      </c>
      <c r="J29" s="14">
        <f>IFERROR(E29/C29,"")</f>
        <v/>
      </c>
      <c r="K29" s="12">
        <f>COUNTIFS(Leads[CPF],"&lt;&gt;",Leads[Data de entrada],"&gt;="&amp;A29,Leads[Data de entrada],"&lt;"&amp;(B29+1),Leads[Paciente fechou (0/1)],1)</f>
        <v>0</v>
      </c>
      <c r="L29" s="14">
        <f>IFERROR(K29/E29,"")</f>
        <v/>
      </c>
    </row>
    <row r="30" spans="1:12">
      <c r="A30" s="6">
        <f>DATE($B$5,19,1)</f>
        <v>0</v>
      </c>
      <c r="B30" s="5">
        <f>DATE(YEAR(A30),MONTH(A30)+1,1)-1</f>
        <v>0</v>
      </c>
      <c r="C30" s="12">
        <f>COUNTIFS(Leads[CPF],"&lt;&gt;",Leads[Data de entrada],"&gt;="&amp;A30,Leads[Data de entrada],"&lt;"&amp;(B30+1))</f>
        <v>0</v>
      </c>
      <c r="D30" s="12">
        <f>COUNTIFS(Leads[CPF],"&lt;&gt;",Leads[Data de entrada],"&gt;="&amp;A30,Leads[Data de entrada],"&lt;"&amp;(B30+1),Leads[Data do agendamento],"&gt;0")</f>
        <v>0</v>
      </c>
      <c r="E30" s="12">
        <f>COUNTIFS(Leads[CPF],"&lt;&gt;",Leads[Data de entrada],"&gt;="&amp;A30,Leads[Data de entrada],"&lt;"&amp;(B30+1),Leads[Data da conversa presencial executada],"&gt;0")</f>
        <v>0</v>
      </c>
      <c r="F30" s="13">
        <f>IFERROR(AVERAGEIFS(Leads[Tempo de resposta (min)],Leads[CPF],"&lt;&gt;",Leads[Data de entrada],"&gt;="&amp;A30,Leads[Data de entrada],"&lt;"&amp;(B30+1),Leads[Tempo de resposta (min)],"&gt;=0",Leads[Tempo de resposta (min)],"&lt;&gt;"),"")</f>
        <v/>
      </c>
      <c r="G30" s="12">
        <f>COUNTIFS(Leads[CPF],"&lt;&gt;",Leads[Data de entrada],"&gt;="&amp;A30,Leads[Data de entrada],"&lt;"&amp;(B30+1),Leads[Tempo de resposta (min)],"&gt;=0",Leads[Tempo de resposta (min)],"&lt;&gt;")</f>
        <v>0</v>
      </c>
      <c r="H30" s="14">
        <f>IFERROR(D30/C30,"")</f>
        <v/>
      </c>
      <c r="I30" s="14">
        <f>IFERROR(E30/D30,"")</f>
        <v/>
      </c>
      <c r="J30" s="14">
        <f>IFERROR(E30/C30,"")</f>
        <v/>
      </c>
      <c r="K30" s="12">
        <f>COUNTIFS(Leads[CPF],"&lt;&gt;",Leads[Data de entrada],"&gt;="&amp;A30,Leads[Data de entrada],"&lt;"&amp;(B30+1),Leads[Paciente fechou (0/1)],1)</f>
        <v>0</v>
      </c>
      <c r="L30" s="14">
        <f>IFERROR(K30/E30,"")</f>
        <v/>
      </c>
    </row>
    <row r="31" spans="1:12">
      <c r="A31" s="6">
        <f>DATE($B$5,20,1)</f>
        <v>0</v>
      </c>
      <c r="B31" s="5">
        <f>DATE(YEAR(A31),MONTH(A31)+1,1)-1</f>
        <v>0</v>
      </c>
      <c r="C31" s="12">
        <f>COUNTIFS(Leads[CPF],"&lt;&gt;",Leads[Data de entrada],"&gt;="&amp;A31,Leads[Data de entrada],"&lt;"&amp;(B31+1))</f>
        <v>0</v>
      </c>
      <c r="D31" s="12">
        <f>COUNTIFS(Leads[CPF],"&lt;&gt;",Leads[Data de entrada],"&gt;="&amp;A31,Leads[Data de entrada],"&lt;"&amp;(B31+1),Leads[Data do agendamento],"&gt;0")</f>
        <v>0</v>
      </c>
      <c r="E31" s="12">
        <f>COUNTIFS(Leads[CPF],"&lt;&gt;",Leads[Data de entrada],"&gt;="&amp;A31,Leads[Data de entrada],"&lt;"&amp;(B31+1),Leads[Data da conversa presencial executada],"&gt;0")</f>
        <v>0</v>
      </c>
      <c r="F31" s="13">
        <f>IFERROR(AVERAGEIFS(Leads[Tempo de resposta (min)],Leads[CPF],"&lt;&gt;",Leads[Data de entrada],"&gt;="&amp;A31,Leads[Data de entrada],"&lt;"&amp;(B31+1),Leads[Tempo de resposta (min)],"&gt;=0",Leads[Tempo de resposta (min)],"&lt;&gt;"),"")</f>
        <v/>
      </c>
      <c r="G31" s="12">
        <f>COUNTIFS(Leads[CPF],"&lt;&gt;",Leads[Data de entrada],"&gt;="&amp;A31,Leads[Data de entrada],"&lt;"&amp;(B31+1),Leads[Tempo de resposta (min)],"&gt;=0",Leads[Tempo de resposta (min)],"&lt;&gt;")</f>
        <v>0</v>
      </c>
      <c r="H31" s="14">
        <f>IFERROR(D31/C31,"")</f>
        <v/>
      </c>
      <c r="I31" s="14">
        <f>IFERROR(E31/D31,"")</f>
        <v/>
      </c>
      <c r="J31" s="14">
        <f>IFERROR(E31/C31,"")</f>
        <v/>
      </c>
      <c r="K31" s="12">
        <f>COUNTIFS(Leads[CPF],"&lt;&gt;",Leads[Data de entrada],"&gt;="&amp;A31,Leads[Data de entrada],"&lt;"&amp;(B31+1),Leads[Paciente fechou (0/1)],1)</f>
        <v>0</v>
      </c>
      <c r="L31" s="14">
        <f>IFERROR(K31/E31,"")</f>
        <v/>
      </c>
    </row>
    <row r="32" spans="1:12">
      <c r="A32" s="6">
        <f>DATE($B$5,21,1)</f>
        <v>0</v>
      </c>
      <c r="B32" s="5">
        <f>DATE(YEAR(A32),MONTH(A32)+1,1)-1</f>
        <v>0</v>
      </c>
      <c r="C32" s="12">
        <f>COUNTIFS(Leads[CPF],"&lt;&gt;",Leads[Data de entrada],"&gt;="&amp;A32,Leads[Data de entrada],"&lt;"&amp;(B32+1))</f>
        <v>0</v>
      </c>
      <c r="D32" s="12">
        <f>COUNTIFS(Leads[CPF],"&lt;&gt;",Leads[Data de entrada],"&gt;="&amp;A32,Leads[Data de entrada],"&lt;"&amp;(B32+1),Leads[Data do agendamento],"&gt;0")</f>
        <v>0</v>
      </c>
      <c r="E32" s="12">
        <f>COUNTIFS(Leads[CPF],"&lt;&gt;",Leads[Data de entrada],"&gt;="&amp;A32,Leads[Data de entrada],"&lt;"&amp;(B32+1),Leads[Data da conversa presencial executada],"&gt;0")</f>
        <v>0</v>
      </c>
      <c r="F32" s="13">
        <f>IFERROR(AVERAGEIFS(Leads[Tempo de resposta (min)],Leads[CPF],"&lt;&gt;",Leads[Data de entrada],"&gt;="&amp;A32,Leads[Data de entrada],"&lt;"&amp;(B32+1),Leads[Tempo de resposta (min)],"&gt;=0",Leads[Tempo de resposta (min)],"&lt;&gt;"),"")</f>
        <v/>
      </c>
      <c r="G32" s="12">
        <f>COUNTIFS(Leads[CPF],"&lt;&gt;",Leads[Data de entrada],"&gt;="&amp;A32,Leads[Data de entrada],"&lt;"&amp;(B32+1),Leads[Tempo de resposta (min)],"&gt;=0",Leads[Tempo de resposta (min)],"&lt;&gt;")</f>
        <v>0</v>
      </c>
      <c r="H32" s="14">
        <f>IFERROR(D32/C32,"")</f>
        <v/>
      </c>
      <c r="I32" s="14">
        <f>IFERROR(E32/D32,"")</f>
        <v/>
      </c>
      <c r="J32" s="14">
        <f>IFERROR(E32/C32,"")</f>
        <v/>
      </c>
      <c r="K32" s="12">
        <f>COUNTIFS(Leads[CPF],"&lt;&gt;",Leads[Data de entrada],"&gt;="&amp;A32,Leads[Data de entrada],"&lt;"&amp;(B32+1),Leads[Paciente fechou (0/1)],1)</f>
        <v>0</v>
      </c>
      <c r="L32" s="14">
        <f>IFERROR(K32/E32,"")</f>
        <v/>
      </c>
    </row>
    <row r="33" spans="1:12">
      <c r="A33" s="6">
        <f>DATE($B$5,22,1)</f>
        <v>0</v>
      </c>
      <c r="B33" s="5">
        <f>DATE(YEAR(A33),MONTH(A33)+1,1)-1</f>
        <v>0</v>
      </c>
      <c r="C33" s="12">
        <f>COUNTIFS(Leads[CPF],"&lt;&gt;",Leads[Data de entrada],"&gt;="&amp;A33,Leads[Data de entrada],"&lt;"&amp;(B33+1))</f>
        <v>0</v>
      </c>
      <c r="D33" s="12">
        <f>COUNTIFS(Leads[CPF],"&lt;&gt;",Leads[Data de entrada],"&gt;="&amp;A33,Leads[Data de entrada],"&lt;"&amp;(B33+1),Leads[Data do agendamento],"&gt;0")</f>
        <v>0</v>
      </c>
      <c r="E33" s="12">
        <f>COUNTIFS(Leads[CPF],"&lt;&gt;",Leads[Data de entrada],"&gt;="&amp;A33,Leads[Data de entrada],"&lt;"&amp;(B33+1),Leads[Data da conversa presencial executada],"&gt;0")</f>
        <v>0</v>
      </c>
      <c r="F33" s="13">
        <f>IFERROR(AVERAGEIFS(Leads[Tempo de resposta (min)],Leads[CPF],"&lt;&gt;",Leads[Data de entrada],"&gt;="&amp;A33,Leads[Data de entrada],"&lt;"&amp;(B33+1),Leads[Tempo de resposta (min)],"&gt;=0",Leads[Tempo de resposta (min)],"&lt;&gt;"),"")</f>
        <v/>
      </c>
      <c r="G33" s="12">
        <f>COUNTIFS(Leads[CPF],"&lt;&gt;",Leads[Data de entrada],"&gt;="&amp;A33,Leads[Data de entrada],"&lt;"&amp;(B33+1),Leads[Tempo de resposta (min)],"&gt;=0",Leads[Tempo de resposta (min)],"&lt;&gt;")</f>
        <v>0</v>
      </c>
      <c r="H33" s="14">
        <f>IFERROR(D33/C33,"")</f>
        <v/>
      </c>
      <c r="I33" s="14">
        <f>IFERROR(E33/D33,"")</f>
        <v/>
      </c>
      <c r="J33" s="14">
        <f>IFERROR(E33/C33,"")</f>
        <v/>
      </c>
      <c r="K33" s="12">
        <f>COUNTIFS(Leads[CPF],"&lt;&gt;",Leads[Data de entrada],"&gt;="&amp;A33,Leads[Data de entrada],"&lt;"&amp;(B33+1),Leads[Paciente fechou (0/1)],1)</f>
        <v>0</v>
      </c>
      <c r="L33" s="14">
        <f>IFERROR(K33/E33,"")</f>
        <v/>
      </c>
    </row>
    <row r="34" spans="1:12">
      <c r="A34" s="6">
        <f>DATE($B$5,23,1)</f>
        <v>0</v>
      </c>
      <c r="B34" s="5">
        <f>DATE(YEAR(A34),MONTH(A34)+1,1)-1</f>
        <v>0</v>
      </c>
      <c r="C34" s="12">
        <f>COUNTIFS(Leads[CPF],"&lt;&gt;",Leads[Data de entrada],"&gt;="&amp;A34,Leads[Data de entrada],"&lt;"&amp;(B34+1))</f>
        <v>0</v>
      </c>
      <c r="D34" s="12">
        <f>COUNTIFS(Leads[CPF],"&lt;&gt;",Leads[Data de entrada],"&gt;="&amp;A34,Leads[Data de entrada],"&lt;"&amp;(B34+1),Leads[Data do agendamento],"&gt;0")</f>
        <v>0</v>
      </c>
      <c r="E34" s="12">
        <f>COUNTIFS(Leads[CPF],"&lt;&gt;",Leads[Data de entrada],"&gt;="&amp;A34,Leads[Data de entrada],"&lt;"&amp;(B34+1),Leads[Data da conversa presencial executada],"&gt;0")</f>
        <v>0</v>
      </c>
      <c r="F34" s="13">
        <f>IFERROR(AVERAGEIFS(Leads[Tempo de resposta (min)],Leads[CPF],"&lt;&gt;",Leads[Data de entrada],"&gt;="&amp;A34,Leads[Data de entrada],"&lt;"&amp;(B34+1),Leads[Tempo de resposta (min)],"&gt;=0",Leads[Tempo de resposta (min)],"&lt;&gt;"),"")</f>
        <v/>
      </c>
      <c r="G34" s="12">
        <f>COUNTIFS(Leads[CPF],"&lt;&gt;",Leads[Data de entrada],"&gt;="&amp;A34,Leads[Data de entrada],"&lt;"&amp;(B34+1),Leads[Tempo de resposta (min)],"&gt;=0",Leads[Tempo de resposta (min)],"&lt;&gt;")</f>
        <v>0</v>
      </c>
      <c r="H34" s="14">
        <f>IFERROR(D34/C34,"")</f>
        <v/>
      </c>
      <c r="I34" s="14">
        <f>IFERROR(E34/D34,"")</f>
        <v/>
      </c>
      <c r="J34" s="14">
        <f>IFERROR(E34/C34,"")</f>
        <v/>
      </c>
      <c r="K34" s="12">
        <f>COUNTIFS(Leads[CPF],"&lt;&gt;",Leads[Data de entrada],"&gt;="&amp;A34,Leads[Data de entrada],"&lt;"&amp;(B34+1),Leads[Paciente fechou (0/1)],1)</f>
        <v>0</v>
      </c>
      <c r="L34" s="14">
        <f>IFERROR(K34/E34,"")</f>
        <v/>
      </c>
    </row>
    <row r="35" spans="1:12">
      <c r="A35" s="6">
        <f>DATE($B$5,24,1)</f>
        <v>0</v>
      </c>
      <c r="B35" s="5">
        <f>DATE(YEAR(A35),MONTH(A35)+1,1)-1</f>
        <v>0</v>
      </c>
      <c r="C35" s="12">
        <f>COUNTIFS(Leads[CPF],"&lt;&gt;",Leads[Data de entrada],"&gt;="&amp;A35,Leads[Data de entrada],"&lt;"&amp;(B35+1))</f>
        <v>0</v>
      </c>
      <c r="D35" s="12">
        <f>COUNTIFS(Leads[CPF],"&lt;&gt;",Leads[Data de entrada],"&gt;="&amp;A35,Leads[Data de entrada],"&lt;"&amp;(B35+1),Leads[Data do agendamento],"&gt;0")</f>
        <v>0</v>
      </c>
      <c r="E35" s="12">
        <f>COUNTIFS(Leads[CPF],"&lt;&gt;",Leads[Data de entrada],"&gt;="&amp;A35,Leads[Data de entrada],"&lt;"&amp;(B35+1),Leads[Data da conversa presencial executada],"&gt;0")</f>
        <v>0</v>
      </c>
      <c r="F35" s="13">
        <f>IFERROR(AVERAGEIFS(Leads[Tempo de resposta (min)],Leads[CPF],"&lt;&gt;",Leads[Data de entrada],"&gt;="&amp;A35,Leads[Data de entrada],"&lt;"&amp;(B35+1),Leads[Tempo de resposta (min)],"&gt;=0",Leads[Tempo de resposta (min)],"&lt;&gt;"),"")</f>
        <v/>
      </c>
      <c r="G35" s="12">
        <f>COUNTIFS(Leads[CPF],"&lt;&gt;",Leads[Data de entrada],"&gt;="&amp;A35,Leads[Data de entrada],"&lt;"&amp;(B35+1),Leads[Tempo de resposta (min)],"&gt;=0",Leads[Tempo de resposta (min)],"&lt;&gt;")</f>
        <v>0</v>
      </c>
      <c r="H35" s="14">
        <f>IFERROR(D35/C35,"")</f>
        <v/>
      </c>
      <c r="I35" s="14">
        <f>IFERROR(E35/D35,"")</f>
        <v/>
      </c>
      <c r="J35" s="14">
        <f>IFERROR(E35/C35,"")</f>
        <v/>
      </c>
      <c r="K35" s="12">
        <f>COUNTIFS(Leads[CPF],"&lt;&gt;",Leads[Data de entrada],"&gt;="&amp;A35,Leads[Data de entrada],"&lt;"&amp;(B35+1),Leads[Paciente fechou (0/1)],1)</f>
        <v>0</v>
      </c>
      <c r="L35" s="14">
        <f>IFERROR(K35/E35,"")</f>
        <v/>
      </c>
    </row>
    <row r="36" spans="1:12">
      <c r="A36" s="6">
        <f>DATE($B$5,25,1)</f>
        <v>0</v>
      </c>
      <c r="B36" s="5">
        <f>DATE(YEAR(A36),MONTH(A36)+1,1)-1</f>
        <v>0</v>
      </c>
      <c r="C36" s="12">
        <f>COUNTIFS(Leads[CPF],"&lt;&gt;",Leads[Data de entrada],"&gt;="&amp;A36,Leads[Data de entrada],"&lt;"&amp;(B36+1))</f>
        <v>0</v>
      </c>
      <c r="D36" s="12">
        <f>COUNTIFS(Leads[CPF],"&lt;&gt;",Leads[Data de entrada],"&gt;="&amp;A36,Leads[Data de entrada],"&lt;"&amp;(B36+1),Leads[Data do agendamento],"&gt;0")</f>
        <v>0</v>
      </c>
      <c r="E36" s="12">
        <f>COUNTIFS(Leads[CPF],"&lt;&gt;",Leads[Data de entrada],"&gt;="&amp;A36,Leads[Data de entrada],"&lt;"&amp;(B36+1),Leads[Data da conversa presencial executada],"&gt;0")</f>
        <v>0</v>
      </c>
      <c r="F36" s="13">
        <f>IFERROR(AVERAGEIFS(Leads[Tempo de resposta (min)],Leads[CPF],"&lt;&gt;",Leads[Data de entrada],"&gt;="&amp;A36,Leads[Data de entrada],"&lt;"&amp;(B36+1),Leads[Tempo de resposta (min)],"&gt;=0",Leads[Tempo de resposta (min)],"&lt;&gt;"),"")</f>
        <v/>
      </c>
      <c r="G36" s="12">
        <f>COUNTIFS(Leads[CPF],"&lt;&gt;",Leads[Data de entrada],"&gt;="&amp;A36,Leads[Data de entrada],"&lt;"&amp;(B36+1),Leads[Tempo de resposta (min)],"&gt;=0",Leads[Tempo de resposta (min)],"&lt;&gt;")</f>
        <v>0</v>
      </c>
      <c r="H36" s="14">
        <f>IFERROR(D36/C36,"")</f>
        <v/>
      </c>
      <c r="I36" s="14">
        <f>IFERROR(E36/D36,"")</f>
        <v/>
      </c>
      <c r="J36" s="14">
        <f>IFERROR(E36/C36,"")</f>
        <v/>
      </c>
      <c r="K36" s="12">
        <f>COUNTIFS(Leads[CPF],"&lt;&gt;",Leads[Data de entrada],"&gt;="&amp;A36,Leads[Data de entrada],"&lt;"&amp;(B36+1),Leads[Paciente fechou (0/1)],1)</f>
        <v>0</v>
      </c>
      <c r="L36" s="14">
        <f>IFERROR(K36/E36,"")</f>
        <v/>
      </c>
    </row>
    <row r="37" spans="1:12">
      <c r="A37" s="6">
        <f>DATE($B$5,26,1)</f>
        <v>0</v>
      </c>
      <c r="B37" s="5">
        <f>DATE(YEAR(A37),MONTH(A37)+1,1)-1</f>
        <v>0</v>
      </c>
      <c r="C37" s="12">
        <f>COUNTIFS(Leads[CPF],"&lt;&gt;",Leads[Data de entrada],"&gt;="&amp;A37,Leads[Data de entrada],"&lt;"&amp;(B37+1))</f>
        <v>0</v>
      </c>
      <c r="D37" s="12">
        <f>COUNTIFS(Leads[CPF],"&lt;&gt;",Leads[Data de entrada],"&gt;="&amp;A37,Leads[Data de entrada],"&lt;"&amp;(B37+1),Leads[Data do agendamento],"&gt;0")</f>
        <v>0</v>
      </c>
      <c r="E37" s="12">
        <f>COUNTIFS(Leads[CPF],"&lt;&gt;",Leads[Data de entrada],"&gt;="&amp;A37,Leads[Data de entrada],"&lt;"&amp;(B37+1),Leads[Data da conversa presencial executada],"&gt;0")</f>
        <v>0</v>
      </c>
      <c r="F37" s="13">
        <f>IFERROR(AVERAGEIFS(Leads[Tempo de resposta (min)],Leads[CPF],"&lt;&gt;",Leads[Data de entrada],"&gt;="&amp;A37,Leads[Data de entrada],"&lt;"&amp;(B37+1),Leads[Tempo de resposta (min)],"&gt;=0",Leads[Tempo de resposta (min)],"&lt;&gt;"),"")</f>
        <v/>
      </c>
      <c r="G37" s="12">
        <f>COUNTIFS(Leads[CPF],"&lt;&gt;",Leads[Data de entrada],"&gt;="&amp;A37,Leads[Data de entrada],"&lt;"&amp;(B37+1),Leads[Tempo de resposta (min)],"&gt;=0",Leads[Tempo de resposta (min)],"&lt;&gt;")</f>
        <v>0</v>
      </c>
      <c r="H37" s="14">
        <f>IFERROR(D37/C37,"")</f>
        <v/>
      </c>
      <c r="I37" s="14">
        <f>IFERROR(E37/D37,"")</f>
        <v/>
      </c>
      <c r="J37" s="14">
        <f>IFERROR(E37/C37,"")</f>
        <v/>
      </c>
      <c r="K37" s="12">
        <f>COUNTIFS(Leads[CPF],"&lt;&gt;",Leads[Data de entrada],"&gt;="&amp;A37,Leads[Data de entrada],"&lt;"&amp;(B37+1),Leads[Paciente fechou (0/1)],1)</f>
        <v>0</v>
      </c>
      <c r="L37" s="14">
        <f>IFERROR(K37/E37,"")</f>
        <v/>
      </c>
    </row>
    <row r="38" spans="1:12">
      <c r="A38" s="6">
        <f>DATE($B$5,27,1)</f>
        <v>0</v>
      </c>
      <c r="B38" s="5">
        <f>DATE(YEAR(A38),MONTH(A38)+1,1)-1</f>
        <v>0</v>
      </c>
      <c r="C38" s="12">
        <f>COUNTIFS(Leads[CPF],"&lt;&gt;",Leads[Data de entrada],"&gt;="&amp;A38,Leads[Data de entrada],"&lt;"&amp;(B38+1))</f>
        <v>0</v>
      </c>
      <c r="D38" s="12">
        <f>COUNTIFS(Leads[CPF],"&lt;&gt;",Leads[Data de entrada],"&gt;="&amp;A38,Leads[Data de entrada],"&lt;"&amp;(B38+1),Leads[Data do agendamento],"&gt;0")</f>
        <v>0</v>
      </c>
      <c r="E38" s="12">
        <f>COUNTIFS(Leads[CPF],"&lt;&gt;",Leads[Data de entrada],"&gt;="&amp;A38,Leads[Data de entrada],"&lt;"&amp;(B38+1),Leads[Data da conversa presencial executada],"&gt;0")</f>
        <v>0</v>
      </c>
      <c r="F38" s="13">
        <f>IFERROR(AVERAGEIFS(Leads[Tempo de resposta (min)],Leads[CPF],"&lt;&gt;",Leads[Data de entrada],"&gt;="&amp;A38,Leads[Data de entrada],"&lt;"&amp;(B38+1),Leads[Tempo de resposta (min)],"&gt;=0",Leads[Tempo de resposta (min)],"&lt;&gt;"),"")</f>
        <v/>
      </c>
      <c r="G38" s="12">
        <f>COUNTIFS(Leads[CPF],"&lt;&gt;",Leads[Data de entrada],"&gt;="&amp;A38,Leads[Data de entrada],"&lt;"&amp;(B38+1),Leads[Tempo de resposta (min)],"&gt;=0",Leads[Tempo de resposta (min)],"&lt;&gt;")</f>
        <v>0</v>
      </c>
      <c r="H38" s="14">
        <f>IFERROR(D38/C38,"")</f>
        <v/>
      </c>
      <c r="I38" s="14">
        <f>IFERROR(E38/D38,"")</f>
        <v/>
      </c>
      <c r="J38" s="14">
        <f>IFERROR(E38/C38,"")</f>
        <v/>
      </c>
      <c r="K38" s="12">
        <f>COUNTIFS(Leads[CPF],"&lt;&gt;",Leads[Data de entrada],"&gt;="&amp;A38,Leads[Data de entrada],"&lt;"&amp;(B38+1),Leads[Paciente fechou (0/1)],1)</f>
        <v>0</v>
      </c>
      <c r="L38" s="14">
        <f>IFERROR(K38/E38,"")</f>
        <v/>
      </c>
    </row>
    <row r="39" spans="1:12">
      <c r="A39" s="6">
        <f>DATE($B$5,28,1)</f>
        <v>0</v>
      </c>
      <c r="B39" s="5">
        <f>DATE(YEAR(A39),MONTH(A39)+1,1)-1</f>
        <v>0</v>
      </c>
      <c r="C39" s="12">
        <f>COUNTIFS(Leads[CPF],"&lt;&gt;",Leads[Data de entrada],"&gt;="&amp;A39,Leads[Data de entrada],"&lt;"&amp;(B39+1))</f>
        <v>0</v>
      </c>
      <c r="D39" s="12">
        <f>COUNTIFS(Leads[CPF],"&lt;&gt;",Leads[Data de entrada],"&gt;="&amp;A39,Leads[Data de entrada],"&lt;"&amp;(B39+1),Leads[Data do agendamento],"&gt;0")</f>
        <v>0</v>
      </c>
      <c r="E39" s="12">
        <f>COUNTIFS(Leads[CPF],"&lt;&gt;",Leads[Data de entrada],"&gt;="&amp;A39,Leads[Data de entrada],"&lt;"&amp;(B39+1),Leads[Data da conversa presencial executada],"&gt;0")</f>
        <v>0</v>
      </c>
      <c r="F39" s="13">
        <f>IFERROR(AVERAGEIFS(Leads[Tempo de resposta (min)],Leads[CPF],"&lt;&gt;",Leads[Data de entrada],"&gt;="&amp;A39,Leads[Data de entrada],"&lt;"&amp;(B39+1),Leads[Tempo de resposta (min)],"&gt;=0",Leads[Tempo de resposta (min)],"&lt;&gt;"),"")</f>
        <v/>
      </c>
      <c r="G39" s="12">
        <f>COUNTIFS(Leads[CPF],"&lt;&gt;",Leads[Data de entrada],"&gt;="&amp;A39,Leads[Data de entrada],"&lt;"&amp;(B39+1),Leads[Tempo de resposta (min)],"&gt;=0",Leads[Tempo de resposta (min)],"&lt;&gt;")</f>
        <v>0</v>
      </c>
      <c r="H39" s="14">
        <f>IFERROR(D39/C39,"")</f>
        <v/>
      </c>
      <c r="I39" s="14">
        <f>IFERROR(E39/D39,"")</f>
        <v/>
      </c>
      <c r="J39" s="14">
        <f>IFERROR(E39/C39,"")</f>
        <v/>
      </c>
      <c r="K39" s="12">
        <f>COUNTIFS(Leads[CPF],"&lt;&gt;",Leads[Data de entrada],"&gt;="&amp;A39,Leads[Data de entrada],"&lt;"&amp;(B39+1),Leads[Paciente fechou (0/1)],1)</f>
        <v>0</v>
      </c>
      <c r="L39" s="14">
        <f>IFERROR(K39/E39,"")</f>
        <v/>
      </c>
    </row>
    <row r="40" spans="1:12">
      <c r="A40" s="6">
        <f>DATE($B$5,29,1)</f>
        <v>0</v>
      </c>
      <c r="B40" s="5">
        <f>DATE(YEAR(A40),MONTH(A40)+1,1)-1</f>
        <v>0</v>
      </c>
      <c r="C40" s="12">
        <f>COUNTIFS(Leads[CPF],"&lt;&gt;",Leads[Data de entrada],"&gt;="&amp;A40,Leads[Data de entrada],"&lt;"&amp;(B40+1))</f>
        <v>0</v>
      </c>
      <c r="D40" s="12">
        <f>COUNTIFS(Leads[CPF],"&lt;&gt;",Leads[Data de entrada],"&gt;="&amp;A40,Leads[Data de entrada],"&lt;"&amp;(B40+1),Leads[Data do agendamento],"&gt;0")</f>
        <v>0</v>
      </c>
      <c r="E40" s="12">
        <f>COUNTIFS(Leads[CPF],"&lt;&gt;",Leads[Data de entrada],"&gt;="&amp;A40,Leads[Data de entrada],"&lt;"&amp;(B40+1),Leads[Data da conversa presencial executada],"&gt;0")</f>
        <v>0</v>
      </c>
      <c r="F40" s="13">
        <f>IFERROR(AVERAGEIFS(Leads[Tempo de resposta (min)],Leads[CPF],"&lt;&gt;",Leads[Data de entrada],"&gt;="&amp;A40,Leads[Data de entrada],"&lt;"&amp;(B40+1),Leads[Tempo de resposta (min)],"&gt;=0",Leads[Tempo de resposta (min)],"&lt;&gt;"),"")</f>
        <v/>
      </c>
      <c r="G40" s="12">
        <f>COUNTIFS(Leads[CPF],"&lt;&gt;",Leads[Data de entrada],"&gt;="&amp;A40,Leads[Data de entrada],"&lt;"&amp;(B40+1),Leads[Tempo de resposta (min)],"&gt;=0",Leads[Tempo de resposta (min)],"&lt;&gt;")</f>
        <v>0</v>
      </c>
      <c r="H40" s="14">
        <f>IFERROR(D40/C40,"")</f>
        <v/>
      </c>
      <c r="I40" s="14">
        <f>IFERROR(E40/D40,"")</f>
        <v/>
      </c>
      <c r="J40" s="14">
        <f>IFERROR(E40/C40,"")</f>
        <v/>
      </c>
      <c r="K40" s="12">
        <f>COUNTIFS(Leads[CPF],"&lt;&gt;",Leads[Data de entrada],"&gt;="&amp;A40,Leads[Data de entrada],"&lt;"&amp;(B40+1),Leads[Paciente fechou (0/1)],1)</f>
        <v>0</v>
      </c>
      <c r="L40" s="14">
        <f>IFERROR(K40/E40,"")</f>
        <v/>
      </c>
    </row>
    <row r="41" spans="1:12">
      <c r="A41" s="6">
        <f>DATE($B$5,30,1)</f>
        <v>0</v>
      </c>
      <c r="B41" s="5">
        <f>DATE(YEAR(A41),MONTH(A41)+1,1)-1</f>
        <v>0</v>
      </c>
      <c r="C41" s="12">
        <f>COUNTIFS(Leads[CPF],"&lt;&gt;",Leads[Data de entrada],"&gt;="&amp;A41,Leads[Data de entrada],"&lt;"&amp;(B41+1))</f>
        <v>0</v>
      </c>
      <c r="D41" s="12">
        <f>COUNTIFS(Leads[CPF],"&lt;&gt;",Leads[Data de entrada],"&gt;="&amp;A41,Leads[Data de entrada],"&lt;"&amp;(B41+1),Leads[Data do agendamento],"&gt;0")</f>
        <v>0</v>
      </c>
      <c r="E41" s="12">
        <f>COUNTIFS(Leads[CPF],"&lt;&gt;",Leads[Data de entrada],"&gt;="&amp;A41,Leads[Data de entrada],"&lt;"&amp;(B41+1),Leads[Data da conversa presencial executada],"&gt;0")</f>
        <v>0</v>
      </c>
      <c r="F41" s="13">
        <f>IFERROR(AVERAGEIFS(Leads[Tempo de resposta (min)],Leads[CPF],"&lt;&gt;",Leads[Data de entrada],"&gt;="&amp;A41,Leads[Data de entrada],"&lt;"&amp;(B41+1),Leads[Tempo de resposta (min)],"&gt;=0",Leads[Tempo de resposta (min)],"&lt;&gt;"),"")</f>
        <v/>
      </c>
      <c r="G41" s="12">
        <f>COUNTIFS(Leads[CPF],"&lt;&gt;",Leads[Data de entrada],"&gt;="&amp;A41,Leads[Data de entrada],"&lt;"&amp;(B41+1),Leads[Tempo de resposta (min)],"&gt;=0",Leads[Tempo de resposta (min)],"&lt;&gt;")</f>
        <v>0</v>
      </c>
      <c r="H41" s="14">
        <f>IFERROR(D41/C41,"")</f>
        <v/>
      </c>
      <c r="I41" s="14">
        <f>IFERROR(E41/D41,"")</f>
        <v/>
      </c>
      <c r="J41" s="14">
        <f>IFERROR(E41/C41,"")</f>
        <v/>
      </c>
      <c r="K41" s="12">
        <f>COUNTIFS(Leads[CPF],"&lt;&gt;",Leads[Data de entrada],"&gt;="&amp;A41,Leads[Data de entrada],"&lt;"&amp;(B41+1),Leads[Paciente fechou (0/1)],1)</f>
        <v>0</v>
      </c>
      <c r="L41" s="14">
        <f>IFERROR(K41/E41,"")</f>
        <v/>
      </c>
    </row>
    <row r="42" spans="1:12">
      <c r="A42" s="6">
        <f>DATE($B$5,31,1)</f>
        <v>0</v>
      </c>
      <c r="B42" s="5">
        <f>DATE(YEAR(A42),MONTH(A42)+1,1)-1</f>
        <v>0</v>
      </c>
      <c r="C42" s="12">
        <f>COUNTIFS(Leads[CPF],"&lt;&gt;",Leads[Data de entrada],"&gt;="&amp;A42,Leads[Data de entrada],"&lt;"&amp;(B42+1))</f>
        <v>0</v>
      </c>
      <c r="D42" s="12">
        <f>COUNTIFS(Leads[CPF],"&lt;&gt;",Leads[Data de entrada],"&gt;="&amp;A42,Leads[Data de entrada],"&lt;"&amp;(B42+1),Leads[Data do agendamento],"&gt;0")</f>
        <v>0</v>
      </c>
      <c r="E42" s="12">
        <f>COUNTIFS(Leads[CPF],"&lt;&gt;",Leads[Data de entrada],"&gt;="&amp;A42,Leads[Data de entrada],"&lt;"&amp;(B42+1),Leads[Data da conversa presencial executada],"&gt;0")</f>
        <v>0</v>
      </c>
      <c r="F42" s="13">
        <f>IFERROR(AVERAGEIFS(Leads[Tempo de resposta (min)],Leads[CPF],"&lt;&gt;",Leads[Data de entrada],"&gt;="&amp;A42,Leads[Data de entrada],"&lt;"&amp;(B42+1),Leads[Tempo de resposta (min)],"&gt;=0",Leads[Tempo de resposta (min)],"&lt;&gt;"),"")</f>
        <v/>
      </c>
      <c r="G42" s="12">
        <f>COUNTIFS(Leads[CPF],"&lt;&gt;",Leads[Data de entrada],"&gt;="&amp;A42,Leads[Data de entrada],"&lt;"&amp;(B42+1),Leads[Tempo de resposta (min)],"&gt;=0",Leads[Tempo de resposta (min)],"&lt;&gt;")</f>
        <v>0</v>
      </c>
      <c r="H42" s="14">
        <f>IFERROR(D42/C42,"")</f>
        <v/>
      </c>
      <c r="I42" s="14">
        <f>IFERROR(E42/D42,"")</f>
        <v/>
      </c>
      <c r="J42" s="14">
        <f>IFERROR(E42/C42,"")</f>
        <v/>
      </c>
      <c r="K42" s="12">
        <f>COUNTIFS(Leads[CPF],"&lt;&gt;",Leads[Data de entrada],"&gt;="&amp;A42,Leads[Data de entrada],"&lt;"&amp;(B42+1),Leads[Paciente fechou (0/1)],1)</f>
        <v>0</v>
      </c>
      <c r="L42" s="14">
        <f>IFERROR(K42/E42,"")</f>
        <v/>
      </c>
    </row>
    <row r="43" spans="1:12">
      <c r="A43" s="6">
        <f>DATE($B$5,32,1)</f>
        <v>0</v>
      </c>
      <c r="B43" s="5">
        <f>DATE(YEAR(A43),MONTH(A43)+1,1)-1</f>
        <v>0</v>
      </c>
      <c r="C43" s="12">
        <f>COUNTIFS(Leads[CPF],"&lt;&gt;",Leads[Data de entrada],"&gt;="&amp;A43,Leads[Data de entrada],"&lt;"&amp;(B43+1))</f>
        <v>0</v>
      </c>
      <c r="D43" s="12">
        <f>COUNTIFS(Leads[CPF],"&lt;&gt;",Leads[Data de entrada],"&gt;="&amp;A43,Leads[Data de entrada],"&lt;"&amp;(B43+1),Leads[Data do agendamento],"&gt;0")</f>
        <v>0</v>
      </c>
      <c r="E43" s="12">
        <f>COUNTIFS(Leads[CPF],"&lt;&gt;",Leads[Data de entrada],"&gt;="&amp;A43,Leads[Data de entrada],"&lt;"&amp;(B43+1),Leads[Data da conversa presencial executada],"&gt;0")</f>
        <v>0</v>
      </c>
      <c r="F43" s="13">
        <f>IFERROR(AVERAGEIFS(Leads[Tempo de resposta (min)],Leads[CPF],"&lt;&gt;",Leads[Data de entrada],"&gt;="&amp;A43,Leads[Data de entrada],"&lt;"&amp;(B43+1),Leads[Tempo de resposta (min)],"&gt;=0",Leads[Tempo de resposta (min)],"&lt;&gt;"),"")</f>
        <v/>
      </c>
      <c r="G43" s="12">
        <f>COUNTIFS(Leads[CPF],"&lt;&gt;",Leads[Data de entrada],"&gt;="&amp;A43,Leads[Data de entrada],"&lt;"&amp;(B43+1),Leads[Tempo de resposta (min)],"&gt;=0",Leads[Tempo de resposta (min)],"&lt;&gt;")</f>
        <v>0</v>
      </c>
      <c r="H43" s="14">
        <f>IFERROR(D43/C43,"")</f>
        <v/>
      </c>
      <c r="I43" s="14">
        <f>IFERROR(E43/D43,"")</f>
        <v/>
      </c>
      <c r="J43" s="14">
        <f>IFERROR(E43/C43,"")</f>
        <v/>
      </c>
      <c r="K43" s="12">
        <f>COUNTIFS(Leads[CPF],"&lt;&gt;",Leads[Data de entrada],"&gt;="&amp;A43,Leads[Data de entrada],"&lt;"&amp;(B43+1),Leads[Paciente fechou (0/1)],1)</f>
        <v>0</v>
      </c>
      <c r="L43" s="14">
        <f>IFERROR(K43/E43,"")</f>
        <v/>
      </c>
    </row>
    <row r="44" spans="1:12">
      <c r="A44" s="6">
        <f>DATE($B$5,33,1)</f>
        <v>0</v>
      </c>
      <c r="B44" s="5">
        <f>DATE(YEAR(A44),MONTH(A44)+1,1)-1</f>
        <v>0</v>
      </c>
      <c r="C44" s="12">
        <f>COUNTIFS(Leads[CPF],"&lt;&gt;",Leads[Data de entrada],"&gt;="&amp;A44,Leads[Data de entrada],"&lt;"&amp;(B44+1))</f>
        <v>0</v>
      </c>
      <c r="D44" s="12">
        <f>COUNTIFS(Leads[CPF],"&lt;&gt;",Leads[Data de entrada],"&gt;="&amp;A44,Leads[Data de entrada],"&lt;"&amp;(B44+1),Leads[Data do agendamento],"&gt;0")</f>
        <v>0</v>
      </c>
      <c r="E44" s="12">
        <f>COUNTIFS(Leads[CPF],"&lt;&gt;",Leads[Data de entrada],"&gt;="&amp;A44,Leads[Data de entrada],"&lt;"&amp;(B44+1),Leads[Data da conversa presencial executada],"&gt;0")</f>
        <v>0</v>
      </c>
      <c r="F44" s="13">
        <f>IFERROR(AVERAGEIFS(Leads[Tempo de resposta (min)],Leads[CPF],"&lt;&gt;",Leads[Data de entrada],"&gt;="&amp;A44,Leads[Data de entrada],"&lt;"&amp;(B44+1),Leads[Tempo de resposta (min)],"&gt;=0",Leads[Tempo de resposta (min)],"&lt;&gt;"),"")</f>
        <v/>
      </c>
      <c r="G44" s="12">
        <f>COUNTIFS(Leads[CPF],"&lt;&gt;",Leads[Data de entrada],"&gt;="&amp;A44,Leads[Data de entrada],"&lt;"&amp;(B44+1),Leads[Tempo de resposta (min)],"&gt;=0",Leads[Tempo de resposta (min)],"&lt;&gt;")</f>
        <v>0</v>
      </c>
      <c r="H44" s="14">
        <f>IFERROR(D44/C44,"")</f>
        <v/>
      </c>
      <c r="I44" s="14">
        <f>IFERROR(E44/D44,"")</f>
        <v/>
      </c>
      <c r="J44" s="14">
        <f>IFERROR(E44/C44,"")</f>
        <v/>
      </c>
      <c r="K44" s="12">
        <f>COUNTIFS(Leads[CPF],"&lt;&gt;",Leads[Data de entrada],"&gt;="&amp;A44,Leads[Data de entrada],"&lt;"&amp;(B44+1),Leads[Paciente fechou (0/1)],1)</f>
        <v>0</v>
      </c>
      <c r="L44" s="14">
        <f>IFERROR(K44/E44,"")</f>
        <v/>
      </c>
    </row>
    <row r="45" spans="1:12">
      <c r="A45" s="6">
        <f>DATE($B$5,34,1)</f>
        <v>0</v>
      </c>
      <c r="B45" s="5">
        <f>DATE(YEAR(A45),MONTH(A45)+1,1)-1</f>
        <v>0</v>
      </c>
      <c r="C45" s="12">
        <f>COUNTIFS(Leads[CPF],"&lt;&gt;",Leads[Data de entrada],"&gt;="&amp;A45,Leads[Data de entrada],"&lt;"&amp;(B45+1))</f>
        <v>0</v>
      </c>
      <c r="D45" s="12">
        <f>COUNTIFS(Leads[CPF],"&lt;&gt;",Leads[Data de entrada],"&gt;="&amp;A45,Leads[Data de entrada],"&lt;"&amp;(B45+1),Leads[Data do agendamento],"&gt;0")</f>
        <v>0</v>
      </c>
      <c r="E45" s="12">
        <f>COUNTIFS(Leads[CPF],"&lt;&gt;",Leads[Data de entrada],"&gt;="&amp;A45,Leads[Data de entrada],"&lt;"&amp;(B45+1),Leads[Data da conversa presencial executada],"&gt;0")</f>
        <v>0</v>
      </c>
      <c r="F45" s="13">
        <f>IFERROR(AVERAGEIFS(Leads[Tempo de resposta (min)],Leads[CPF],"&lt;&gt;",Leads[Data de entrada],"&gt;="&amp;A45,Leads[Data de entrada],"&lt;"&amp;(B45+1),Leads[Tempo de resposta (min)],"&gt;=0",Leads[Tempo de resposta (min)],"&lt;&gt;"),"")</f>
        <v/>
      </c>
      <c r="G45" s="12">
        <f>COUNTIFS(Leads[CPF],"&lt;&gt;",Leads[Data de entrada],"&gt;="&amp;A45,Leads[Data de entrada],"&lt;"&amp;(B45+1),Leads[Tempo de resposta (min)],"&gt;=0",Leads[Tempo de resposta (min)],"&lt;&gt;")</f>
        <v>0</v>
      </c>
      <c r="H45" s="14">
        <f>IFERROR(D45/C45,"")</f>
        <v/>
      </c>
      <c r="I45" s="14">
        <f>IFERROR(E45/D45,"")</f>
        <v/>
      </c>
      <c r="J45" s="14">
        <f>IFERROR(E45/C45,"")</f>
        <v/>
      </c>
      <c r="K45" s="12">
        <f>COUNTIFS(Leads[CPF],"&lt;&gt;",Leads[Data de entrada],"&gt;="&amp;A45,Leads[Data de entrada],"&lt;"&amp;(B45+1),Leads[Paciente fechou (0/1)],1)</f>
        <v>0</v>
      </c>
      <c r="L45" s="14">
        <f>IFERROR(K45/E45,"")</f>
        <v/>
      </c>
    </row>
    <row r="46" spans="1:12">
      <c r="A46" s="6">
        <f>DATE($B$5,35,1)</f>
        <v>0</v>
      </c>
      <c r="B46" s="5">
        <f>DATE(YEAR(A46),MONTH(A46)+1,1)-1</f>
        <v>0</v>
      </c>
      <c r="C46" s="12">
        <f>COUNTIFS(Leads[CPF],"&lt;&gt;",Leads[Data de entrada],"&gt;="&amp;A46,Leads[Data de entrada],"&lt;"&amp;(B46+1))</f>
        <v>0</v>
      </c>
      <c r="D46" s="12">
        <f>COUNTIFS(Leads[CPF],"&lt;&gt;",Leads[Data de entrada],"&gt;="&amp;A46,Leads[Data de entrada],"&lt;"&amp;(B46+1),Leads[Data do agendamento],"&gt;0")</f>
        <v>0</v>
      </c>
      <c r="E46" s="12">
        <f>COUNTIFS(Leads[CPF],"&lt;&gt;",Leads[Data de entrada],"&gt;="&amp;A46,Leads[Data de entrada],"&lt;"&amp;(B46+1),Leads[Data da conversa presencial executada],"&gt;0")</f>
        <v>0</v>
      </c>
      <c r="F46" s="13">
        <f>IFERROR(AVERAGEIFS(Leads[Tempo de resposta (min)],Leads[CPF],"&lt;&gt;",Leads[Data de entrada],"&gt;="&amp;A46,Leads[Data de entrada],"&lt;"&amp;(B46+1),Leads[Tempo de resposta (min)],"&gt;=0",Leads[Tempo de resposta (min)],"&lt;&gt;"),"")</f>
        <v/>
      </c>
      <c r="G46" s="12">
        <f>COUNTIFS(Leads[CPF],"&lt;&gt;",Leads[Data de entrada],"&gt;="&amp;A46,Leads[Data de entrada],"&lt;"&amp;(B46+1),Leads[Tempo de resposta (min)],"&gt;=0",Leads[Tempo de resposta (min)],"&lt;&gt;")</f>
        <v>0</v>
      </c>
      <c r="H46" s="14">
        <f>IFERROR(D46/C46,"")</f>
        <v/>
      </c>
      <c r="I46" s="14">
        <f>IFERROR(E46/D46,"")</f>
        <v/>
      </c>
      <c r="J46" s="14">
        <f>IFERROR(E46/C46,"")</f>
        <v/>
      </c>
      <c r="K46" s="12">
        <f>COUNTIFS(Leads[CPF],"&lt;&gt;",Leads[Data de entrada],"&gt;="&amp;A46,Leads[Data de entrada],"&lt;"&amp;(B46+1),Leads[Paciente fechou (0/1)],1)</f>
        <v>0</v>
      </c>
      <c r="L46" s="14">
        <f>IFERROR(K46/E46,"")</f>
        <v/>
      </c>
    </row>
    <row r="47" spans="1:12">
      <c r="A47" s="6">
        <f>DATE($B$5,36,1)</f>
        <v>0</v>
      </c>
      <c r="B47" s="5">
        <f>DATE(YEAR(A47),MONTH(A47)+1,1)-1</f>
        <v>0</v>
      </c>
      <c r="C47" s="12">
        <f>COUNTIFS(Leads[CPF],"&lt;&gt;",Leads[Data de entrada],"&gt;="&amp;A47,Leads[Data de entrada],"&lt;"&amp;(B47+1))</f>
        <v>0</v>
      </c>
      <c r="D47" s="12">
        <f>COUNTIFS(Leads[CPF],"&lt;&gt;",Leads[Data de entrada],"&gt;="&amp;A47,Leads[Data de entrada],"&lt;"&amp;(B47+1),Leads[Data do agendamento],"&gt;0")</f>
        <v>0</v>
      </c>
      <c r="E47" s="12">
        <f>COUNTIFS(Leads[CPF],"&lt;&gt;",Leads[Data de entrada],"&gt;="&amp;A47,Leads[Data de entrada],"&lt;"&amp;(B47+1),Leads[Data da conversa presencial executada],"&gt;0")</f>
        <v>0</v>
      </c>
      <c r="F47" s="13">
        <f>IFERROR(AVERAGEIFS(Leads[Tempo de resposta (min)],Leads[CPF],"&lt;&gt;",Leads[Data de entrada],"&gt;="&amp;A47,Leads[Data de entrada],"&lt;"&amp;(B47+1),Leads[Tempo de resposta (min)],"&gt;=0",Leads[Tempo de resposta (min)],"&lt;&gt;"),"")</f>
        <v/>
      </c>
      <c r="G47" s="12">
        <f>COUNTIFS(Leads[CPF],"&lt;&gt;",Leads[Data de entrada],"&gt;="&amp;A47,Leads[Data de entrada],"&lt;"&amp;(B47+1),Leads[Tempo de resposta (min)],"&gt;=0",Leads[Tempo de resposta (min)],"&lt;&gt;")</f>
        <v>0</v>
      </c>
      <c r="H47" s="14">
        <f>IFERROR(D47/C47,"")</f>
        <v/>
      </c>
      <c r="I47" s="14">
        <f>IFERROR(E47/D47,"")</f>
        <v/>
      </c>
      <c r="J47" s="14">
        <f>IFERROR(E47/C47,"")</f>
        <v/>
      </c>
      <c r="K47" s="12">
        <f>COUNTIFS(Leads[CPF],"&lt;&gt;",Leads[Data de entrada],"&gt;="&amp;A47,Leads[Data de entrada],"&lt;"&amp;(B47+1),Leads[Paciente fechou (0/1)],1)</f>
        <v>0</v>
      </c>
      <c r="L47" s="14">
        <f>IFERROR(K47/E47,"")</f>
        <v/>
      </c>
    </row>
  </sheetData>
  <autoFilter ref="A11:L47"/>
  <mergeCells count="6">
    <mergeCell ref="A1:L2"/>
    <mergeCell ref="A3:L4"/>
    <mergeCell ref="C5:L5"/>
    <mergeCell ref="A6:L6"/>
    <mergeCell ref="A7:L7"/>
    <mergeCell ref="A8:L8"/>
  </mergeCells>
  <dataValidations count="1">
    <dataValidation type="whole" allowBlank="1" showInputMessage="1" showErrorMessage="1" sqref="B5">
      <formula1>2000</formula1>
      <formula2>2097</formula2>
    </dataValidation>
  </dataValidations>
  <pageMargins left="0.7" right="0.7" top="0.75" bottom="0.75" header="0.3" footer="0.3"/>
  <pageSetup paperSize="9" fitToHeight="0" orientation="landscape"/>
  <headerFooter>
    <oddFooter>&amp;LComercial e Captação WPP&amp;R&amp;P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Registro diário</vt:lpstr>
      <vt:lpstr>Consolidado semanal</vt:lpstr>
      <vt:lpstr>Consolidado mensal</vt:lpstr>
      <vt:lpstr>'Consolidado mensal'!Print_Area</vt:lpstr>
      <vt:lpstr>'Consolidado semanal'!Print_Area</vt:lpstr>
      <vt:lpstr>'Registro diário'!Print_Area</vt:lpstr>
      <vt:lpstr>'Consolidado mensal'!Print_Titles</vt:lpstr>
      <vt:lpstr>'Consolidado semanal'!Print_Titles</vt:lpstr>
      <vt:lpstr>'Registro diário'!Print_Titles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Comercial e Captação WPP</dc:title>
  <dc:creator/>
  <dc:description>Consolidação por safra de entrada do lead.</dc:description>
  <cp:lastModifiedBy/>
  <dcterms:created xsi:type="dcterms:W3CDTF">2026-10-08T01:30:58Z</dcterms:created>
  <dcterms:modified xsi:type="dcterms:W3CDTF">2026-10-08T01:30:58Z</dcterms:modified>
</cp:coreProperties>
</file>